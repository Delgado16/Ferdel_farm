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969295db8264f4/Desktop/AVICOLA FERDEL DIRIOMO/Año 2025/"/>
    </mc:Choice>
  </mc:AlternateContent>
  <xr:revisionPtr revIDLastSave="29" documentId="13_ncr:1_{8F1968CE-584C-4ED7-87F6-7BFD8FEACB17}" xr6:coauthVersionLast="47" xr6:coauthVersionMax="47" xr10:uidLastSave="{622E99D8-EB42-426A-8977-06D153438DD0}"/>
  <bookViews>
    <workbookView xWindow="-120" yWindow="-120" windowWidth="29040" windowHeight="15720" firstSheet="9" activeTab="12" xr2:uid="{8E38D3BF-9B7A-49DA-81A0-7348B83B981F}"/>
  </bookViews>
  <sheets>
    <sheet name="ENERO 2025" sheetId="1" r:id="rId1"/>
    <sheet name="FEBRERO 2025" sheetId="2" r:id="rId2"/>
    <sheet name="MARZO 2025" sheetId="3" r:id="rId3"/>
    <sheet name="ABRIL 2025" sheetId="4" r:id="rId4"/>
    <sheet name="MAYO 2025" sheetId="18" r:id="rId5"/>
    <sheet name="JUNIO 2025" sheetId="9" r:id="rId6"/>
    <sheet name="JULIO 2025" sheetId="10" r:id="rId7"/>
    <sheet name="AGOSTO 2025" sheetId="11" r:id="rId8"/>
    <sheet name="SEPTIEMBRE 2025" sheetId="12" r:id="rId9"/>
    <sheet name="OCTUBRE 2025" sheetId="13" r:id="rId10"/>
    <sheet name="Hoja1" sheetId="17" state="hidden" r:id="rId11"/>
    <sheet name="NOVIEMBRE 2025" sheetId="14" r:id="rId12"/>
    <sheet name="DICIEMBRE 2025" sheetId="15" r:id="rId13"/>
    <sheet name="Peso" sheetId="16" state="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84" i="15" l="1"/>
  <c r="F1078" i="15"/>
  <c r="F1072" i="15"/>
  <c r="F1069" i="15"/>
  <c r="F1063" i="15"/>
  <c r="F1060" i="15"/>
  <c r="F1056" i="15"/>
  <c r="F1053" i="15"/>
  <c r="F1050" i="15"/>
  <c r="F1047" i="15"/>
  <c r="F1044" i="15"/>
  <c r="F1041" i="15"/>
  <c r="F1037" i="15"/>
  <c r="F1031" i="15"/>
  <c r="F1028" i="15"/>
  <c r="F1024" i="15"/>
  <c r="F1021" i="15"/>
  <c r="F1014" i="15"/>
  <c r="F1009" i="15"/>
  <c r="F1006" i="15"/>
  <c r="F1001" i="15"/>
  <c r="F998" i="15"/>
  <c r="K997" i="15"/>
  <c r="F995" i="15"/>
  <c r="F987" i="15"/>
  <c r="F984" i="15"/>
  <c r="F981" i="15"/>
  <c r="F977" i="15"/>
  <c r="F974" i="15"/>
  <c r="F970" i="15"/>
  <c r="F967" i="15"/>
  <c r="F963" i="15"/>
  <c r="F960" i="15"/>
  <c r="F957" i="15"/>
  <c r="F953" i="15"/>
  <c r="F947" i="15"/>
  <c r="F942" i="15"/>
  <c r="F939" i="15"/>
  <c r="F936" i="15"/>
  <c r="F930" i="15"/>
  <c r="F927" i="15"/>
  <c r="F924" i="15"/>
  <c r="F921" i="15"/>
  <c r="F918" i="15"/>
  <c r="F911" i="15"/>
  <c r="F902" i="15"/>
  <c r="F899" i="15"/>
  <c r="F896" i="15"/>
  <c r="F893" i="15"/>
  <c r="F889" i="15"/>
  <c r="F886" i="15"/>
  <c r="F883" i="15"/>
  <c r="F880" i="15"/>
  <c r="F877" i="15"/>
  <c r="F874" i="15"/>
  <c r="F871" i="15"/>
  <c r="F868" i="15"/>
  <c r="F865" i="15"/>
  <c r="F862" i="15"/>
  <c r="F859" i="15"/>
  <c r="F856" i="15"/>
  <c r="F853" i="15"/>
  <c r="F850" i="15"/>
  <c r="F847" i="15"/>
  <c r="F842" i="15"/>
  <c r="F839" i="15"/>
  <c r="F833" i="15"/>
  <c r="F830" i="15"/>
  <c r="F827" i="15"/>
  <c r="F821" i="15"/>
  <c r="F818" i="15"/>
  <c r="F815" i="15"/>
  <c r="F811" i="15"/>
  <c r="F803" i="15"/>
  <c r="F798" i="15"/>
  <c r="F794" i="15"/>
  <c r="F788" i="15"/>
  <c r="F784" i="15"/>
  <c r="F781" i="15"/>
  <c r="F778" i="15"/>
  <c r="F775" i="15"/>
  <c r="F772" i="15"/>
  <c r="F769" i="15"/>
  <c r="F765" i="15"/>
  <c r="F760" i="15"/>
  <c r="F752" i="15"/>
  <c r="F749" i="15"/>
  <c r="F746" i="15"/>
  <c r="F742" i="15"/>
  <c r="F739" i="15"/>
  <c r="F736" i="15"/>
  <c r="F733" i="15"/>
  <c r="F730" i="15"/>
  <c r="F725" i="15"/>
  <c r="F722" i="15"/>
  <c r="F718" i="15"/>
  <c r="F715" i="15"/>
  <c r="F712" i="15"/>
  <c r="F709" i="15"/>
  <c r="F705" i="15"/>
  <c r="F702" i="15"/>
  <c r="F699" i="15"/>
  <c r="F691" i="15"/>
  <c r="F687" i="15"/>
  <c r="F684" i="15"/>
  <c r="F681" i="15"/>
  <c r="F678" i="15"/>
  <c r="F675" i="15"/>
  <c r="F671" i="15"/>
  <c r="F668" i="15"/>
  <c r="F664" i="15"/>
  <c r="F656" i="15"/>
  <c r="F644" i="15"/>
  <c r="F640" i="15"/>
  <c r="F637" i="15"/>
  <c r="F631" i="15"/>
  <c r="F627" i="15"/>
  <c r="F624" i="15"/>
  <c r="F621" i="15"/>
  <c r="F618" i="15"/>
  <c r="F615" i="15"/>
  <c r="F612" i="15"/>
  <c r="F609" i="15"/>
  <c r="F606" i="15"/>
  <c r="F603" i="15"/>
  <c r="F597" i="15"/>
  <c r="F594" i="15"/>
  <c r="F591" i="15"/>
  <c r="F588" i="15"/>
  <c r="F581" i="15"/>
  <c r="F574" i="15"/>
  <c r="F570" i="15"/>
  <c r="F567" i="15"/>
  <c r="F560" i="15"/>
  <c r="F557" i="15"/>
  <c r="F554" i="15"/>
  <c r="F551" i="15"/>
  <c r="F548" i="15"/>
  <c r="F545" i="15"/>
  <c r="F541" i="15"/>
  <c r="F538" i="15"/>
  <c r="F535" i="15"/>
  <c r="F532" i="15"/>
  <c r="F525" i="15"/>
  <c r="F522" i="15"/>
  <c r="F517" i="15"/>
  <c r="F514" i="15"/>
  <c r="F510" i="15"/>
  <c r="F506" i="15"/>
  <c r="F503" i="15"/>
  <c r="F500" i="15"/>
  <c r="F497" i="15"/>
  <c r="F494" i="15"/>
  <c r="F491" i="15"/>
  <c r="F488" i="15"/>
  <c r="F485" i="15"/>
  <c r="F482" i="15"/>
  <c r="F479" i="15"/>
  <c r="F475" i="15"/>
  <c r="F471" i="15"/>
  <c r="F468" i="15"/>
  <c r="F465" i="15"/>
  <c r="F462" i="15"/>
  <c r="F459" i="15"/>
  <c r="F454" i="15"/>
  <c r="F433" i="15"/>
  <c r="F430" i="15"/>
  <c r="F420" i="15"/>
  <c r="F414" i="15"/>
  <c r="F411" i="15"/>
  <c r="F408" i="15"/>
  <c r="F404" i="15" l="1"/>
  <c r="F397" i="15"/>
  <c r="F394" i="15"/>
  <c r="F389" i="15"/>
  <c r="F385" i="15"/>
  <c r="F382" i="15"/>
  <c r="F376" i="15"/>
  <c r="F372" i="15"/>
  <c r="F369" i="15"/>
  <c r="F366" i="15"/>
  <c r="F363" i="15"/>
  <c r="F357" i="15"/>
  <c r="F348" i="15"/>
  <c r="F345" i="15"/>
  <c r="F342" i="15"/>
  <c r="F339" i="15"/>
  <c r="F334" i="15"/>
  <c r="F331" i="15"/>
  <c r="F328" i="15"/>
  <c r="F325" i="15"/>
  <c r="F322" i="15"/>
  <c r="F319" i="15"/>
  <c r="F316" i="15"/>
  <c r="F313" i="15"/>
  <c r="F310" i="15"/>
  <c r="F306" i="15"/>
  <c r="F301" i="15"/>
  <c r="F298" i="15"/>
  <c r="F295" i="15"/>
  <c r="F290" i="15"/>
  <c r="F287" i="15"/>
  <c r="F281" i="15"/>
  <c r="F276" i="15"/>
  <c r="F273" i="15"/>
  <c r="F270" i="15"/>
  <c r="F267" i="15"/>
  <c r="F264" i="15"/>
  <c r="F261" i="15"/>
  <c r="F248" i="15"/>
  <c r="F243" i="15"/>
  <c r="F240" i="15"/>
  <c r="F236" i="15"/>
  <c r="F231" i="15"/>
  <c r="F228" i="15"/>
  <c r="F224" i="15"/>
  <c r="F218" i="15"/>
  <c r="F212" i="15"/>
  <c r="F209" i="15"/>
  <c r="F203" i="15"/>
  <c r="F200" i="15"/>
  <c r="F197" i="15"/>
  <c r="F194" i="15"/>
  <c r="F190" i="15"/>
  <c r="F141" i="15"/>
  <c r="F136" i="15"/>
  <c r="F137" i="15"/>
  <c r="F138" i="15"/>
  <c r="F139" i="15"/>
  <c r="F140" i="15"/>
  <c r="F143" i="15"/>
  <c r="F1606" i="14"/>
  <c r="G2134" i="13" l="1"/>
  <c r="F917" i="14" l="1"/>
  <c r="F918" i="14"/>
  <c r="F919" i="14"/>
  <c r="F922" i="14"/>
  <c r="F923" i="14" s="1"/>
  <c r="F925" i="14"/>
  <c r="F926" i="14" s="1"/>
  <c r="F920" i="14" l="1"/>
  <c r="F502" i="14"/>
  <c r="F503" i="14"/>
  <c r="F498" i="14"/>
  <c r="F486" i="14"/>
  <c r="F452" i="14"/>
  <c r="F453" i="14" s="1"/>
  <c r="F2056" i="13" l="1"/>
  <c r="F2057" i="13"/>
  <c r="F2058" i="13"/>
  <c r="F2059" i="13"/>
  <c r="F2060" i="13" l="1"/>
  <c r="F997" i="13"/>
  <c r="F39" i="17" l="1"/>
  <c r="F40" i="17"/>
  <c r="F131" i="13"/>
  <c r="F132" i="13" s="1"/>
  <c r="F2011" i="12" l="1"/>
  <c r="F2005" i="12"/>
  <c r="F2006" i="12"/>
  <c r="F2007" i="12"/>
  <c r="F2008" i="12"/>
  <c r="F2009" i="12"/>
  <c r="F2010" i="12"/>
  <c r="F2002" i="12"/>
  <c r="F2001" i="12"/>
  <c r="F1997" i="12"/>
  <c r="F2003" i="12" s="1"/>
  <c r="F1998" i="12"/>
  <c r="F1999" i="12"/>
  <c r="F2000" i="12"/>
  <c r="F1994" i="12"/>
  <c r="F1672" i="12" l="1"/>
  <c r="F1673" i="12"/>
  <c r="F1472" i="12"/>
  <c r="F1473" i="12" s="1"/>
  <c r="F1304" i="12"/>
  <c r="F1305" i="12" s="1"/>
  <c r="F1149" i="12"/>
  <c r="F1150" i="12" s="1"/>
  <c r="F1674" i="12" l="1"/>
  <c r="G1982" i="11"/>
  <c r="F1974" i="11"/>
  <c r="F1975" i="11"/>
  <c r="F1976" i="11"/>
  <c r="F1977" i="11"/>
  <c r="F1952" i="11"/>
  <c r="F1953" i="11" s="1"/>
  <c r="F1978" i="11" l="1"/>
  <c r="F806" i="12" l="1"/>
  <c r="F807" i="12" s="1"/>
  <c r="F666" i="12"/>
  <c r="F667" i="12"/>
  <c r="F338" i="12"/>
  <c r="F339" i="12" s="1"/>
  <c r="F1823" i="11" l="1"/>
  <c r="F1779" i="11"/>
  <c r="F1780" i="11"/>
  <c r="F1781" i="11"/>
  <c r="F1782" i="11"/>
  <c r="F1773" i="11"/>
  <c r="F1774" i="11"/>
  <c r="F1775" i="11" l="1"/>
  <c r="F1610" i="11" l="1"/>
  <c r="F1611" i="11"/>
  <c r="F1612" i="11"/>
  <c r="F1714" i="11"/>
  <c r="F1715" i="11"/>
  <c r="F1716" i="11"/>
  <c r="F1704" i="11"/>
  <c r="F1705" i="11"/>
  <c r="F1708" i="11"/>
  <c r="F1709" i="11" s="1"/>
  <c r="F1659" i="11"/>
  <c r="F1656" i="11"/>
  <c r="F1655" i="11"/>
  <c r="F1651" i="11"/>
  <c r="F1652" i="11"/>
  <c r="F1653" i="11"/>
  <c r="F1654" i="11"/>
  <c r="F1657" i="11"/>
  <c r="F1184" i="11"/>
  <c r="F1185" i="11"/>
  <c r="F1613" i="11" l="1"/>
  <c r="F1717" i="11"/>
  <c r="F1706" i="11"/>
  <c r="F1186" i="11"/>
  <c r="F7" i="17"/>
  <c r="F286" i="11"/>
  <c r="F287" i="11" s="1"/>
  <c r="G2138" i="10"/>
  <c r="F1776" i="10" l="1"/>
  <c r="F1777" i="10"/>
  <c r="F1778" i="10"/>
  <c r="F1779" i="10"/>
  <c r="F1780" i="10"/>
  <c r="F1781" i="10"/>
  <c r="F1782" i="10" l="1"/>
  <c r="F6" i="17" l="1"/>
  <c r="F2040" i="10"/>
  <c r="F2041" i="10" s="1"/>
  <c r="F1773" i="10"/>
  <c r="E1408" i="10"/>
  <c r="F1402" i="10"/>
  <c r="F1403" i="10" s="1"/>
  <c r="F1153" i="10"/>
  <c r="F1154" i="10"/>
  <c r="F1124" i="10"/>
  <c r="F1125" i="10"/>
  <c r="F1126" i="10"/>
  <c r="F993" i="10"/>
  <c r="F994" i="10" s="1"/>
  <c r="F956" i="10"/>
  <c r="F957" i="10" s="1"/>
  <c r="F758" i="10"/>
  <c r="F759" i="10" s="1"/>
  <c r="F662" i="10"/>
  <c r="F1155" i="10" l="1"/>
  <c r="F1127" i="10"/>
  <c r="F243" i="10"/>
  <c r="F244" i="10" s="1"/>
  <c r="F49" i="10"/>
  <c r="F50" i="10"/>
  <c r="F51" i="10"/>
  <c r="F52" i="10"/>
  <c r="F53" i="10"/>
  <c r="F18" i="10"/>
  <c r="F21" i="10"/>
  <c r="F22" i="10"/>
  <c r="F23" i="10"/>
  <c r="F24" i="10"/>
  <c r="F27" i="10"/>
  <c r="F28" i="10"/>
  <c r="F29" i="10"/>
  <c r="F32" i="10"/>
  <c r="F33" i="10" s="1"/>
  <c r="F35" i="10"/>
  <c r="F13" i="10"/>
  <c r="F14" i="10" s="1"/>
  <c r="F16" i="10"/>
  <c r="F17" i="10"/>
  <c r="F7" i="10"/>
  <c r="F2194" i="9"/>
  <c r="F2195" i="9"/>
  <c r="F2196" i="9"/>
  <c r="F2197" i="9"/>
  <c r="F2198" i="9"/>
  <c r="F2199" i="9"/>
  <c r="F1719" i="9"/>
  <c r="F1720" i="9"/>
  <c r="F1721" i="9"/>
  <c r="F1722" i="9"/>
  <c r="F1723" i="9"/>
  <c r="F1724" i="9"/>
  <c r="F54" i="10" l="1"/>
  <c r="F30" i="10"/>
  <c r="F19" i="10"/>
  <c r="F25" i="10"/>
  <c r="F2222" i="9"/>
  <c r="F2223" i="9"/>
  <c r="F2219" i="9"/>
  <c r="F2220" i="9"/>
  <c r="F2221" i="9"/>
  <c r="F2216" i="9"/>
  <c r="F2200" i="9"/>
  <c r="XFD2200" i="9" s="1"/>
  <c r="F2201" i="9"/>
  <c r="F2202" i="9"/>
  <c r="F2205" i="9"/>
  <c r="F2206" i="9" s="1"/>
  <c r="F2208" i="9"/>
  <c r="F2209" i="9" s="1"/>
  <c r="F2211" i="9"/>
  <c r="F2212" i="9"/>
  <c r="F2213" i="9"/>
  <c r="F2214" i="9"/>
  <c r="F2215" i="9"/>
  <c r="F2183" i="9"/>
  <c r="F2184" i="9" s="1"/>
  <c r="F2186" i="9"/>
  <c r="F2187" i="9"/>
  <c r="F2188" i="9"/>
  <c r="F2191" i="9"/>
  <c r="F2192" i="9" s="1"/>
  <c r="F2176" i="9"/>
  <c r="F2177" i="9"/>
  <c r="F2180" i="9"/>
  <c r="F2181" i="9" s="1"/>
  <c r="F2162" i="9"/>
  <c r="F2163" i="9" s="1"/>
  <c r="F2165" i="9"/>
  <c r="F2166" i="9" s="1"/>
  <c r="F2168" i="9"/>
  <c r="F2169" i="9" s="1"/>
  <c r="F2171" i="9"/>
  <c r="F2172" i="9"/>
  <c r="F2173" i="9"/>
  <c r="F2152" i="9"/>
  <c r="F2153" i="9" s="1"/>
  <c r="F2155" i="9"/>
  <c r="F2156" i="9"/>
  <c r="F2159" i="9"/>
  <c r="F2160" i="9" s="1"/>
  <c r="F1900" i="9"/>
  <c r="F1901" i="9" s="1"/>
  <c r="F2045" i="9"/>
  <c r="F2046" i="9"/>
  <c r="F2049" i="9"/>
  <c r="F2050" i="9" s="1"/>
  <c r="F2052" i="9"/>
  <c r="F2053" i="9" s="1"/>
  <c r="F2055" i="9"/>
  <c r="F2056" i="9" s="1"/>
  <c r="F2058" i="9"/>
  <c r="F2059" i="9"/>
  <c r="F2060" i="9"/>
  <c r="F2061" i="9"/>
  <c r="F2064" i="9"/>
  <c r="F2065" i="9"/>
  <c r="F2066" i="9"/>
  <c r="F2069" i="9"/>
  <c r="F2070" i="9" s="1"/>
  <c r="F2072" i="9"/>
  <c r="F2073" i="9"/>
  <c r="F2074" i="9"/>
  <c r="F2075" i="9"/>
  <c r="F2076" i="9"/>
  <c r="F2079" i="9"/>
  <c r="F2080" i="9"/>
  <c r="F2083" i="9"/>
  <c r="F2084" i="9"/>
  <c r="F2087" i="9"/>
  <c r="F2088" i="9"/>
  <c r="F2089" i="9"/>
  <c r="F2090" i="9"/>
  <c r="F2091" i="9"/>
  <c r="F2094" i="9"/>
  <c r="F2095" i="9" s="1"/>
  <c r="F2097" i="9"/>
  <c r="F2098" i="9" s="1"/>
  <c r="F2100" i="9"/>
  <c r="F2101" i="9"/>
  <c r="F2104" i="9"/>
  <c r="F2105" i="9" s="1"/>
  <c r="F2107" i="9"/>
  <c r="F2108" i="9"/>
  <c r="F2109" i="9"/>
  <c r="F2110" i="9"/>
  <c r="F2113" i="9"/>
  <c r="F2114" i="9" s="1"/>
  <c r="F2116" i="9"/>
  <c r="F2117" i="9"/>
  <c r="F2118" i="9"/>
  <c r="F2119" i="9"/>
  <c r="F2122" i="9"/>
  <c r="F2123" i="9" s="1"/>
  <c r="F2125" i="9"/>
  <c r="F2126" i="9" s="1"/>
  <c r="F2128" i="9"/>
  <c r="F2129" i="9" s="1"/>
  <c r="F2131" i="9"/>
  <c r="F2132" i="9" s="1"/>
  <c r="F2134" i="9"/>
  <c r="F2135" i="9" s="1"/>
  <c r="F2137" i="9"/>
  <c r="F2138" i="9" s="1"/>
  <c r="F2140" i="9"/>
  <c r="F2141" i="9" s="1"/>
  <c r="F2143" i="9"/>
  <c r="F2144" i="9" s="1"/>
  <c r="F2146" i="9"/>
  <c r="F2147" i="9" s="1"/>
  <c r="F2149" i="9"/>
  <c r="F2150" i="9" s="1"/>
  <c r="F2036" i="9"/>
  <c r="F2037" i="9" s="1"/>
  <c r="F2039" i="9"/>
  <c r="F2040" i="9" s="1"/>
  <c r="F2042" i="9"/>
  <c r="F2043" i="9" s="1"/>
  <c r="F1962" i="9"/>
  <c r="F1963" i="9" s="1"/>
  <c r="F1965" i="9"/>
  <c r="F1966" i="9" s="1"/>
  <c r="F1968" i="9"/>
  <c r="F1969" i="9" s="1"/>
  <c r="F1971" i="9"/>
  <c r="F1972" i="9"/>
  <c r="F1973" i="9"/>
  <c r="F1976" i="9"/>
  <c r="F1977" i="9"/>
  <c r="F1978" i="9"/>
  <c r="F1981" i="9"/>
  <c r="F1982" i="9"/>
  <c r="F1985" i="9"/>
  <c r="F1986" i="9"/>
  <c r="F1987" i="9"/>
  <c r="F1990" i="9"/>
  <c r="F1991" i="9" s="1"/>
  <c r="F1993" i="9"/>
  <c r="F1994" i="9" s="1"/>
  <c r="F1996" i="9"/>
  <c r="F1997" i="9" s="1"/>
  <c r="F1999" i="9"/>
  <c r="F2000" i="9" s="1"/>
  <c r="F2002" i="9"/>
  <c r="F2003" i="9" s="1"/>
  <c r="F2005" i="9"/>
  <c r="F2006" i="9" s="1"/>
  <c r="F2008" i="9"/>
  <c r="F2009" i="9" s="1"/>
  <c r="F2011" i="9"/>
  <c r="F2012" i="9"/>
  <c r="F2013" i="9"/>
  <c r="F2014" i="9"/>
  <c r="F2017" i="9"/>
  <c r="F2018" i="9" s="1"/>
  <c r="F2020" i="9"/>
  <c r="F2021" i="9" s="1"/>
  <c r="F2023" i="9"/>
  <c r="F2024" i="9" s="1"/>
  <c r="F2026" i="9"/>
  <c r="F2027" i="9"/>
  <c r="F2030" i="9"/>
  <c r="F2031" i="9" s="1"/>
  <c r="F2033" i="9"/>
  <c r="F2034" i="9" s="1"/>
  <c r="F1959" i="9"/>
  <c r="F1960" i="9" s="1"/>
  <c r="F1956" i="9"/>
  <c r="F1957" i="9" s="1"/>
  <c r="F1801" i="9"/>
  <c r="F1802" i="9" s="1"/>
  <c r="F1795" i="9"/>
  <c r="F1796" i="9" s="1"/>
  <c r="F1791" i="9"/>
  <c r="F1792" i="9"/>
  <c r="F1798" i="9"/>
  <c r="F1799" i="9" s="1"/>
  <c r="F1788" i="9"/>
  <c r="F1789" i="9" s="1"/>
  <c r="F1779" i="9"/>
  <c r="F1780" i="9"/>
  <c r="F1781" i="9"/>
  <c r="F1782" i="9"/>
  <c r="F1783" i="9"/>
  <c r="F1784" i="9"/>
  <c r="F1785" i="9"/>
  <c r="F1778" i="9"/>
  <c r="F1775" i="9"/>
  <c r="F1776" i="9" s="1"/>
  <c r="F1673" i="9"/>
  <c r="F1495" i="9"/>
  <c r="F1418" i="9"/>
  <c r="F1419" i="9"/>
  <c r="F1416" i="9"/>
  <c r="F1417" i="9"/>
  <c r="F1406" i="9"/>
  <c r="F1407" i="9"/>
  <c r="F1410" i="9"/>
  <c r="F1411" i="9"/>
  <c r="F1414" i="9"/>
  <c r="F2224" i="9" l="1"/>
  <c r="F2217" i="9"/>
  <c r="F2203" i="9"/>
  <c r="F2189" i="9"/>
  <c r="F2157" i="9"/>
  <c r="F2174" i="9"/>
  <c r="F2178" i="9"/>
  <c r="F2062" i="9"/>
  <c r="F2047" i="9"/>
  <c r="F2081" i="9"/>
  <c r="F2092" i="9"/>
  <c r="F2102" i="9"/>
  <c r="F2120" i="9"/>
  <c r="F2085" i="9"/>
  <c r="F2077" i="9"/>
  <c r="F2067" i="9"/>
  <c r="F2111" i="9"/>
  <c r="F1983" i="9"/>
  <c r="F2028" i="9"/>
  <c r="F2015" i="9"/>
  <c r="F1988" i="9"/>
  <c r="F1974" i="9"/>
  <c r="F1979" i="9"/>
  <c r="F1793" i="9"/>
  <c r="F1786" i="9"/>
  <c r="F1420" i="9"/>
  <c r="F1408" i="9"/>
  <c r="F1412" i="9"/>
  <c r="F2307" i="18"/>
  <c r="F2290" i="18"/>
  <c r="F2287" i="18"/>
  <c r="F2277" i="18"/>
  <c r="F2255" i="18"/>
  <c r="F2252" i="18"/>
  <c r="F2242" i="18"/>
  <c r="F2238" i="18"/>
  <c r="F2237" i="18"/>
  <c r="F2240" i="18"/>
  <c r="F2241" i="18"/>
  <c r="F2244" i="18"/>
  <c r="F2246" i="18" s="1"/>
  <c r="F2245" i="18"/>
  <c r="F2248" i="18"/>
  <c r="F2249" i="18" s="1"/>
  <c r="F2251" i="18"/>
  <c r="F2254" i="18"/>
  <c r="F2257" i="18"/>
  <c r="F2258" i="18" s="1"/>
  <c r="F2260" i="18"/>
  <c r="F2262" i="18" s="1"/>
  <c r="F2261" i="18"/>
  <c r="F2264" i="18"/>
  <c r="F2266" i="18" s="1"/>
  <c r="F2265" i="18"/>
  <c r="F2268" i="18"/>
  <c r="F2269" i="18" s="1"/>
  <c r="F2271" i="18"/>
  <c r="F2274" i="18" s="1"/>
  <c r="F2272" i="18"/>
  <c r="F2273" i="18"/>
  <c r="F2276" i="18"/>
  <c r="F2279" i="18"/>
  <c r="F2280" i="18"/>
  <c r="F2284" i="18" s="1"/>
  <c r="F2281" i="18"/>
  <c r="F2282" i="18"/>
  <c r="F2283" i="18"/>
  <c r="F2286" i="18"/>
  <c r="F2289" i="18"/>
  <c r="F2292" i="18"/>
  <c r="F2293" i="18" s="1"/>
  <c r="F2295" i="18"/>
  <c r="F2299" i="18" s="1"/>
  <c r="F2296" i="18"/>
  <c r="F2297" i="18"/>
  <c r="F2298" i="18"/>
  <c r="F2301" i="18"/>
  <c r="F2304" i="18" s="1"/>
  <c r="F2302" i="18"/>
  <c r="F2303" i="18"/>
  <c r="F2306" i="18"/>
  <c r="F2309" i="18"/>
  <c r="F2310" i="18" s="1"/>
  <c r="F2312" i="18"/>
  <c r="F2313" i="18" s="1"/>
  <c r="F2315" i="18"/>
  <c r="F2317" i="18" s="1"/>
  <c r="F2316" i="18"/>
  <c r="F2319" i="18"/>
  <c r="F2323" i="18" s="1"/>
  <c r="F2320" i="18"/>
  <c r="F2321" i="18"/>
  <c r="F2322" i="18"/>
  <c r="F2325" i="18"/>
  <c r="F2329" i="18" s="1"/>
  <c r="F2326" i="18"/>
  <c r="F2327" i="18"/>
  <c r="F2328" i="18"/>
  <c r="F2331" i="18"/>
  <c r="F2335" i="18" s="1"/>
  <c r="F2332" i="18"/>
  <c r="F2333" i="18"/>
  <c r="F2334" i="18"/>
  <c r="F2337" i="18"/>
  <c r="F2339" i="18" s="1"/>
  <c r="F2338" i="18"/>
  <c r="F2214" i="18"/>
  <c r="F2215" i="18" s="1"/>
  <c r="F2217" i="18"/>
  <c r="F2218" i="18" s="1"/>
  <c r="F2220" i="18"/>
  <c r="F2221" i="18"/>
  <c r="F2222" i="18"/>
  <c r="F2223" i="18"/>
  <c r="F2224" i="18"/>
  <c r="F2227" i="18"/>
  <c r="F2228" i="18" s="1"/>
  <c r="F2230" i="18"/>
  <c r="F2231" i="18" s="1"/>
  <c r="F2233" i="18"/>
  <c r="F2235" i="18" s="1"/>
  <c r="F2234" i="18"/>
  <c r="F2201" i="18"/>
  <c r="F2202" i="18"/>
  <c r="F2205" i="18"/>
  <c r="F2206" i="18" s="1"/>
  <c r="F2208" i="18"/>
  <c r="F2209" i="18" s="1"/>
  <c r="F2211" i="18"/>
  <c r="F2212" i="18" s="1"/>
  <c r="F2198" i="18"/>
  <c r="F2199" i="18" s="1"/>
  <c r="F2192" i="18"/>
  <c r="F2193" i="18" s="1"/>
  <c r="F2195" i="18"/>
  <c r="F2196" i="18" s="1"/>
  <c r="F2189" i="18"/>
  <c r="F2190" i="18" s="1"/>
  <c r="F2070" i="18"/>
  <c r="F2071" i="18" s="1"/>
  <c r="F2073" i="18"/>
  <c r="F2074" i="18"/>
  <c r="F2075" i="18"/>
  <c r="F2076" i="18"/>
  <c r="F2079" i="18"/>
  <c r="F2080" i="18"/>
  <c r="F2081" i="18"/>
  <c r="F2082" i="18"/>
  <c r="F2085" i="18"/>
  <c r="F2086" i="18"/>
  <c r="F2087" i="18"/>
  <c r="F2088" i="18"/>
  <c r="F2091" i="18"/>
  <c r="F2092" i="18"/>
  <c r="F2093" i="18"/>
  <c r="F2094" i="18"/>
  <c r="F2097" i="18"/>
  <c r="F2098" i="18" s="1"/>
  <c r="F2100" i="18"/>
  <c r="F2101" i="18" s="1"/>
  <c r="F2103" i="18"/>
  <c r="F2104" i="18" s="1"/>
  <c r="F2106" i="18"/>
  <c r="F2107" i="18"/>
  <c r="F2110" i="18"/>
  <c r="F2111" i="18" s="1"/>
  <c r="F2113" i="18"/>
  <c r="F2114" i="18"/>
  <c r="F2117" i="18"/>
  <c r="F2118" i="18"/>
  <c r="F2121" i="18"/>
  <c r="F2122" i="18" s="1"/>
  <c r="F2124" i="18"/>
  <c r="F2125" i="18" s="1"/>
  <c r="F2127" i="18"/>
  <c r="F2128" i="18"/>
  <c r="F2131" i="18"/>
  <c r="F2132" i="18" s="1"/>
  <c r="F2134" i="18"/>
  <c r="F2135" i="18" s="1"/>
  <c r="F2137" i="18"/>
  <c r="F2138" i="18"/>
  <c r="F2139" i="18"/>
  <c r="F2140" i="18"/>
  <c r="F2141" i="18"/>
  <c r="F2144" i="18"/>
  <c r="F2145" i="18" s="1"/>
  <c r="F2147" i="18"/>
  <c r="F2148" i="18"/>
  <c r="F2149" i="18"/>
  <c r="F2150" i="18"/>
  <c r="F2153" i="18"/>
  <c r="F2154" i="18" s="1"/>
  <c r="F2156" i="18"/>
  <c r="F2157" i="18" s="1"/>
  <c r="F2159" i="18"/>
  <c r="F2160" i="18" s="1"/>
  <c r="F2162" i="18"/>
  <c r="F2163" i="18" s="1"/>
  <c r="F2165" i="18"/>
  <c r="F2166" i="18" s="1"/>
  <c r="F2168" i="18"/>
  <c r="F2169" i="18" s="1"/>
  <c r="F2171" i="18"/>
  <c r="F2172" i="18"/>
  <c r="F2175" i="18"/>
  <c r="F2176" i="18" s="1"/>
  <c r="F2178" i="18"/>
  <c r="F2179" i="18" s="1"/>
  <c r="F2181" i="18"/>
  <c r="F2182" i="18"/>
  <c r="F2185" i="18"/>
  <c r="F2186" i="18"/>
  <c r="F1687" i="18"/>
  <c r="F1688" i="18" s="1"/>
  <c r="F1681" i="18"/>
  <c r="F1682" i="18" s="1"/>
  <c r="F1632" i="18"/>
  <c r="F1474" i="18"/>
  <c r="F1475" i="18"/>
  <c r="F1476" i="18"/>
  <c r="F1477" i="18"/>
  <c r="F1467" i="18"/>
  <c r="F1468" i="18"/>
  <c r="F1469" i="18"/>
  <c r="F1470" i="18"/>
  <c r="F1471" i="18"/>
  <c r="F1479" i="18"/>
  <c r="F1480" i="18" s="1"/>
  <c r="F1371" i="18"/>
  <c r="F1374" i="18"/>
  <c r="F1375" i="18" s="1"/>
  <c r="F1377" i="18"/>
  <c r="F1378" i="18" s="1"/>
  <c r="F1380" i="18"/>
  <c r="F1381" i="18" s="1"/>
  <c r="F1383" i="18"/>
  <c r="F1384" i="18" s="1"/>
  <c r="F1386" i="18"/>
  <c r="F1387" i="18" s="1"/>
  <c r="F1389" i="18"/>
  <c r="F1390" i="18"/>
  <c r="F1393" i="18"/>
  <c r="F1394" i="18" s="1"/>
  <c r="F1396" i="18"/>
  <c r="F1397" i="18" s="1"/>
  <c r="F1399" i="18"/>
  <c r="F1400" i="18" s="1"/>
  <c r="F1402" i="18"/>
  <c r="F1403" i="18" s="1"/>
  <c r="F1405" i="18"/>
  <c r="F1406" i="18" s="1"/>
  <c r="F1408" i="18"/>
  <c r="F1409" i="18"/>
  <c r="F1410" i="18"/>
  <c r="F1413" i="18"/>
  <c r="F1414" i="18"/>
  <c r="F1417" i="18"/>
  <c r="F1418" i="18"/>
  <c r="F1421" i="18"/>
  <c r="F1422" i="18"/>
  <c r="F1423" i="18"/>
  <c r="F1424" i="18"/>
  <c r="F1427" i="18"/>
  <c r="F1428" i="18" s="1"/>
  <c r="F1430" i="18"/>
  <c r="F1431" i="18"/>
  <c r="F1432" i="18"/>
  <c r="F1433" i="18"/>
  <c r="F1436" i="18"/>
  <c r="F1437" i="18" s="1"/>
  <c r="F1439" i="18"/>
  <c r="F1440" i="18"/>
  <c r="F1443" i="18"/>
  <c r="F1444" i="18" s="1"/>
  <c r="F1446" i="18"/>
  <c r="F1447" i="18"/>
  <c r="F1450" i="18"/>
  <c r="F1451" i="18" s="1"/>
  <c r="F1453" i="18"/>
  <c r="F1454" i="18" s="1"/>
  <c r="F1456" i="18"/>
  <c r="F1457" i="18"/>
  <c r="F1460" i="18"/>
  <c r="F1461" i="18"/>
  <c r="F1464" i="18"/>
  <c r="F1465" i="18" s="1"/>
  <c r="F1482" i="18"/>
  <c r="F1483" i="18"/>
  <c r="F1486" i="18"/>
  <c r="F1487" i="18" s="1"/>
  <c r="F1489" i="18"/>
  <c r="F1490" i="18" s="1"/>
  <c r="F1492" i="18"/>
  <c r="F1493" i="18" s="1"/>
  <c r="F1495" i="18"/>
  <c r="F1496" i="18" s="1"/>
  <c r="F1498" i="18"/>
  <c r="F1499" i="18"/>
  <c r="F1502" i="18"/>
  <c r="F1503" i="18"/>
  <c r="F1504" i="18"/>
  <c r="F1505" i="18"/>
  <c r="F1508" i="18"/>
  <c r="F1509" i="18"/>
  <c r="F1512" i="18"/>
  <c r="F1513" i="18"/>
  <c r="F1514" i="18"/>
  <c r="F1515" i="18"/>
  <c r="F1516" i="18"/>
  <c r="F1519" i="18"/>
  <c r="F1520" i="18" s="1"/>
  <c r="F1522" i="18"/>
  <c r="F1523" i="18" s="1"/>
  <c r="F1525" i="18"/>
  <c r="F1526" i="18" s="1"/>
  <c r="F1528" i="18"/>
  <c r="F1529" i="18" s="1"/>
  <c r="F1531" i="18"/>
  <c r="F1532" i="18" s="1"/>
  <c r="F1534" i="18"/>
  <c r="F1535" i="18"/>
  <c r="F1536" i="18"/>
  <c r="F1539" i="18"/>
  <c r="F1540" i="18" s="1"/>
  <c r="F1542" i="18"/>
  <c r="F1543" i="18" s="1"/>
  <c r="F1545" i="18"/>
  <c r="F1546" i="18" s="1"/>
  <c r="F1548" i="18"/>
  <c r="F1549" i="18" s="1"/>
  <c r="F1551" i="18"/>
  <c r="F1552" i="18" s="1"/>
  <c r="F1554" i="18"/>
  <c r="F1555" i="18"/>
  <c r="F1558" i="18"/>
  <c r="F1559" i="18" s="1"/>
  <c r="F1561" i="18"/>
  <c r="F1562" i="18" s="1"/>
  <c r="F1564" i="18"/>
  <c r="F1565" i="18" s="1"/>
  <c r="F1567" i="18"/>
  <c r="F1568" i="18" s="1"/>
  <c r="F1570" i="18"/>
  <c r="F1571" i="18" s="1"/>
  <c r="F1573" i="18"/>
  <c r="F1574" i="18" s="1"/>
  <c r="F1576" i="18"/>
  <c r="F1577" i="18" s="1"/>
  <c r="F1579" i="18"/>
  <c r="F1580" i="18" s="1"/>
  <c r="F1582" i="18"/>
  <c r="F1583" i="18" s="1"/>
  <c r="F1585" i="18"/>
  <c r="F1586" i="18" s="1"/>
  <c r="F1588" i="18"/>
  <c r="F1589" i="18"/>
  <c r="F1590" i="18"/>
  <c r="F1593" i="18"/>
  <c r="F1594" i="18"/>
  <c r="F1595" i="18"/>
  <c r="F1596" i="18"/>
  <c r="F1599" i="18"/>
  <c r="F1600" i="18" s="1"/>
  <c r="F1602" i="18"/>
  <c r="F1603" i="18"/>
  <c r="F1604" i="18"/>
  <c r="F1605" i="18"/>
  <c r="F1608" i="18"/>
  <c r="F1609" i="18"/>
  <c r="F1612" i="18"/>
  <c r="F1613" i="18"/>
  <c r="F1616" i="18"/>
  <c r="F1617" i="18"/>
  <c r="F1618" i="18"/>
  <c r="F1619" i="18"/>
  <c r="F1620" i="18"/>
  <c r="F1621" i="18"/>
  <c r="F1622" i="18"/>
  <c r="F1625" i="18"/>
  <c r="F1626" i="18"/>
  <c r="F1629" i="18"/>
  <c r="F1630" i="18"/>
  <c r="F1631" i="18"/>
  <c r="F1635" i="18"/>
  <c r="F1636" i="18" s="1"/>
  <c r="F1638" i="18"/>
  <c r="F1639" i="18" s="1"/>
  <c r="F1641" i="18"/>
  <c r="F1642" i="18"/>
  <c r="F1645" i="18"/>
  <c r="F1646" i="18" s="1"/>
  <c r="F1648" i="18"/>
  <c r="F1649" i="18" s="1"/>
  <c r="F1651" i="18"/>
  <c r="F1652" i="18" s="1"/>
  <c r="F1654" i="18"/>
  <c r="F1655" i="18"/>
  <c r="F1658" i="18"/>
  <c r="F1659" i="18" s="1"/>
  <c r="F1661" i="18"/>
  <c r="F1662" i="18"/>
  <c r="F1663" i="18"/>
  <c r="F1664" i="18"/>
  <c r="F1665" i="18"/>
  <c r="F1666" i="18"/>
  <c r="F1669" i="18"/>
  <c r="F1670" i="18"/>
  <c r="F1671" i="18"/>
  <c r="F1672" i="18"/>
  <c r="F1675" i="18"/>
  <c r="F1676" i="18" s="1"/>
  <c r="F1678" i="18"/>
  <c r="F1679" i="18" s="1"/>
  <c r="F1684" i="18"/>
  <c r="F1685" i="18" s="1"/>
  <c r="F1690" i="18"/>
  <c r="F1691" i="18" s="1"/>
  <c r="F1693" i="18"/>
  <c r="F1694" i="18" s="1"/>
  <c r="F1696" i="18"/>
  <c r="F1697" i="18" s="1"/>
  <c r="F1699" i="18"/>
  <c r="F1700" i="18" s="1"/>
  <c r="F1702" i="18"/>
  <c r="F1703" i="18" s="1"/>
  <c r="F1705" i="18"/>
  <c r="F1706" i="18" s="1"/>
  <c r="F1708" i="18"/>
  <c r="F1709" i="18" s="1"/>
  <c r="F1711" i="18"/>
  <c r="F1712" i="18" s="1"/>
  <c r="F1714" i="18"/>
  <c r="F1715" i="18"/>
  <c r="F1718" i="18"/>
  <c r="F1719" i="18"/>
  <c r="F1722" i="18"/>
  <c r="F1723" i="18" s="1"/>
  <c r="F1725" i="18"/>
  <c r="F1726" i="18" s="1"/>
  <c r="F1728" i="18"/>
  <c r="F1729" i="18" s="1"/>
  <c r="F1731" i="18"/>
  <c r="F1732" i="18" s="1"/>
  <c r="F1734" i="18"/>
  <c r="F1735" i="18" s="1"/>
  <c r="F1737" i="18"/>
  <c r="F1738" i="18" s="1"/>
  <c r="F1740" i="18"/>
  <c r="F1741" i="18" s="1"/>
  <c r="F1743" i="18"/>
  <c r="F1744" i="18" s="1"/>
  <c r="F1746" i="18"/>
  <c r="F1747" i="18" s="1"/>
  <c r="F1749" i="18"/>
  <c r="F1750" i="18"/>
  <c r="F1751" i="18"/>
  <c r="F1752" i="18"/>
  <c r="F1755" i="18"/>
  <c r="F1756" i="18"/>
  <c r="F1759" i="18"/>
  <c r="F1760" i="18" s="1"/>
  <c r="F1762" i="18"/>
  <c r="F1763" i="18" s="1"/>
  <c r="F1765" i="18"/>
  <c r="F1766" i="18" s="1"/>
  <c r="F1768" i="18"/>
  <c r="F1769" i="18" s="1"/>
  <c r="F1771" i="18"/>
  <c r="F1772" i="18" s="1"/>
  <c r="F1774" i="18"/>
  <c r="F1775" i="18" s="1"/>
  <c r="F1777" i="18"/>
  <c r="F1778" i="18" s="1"/>
  <c r="F1780" i="18"/>
  <c r="F1781" i="18"/>
  <c r="F1782" i="18"/>
  <c r="F1785" i="18"/>
  <c r="F1786" i="18" s="1"/>
  <c r="F1788" i="18"/>
  <c r="F1789" i="18"/>
  <c r="F1790" i="18"/>
  <c r="F1791" i="18"/>
  <c r="F1794" i="18"/>
  <c r="F1795" i="18"/>
  <c r="F1796" i="18"/>
  <c r="F1797" i="18"/>
  <c r="F1800" i="18"/>
  <c r="F1801" i="18"/>
  <c r="F1802" i="18"/>
  <c r="F1803" i="18"/>
  <c r="F1806" i="18"/>
  <c r="F1807" i="18"/>
  <c r="F1808" i="18"/>
  <c r="F1811" i="18"/>
  <c r="F1812" i="18"/>
  <c r="F1815" i="18"/>
  <c r="F1816" i="18"/>
  <c r="F1819" i="18"/>
  <c r="F1820" i="18"/>
  <c r="F1823" i="18"/>
  <c r="F1824" i="18" s="1"/>
  <c r="F1826" i="18"/>
  <c r="F1827" i="18"/>
  <c r="F1830" i="18"/>
  <c r="F1831" i="18" s="1"/>
  <c r="F1833" i="18"/>
  <c r="F1834" i="18"/>
  <c r="F1835" i="18"/>
  <c r="F1836" i="18"/>
  <c r="F1839" i="18"/>
  <c r="F1840" i="18"/>
  <c r="F1843" i="18"/>
  <c r="F1844" i="18" s="1"/>
  <c r="F1846" i="18"/>
  <c r="F1847" i="18" s="1"/>
  <c r="F1849" i="18"/>
  <c r="F1850" i="18" s="1"/>
  <c r="F1852" i="18"/>
  <c r="F1853" i="18" s="1"/>
  <c r="F1855" i="18"/>
  <c r="F1856" i="18" s="1"/>
  <c r="F1858" i="18"/>
  <c r="F1859" i="18" s="1"/>
  <c r="F1861" i="18"/>
  <c r="F1862" i="18" s="1"/>
  <c r="F1864" i="18"/>
  <c r="F1865" i="18"/>
  <c r="F1868" i="18"/>
  <c r="F1869" i="18" s="1"/>
  <c r="F1871" i="18"/>
  <c r="F1872" i="18"/>
  <c r="F1873" i="18"/>
  <c r="F1874" i="18"/>
  <c r="F1877" i="18"/>
  <c r="F1878" i="18" s="1"/>
  <c r="F1880" i="18"/>
  <c r="F1881" i="18" s="1"/>
  <c r="F1883" i="18"/>
  <c r="F1884" i="18" s="1"/>
  <c r="F1886" i="18"/>
  <c r="F1887" i="18"/>
  <c r="F1890" i="18"/>
  <c r="F1891" i="18" s="1"/>
  <c r="F1893" i="18"/>
  <c r="F1894" i="18" s="1"/>
  <c r="F1896" i="18"/>
  <c r="F1897" i="18" s="1"/>
  <c r="F1899" i="18"/>
  <c r="F1900" i="18" s="1"/>
  <c r="F1902" i="18"/>
  <c r="F1903" i="18" s="1"/>
  <c r="F1905" i="18"/>
  <c r="F1906" i="18" s="1"/>
  <c r="F1908" i="18"/>
  <c r="F1909" i="18" s="1"/>
  <c r="F1911" i="18"/>
  <c r="F1912" i="18"/>
  <c r="F1913" i="18"/>
  <c r="F1914" i="18"/>
  <c r="F1917" i="18"/>
  <c r="F1918" i="18"/>
  <c r="F1919" i="18"/>
  <c r="F1920" i="18"/>
  <c r="F1921" i="18"/>
  <c r="F1922" i="18"/>
  <c r="F1923" i="18"/>
  <c r="F1924" i="18"/>
  <c r="F1927" i="18"/>
  <c r="F1928" i="18"/>
  <c r="F1929" i="18"/>
  <c r="F1930" i="18"/>
  <c r="F1931" i="18"/>
  <c r="F1934" i="18"/>
  <c r="F1935" i="18" s="1"/>
  <c r="F1937" i="18"/>
  <c r="F1938" i="18"/>
  <c r="F1941" i="18"/>
  <c r="F1942" i="18" s="1"/>
  <c r="F1944" i="18"/>
  <c r="F1945" i="18" s="1"/>
  <c r="F1947" i="18"/>
  <c r="F1948" i="18" s="1"/>
  <c r="F1950" i="18"/>
  <c r="F1951" i="18" s="1"/>
  <c r="F1953" i="18"/>
  <c r="F1954" i="18" s="1"/>
  <c r="F1956" i="18"/>
  <c r="F1957" i="18"/>
  <c r="F1960" i="18"/>
  <c r="F1961" i="18"/>
  <c r="F1962" i="18"/>
  <c r="F1965" i="18"/>
  <c r="F1966" i="18" s="1"/>
  <c r="F1968" i="18"/>
  <c r="F1969" i="18"/>
  <c r="F1972" i="18"/>
  <c r="F1973" i="18" s="1"/>
  <c r="F1975" i="18"/>
  <c r="F1976" i="18"/>
  <c r="F1979" i="18"/>
  <c r="F1980" i="18"/>
  <c r="F1981" i="18"/>
  <c r="F1984" i="18"/>
  <c r="F1985" i="18" s="1"/>
  <c r="F1987" i="18"/>
  <c r="F1988" i="18" s="1"/>
  <c r="F1990" i="18"/>
  <c r="F1991" i="18" s="1"/>
  <c r="F1993" i="18"/>
  <c r="F1994" i="18" s="1"/>
  <c r="F1996" i="18"/>
  <c r="F1997" i="18" s="1"/>
  <c r="F1999" i="18"/>
  <c r="F2000" i="18" s="1"/>
  <c r="F2002" i="18"/>
  <c r="F2003" i="18"/>
  <c r="F2006" i="18"/>
  <c r="F2007" i="18" s="1"/>
  <c r="F2009" i="18"/>
  <c r="F2010" i="18"/>
  <c r="F2011" i="18"/>
  <c r="F2014" i="18"/>
  <c r="F2015" i="18" s="1"/>
  <c r="F2017" i="18"/>
  <c r="F2018" i="18"/>
  <c r="F2019" i="18"/>
  <c r="F2022" i="18"/>
  <c r="F2023" i="18" s="1"/>
  <c r="F2025" i="18"/>
  <c r="F2026" i="18" s="1"/>
  <c r="F2028" i="18"/>
  <c r="F2029" i="18" s="1"/>
  <c r="F2031" i="18"/>
  <c r="F2032" i="18" s="1"/>
  <c r="F2034" i="18"/>
  <c r="F2035" i="18" s="1"/>
  <c r="F2037" i="18"/>
  <c r="F2038" i="18" s="1"/>
  <c r="F2040" i="18"/>
  <c r="F2041" i="18" s="1"/>
  <c r="F2043" i="18"/>
  <c r="F2044" i="18"/>
  <c r="F2047" i="18"/>
  <c r="F2048" i="18" s="1"/>
  <c r="F2050" i="18"/>
  <c r="F2051" i="18" s="1"/>
  <c r="F2053" i="18"/>
  <c r="F2054" i="18" s="1"/>
  <c r="F2056" i="18"/>
  <c r="F2057" i="18" s="1"/>
  <c r="F2059" i="18"/>
  <c r="F2060" i="18" s="1"/>
  <c r="F2062" i="18"/>
  <c r="F2063" i="18"/>
  <c r="F2064" i="18"/>
  <c r="F2067" i="18"/>
  <c r="F2068" i="18" s="1"/>
  <c r="F1370" i="18"/>
  <c r="F930" i="18"/>
  <c r="F931" i="18"/>
  <c r="F932" i="18"/>
  <c r="F960" i="18"/>
  <c r="F961" i="18"/>
  <c r="F964" i="18"/>
  <c r="F965" i="18" s="1"/>
  <c r="F951" i="18"/>
  <c r="F952" i="18" s="1"/>
  <c r="F954" i="18"/>
  <c r="F955" i="18"/>
  <c r="F957" i="18"/>
  <c r="F958" i="18" s="1"/>
  <c r="F924" i="18"/>
  <c r="F925" i="18"/>
  <c r="F926" i="18"/>
  <c r="F927" i="18"/>
  <c r="F935" i="18"/>
  <c r="F936" i="18"/>
  <c r="F937" i="18"/>
  <c r="F938" i="18"/>
  <c r="F941" i="18"/>
  <c r="F942" i="18"/>
  <c r="F945" i="18"/>
  <c r="F946" i="18" s="1"/>
  <c r="F948" i="18"/>
  <c r="F949" i="18" s="1"/>
  <c r="F923" i="18"/>
  <c r="F1255" i="18"/>
  <c r="F1256" i="18" s="1"/>
  <c r="F1226" i="18"/>
  <c r="F1227" i="18"/>
  <c r="F1228" i="18"/>
  <c r="F1229" i="18"/>
  <c r="F1230" i="18"/>
  <c r="F1233" i="18"/>
  <c r="F1234" i="18"/>
  <c r="F1235" i="18"/>
  <c r="F1236" i="18"/>
  <c r="F1239" i="18"/>
  <c r="F1240" i="18"/>
  <c r="F1243" i="18"/>
  <c r="F1244" i="18" s="1"/>
  <c r="F1246" i="18"/>
  <c r="F1247" i="18" s="1"/>
  <c r="F1249" i="18"/>
  <c r="F1250" i="18" s="1"/>
  <c r="F1252" i="18"/>
  <c r="F1253" i="18" s="1"/>
  <c r="F1258" i="18"/>
  <c r="F1259" i="18" s="1"/>
  <c r="F1261" i="18"/>
  <c r="F1262" i="18"/>
  <c r="F1265" i="18"/>
  <c r="F1266" i="18"/>
  <c r="F1267" i="18"/>
  <c r="F1270" i="18"/>
  <c r="F1271" i="18" s="1"/>
  <c r="F1273" i="18"/>
  <c r="F1274" i="18" s="1"/>
  <c r="F1276" i="18"/>
  <c r="F1277" i="18" s="1"/>
  <c r="F1279" i="18"/>
  <c r="F1280" i="18" s="1"/>
  <c r="F1282" i="18"/>
  <c r="F1283" i="18" s="1"/>
  <c r="F1285" i="18"/>
  <c r="F1286" i="18"/>
  <c r="F1289" i="18"/>
  <c r="F1290" i="18" s="1"/>
  <c r="F1292" i="18"/>
  <c r="F1293" i="18" s="1"/>
  <c r="F1295" i="18"/>
  <c r="F1296" i="18"/>
  <c r="F1297" i="18"/>
  <c r="F1298" i="18"/>
  <c r="F1301" i="18"/>
  <c r="F1302" i="18"/>
  <c r="F1305" i="18"/>
  <c r="F1306" i="18"/>
  <c r="F1307" i="18"/>
  <c r="F1310" i="18"/>
  <c r="F1311" i="18"/>
  <c r="F1312" i="18"/>
  <c r="F1313" i="18"/>
  <c r="F1314" i="18"/>
  <c r="F1315" i="18"/>
  <c r="F1316" i="18"/>
  <c r="F1319" i="18"/>
  <c r="F1320" i="18"/>
  <c r="F1323" i="18"/>
  <c r="F1324" i="18"/>
  <c r="F1327" i="18"/>
  <c r="F1328" i="18"/>
  <c r="F1329" i="18"/>
  <c r="F1330" i="18"/>
  <c r="F1331" i="18"/>
  <c r="F1334" i="18"/>
  <c r="F1335" i="18" s="1"/>
  <c r="F1337" i="18"/>
  <c r="F1338" i="18"/>
  <c r="F1341" i="18"/>
  <c r="F1342" i="18" s="1"/>
  <c r="F1344" i="18"/>
  <c r="F1345" i="18" s="1"/>
  <c r="F1347" i="18"/>
  <c r="F1348" i="18" s="1"/>
  <c r="F1350" i="18"/>
  <c r="F1351" i="18" s="1"/>
  <c r="F1353" i="18"/>
  <c r="F1354" i="18" s="1"/>
  <c r="F1356" i="18"/>
  <c r="F1357" i="18" s="1"/>
  <c r="F1359" i="18"/>
  <c r="F1360" i="18"/>
  <c r="F1363" i="18"/>
  <c r="F1364" i="18"/>
  <c r="F1367" i="18"/>
  <c r="F1368" i="18" s="1"/>
  <c r="F1211" i="18"/>
  <c r="F1212" i="18" s="1"/>
  <c r="F1214" i="18"/>
  <c r="F1215" i="18" s="1"/>
  <c r="F1217" i="18"/>
  <c r="F1218" i="18"/>
  <c r="F1221" i="18"/>
  <c r="F1222" i="18"/>
  <c r="F1223" i="18"/>
  <c r="F1208" i="18"/>
  <c r="F1209" i="18" s="1"/>
  <c r="F1061" i="18"/>
  <c r="F1064" i="18"/>
  <c r="F1065" i="18"/>
  <c r="F1068" i="18"/>
  <c r="F1069" i="18"/>
  <c r="F1070" i="18"/>
  <c r="F1071" i="18"/>
  <c r="F1074" i="18"/>
  <c r="F1075" i="18" s="1"/>
  <c r="F1077" i="18"/>
  <c r="F1078" i="18"/>
  <c r="F1079" i="18"/>
  <c r="F1080" i="18"/>
  <c r="F1083" i="18"/>
  <c r="F1084" i="18" s="1"/>
  <c r="F1086" i="18"/>
  <c r="F1087" i="18"/>
  <c r="F1088" i="18"/>
  <c r="F1089" i="18"/>
  <c r="F1090" i="18"/>
  <c r="F1093" i="18"/>
  <c r="F1094" i="18"/>
  <c r="F1095" i="18"/>
  <c r="F1096" i="18"/>
  <c r="F1097" i="18"/>
  <c r="F1098" i="18"/>
  <c r="F1101" i="18"/>
  <c r="F1102" i="18" s="1"/>
  <c r="F1104" i="18"/>
  <c r="F1105" i="18"/>
  <c r="F1108" i="18"/>
  <c r="F1109" i="18" s="1"/>
  <c r="F1111" i="18"/>
  <c r="F1112" i="18"/>
  <c r="F1113" i="18"/>
  <c r="F1116" i="18"/>
  <c r="F1117" i="18"/>
  <c r="F1120" i="18"/>
  <c r="F1121" i="18" s="1"/>
  <c r="F1123" i="18"/>
  <c r="F1124" i="18" s="1"/>
  <c r="F1126" i="18"/>
  <c r="F1127" i="18"/>
  <c r="F1128" i="18"/>
  <c r="F1129" i="18"/>
  <c r="F1132" i="18"/>
  <c r="F1133" i="18"/>
  <c r="F1134" i="18"/>
  <c r="F1137" i="18"/>
  <c r="F1138" i="18" s="1"/>
  <c r="F1140" i="18"/>
  <c r="F1141" i="18"/>
  <c r="F1142" i="18"/>
  <c r="F1145" i="18"/>
  <c r="F1146" i="18"/>
  <c r="F1149" i="18"/>
  <c r="F1150" i="18" s="1"/>
  <c r="F1152" i="18"/>
  <c r="F1153" i="18" s="1"/>
  <c r="F1155" i="18"/>
  <c r="F1156" i="18" s="1"/>
  <c r="F1158" i="18"/>
  <c r="F1159" i="18" s="1"/>
  <c r="F1161" i="18"/>
  <c r="F1162" i="18" s="1"/>
  <c r="F1164" i="18"/>
  <c r="F1165" i="18" s="1"/>
  <c r="F1167" i="18"/>
  <c r="F1168" i="18" s="1"/>
  <c r="F1170" i="18"/>
  <c r="F1171" i="18" s="1"/>
  <c r="F1173" i="18"/>
  <c r="F1174" i="18" s="1"/>
  <c r="F1176" i="18"/>
  <c r="F1177" i="18" s="1"/>
  <c r="F1179" i="18"/>
  <c r="F1180" i="18" s="1"/>
  <c r="F1182" i="18"/>
  <c r="F1183" i="18" s="1"/>
  <c r="F1185" i="18"/>
  <c r="F1186" i="18" s="1"/>
  <c r="F1188" i="18"/>
  <c r="F1189" i="18" s="1"/>
  <c r="F1191" i="18"/>
  <c r="F1192" i="18" s="1"/>
  <c r="F1194" i="18"/>
  <c r="F1195" i="18"/>
  <c r="F1198" i="18"/>
  <c r="F1199" i="18"/>
  <c r="F1202" i="18"/>
  <c r="F1203" i="18" s="1"/>
  <c r="F1205" i="18"/>
  <c r="F1206" i="18" s="1"/>
  <c r="G1982" i="4"/>
  <c r="F2225" i="18" l="1"/>
  <c r="F2203" i="18"/>
  <c r="F2119" i="18"/>
  <c r="F2187" i="18"/>
  <c r="F2183" i="18"/>
  <c r="F2129" i="18"/>
  <c r="F2077" i="18"/>
  <c r="F2173" i="18"/>
  <c r="F2108" i="18"/>
  <c r="F2095" i="18"/>
  <c r="F2083" i="18"/>
  <c r="F2151" i="18"/>
  <c r="F2115" i="18"/>
  <c r="F2089" i="18"/>
  <c r="F2142" i="18"/>
  <c r="F1716" i="18"/>
  <c r="F1656" i="18"/>
  <c r="F2004" i="18"/>
  <c r="F1866" i="18"/>
  <c r="F1828" i="18"/>
  <c r="F1939" i="18"/>
  <c r="F1958" i="18"/>
  <c r="F2020" i="18"/>
  <c r="F1982" i="18"/>
  <c r="F1841" i="18"/>
  <c r="F1643" i="18"/>
  <c r="F1614" i="18"/>
  <c r="F1610" i="18"/>
  <c r="F1837" i="18"/>
  <c r="F1804" i="18"/>
  <c r="F1633" i="18"/>
  <c r="F1875" i="18"/>
  <c r="F1888" i="18"/>
  <c r="F2045" i="18"/>
  <c r="F1813" i="18"/>
  <c r="F1753" i="18"/>
  <c r="F1623" i="18"/>
  <c r="F1606" i="18"/>
  <c r="F2065" i="18"/>
  <c r="F1627" i="18"/>
  <c r="F1932" i="18"/>
  <c r="F1925" i="18"/>
  <c r="F1667" i="18"/>
  <c r="F1597" i="18"/>
  <c r="F1970" i="18"/>
  <c r="F1963" i="18"/>
  <c r="F1809" i="18"/>
  <c r="F1798" i="18"/>
  <c r="F1783" i="18"/>
  <c r="F1720" i="18"/>
  <c r="F2012" i="18"/>
  <c r="F1817" i="18"/>
  <c r="F1977" i="18"/>
  <c r="F1821" i="18"/>
  <c r="F1757" i="18"/>
  <c r="F1673" i="18"/>
  <c r="F1915" i="18"/>
  <c r="F1792" i="18"/>
  <c r="F1372" i="18"/>
  <c r="F1472" i="18"/>
  <c r="F1458" i="18"/>
  <c r="F1415" i="18"/>
  <c r="F1484" i="18"/>
  <c r="F1500" i="18"/>
  <c r="F1441" i="18"/>
  <c r="F1556" i="18"/>
  <c r="F1419" i="18"/>
  <c r="F1517" i="18"/>
  <c r="F1462" i="18"/>
  <c r="F1591" i="18"/>
  <c r="F1510" i="18"/>
  <c r="F1391" i="18"/>
  <c r="F1425" i="18"/>
  <c r="F1411" i="18"/>
  <c r="F1537" i="18"/>
  <c r="F1506" i="18"/>
  <c r="F1448" i="18"/>
  <c r="F1434" i="18"/>
  <c r="F1365" i="18"/>
  <c r="F1332" i="18"/>
  <c r="F1361" i="18"/>
  <c r="F1339" i="18"/>
  <c r="F933" i="18"/>
  <c r="F1268" i="18"/>
  <c r="F1263" i="18"/>
  <c r="F1321" i="18"/>
  <c r="F962" i="18"/>
  <c r="F1308" i="18"/>
  <c r="F1303" i="18"/>
  <c r="F1287" i="18"/>
  <c r="F1325" i="18"/>
  <c r="F1299" i="18"/>
  <c r="F1317" i="18"/>
  <c r="F928" i="18"/>
  <c r="F939" i="18"/>
  <c r="F943" i="18"/>
  <c r="F1196" i="18"/>
  <c r="F1066" i="18"/>
  <c r="F1224" i="18"/>
  <c r="F1237" i="18"/>
  <c r="F1114" i="18"/>
  <c r="F1219" i="18"/>
  <c r="F1231" i="18"/>
  <c r="F1241" i="18"/>
  <c r="G2342" i="18" s="1"/>
  <c r="F1147" i="18"/>
  <c r="F1130" i="18"/>
  <c r="F1099" i="18"/>
  <c r="F1081" i="18"/>
  <c r="F1200" i="18"/>
  <c r="F1143" i="18"/>
  <c r="F1135" i="18"/>
  <c r="F1118" i="18"/>
  <c r="F1106" i="18"/>
  <c r="F1072" i="18"/>
  <c r="F1091" i="18"/>
  <c r="F812" i="18"/>
  <c r="F813" i="18" s="1"/>
  <c r="F620" i="18"/>
  <c r="F621" i="18"/>
  <c r="F601" i="18"/>
  <c r="F602" i="18" s="1"/>
  <c r="F604" i="18"/>
  <c r="F605" i="18"/>
  <c r="F608" i="18"/>
  <c r="F609" i="18" s="1"/>
  <c r="F611" i="18"/>
  <c r="F612" i="18" s="1"/>
  <c r="F614" i="18"/>
  <c r="F615" i="18" s="1"/>
  <c r="F617" i="18"/>
  <c r="F618" i="18" s="1"/>
  <c r="F381" i="18"/>
  <c r="F382" i="18"/>
  <c r="F385" i="18"/>
  <c r="F386" i="18" s="1"/>
  <c r="F388" i="18"/>
  <c r="F389" i="18" s="1"/>
  <c r="F391" i="18"/>
  <c r="F392" i="18"/>
  <c r="F393" i="18"/>
  <c r="F394" i="18"/>
  <c r="F395" i="18"/>
  <c r="F398" i="18"/>
  <c r="F399" i="18" s="1"/>
  <c r="F401" i="18"/>
  <c r="F402" i="18" s="1"/>
  <c r="F404" i="18"/>
  <c r="F405" i="18" s="1"/>
  <c r="F407" i="18"/>
  <c r="F408" i="18" s="1"/>
  <c r="F410" i="18"/>
  <c r="F411" i="18" s="1"/>
  <c r="F413" i="18"/>
  <c r="F414" i="18" s="1"/>
  <c r="F416" i="18"/>
  <c r="F417" i="18"/>
  <c r="F420" i="18"/>
  <c r="F421" i="18" s="1"/>
  <c r="F423" i="18"/>
  <c r="F424" i="18" s="1"/>
  <c r="F426" i="18"/>
  <c r="F427" i="18"/>
  <c r="F428" i="18"/>
  <c r="F431" i="18"/>
  <c r="F432" i="18" s="1"/>
  <c r="F434" i="18"/>
  <c r="F435" i="18"/>
  <c r="F436" i="18"/>
  <c r="F437" i="18"/>
  <c r="F440" i="18"/>
  <c r="F441" i="18"/>
  <c r="F442" i="18"/>
  <c r="F445" i="18"/>
  <c r="F446" i="18"/>
  <c r="F447" i="18"/>
  <c r="F450" i="18"/>
  <c r="F451" i="18" s="1"/>
  <c r="F453" i="18"/>
  <c r="F454" i="18" s="1"/>
  <c r="F456" i="18"/>
  <c r="F457" i="18" s="1"/>
  <c r="F459" i="18"/>
  <c r="F460" i="18" s="1"/>
  <c r="F462" i="18"/>
  <c r="F463" i="18"/>
  <c r="F466" i="18"/>
  <c r="F467" i="18" s="1"/>
  <c r="F469" i="18"/>
  <c r="F470" i="18" s="1"/>
  <c r="F472" i="18"/>
  <c r="F473" i="18" s="1"/>
  <c r="F475" i="18"/>
  <c r="F476" i="18" s="1"/>
  <c r="F478" i="18"/>
  <c r="F479" i="18" s="1"/>
  <c r="F481" i="18"/>
  <c r="F482" i="18"/>
  <c r="F483" i="18"/>
  <c r="F486" i="18"/>
  <c r="F487" i="18" s="1"/>
  <c r="F489" i="18"/>
  <c r="F490" i="18" s="1"/>
  <c r="F492" i="18"/>
  <c r="F493" i="18" s="1"/>
  <c r="F495" i="18"/>
  <c r="F496" i="18"/>
  <c r="F499" i="18"/>
  <c r="F500" i="18" s="1"/>
  <c r="F502" i="18"/>
  <c r="F503" i="18" s="1"/>
  <c r="F505" i="18"/>
  <c r="F506" i="18" s="1"/>
  <c r="F508" i="18"/>
  <c r="F509" i="18" s="1"/>
  <c r="F511" i="18"/>
  <c r="F512" i="18"/>
  <c r="F515" i="18"/>
  <c r="F516" i="18" s="1"/>
  <c r="F518" i="18"/>
  <c r="F519" i="18"/>
  <c r="F522" i="18"/>
  <c r="F523" i="18"/>
  <c r="F524" i="18"/>
  <c r="F525" i="18"/>
  <c r="F526" i="18"/>
  <c r="F527" i="18"/>
  <c r="F530" i="18"/>
  <c r="F531" i="18"/>
  <c r="F532" i="18"/>
  <c r="F533" i="18"/>
  <c r="F536" i="18"/>
  <c r="F537" i="18" s="1"/>
  <c r="F539" i="18"/>
  <c r="F540" i="18"/>
  <c r="F541" i="18"/>
  <c r="F542" i="18"/>
  <c r="F545" i="18"/>
  <c r="F546" i="18"/>
  <c r="F547" i="18"/>
  <c r="F548" i="18"/>
  <c r="F551" i="18"/>
  <c r="F552" i="18"/>
  <c r="F555" i="18"/>
  <c r="F556" i="18"/>
  <c r="F557" i="18"/>
  <c r="F558" i="18"/>
  <c r="F561" i="18"/>
  <c r="F562" i="18" s="1"/>
  <c r="F564" i="18"/>
  <c r="F565" i="18" s="1"/>
  <c r="F567" i="18"/>
  <c r="F568" i="18"/>
  <c r="F569" i="18"/>
  <c r="F572" i="18"/>
  <c r="F573" i="18"/>
  <c r="F574" i="18"/>
  <c r="F575" i="18"/>
  <c r="F578" i="18"/>
  <c r="F579" i="18" s="1"/>
  <c r="F581" i="18"/>
  <c r="F582" i="18"/>
  <c r="F583" i="18"/>
  <c r="F586" i="18"/>
  <c r="F587" i="18"/>
  <c r="F590" i="18"/>
  <c r="F591" i="18"/>
  <c r="F592" i="18"/>
  <c r="F593" i="18"/>
  <c r="F596" i="18"/>
  <c r="F597" i="18"/>
  <c r="F598" i="18"/>
  <c r="F624" i="18"/>
  <c r="F625" i="18"/>
  <c r="F626" i="18"/>
  <c r="F629" i="18"/>
  <c r="F630" i="18" s="1"/>
  <c r="F632" i="18"/>
  <c r="F633" i="18" s="1"/>
  <c r="F635" i="18"/>
  <c r="F636" i="18"/>
  <c r="F639" i="18"/>
  <c r="F640" i="18" s="1"/>
  <c r="F642" i="18"/>
  <c r="F643" i="18" s="1"/>
  <c r="F645" i="18"/>
  <c r="F646" i="18" s="1"/>
  <c r="F648" i="18"/>
  <c r="F649" i="18" s="1"/>
  <c r="F651" i="18"/>
  <c r="F652" i="18" s="1"/>
  <c r="F654" i="18"/>
  <c r="F655" i="18"/>
  <c r="F656" i="18"/>
  <c r="F657" i="18"/>
  <c r="F658" i="18"/>
  <c r="F661" i="18"/>
  <c r="F662" i="18"/>
  <c r="F665" i="18"/>
  <c r="F666" i="18"/>
  <c r="F669" i="18"/>
  <c r="F670" i="18" s="1"/>
  <c r="F672" i="18"/>
  <c r="F673" i="18" s="1"/>
  <c r="F675" i="18"/>
  <c r="F676" i="18"/>
  <c r="F679" i="18"/>
  <c r="F680" i="18" s="1"/>
  <c r="F682" i="18"/>
  <c r="F683" i="18" s="1"/>
  <c r="F685" i="18"/>
  <c r="F686" i="18" s="1"/>
  <c r="F688" i="18"/>
  <c r="F689" i="18" s="1"/>
  <c r="F691" i="18"/>
  <c r="F692" i="18" s="1"/>
  <c r="F694" i="18"/>
  <c r="F695" i="18" s="1"/>
  <c r="F697" i="18"/>
  <c r="F698" i="18" s="1"/>
  <c r="F700" i="18"/>
  <c r="F701" i="18" s="1"/>
  <c r="F703" i="18"/>
  <c r="F704" i="18" s="1"/>
  <c r="F706" i="18"/>
  <c r="F707" i="18" s="1"/>
  <c r="F709" i="18"/>
  <c r="F710" i="18"/>
  <c r="F711" i="18"/>
  <c r="F714" i="18"/>
  <c r="F715" i="18" s="1"/>
  <c r="F717" i="18"/>
  <c r="F718" i="18" s="1"/>
  <c r="F720" i="18"/>
  <c r="F721" i="18" s="1"/>
  <c r="F723" i="18"/>
  <c r="F724" i="18" s="1"/>
  <c r="F726" i="18"/>
  <c r="F727" i="18" s="1"/>
  <c r="F729" i="18"/>
  <c r="F730" i="18" s="1"/>
  <c r="F732" i="18"/>
  <c r="F733" i="18"/>
  <c r="F734" i="18"/>
  <c r="F735" i="18"/>
  <c r="F738" i="18"/>
  <c r="F739" i="18"/>
  <c r="F742" i="18"/>
  <c r="F743" i="18"/>
  <c r="F746" i="18"/>
  <c r="F747" i="18"/>
  <c r="F748" i="18"/>
  <c r="F749" i="18"/>
  <c r="F750" i="18"/>
  <c r="F753" i="18"/>
  <c r="F754" i="18"/>
  <c r="F755" i="18"/>
  <c r="F756" i="18"/>
  <c r="F759" i="18"/>
  <c r="F760" i="18"/>
  <c r="F761" i="18"/>
  <c r="F764" i="18"/>
  <c r="F765" i="18"/>
  <c r="F766" i="18"/>
  <c r="F767" i="18"/>
  <c r="F768" i="18"/>
  <c r="F769" i="18"/>
  <c r="F772" i="18"/>
  <c r="F773" i="18" s="1"/>
  <c r="F775" i="18"/>
  <c r="F776" i="18"/>
  <c r="F779" i="18"/>
  <c r="F780" i="18" s="1"/>
  <c r="F782" i="18"/>
  <c r="F783" i="18" s="1"/>
  <c r="F785" i="18"/>
  <c r="F786" i="18" s="1"/>
  <c r="F788" i="18"/>
  <c r="F789" i="18" s="1"/>
  <c r="F791" i="18"/>
  <c r="F792" i="18" s="1"/>
  <c r="F794" i="18"/>
  <c r="F795" i="18" s="1"/>
  <c r="F797" i="18"/>
  <c r="F798" i="18"/>
  <c r="F799" i="18"/>
  <c r="F800" i="18"/>
  <c r="F803" i="18"/>
  <c r="F804" i="18" s="1"/>
  <c r="F806" i="18"/>
  <c r="F807" i="18" s="1"/>
  <c r="F809" i="18"/>
  <c r="F810" i="18" s="1"/>
  <c r="F815" i="18"/>
  <c r="F816" i="18" s="1"/>
  <c r="F818" i="18"/>
  <c r="F819" i="18" s="1"/>
  <c r="F821" i="18"/>
  <c r="F822" i="18" s="1"/>
  <c r="F824" i="18"/>
  <c r="F825" i="18" s="1"/>
  <c r="F827" i="18"/>
  <c r="F828" i="18" s="1"/>
  <c r="F830" i="18"/>
  <c r="F831" i="18" s="1"/>
  <c r="F833" i="18"/>
  <c r="F834" i="18" s="1"/>
  <c r="F836" i="18"/>
  <c r="F837" i="18" s="1"/>
  <c r="F839" i="18"/>
  <c r="F840" i="18" s="1"/>
  <c r="F842" i="18"/>
  <c r="F843" i="18" s="1"/>
  <c r="F845" i="18"/>
  <c r="F846" i="18"/>
  <c r="F847" i="18"/>
  <c r="F848" i="18"/>
  <c r="F851" i="18"/>
  <c r="F852" i="18" s="1"/>
  <c r="F854" i="18"/>
  <c r="F855" i="18" s="1"/>
  <c r="F857" i="18"/>
  <c r="F858" i="18"/>
  <c r="F859" i="18"/>
  <c r="F860" i="18"/>
  <c r="F861" i="18"/>
  <c r="F862" i="18"/>
  <c r="F865" i="18"/>
  <c r="F866" i="18"/>
  <c r="F869" i="18"/>
  <c r="F870" i="18"/>
  <c r="F871" i="18"/>
  <c r="F874" i="18"/>
  <c r="F875" i="18" s="1"/>
  <c r="F877" i="18"/>
  <c r="F878" i="18"/>
  <c r="F879" i="18"/>
  <c r="F880" i="18"/>
  <c r="F883" i="18"/>
  <c r="F884" i="18"/>
  <c r="F885" i="18"/>
  <c r="F886" i="18"/>
  <c r="F889" i="18"/>
  <c r="F890" i="18" s="1"/>
  <c r="F892" i="18"/>
  <c r="F893" i="18" s="1"/>
  <c r="F895" i="18"/>
  <c r="F896" i="18"/>
  <c r="F897" i="18"/>
  <c r="F900" i="18"/>
  <c r="F901" i="18"/>
  <c r="F902" i="18"/>
  <c r="F905" i="18"/>
  <c r="F906" i="18" s="1"/>
  <c r="F908" i="18"/>
  <c r="F909" i="18" s="1"/>
  <c r="F911" i="18"/>
  <c r="F912" i="18" s="1"/>
  <c r="F914" i="18"/>
  <c r="F915" i="18" s="1"/>
  <c r="F917" i="18"/>
  <c r="F918" i="18" s="1"/>
  <c r="F920" i="18"/>
  <c r="F921" i="18" s="1"/>
  <c r="F967" i="18"/>
  <c r="F968" i="18" s="1"/>
  <c r="F970" i="18"/>
  <c r="F971" i="18" s="1"/>
  <c r="F973" i="18"/>
  <c r="F974" i="18"/>
  <c r="F975" i="18"/>
  <c r="F976" i="18"/>
  <c r="F977" i="18"/>
  <c r="F980" i="18"/>
  <c r="F981" i="18"/>
  <c r="F984" i="18"/>
  <c r="F985" i="18"/>
  <c r="F986" i="18"/>
  <c r="F987" i="18"/>
  <c r="F988" i="18"/>
  <c r="F991" i="18"/>
  <c r="F992" i="18" s="1"/>
  <c r="F994" i="18"/>
  <c r="F995" i="18" s="1"/>
  <c r="F997" i="18"/>
  <c r="F998" i="18" s="1"/>
  <c r="F1000" i="18"/>
  <c r="F1001" i="18"/>
  <c r="F1004" i="18"/>
  <c r="F1005" i="18" s="1"/>
  <c r="F1007" i="18"/>
  <c r="F1008" i="18" s="1"/>
  <c r="F1010" i="18"/>
  <c r="F1011" i="18" s="1"/>
  <c r="F1013" i="18"/>
  <c r="F1014" i="18" s="1"/>
  <c r="F1016" i="18"/>
  <c r="F1017" i="18" s="1"/>
  <c r="F1019" i="18"/>
  <c r="F1020" i="18" s="1"/>
  <c r="F1022" i="18"/>
  <c r="F1023" i="18"/>
  <c r="F1026" i="18"/>
  <c r="F1027" i="18" s="1"/>
  <c r="F1029" i="18"/>
  <c r="F1030" i="18" s="1"/>
  <c r="F1032" i="18"/>
  <c r="F1033" i="18" s="1"/>
  <c r="F1035" i="18"/>
  <c r="F1036" i="18" s="1"/>
  <c r="F1038" i="18"/>
  <c r="F1039" i="18" s="1"/>
  <c r="F1041" i="18"/>
  <c r="F1042" i="18"/>
  <c r="F1043" i="18"/>
  <c r="F1044" i="18"/>
  <c r="F1047" i="18"/>
  <c r="F1048" i="18"/>
  <c r="F1049" i="18"/>
  <c r="F1052" i="18"/>
  <c r="F1053" i="18"/>
  <c r="F1056" i="18"/>
  <c r="F1057" i="18" s="1"/>
  <c r="F1059" i="18"/>
  <c r="F1060" i="18"/>
  <c r="F3" i="18"/>
  <c r="F4" i="18"/>
  <c r="F5" i="18"/>
  <c r="F6" i="18"/>
  <c r="F7" i="18"/>
  <c r="F8" i="18"/>
  <c r="F9" i="18"/>
  <c r="F12" i="18"/>
  <c r="F13" i="18" s="1"/>
  <c r="F15" i="18"/>
  <c r="F16" i="18"/>
  <c r="F19" i="18"/>
  <c r="F20" i="18"/>
  <c r="F23" i="18"/>
  <c r="F24" i="18" s="1"/>
  <c r="F26" i="18"/>
  <c r="F27" i="18" s="1"/>
  <c r="F29" i="18"/>
  <c r="F30" i="18" s="1"/>
  <c r="F32" i="18"/>
  <c r="F33" i="18" s="1"/>
  <c r="F35" i="18"/>
  <c r="F36" i="18" s="1"/>
  <c r="F38" i="18"/>
  <c r="F39" i="18"/>
  <c r="F42" i="18"/>
  <c r="F43" i="18" s="1"/>
  <c r="F45" i="18"/>
  <c r="F46" i="18" s="1"/>
  <c r="F48" i="18"/>
  <c r="F49" i="18"/>
  <c r="F52" i="18"/>
  <c r="F53" i="18" s="1"/>
  <c r="F55" i="18"/>
  <c r="F56" i="18" s="1"/>
  <c r="F58" i="18"/>
  <c r="F59" i="18"/>
  <c r="F62" i="18"/>
  <c r="F63" i="18"/>
  <c r="F64" i="18"/>
  <c r="F65" i="18"/>
  <c r="F66" i="18"/>
  <c r="F69" i="18"/>
  <c r="F70" i="18" s="1"/>
  <c r="F72" i="18"/>
  <c r="F73" i="18" s="1"/>
  <c r="F75" i="18"/>
  <c r="F76" i="18" s="1"/>
  <c r="F78" i="18"/>
  <c r="F79" i="18"/>
  <c r="F82" i="18"/>
  <c r="F83" i="18" s="1"/>
  <c r="F85" i="18"/>
  <c r="F86" i="18" s="1"/>
  <c r="F88" i="18"/>
  <c r="F89" i="18" s="1"/>
  <c r="F91" i="18"/>
  <c r="F92" i="18" s="1"/>
  <c r="F94" i="18"/>
  <c r="F95" i="18"/>
  <c r="F98" i="18"/>
  <c r="F99" i="18"/>
  <c r="F100" i="18"/>
  <c r="F101" i="18"/>
  <c r="F104" i="18"/>
  <c r="F105" i="18"/>
  <c r="F108" i="18"/>
  <c r="F109" i="18" s="1"/>
  <c r="F111" i="18"/>
  <c r="F112" i="18"/>
  <c r="F113" i="18"/>
  <c r="F114" i="18"/>
  <c r="F117" i="18"/>
  <c r="F118" i="18" s="1"/>
  <c r="F120" i="18"/>
  <c r="F121" i="18" s="1"/>
  <c r="F123" i="18"/>
  <c r="F124" i="18" s="1"/>
  <c r="F126" i="18"/>
  <c r="F127" i="18" s="1"/>
  <c r="F129" i="18"/>
  <c r="F130" i="18" s="1"/>
  <c r="F132" i="18"/>
  <c r="F133" i="18" s="1"/>
  <c r="F135" i="18"/>
  <c r="F136" i="18" s="1"/>
  <c r="F138" i="18"/>
  <c r="F139" i="18"/>
  <c r="F142" i="18"/>
  <c r="F143" i="18" s="1"/>
  <c r="F145" i="18"/>
  <c r="F146" i="18" s="1"/>
  <c r="F148" i="18"/>
  <c r="F149" i="18"/>
  <c r="F152" i="18"/>
  <c r="F153" i="18" s="1"/>
  <c r="F155" i="18"/>
  <c r="F156" i="18"/>
  <c r="F157" i="18"/>
  <c r="F160" i="18"/>
  <c r="F161" i="18"/>
  <c r="F162" i="18"/>
  <c r="F165" i="18"/>
  <c r="F166" i="18" s="1"/>
  <c r="F168" i="18"/>
  <c r="F169" i="18" s="1"/>
  <c r="F171" i="18"/>
  <c r="F172" i="18"/>
  <c r="F175" i="18"/>
  <c r="F176" i="18"/>
  <c r="F177" i="18"/>
  <c r="F178" i="18"/>
  <c r="F179" i="18"/>
  <c r="F180" i="18"/>
  <c r="F183" i="18"/>
  <c r="F184" i="18"/>
  <c r="F187" i="18"/>
  <c r="F188" i="18" s="1"/>
  <c r="F190" i="18"/>
  <c r="F191" i="18"/>
  <c r="F192" i="18"/>
  <c r="F193" i="18"/>
  <c r="F194" i="18"/>
  <c r="F197" i="18"/>
  <c r="F198" i="18" s="1"/>
  <c r="F200" i="18"/>
  <c r="F201" i="18" s="1"/>
  <c r="F203" i="18"/>
  <c r="F204" i="18" s="1"/>
  <c r="F206" i="18"/>
  <c r="F207" i="18" s="1"/>
  <c r="F209" i="18"/>
  <c r="F210" i="18" s="1"/>
  <c r="F212" i="18"/>
  <c r="F213" i="18"/>
  <c r="F214" i="18"/>
  <c r="F217" i="18"/>
  <c r="F218" i="18"/>
  <c r="F221" i="18"/>
  <c r="F222" i="18"/>
  <c r="F225" i="18"/>
  <c r="F226" i="18" s="1"/>
  <c r="F228" i="18"/>
  <c r="F229" i="18" s="1"/>
  <c r="F231" i="18"/>
  <c r="F232" i="18" s="1"/>
  <c r="F234" i="18"/>
  <c r="F235" i="18"/>
  <c r="F236" i="18"/>
  <c r="F237" i="18"/>
  <c r="F238" i="18"/>
  <c r="F241" i="18"/>
  <c r="F242" i="18" s="1"/>
  <c r="F244" i="18"/>
  <c r="F245" i="18" s="1"/>
  <c r="F247" i="18"/>
  <c r="F248" i="18" s="1"/>
  <c r="F250" i="18"/>
  <c r="F251" i="18" s="1"/>
  <c r="F253" i="18"/>
  <c r="F254" i="18"/>
  <c r="F257" i="18"/>
  <c r="F258" i="18"/>
  <c r="F259" i="18"/>
  <c r="F260" i="18"/>
  <c r="F263" i="18"/>
  <c r="F264" i="18" s="1"/>
  <c r="F266" i="18"/>
  <c r="F267" i="18" s="1"/>
  <c r="F269" i="18"/>
  <c r="F270" i="18"/>
  <c r="F273" i="18"/>
  <c r="F274" i="18"/>
  <c r="F277" i="18"/>
  <c r="F278" i="18"/>
  <c r="F281" i="18"/>
  <c r="F282" i="18"/>
  <c r="F283" i="18"/>
  <c r="F284" i="18"/>
  <c r="F287" i="18"/>
  <c r="F288" i="18"/>
  <c r="F291" i="18"/>
  <c r="F292" i="18" s="1"/>
  <c r="F294" i="18"/>
  <c r="F295" i="18" s="1"/>
  <c r="F297" i="18"/>
  <c r="F298" i="18" s="1"/>
  <c r="F300" i="18"/>
  <c r="F301" i="18" s="1"/>
  <c r="F303" i="18"/>
  <c r="F304" i="18" s="1"/>
  <c r="F306" i="18"/>
  <c r="F307" i="18" s="1"/>
  <c r="F309" i="18"/>
  <c r="F310" i="18"/>
  <c r="F313" i="18"/>
  <c r="F314" i="18"/>
  <c r="F317" i="18"/>
  <c r="F318" i="18" s="1"/>
  <c r="F320" i="18"/>
  <c r="F321" i="18" s="1"/>
  <c r="F323" i="18"/>
  <c r="F324" i="18"/>
  <c r="F325" i="18"/>
  <c r="F328" i="18"/>
  <c r="F329" i="18" s="1"/>
  <c r="F331" i="18"/>
  <c r="F332" i="18" s="1"/>
  <c r="F334" i="18"/>
  <c r="F335" i="18"/>
  <c r="F338" i="18"/>
  <c r="F339" i="18" s="1"/>
  <c r="F341" i="18"/>
  <c r="F342" i="18"/>
  <c r="F345" i="18"/>
  <c r="F346" i="18"/>
  <c r="F349" i="18"/>
  <c r="F350" i="18" s="1"/>
  <c r="F352" i="18"/>
  <c r="F353" i="18" s="1"/>
  <c r="F355" i="18"/>
  <c r="F356" i="18" s="1"/>
  <c r="F358" i="18"/>
  <c r="F359" i="18" s="1"/>
  <c r="F361" i="18"/>
  <c r="F362" i="18" s="1"/>
  <c r="F364" i="18"/>
  <c r="F365" i="18" s="1"/>
  <c r="F367" i="18"/>
  <c r="F368" i="18" s="1"/>
  <c r="F370" i="18"/>
  <c r="F371" i="18" s="1"/>
  <c r="F373" i="18"/>
  <c r="F374" i="18" s="1"/>
  <c r="F376" i="18"/>
  <c r="F377" i="18"/>
  <c r="F378" i="18"/>
  <c r="F1820" i="4"/>
  <c r="F1821" i="4" s="1"/>
  <c r="F1823" i="4"/>
  <c r="F1824" i="4" s="1"/>
  <c r="F1826" i="4"/>
  <c r="F1827" i="4"/>
  <c r="F1830" i="4"/>
  <c r="F1831" i="4" s="1"/>
  <c r="F1833" i="4"/>
  <c r="F1834" i="4" s="1"/>
  <c r="F1836" i="4"/>
  <c r="F1837" i="4" s="1"/>
  <c r="F1839" i="4"/>
  <c r="F1840" i="4" s="1"/>
  <c r="F1842" i="4"/>
  <c r="F1843" i="4" s="1"/>
  <c r="F1845" i="4"/>
  <c r="F1846" i="4"/>
  <c r="F1849" i="4"/>
  <c r="F1850" i="4" s="1"/>
  <c r="F1852" i="4"/>
  <c r="F1853" i="4"/>
  <c r="F1854" i="4"/>
  <c r="F1855" i="4"/>
  <c r="F1856" i="4"/>
  <c r="F1859" i="4"/>
  <c r="F1860" i="4" s="1"/>
  <c r="F1862" i="4"/>
  <c r="F1863" i="4"/>
  <c r="F1866" i="4"/>
  <c r="F1867" i="4"/>
  <c r="F1868" i="4"/>
  <c r="F1871" i="4"/>
  <c r="F1872" i="4"/>
  <c r="F1873" i="4"/>
  <c r="F1876" i="4"/>
  <c r="F1877" i="4" s="1"/>
  <c r="F1879" i="4"/>
  <c r="F1880" i="4" s="1"/>
  <c r="F1882" i="4"/>
  <c r="F1883" i="4" s="1"/>
  <c r="F1885" i="4"/>
  <c r="F1886" i="4" s="1"/>
  <c r="F1888" i="4"/>
  <c r="F1889" i="4" s="1"/>
  <c r="F1891" i="4"/>
  <c r="F1892" i="4" s="1"/>
  <c r="F1894" i="4"/>
  <c r="F1895" i="4" s="1"/>
  <c r="F1897" i="4"/>
  <c r="F1898" i="4"/>
  <c r="F1899" i="4"/>
  <c r="F1902" i="4"/>
  <c r="F1903" i="4"/>
  <c r="F1906" i="4"/>
  <c r="F1907" i="4"/>
  <c r="F1908" i="4"/>
  <c r="F1911" i="4"/>
  <c r="F1912" i="4" s="1"/>
  <c r="F1914" i="4"/>
  <c r="F1915" i="4" s="1"/>
  <c r="F1917" i="4"/>
  <c r="F1918" i="4" s="1"/>
  <c r="F1920" i="4"/>
  <c r="F1921" i="4" s="1"/>
  <c r="F1923" i="4"/>
  <c r="F1924" i="4" s="1"/>
  <c r="F1926" i="4"/>
  <c r="F1927" i="4" s="1"/>
  <c r="F1929" i="4"/>
  <c r="F1930" i="4" s="1"/>
  <c r="F1932" i="4"/>
  <c r="F1933" i="4" s="1"/>
  <c r="F1935" i="4"/>
  <c r="F1936" i="4" s="1"/>
  <c r="F1938" i="4"/>
  <c r="F1939" i="4"/>
  <c r="F1942" i="4"/>
  <c r="F1943" i="4" s="1"/>
  <c r="F1945" i="4"/>
  <c r="F1946" i="4" s="1"/>
  <c r="F1948" i="4"/>
  <c r="F1949" i="4"/>
  <c r="F1950" i="4"/>
  <c r="F1951" i="4"/>
  <c r="F1954" i="4"/>
  <c r="F1955" i="4" s="1"/>
  <c r="F1957" i="4"/>
  <c r="F1958" i="4"/>
  <c r="F1959" i="4"/>
  <c r="F1962" i="4"/>
  <c r="F1963" i="4"/>
  <c r="F1964" i="4"/>
  <c r="F1965" i="4"/>
  <c r="F1968" i="4"/>
  <c r="F1969" i="4"/>
  <c r="F1970" i="4"/>
  <c r="F1973" i="4"/>
  <c r="F1974" i="4"/>
  <c r="F1975" i="4"/>
  <c r="F1978" i="4"/>
  <c r="F1979" i="4"/>
  <c r="F1062" i="18" l="1"/>
  <c r="F1054" i="18"/>
  <c r="F1024" i="18"/>
  <c r="F1002" i="18"/>
  <c r="F982" i="18"/>
  <c r="F867" i="18"/>
  <c r="F849" i="18"/>
  <c r="F744" i="18"/>
  <c r="F740" i="18"/>
  <c r="F898" i="18"/>
  <c r="F770" i="18"/>
  <c r="F736" i="18"/>
  <c r="F887" i="18"/>
  <c r="F881" i="18"/>
  <c r="F872" i="18"/>
  <c r="F863" i="18"/>
  <c r="F751" i="18"/>
  <c r="F659" i="18"/>
  <c r="F903" i="18"/>
  <c r="F801" i="18"/>
  <c r="F777" i="18"/>
  <c r="F762" i="18"/>
  <c r="F757" i="18"/>
  <c r="F712" i="18"/>
  <c r="F677" i="18"/>
  <c r="F667" i="18"/>
  <c r="F663" i="18"/>
  <c r="F637" i="18"/>
  <c r="F989" i="18"/>
  <c r="F1050" i="18"/>
  <c r="F1045" i="18"/>
  <c r="F978" i="18"/>
  <c r="F622" i="18"/>
  <c r="F606" i="18"/>
  <c r="F96" i="18"/>
  <c r="F553" i="18"/>
  <c r="F513" i="18"/>
  <c r="F383" i="18"/>
  <c r="F289" i="18"/>
  <c r="F223" i="18"/>
  <c r="F275" i="18"/>
  <c r="F311" i="18"/>
  <c r="F347" i="18"/>
  <c r="F239" i="18"/>
  <c r="F343" i="18"/>
  <c r="F271" i="18"/>
  <c r="F418" i="18"/>
  <c r="F173" i="18"/>
  <c r="F588" i="18"/>
  <c r="F576" i="18"/>
  <c r="F520" i="18"/>
  <c r="F443" i="18"/>
  <c r="F429" i="18"/>
  <c r="F285" i="18"/>
  <c r="F115" i="18"/>
  <c r="F315" i="18"/>
  <c r="F279" i="18"/>
  <c r="F150" i="18"/>
  <c r="F599" i="18"/>
  <c r="F543" i="18"/>
  <c r="F559" i="18"/>
  <c r="F497" i="18"/>
  <c r="F163" i="18"/>
  <c r="F584" i="18"/>
  <c r="F570" i="18"/>
  <c r="F379" i="18"/>
  <c r="F195" i="18"/>
  <c r="F261" i="18"/>
  <c r="F438" i="18"/>
  <c r="F448" i="18"/>
  <c r="F326" i="18"/>
  <c r="F255" i="18"/>
  <c r="F219" i="18"/>
  <c r="F50" i="18"/>
  <c r="F594" i="18"/>
  <c r="F528" i="18"/>
  <c r="F464" i="18"/>
  <c r="F336" i="18"/>
  <c r="F215" i="18"/>
  <c r="F106" i="18"/>
  <c r="F627" i="18"/>
  <c r="F549" i="18"/>
  <c r="F534" i="18"/>
  <c r="F484" i="18"/>
  <c r="F396" i="18"/>
  <c r="F185" i="18"/>
  <c r="F60" i="18"/>
  <c r="F158" i="18"/>
  <c r="F140" i="18"/>
  <c r="F102" i="18"/>
  <c r="F40" i="18"/>
  <c r="F10" i="18"/>
  <c r="F80" i="18"/>
  <c r="F21" i="18"/>
  <c r="F181" i="18"/>
  <c r="F67" i="18"/>
  <c r="F17" i="18"/>
  <c r="F1904" i="4"/>
  <c r="F1847" i="4"/>
  <c r="F1960" i="4"/>
  <c r="F1864" i="4"/>
  <c r="F1909" i="4"/>
  <c r="F1869" i="4"/>
  <c r="F1980" i="4"/>
  <c r="F1952" i="4"/>
  <c r="F1940" i="4"/>
  <c r="F1874" i="4"/>
  <c r="F1966" i="4"/>
  <c r="F1976" i="4"/>
  <c r="F1828" i="4"/>
  <c r="F1971" i="4"/>
  <c r="F1900" i="4"/>
  <c r="F1857" i="4"/>
  <c r="F1398" i="4" l="1"/>
  <c r="G2094" i="1"/>
  <c r="F1807" i="4" l="1"/>
  <c r="F1808" i="4" s="1"/>
  <c r="F1810" i="4"/>
  <c r="F1811" i="4"/>
  <c r="F1814" i="4"/>
  <c r="F1815" i="4" s="1"/>
  <c r="F1817" i="4"/>
  <c r="F1818" i="4" s="1"/>
  <c r="F1789" i="4"/>
  <c r="F1790" i="4" s="1"/>
  <c r="F1792" i="4"/>
  <c r="F1793" i="4" s="1"/>
  <c r="F1795" i="4"/>
  <c r="F1796" i="4" s="1"/>
  <c r="F1798" i="4"/>
  <c r="F1799" i="4" s="1"/>
  <c r="F1801" i="4"/>
  <c r="F1802" i="4"/>
  <c r="F1803" i="4"/>
  <c r="F1804" i="4"/>
  <c r="F1780" i="4"/>
  <c r="F1781" i="4" s="1"/>
  <c r="F1783" i="4"/>
  <c r="F1784" i="4" s="1"/>
  <c r="F1786" i="4"/>
  <c r="F1787" i="4" s="1"/>
  <c r="F1770" i="4"/>
  <c r="F1771" i="4" s="1"/>
  <c r="F1773" i="4"/>
  <c r="F1774" i="4" s="1"/>
  <c r="F1776" i="4"/>
  <c r="F1777" i="4"/>
  <c r="F1754" i="4"/>
  <c r="F1755" i="4"/>
  <c r="F1758" i="4"/>
  <c r="F1759" i="4" s="1"/>
  <c r="F1761" i="4"/>
  <c r="F1762" i="4"/>
  <c r="F1763" i="4"/>
  <c r="F1764" i="4"/>
  <c r="F1767" i="4"/>
  <c r="F1768" i="4" s="1"/>
  <c r="F1746" i="4"/>
  <c r="F1747" i="4" s="1"/>
  <c r="F1749" i="4"/>
  <c r="F1750" i="4"/>
  <c r="F1751" i="4"/>
  <c r="F1719" i="4"/>
  <c r="F1720" i="4" s="1"/>
  <c r="F1726" i="4"/>
  <c r="F1727" i="4"/>
  <c r="F1728" i="4"/>
  <c r="F1729" i="4"/>
  <c r="F1730" i="4"/>
  <c r="F1731" i="4"/>
  <c r="F1734" i="4"/>
  <c r="F1735" i="4" s="1"/>
  <c r="F1737" i="4"/>
  <c r="F1738" i="4" s="1"/>
  <c r="F1740" i="4"/>
  <c r="F1741" i="4" s="1"/>
  <c r="F1743" i="4"/>
  <c r="F1744" i="4" s="1"/>
  <c r="F1642" i="4"/>
  <c r="F1643" i="4" s="1"/>
  <c r="F1645" i="4"/>
  <c r="F1646" i="4" s="1"/>
  <c r="F1648" i="4"/>
  <c r="F1649" i="4" s="1"/>
  <c r="F1651" i="4"/>
  <c r="F1652" i="4" s="1"/>
  <c r="F1654" i="4"/>
  <c r="F1655" i="4"/>
  <c r="F1656" i="4"/>
  <c r="F1657" i="4"/>
  <c r="F1660" i="4"/>
  <c r="F1661" i="4"/>
  <c r="F1664" i="4"/>
  <c r="F1665" i="4"/>
  <c r="F1666" i="4"/>
  <c r="F1667" i="4"/>
  <c r="F1670" i="4"/>
  <c r="F1671" i="4"/>
  <c r="F1672" i="4"/>
  <c r="F1673" i="4"/>
  <c r="F1676" i="4"/>
  <c r="F1677" i="4" s="1"/>
  <c r="F1679" i="4"/>
  <c r="F1680" i="4"/>
  <c r="F1683" i="4"/>
  <c r="F1684" i="4"/>
  <c r="F1687" i="4"/>
  <c r="F1688" i="4"/>
  <c r="F1689" i="4"/>
  <c r="F1691" i="4"/>
  <c r="F1692" i="4" s="1"/>
  <c r="F1694" i="4"/>
  <c r="F1695" i="4"/>
  <c r="F1698" i="4"/>
  <c r="F1699" i="4"/>
  <c r="F1700" i="4"/>
  <c r="F1701" i="4"/>
  <c r="F1704" i="4"/>
  <c r="F1705" i="4"/>
  <c r="F1706" i="4"/>
  <c r="F1709" i="4"/>
  <c r="F1710" i="4" s="1"/>
  <c r="F1712" i="4"/>
  <c r="F1713" i="4"/>
  <c r="F1716" i="4"/>
  <c r="F1717" i="4" s="1"/>
  <c r="F1722" i="4"/>
  <c r="F1723" i="4"/>
  <c r="F1636" i="4"/>
  <c r="F1639" i="4"/>
  <c r="F1640" i="4" s="1"/>
  <c r="F1460" i="4"/>
  <c r="F1461" i="4"/>
  <c r="F1464" i="4"/>
  <c r="F1465" i="4" s="1"/>
  <c r="F1467" i="4"/>
  <c r="F1468" i="4"/>
  <c r="F1469" i="4"/>
  <c r="F1470" i="4"/>
  <c r="F1471" i="4"/>
  <c r="F1472" i="4"/>
  <c r="F1475" i="4"/>
  <c r="F1476" i="4" s="1"/>
  <c r="F1478" i="4"/>
  <c r="F1479" i="4"/>
  <c r="F1480" i="4"/>
  <c r="F1481" i="4"/>
  <c r="F1484" i="4"/>
  <c r="F1485" i="4" s="1"/>
  <c r="F1487" i="4"/>
  <c r="F1488" i="4"/>
  <c r="F1491" i="4"/>
  <c r="F1492" i="4"/>
  <c r="F1493" i="4"/>
  <c r="F1494" i="4"/>
  <c r="F1497" i="4"/>
  <c r="F1498" i="4" s="1"/>
  <c r="F1500" i="4"/>
  <c r="F1501" i="4" s="1"/>
  <c r="F1503" i="4"/>
  <c r="F1504" i="4"/>
  <c r="F1505" i="4"/>
  <c r="F1506" i="4"/>
  <c r="F1507" i="4"/>
  <c r="F1510" i="4"/>
  <c r="F1511" i="4" s="1"/>
  <c r="F1513" i="4"/>
  <c r="F1514" i="4"/>
  <c r="F1517" i="4"/>
  <c r="F1518" i="4" s="1"/>
  <c r="F1520" i="4"/>
  <c r="F1521" i="4" s="1"/>
  <c r="F1523" i="4"/>
  <c r="F1524" i="4" s="1"/>
  <c r="F1526" i="4"/>
  <c r="F1527" i="4"/>
  <c r="F1530" i="4"/>
  <c r="F1531" i="4"/>
  <c r="F1534" i="4"/>
  <c r="F1535" i="4"/>
  <c r="F1538" i="4"/>
  <c r="F1539" i="4"/>
  <c r="F1540" i="4"/>
  <c r="F1541" i="4"/>
  <c r="F1544" i="4"/>
  <c r="F1545" i="4"/>
  <c r="F1546" i="4"/>
  <c r="F1549" i="4"/>
  <c r="F1550" i="4"/>
  <c r="F1551" i="4"/>
  <c r="F1554" i="4"/>
  <c r="F1555" i="4" s="1"/>
  <c r="F1557" i="4"/>
  <c r="F1558" i="4" s="1"/>
  <c r="F1560" i="4"/>
  <c r="F1561" i="4"/>
  <c r="F1564" i="4"/>
  <c r="F1565" i="4"/>
  <c r="F1566" i="4"/>
  <c r="F1569" i="4"/>
  <c r="F1570" i="4" s="1"/>
  <c r="F1572" i="4"/>
  <c r="F1573" i="4" s="1"/>
  <c r="F1575" i="4"/>
  <c r="F1576" i="4" s="1"/>
  <c r="F1578" i="4"/>
  <c r="F1579" i="4" s="1"/>
  <c r="F1581" i="4"/>
  <c r="F1582" i="4"/>
  <c r="F1583" i="4"/>
  <c r="F1586" i="4"/>
  <c r="F1587" i="4" s="1"/>
  <c r="F1589" i="4"/>
  <c r="F1590" i="4" s="1"/>
  <c r="F1592" i="4"/>
  <c r="F1593" i="4"/>
  <c r="F1596" i="4"/>
  <c r="F1597" i="4" s="1"/>
  <c r="F1599" i="4"/>
  <c r="F1600" i="4"/>
  <c r="F1603" i="4"/>
  <c r="F1604" i="4" s="1"/>
  <c r="F1606" i="4"/>
  <c r="F1607" i="4" s="1"/>
  <c r="F1609" i="4"/>
  <c r="F1610" i="4" s="1"/>
  <c r="F1612" i="4"/>
  <c r="F1613" i="4"/>
  <c r="F1614" i="4"/>
  <c r="F1617" i="4"/>
  <c r="F1618" i="4" s="1"/>
  <c r="F1620" i="4"/>
  <c r="F1621" i="4" s="1"/>
  <c r="F1623" i="4"/>
  <c r="F1624" i="4" s="1"/>
  <c r="F1626" i="4"/>
  <c r="F1627" i="4"/>
  <c r="F1628" i="4"/>
  <c r="F1631" i="4"/>
  <c r="F1632" i="4"/>
  <c r="F1635" i="4"/>
  <c r="F1812" i="4" l="1"/>
  <c r="F1805" i="4"/>
  <c r="F1778" i="4"/>
  <c r="F1724" i="4"/>
  <c r="F1732" i="4"/>
  <c r="F1752" i="4"/>
  <c r="F1765" i="4"/>
  <c r="F1756" i="4"/>
  <c r="F1696" i="4"/>
  <c r="F1685" i="4"/>
  <c r="F1702" i="4"/>
  <c r="F1681" i="4"/>
  <c r="F1658" i="4"/>
  <c r="F1714" i="4"/>
  <c r="F1674" i="4"/>
  <c r="F1668" i="4"/>
  <c r="F1707" i="4"/>
  <c r="F1662" i="4"/>
  <c r="F1637" i="4"/>
  <c r="F1633" i="4"/>
  <c r="F1552" i="4"/>
  <c r="F1532" i="4"/>
  <c r="F1562" i="4"/>
  <c r="F1495" i="4"/>
  <c r="F1615" i="4"/>
  <c r="F1594" i="4"/>
  <c r="F1584" i="4"/>
  <c r="F1536" i="4"/>
  <c r="F1508" i="4"/>
  <c r="F1629" i="4"/>
  <c r="F1542" i="4"/>
  <c r="F1489" i="4"/>
  <c r="F1473" i="4"/>
  <c r="F1462" i="4"/>
  <c r="F1567" i="4"/>
  <c r="F1601" i="4"/>
  <c r="F1515" i="4"/>
  <c r="F1547" i="4"/>
  <c r="F1528" i="4"/>
  <c r="F1482" i="4"/>
  <c r="F1250" i="4"/>
  <c r="F1251" i="4" s="1"/>
  <c r="F1253" i="4"/>
  <c r="F1254" i="4"/>
  <c r="F1257" i="4"/>
  <c r="F1258" i="4" s="1"/>
  <c r="F1260" i="4"/>
  <c r="F1261" i="4" s="1"/>
  <c r="F1263" i="4"/>
  <c r="F1264" i="4"/>
  <c r="F1265" i="4"/>
  <c r="F1268" i="4"/>
  <c r="F1269" i="4" s="1"/>
  <c r="F1271" i="4"/>
  <c r="F1272" i="4" s="1"/>
  <c r="F1274" i="4"/>
  <c r="F1275" i="4" s="1"/>
  <c r="F1277" i="4"/>
  <c r="F1278" i="4" s="1"/>
  <c r="F1280" i="4"/>
  <c r="F1281" i="4"/>
  <c r="F1282" i="4"/>
  <c r="F1285" i="4"/>
  <c r="F1286" i="4"/>
  <c r="F1287" i="4"/>
  <c r="F1290" i="4"/>
  <c r="F1291" i="4" s="1"/>
  <c r="F1293" i="4"/>
  <c r="F1294" i="4" s="1"/>
  <c r="F1296" i="4"/>
  <c r="F1297" i="4"/>
  <c r="F1300" i="4"/>
  <c r="F1301" i="4" s="1"/>
  <c r="F1303" i="4"/>
  <c r="F1304" i="4"/>
  <c r="F1305" i="4"/>
  <c r="F1306" i="4"/>
  <c r="F1309" i="4"/>
  <c r="F1310" i="4"/>
  <c r="F1311" i="4"/>
  <c r="F1312" i="4"/>
  <c r="F1315" i="4"/>
  <c r="F1316" i="4"/>
  <c r="F1317" i="4"/>
  <c r="F1318" i="4"/>
  <c r="F1319" i="4"/>
  <c r="F1320" i="4"/>
  <c r="F1321" i="4"/>
  <c r="F1322" i="4"/>
  <c r="F1325" i="4"/>
  <c r="F1326" i="4" s="1"/>
  <c r="F1328" i="4"/>
  <c r="F1329" i="4" s="1"/>
  <c r="F1331" i="4"/>
  <c r="F1332" i="4" s="1"/>
  <c r="F1334" i="4"/>
  <c r="F1335" i="4"/>
  <c r="F1338" i="4"/>
  <c r="F1339" i="4"/>
  <c r="F1340" i="4"/>
  <c r="F1341" i="4"/>
  <c r="F1342" i="4"/>
  <c r="F1345" i="4"/>
  <c r="F1346" i="4" s="1"/>
  <c r="F1348" i="4"/>
  <c r="F1349" i="4"/>
  <c r="F1350" i="4"/>
  <c r="F1351" i="4"/>
  <c r="F1352" i="4"/>
  <c r="F1355" i="4"/>
  <c r="F1356" i="4" s="1"/>
  <c r="F1358" i="4"/>
  <c r="F1359" i="4"/>
  <c r="F1360" i="4"/>
  <c r="F1363" i="4"/>
  <c r="F1364" i="4"/>
  <c r="F1365" i="4"/>
  <c r="F1368" i="4"/>
  <c r="F1369" i="4"/>
  <c r="F1370" i="4"/>
  <c r="F1373" i="4"/>
  <c r="F1374" i="4"/>
  <c r="F1377" i="4"/>
  <c r="F1378" i="4"/>
  <c r="F1381" i="4"/>
  <c r="F1382" i="4" s="1"/>
  <c r="F1384" i="4"/>
  <c r="F1385" i="4" s="1"/>
  <c r="F1387" i="4"/>
  <c r="F1388" i="4" s="1"/>
  <c r="F1390" i="4"/>
  <c r="F1391" i="4" s="1"/>
  <c r="F1393" i="4"/>
  <c r="F1394" i="4"/>
  <c r="F1395" i="4"/>
  <c r="F1399" i="4"/>
  <c r="F1400" i="4"/>
  <c r="F1401" i="4"/>
  <c r="F1404" i="4"/>
  <c r="F1405" i="4"/>
  <c r="F1406" i="4"/>
  <c r="F1407" i="4"/>
  <c r="F1410" i="4"/>
  <c r="F1411" i="4" s="1"/>
  <c r="F1413" i="4"/>
  <c r="F1414" i="4" s="1"/>
  <c r="F1416" i="4"/>
  <c r="F1417" i="4" s="1"/>
  <c r="F1419" i="4"/>
  <c r="F1420" i="4" s="1"/>
  <c r="F1422" i="4"/>
  <c r="F1423" i="4" s="1"/>
  <c r="F1425" i="4"/>
  <c r="F1426" i="4" s="1"/>
  <c r="F1428" i="4"/>
  <c r="F1429" i="4"/>
  <c r="F1432" i="4"/>
  <c r="F1433" i="4" s="1"/>
  <c r="F1435" i="4"/>
  <c r="F1436" i="4" s="1"/>
  <c r="F1438" i="4"/>
  <c r="F1439" i="4" s="1"/>
  <c r="F1441" i="4"/>
  <c r="F1442" i="4" s="1"/>
  <c r="F1444" i="4"/>
  <c r="F1445" i="4" s="1"/>
  <c r="F1447" i="4"/>
  <c r="F1448" i="4" s="1"/>
  <c r="F1450" i="4"/>
  <c r="F1451" i="4" s="1"/>
  <c r="F1453" i="4"/>
  <c r="F1454" i="4"/>
  <c r="F1457" i="4"/>
  <c r="F1458" i="4" s="1"/>
  <c r="F1070" i="4"/>
  <c r="F1013" i="4"/>
  <c r="F1014" i="4" s="1"/>
  <c r="F1016" i="4"/>
  <c r="F1017" i="4" s="1"/>
  <c r="F1019" i="4"/>
  <c r="F1020" i="4" s="1"/>
  <c r="F1022" i="4"/>
  <c r="F1023" i="4" s="1"/>
  <c r="F1025" i="4"/>
  <c r="F1026" i="4" s="1"/>
  <c r="F1028" i="4"/>
  <c r="F1029" i="4" s="1"/>
  <c r="F1031" i="4"/>
  <c r="F1032" i="4" s="1"/>
  <c r="F1034" i="4"/>
  <c r="F1035" i="4" s="1"/>
  <c r="F1037" i="4"/>
  <c r="F1038" i="4" s="1"/>
  <c r="F1040" i="4"/>
  <c r="F1041" i="4"/>
  <c r="F1042" i="4"/>
  <c r="F1043" i="4"/>
  <c r="F1046" i="4"/>
  <c r="F1047" i="4"/>
  <c r="F1048" i="4"/>
  <c r="F1051" i="4"/>
  <c r="F1052" i="4" s="1"/>
  <c r="F1054" i="4"/>
  <c r="F1055" i="4"/>
  <c r="F1058" i="4"/>
  <c r="F1059" i="4" s="1"/>
  <c r="F1061" i="4"/>
  <c r="F1062" i="4"/>
  <c r="F1063" i="4"/>
  <c r="F1064" i="4"/>
  <c r="F1067" i="4"/>
  <c r="F1068" i="4"/>
  <c r="F1069" i="4"/>
  <c r="F1073" i="4"/>
  <c r="F1074" i="4"/>
  <c r="F1075" i="4"/>
  <c r="F1076" i="4"/>
  <c r="F1079" i="4"/>
  <c r="F1080" i="4" s="1"/>
  <c r="F1082" i="4"/>
  <c r="F1083" i="4" s="1"/>
  <c r="F1085" i="4"/>
  <c r="F1086" i="4"/>
  <c r="F1087" i="4"/>
  <c r="F1090" i="4"/>
  <c r="F1091" i="4"/>
  <c r="F1092" i="4"/>
  <c r="F1095" i="4"/>
  <c r="F1096" i="4"/>
  <c r="F1099" i="4"/>
  <c r="F1100" i="4"/>
  <c r="F1103" i="4"/>
  <c r="F1104" i="4" s="1"/>
  <c r="F1106" i="4"/>
  <c r="F1107" i="4" s="1"/>
  <c r="F1109" i="4"/>
  <c r="F1110" i="4"/>
  <c r="F1111" i="4"/>
  <c r="F1112" i="4"/>
  <c r="F1115" i="4"/>
  <c r="F1116" i="4"/>
  <c r="F1117" i="4"/>
  <c r="F1118" i="4"/>
  <c r="F1121" i="4"/>
  <c r="F1122" i="4"/>
  <c r="F1125" i="4"/>
  <c r="F1126" i="4"/>
  <c r="F1127" i="4"/>
  <c r="F1130" i="4"/>
  <c r="F1131" i="4" s="1"/>
  <c r="F1133" i="4"/>
  <c r="F1134" i="4" s="1"/>
  <c r="F1136" i="4"/>
  <c r="F1137" i="4"/>
  <c r="F1140" i="4"/>
  <c r="F1141" i="4"/>
  <c r="F1142" i="4"/>
  <c r="F1143" i="4"/>
  <c r="F1144" i="4"/>
  <c r="F1145" i="4"/>
  <c r="F1148" i="4"/>
  <c r="F1149" i="4"/>
  <c r="F1152" i="4"/>
  <c r="F1153" i="4"/>
  <c r="F1154" i="4"/>
  <c r="F1155" i="4"/>
  <c r="F1158" i="4"/>
  <c r="F1159" i="4" s="1"/>
  <c r="F1161" i="4"/>
  <c r="F1162" i="4"/>
  <c r="F1165" i="4"/>
  <c r="F1166" i="4" s="1"/>
  <c r="F1168" i="4"/>
  <c r="F1169" i="4"/>
  <c r="F1172" i="4"/>
  <c r="F1173" i="4"/>
  <c r="F1174" i="4"/>
  <c r="F1177" i="4"/>
  <c r="F1178" i="4" s="1"/>
  <c r="F1180" i="4"/>
  <c r="F1181" i="4" s="1"/>
  <c r="F1183" i="4"/>
  <c r="F1184" i="4"/>
  <c r="F1185" i="4"/>
  <c r="F1186" i="4"/>
  <c r="F1189" i="4"/>
  <c r="F1190" i="4" s="1"/>
  <c r="F1192" i="4"/>
  <c r="F1193" i="4" s="1"/>
  <c r="F1195" i="4"/>
  <c r="F1196" i="4" s="1"/>
  <c r="F1198" i="4"/>
  <c r="F1199" i="4" s="1"/>
  <c r="F1201" i="4"/>
  <c r="F1202" i="4" s="1"/>
  <c r="F1204" i="4"/>
  <c r="F1205" i="4" s="1"/>
  <c r="F1207" i="4"/>
  <c r="F1208" i="4" s="1"/>
  <c r="F1210" i="4"/>
  <c r="F1211" i="4" s="1"/>
  <c r="F1213" i="4"/>
  <c r="F1214" i="4"/>
  <c r="F1215" i="4"/>
  <c r="F1216" i="4"/>
  <c r="F1219" i="4"/>
  <c r="F1220" i="4" s="1"/>
  <c r="F1222" i="4"/>
  <c r="F1223" i="4" s="1"/>
  <c r="F1225" i="4"/>
  <c r="F1226" i="4"/>
  <c r="F1229" i="4"/>
  <c r="F1230" i="4" s="1"/>
  <c r="F1232" i="4"/>
  <c r="F1233" i="4" s="1"/>
  <c r="F1235" i="4"/>
  <c r="F1236" i="4" s="1"/>
  <c r="F1238" i="4"/>
  <c r="F1239" i="4"/>
  <c r="F1240" i="4"/>
  <c r="F1243" i="4"/>
  <c r="F1244" i="4" s="1"/>
  <c r="F1246" i="4"/>
  <c r="F1247" i="4"/>
  <c r="F1007" i="4"/>
  <c r="F1008" i="4" s="1"/>
  <c r="F1010" i="4"/>
  <c r="F1011" i="4" s="1"/>
  <c r="F278" i="4"/>
  <c r="F279" i="4"/>
  <c r="F907" i="4"/>
  <c r="F1379" i="4" l="1"/>
  <c r="F1402" i="4"/>
  <c r="F1283" i="4"/>
  <c r="F1366" i="4"/>
  <c r="F1248" i="4"/>
  <c r="F1336" i="4"/>
  <c r="F1375" i="4"/>
  <c r="F1255" i="4"/>
  <c r="F1361" i="4"/>
  <c r="F1288" i="4"/>
  <c r="F1371" i="4"/>
  <c r="F1266" i="4"/>
  <c r="F1455" i="4"/>
  <c r="F1343" i="4"/>
  <c r="F1298" i="4"/>
  <c r="F1313" i="4" a="1"/>
  <c r="F1313" i="4" s="1"/>
  <c r="F1430" i="4"/>
  <c r="F1353" i="4"/>
  <c r="F1396" i="4"/>
  <c r="F1408" i="4"/>
  <c r="F1307" i="4"/>
  <c r="F1323" i="4"/>
  <c r="F1138" i="4"/>
  <c r="F1150" i="4"/>
  <c r="F1123" i="4"/>
  <c r="F1065" i="4"/>
  <c r="F1077" i="4"/>
  <c r="F1093" i="4"/>
  <c r="F1227" i="4"/>
  <c r="F1128" i="4"/>
  <c r="F1170" i="4"/>
  <c r="F1163" i="4"/>
  <c r="F1088" i="4"/>
  <c r="F1056" i="4"/>
  <c r="F1044" i="4"/>
  <c r="F1217" i="4"/>
  <c r="F1175" i="4"/>
  <c r="F1071" i="4"/>
  <c r="F1097" i="4"/>
  <c r="F1156" i="4"/>
  <c r="F1146" i="4"/>
  <c r="F1119" i="4"/>
  <c r="F1187" i="4"/>
  <c r="F1113" i="4"/>
  <c r="F1049" i="4"/>
  <c r="F1101" i="4"/>
  <c r="F1241" i="4"/>
  <c r="F785" i="4"/>
  <c r="F786" i="4" s="1"/>
  <c r="F642" i="4"/>
  <c r="F643" i="4"/>
  <c r="G2176" i="3"/>
  <c r="F2170" i="3" l="1"/>
  <c r="F2171" i="3"/>
  <c r="F2172" i="3"/>
  <c r="F2173" i="3"/>
  <c r="F2160" i="3"/>
  <c r="F2162" i="3"/>
  <c r="F2167" i="3" s="1"/>
  <c r="F2163" i="3"/>
  <c r="F2164" i="3"/>
  <c r="F2165" i="3"/>
  <c r="F2166" i="3"/>
  <c r="F2169" i="3"/>
  <c r="F2174" i="3" s="1"/>
  <c r="F2149" i="3"/>
  <c r="F2150" i="3" s="1"/>
  <c r="F2152" i="3"/>
  <c r="F2153" i="3"/>
  <c r="F2156" i="3"/>
  <c r="F2157" i="3" s="1"/>
  <c r="F2159" i="3"/>
  <c r="F2124" i="3"/>
  <c r="F2125" i="3"/>
  <c r="F2126" i="3"/>
  <c r="F2129" i="3"/>
  <c r="F2130" i="3" s="1"/>
  <c r="F2132" i="3"/>
  <c r="F2133" i="3" s="1"/>
  <c r="F2135" i="3"/>
  <c r="F2136" i="3"/>
  <c r="F2137" i="3"/>
  <c r="F2140" i="3"/>
  <c r="F2141" i="3" s="1"/>
  <c r="F2143" i="3"/>
  <c r="F2144" i="3" s="1"/>
  <c r="F2146" i="3"/>
  <c r="F2147" i="3" s="1"/>
  <c r="F2117" i="3"/>
  <c r="F2118" i="3" s="1"/>
  <c r="F2120" i="3"/>
  <c r="F2121" i="3"/>
  <c r="F2107" i="3"/>
  <c r="F2108" i="3" s="1"/>
  <c r="F2110" i="3"/>
  <c r="F2111" i="3"/>
  <c r="F2112" i="3"/>
  <c r="F2113" i="3"/>
  <c r="F2114" i="3"/>
  <c r="F2104" i="3"/>
  <c r="F2105" i="3" s="1"/>
  <c r="F2079" i="3"/>
  <c r="F2154" i="3" l="1"/>
  <c r="F2127" i="3"/>
  <c r="F2115" i="3"/>
  <c r="F2138" i="3"/>
  <c r="F2122" i="3"/>
  <c r="F36" i="17" l="1"/>
  <c r="F37" i="17"/>
  <c r="F38" i="17"/>
  <c r="F41" i="17"/>
  <c r="F42" i="17"/>
  <c r="F35" i="17"/>
  <c r="F13" i="17"/>
  <c r="F2067" i="3"/>
  <c r="F2069" i="3" s="1"/>
  <c r="F2068" i="3"/>
  <c r="F2071" i="3"/>
  <c r="F2072" i="3"/>
  <c r="F2073" i="3"/>
  <c r="F2076" i="3"/>
  <c r="F2077" i="3" s="1"/>
  <c r="F2080" i="3"/>
  <c r="F2082" i="3" s="1"/>
  <c r="F2081" i="3"/>
  <c r="F2084" i="3"/>
  <c r="F2086" i="3" s="1"/>
  <c r="F2085" i="3"/>
  <c r="F2088" i="3"/>
  <c r="F2089" i="3" s="1"/>
  <c r="F2091" i="3"/>
  <c r="F2092" i="3" s="1"/>
  <c r="F2094" i="3"/>
  <c r="F2095" i="3" s="1"/>
  <c r="F2097" i="3"/>
  <c r="F2098" i="3"/>
  <c r="F2101" i="3"/>
  <c r="F2102" i="3" s="1"/>
  <c r="F2064" i="3"/>
  <c r="F2063" i="3"/>
  <c r="F2041" i="3"/>
  <c r="F2042" i="3"/>
  <c r="F2043" i="3"/>
  <c r="F2046" i="3"/>
  <c r="F2047" i="3"/>
  <c r="F2048" i="3"/>
  <c r="F2049" i="3"/>
  <c r="F2050" i="3"/>
  <c r="F2053" i="3"/>
  <c r="F2054" i="3"/>
  <c r="F2055" i="3"/>
  <c r="F2056" i="3"/>
  <c r="F2059" i="3"/>
  <c r="F2065" i="3" s="1"/>
  <c r="F2060" i="3"/>
  <c r="F2061" i="3"/>
  <c r="F2062" i="3"/>
  <c r="F1966" i="3"/>
  <c r="F1967" i="3" s="1"/>
  <c r="F1969" i="3"/>
  <c r="F1970" i="3"/>
  <c r="F1973" i="3"/>
  <c r="F1974" i="3" s="1"/>
  <c r="F1976" i="3"/>
  <c r="F1977" i="3" s="1"/>
  <c r="F1979" i="3"/>
  <c r="F1980" i="3"/>
  <c r="F1981" i="3"/>
  <c r="F1982" i="3"/>
  <c r="F1983" i="3"/>
  <c r="F1984" i="3"/>
  <c r="F1987" i="3"/>
  <c r="F1989" i="3" s="1"/>
  <c r="F1988" i="3"/>
  <c r="F1991" i="3"/>
  <c r="F1992" i="3"/>
  <c r="F1993" i="3"/>
  <c r="F1994" i="3"/>
  <c r="F1997" i="3"/>
  <c r="F1998" i="3" s="1"/>
  <c r="F2000" i="3"/>
  <c r="F2001" i="3" s="1"/>
  <c r="F2003" i="3"/>
  <c r="F2004" i="3" s="1"/>
  <c r="F2006" i="3"/>
  <c r="F2007" i="3"/>
  <c r="F2009" i="3" s="1"/>
  <c r="F2008" i="3"/>
  <c r="F2011" i="3"/>
  <c r="F2012" i="3" s="1"/>
  <c r="F2014" i="3"/>
  <c r="F2015" i="3"/>
  <c r="F2016" i="3" s="1"/>
  <c r="F2018" i="3"/>
  <c r="F2022" i="3" s="1"/>
  <c r="F2019" i="3"/>
  <c r="F2020" i="3"/>
  <c r="F2021" i="3"/>
  <c r="F2024" i="3"/>
  <c r="F2025" i="3" s="1"/>
  <c r="F2027" i="3"/>
  <c r="F2028" i="3"/>
  <c r="F2029" i="3"/>
  <c r="F2032" i="3"/>
  <c r="F2033" i="3"/>
  <c r="F2036" i="3"/>
  <c r="F2037" i="3" s="1"/>
  <c r="F2039" i="3"/>
  <c r="F2040" i="3"/>
  <c r="F43" i="17" l="1"/>
  <c r="F1971" i="3"/>
  <c r="F2030" i="3"/>
  <c r="F2057" i="3"/>
  <c r="F2044" i="3"/>
  <c r="F1995" i="3"/>
  <c r="F1985" i="3"/>
  <c r="F2051" i="3"/>
  <c r="F2034" i="3"/>
  <c r="F2074" i="3"/>
  <c r="F2099" i="3"/>
  <c r="F1894" i="3"/>
  <c r="F1895" i="3" s="1"/>
  <c r="F1897" i="3"/>
  <c r="F1898" i="3" s="1"/>
  <c r="F1879" i="3"/>
  <c r="F1880" i="3" s="1"/>
  <c r="F1882" i="3"/>
  <c r="F1883" i="3" s="1"/>
  <c r="F1900" i="3"/>
  <c r="F1901" i="3" s="1"/>
  <c r="F1903" i="3"/>
  <c r="F1904" i="3" s="1"/>
  <c r="F1906" i="3"/>
  <c r="F1907" i="3" s="1"/>
  <c r="F1909" i="3"/>
  <c r="F1910" i="3" s="1"/>
  <c r="F1912" i="3"/>
  <c r="F1913" i="3" s="1"/>
  <c r="F1915" i="3"/>
  <c r="F1916" i="3" s="1"/>
  <c r="F1918" i="3"/>
  <c r="F1919" i="3"/>
  <c r="F1922" i="3"/>
  <c r="F1923" i="3"/>
  <c r="F1924" i="3"/>
  <c r="F1925" i="3"/>
  <c r="F1926" i="3"/>
  <c r="F1929" i="3"/>
  <c r="F1930" i="3" s="1"/>
  <c r="F1932" i="3"/>
  <c r="F1933" i="3" s="1"/>
  <c r="F1935" i="3"/>
  <c r="F1936" i="3" s="1"/>
  <c r="F1938" i="3"/>
  <c r="F1939" i="3" s="1"/>
  <c r="F1941" i="3"/>
  <c r="F1942" i="3" s="1"/>
  <c r="F1944" i="3"/>
  <c r="F1945" i="3" s="1"/>
  <c r="F1947" i="3"/>
  <c r="F1948" i="3" s="1"/>
  <c r="F1950" i="3"/>
  <c r="F1951" i="3" s="1"/>
  <c r="F1953" i="3"/>
  <c r="F1954" i="3" s="1"/>
  <c r="F1956" i="3"/>
  <c r="F1957" i="3" s="1"/>
  <c r="F1959" i="3"/>
  <c r="F1960" i="3" s="1"/>
  <c r="F1962" i="3"/>
  <c r="F1963" i="3"/>
  <c r="F1964" i="3" l="1"/>
  <c r="F1927" i="3"/>
  <c r="F1920" i="3"/>
  <c r="F1699" i="3"/>
  <c r="F1700" i="3" s="1"/>
  <c r="F1702" i="3"/>
  <c r="F1704" i="3" s="1"/>
  <c r="F1703" i="3"/>
  <c r="F1706" i="3"/>
  <c r="F1707" i="3" s="1"/>
  <c r="F1709" i="3"/>
  <c r="F1710" i="3" s="1"/>
  <c r="F1712" i="3"/>
  <c r="F1713" i="3"/>
  <c r="F1716" i="3"/>
  <c r="F1717" i="3"/>
  <c r="F1718" i="3"/>
  <c r="F1721" i="3"/>
  <c r="F1722" i="3" s="1"/>
  <c r="F1724" i="3"/>
  <c r="F1725" i="3" s="1"/>
  <c r="F1727" i="3"/>
  <c r="F1728" i="3"/>
  <c r="F1729" i="3"/>
  <c r="F1730" i="3"/>
  <c r="F1731" i="3"/>
  <c r="F1734" i="3"/>
  <c r="F1735" i="3"/>
  <c r="F1736" i="3"/>
  <c r="F1737" i="3"/>
  <c r="F1738" i="3"/>
  <c r="F1741" i="3"/>
  <c r="F1742" i="3"/>
  <c r="F1745" i="3"/>
  <c r="F1746" i="3" s="1"/>
  <c r="F1748" i="3"/>
  <c r="F1749" i="3" s="1"/>
  <c r="F1751" i="3"/>
  <c r="F1752" i="3" s="1"/>
  <c r="F1754" i="3"/>
  <c r="F1755" i="3" s="1"/>
  <c r="F1757" i="3"/>
  <c r="F1758" i="3" s="1"/>
  <c r="F1760" i="3"/>
  <c r="F1761" i="3"/>
  <c r="F1764" i="3"/>
  <c r="F1765" i="3" s="1"/>
  <c r="F1767" i="3"/>
  <c r="F1768" i="3" s="1"/>
  <c r="F1770" i="3"/>
  <c r="F1771" i="3"/>
  <c r="F1774" i="3"/>
  <c r="F1775" i="3"/>
  <c r="F1776" i="3"/>
  <c r="F1777" i="3"/>
  <c r="F1778" i="3"/>
  <c r="F1779" i="3"/>
  <c r="F1782" i="3"/>
  <c r="F1783" i="3" s="1"/>
  <c r="F1785" i="3"/>
  <c r="F1786" i="3" s="1"/>
  <c r="F1788" i="3"/>
  <c r="F1789" i="3" s="1"/>
  <c r="F1791" i="3"/>
  <c r="F1792" i="3" s="1"/>
  <c r="F1794" i="3"/>
  <c r="F1795" i="3" s="1"/>
  <c r="F1797" i="3"/>
  <c r="F1798" i="3" s="1"/>
  <c r="F1800" i="3"/>
  <c r="F1801" i="3" s="1"/>
  <c r="F1803" i="3"/>
  <c r="F1804" i="3" s="1"/>
  <c r="F1806" i="3"/>
  <c r="F1807" i="3" s="1"/>
  <c r="F1809" i="3"/>
  <c r="F1810" i="3" s="1"/>
  <c r="F1812" i="3"/>
  <c r="F1813" i="3" s="1"/>
  <c r="F1815" i="3"/>
  <c r="F1816" i="3" s="1"/>
  <c r="F1818" i="3"/>
  <c r="F1819" i="3"/>
  <c r="F1822" i="3"/>
  <c r="F1823" i="3"/>
  <c r="F1824" i="3"/>
  <c r="F1827" i="3"/>
  <c r="F1828" i="3"/>
  <c r="F1829" i="3"/>
  <c r="F1830" i="3"/>
  <c r="F1833" i="3"/>
  <c r="F1834" i="3"/>
  <c r="F1835" i="3"/>
  <c r="F1838" i="3"/>
  <c r="F1839" i="3" s="1"/>
  <c r="F1841" i="3"/>
  <c r="F1842" i="3"/>
  <c r="F1843" i="3"/>
  <c r="F1846" i="3"/>
  <c r="F1847" i="3"/>
  <c r="F1848" i="3"/>
  <c r="F1849" i="3"/>
  <c r="F1850" i="3"/>
  <c r="F1851" i="3"/>
  <c r="F1852" i="3"/>
  <c r="F1853" i="3"/>
  <c r="F1856" i="3"/>
  <c r="F1857" i="3" s="1"/>
  <c r="F1859" i="3"/>
  <c r="F1860" i="3"/>
  <c r="F1861" i="3"/>
  <c r="F1864" i="3"/>
  <c r="F1865" i="3" s="1"/>
  <c r="F1867" i="3"/>
  <c r="F1868" i="3"/>
  <c r="F1871" i="3"/>
  <c r="F1872" i="3" s="1"/>
  <c r="F1874" i="3"/>
  <c r="F1875" i="3"/>
  <c r="F1876" i="3"/>
  <c r="F1885" i="3"/>
  <c r="F1886" i="3"/>
  <c r="F1889" i="3"/>
  <c r="F1890" i="3"/>
  <c r="F1891" i="3"/>
  <c r="F1719" i="3" l="1"/>
  <c r="F1743" i="3"/>
  <c r="F1714" i="3"/>
  <c r="F1780" i="3"/>
  <c r="F1772" i="3"/>
  <c r="F1762" i="3"/>
  <c r="F1739" i="3"/>
  <c r="F1732" i="3"/>
  <c r="F1892" i="3"/>
  <c r="F1887" i="3"/>
  <c r="F1869" i="3"/>
  <c r="F1862" i="3"/>
  <c r="F1844" i="3"/>
  <c r="F1877" i="3"/>
  <c r="F1854" i="3"/>
  <c r="F1831" i="3"/>
  <c r="F1825" i="3"/>
  <c r="F1820" i="3"/>
  <c r="F1836" i="3"/>
  <c r="F1334" i="3" l="1"/>
  <c r="F1335" i="3" s="1"/>
  <c r="F731" i="3" l="1"/>
  <c r="F633" i="3"/>
  <c r="F634" i="3" s="1"/>
  <c r="F578" i="3" l="1"/>
  <c r="F563" i="3" l="1"/>
  <c r="F564" i="3"/>
  <c r="F565" i="3"/>
  <c r="F566" i="3" l="1"/>
  <c r="F1874" i="2"/>
  <c r="F1875" i="2"/>
  <c r="F1876" i="2"/>
  <c r="F1859" i="2"/>
  <c r="F1860" i="2"/>
  <c r="F1861" i="2"/>
  <c r="F1864" i="2"/>
  <c r="F1865" i="2"/>
  <c r="F1866" i="2"/>
  <c r="F1867" i="2"/>
  <c r="F1870" i="2"/>
  <c r="F1871" i="2"/>
  <c r="F1813" i="2"/>
  <c r="F1814" i="2" s="1"/>
  <c r="F1816" i="2"/>
  <c r="F1817" i="2" s="1"/>
  <c r="F1819" i="2"/>
  <c r="F1820" i="2" s="1"/>
  <c r="F1822" i="2"/>
  <c r="F1823" i="2"/>
  <c r="F1826" i="2"/>
  <c r="F1827" i="2" s="1"/>
  <c r="F1829" i="2"/>
  <c r="F1830" i="2" s="1"/>
  <c r="F1832" i="2"/>
  <c r="F1833" i="2" s="1"/>
  <c r="F1835" i="2"/>
  <c r="F1836" i="2" s="1"/>
  <c r="F1838" i="2"/>
  <c r="F1839" i="2" s="1"/>
  <c r="F1841" i="2"/>
  <c r="F1842" i="2"/>
  <c r="F1845" i="2"/>
  <c r="F1846" i="2"/>
  <c r="F1847" i="2"/>
  <c r="F1848" i="2"/>
  <c r="F1851" i="2"/>
  <c r="F1852" i="2"/>
  <c r="F1853" i="2"/>
  <c r="F1854" i="2"/>
  <c r="F1855" i="2"/>
  <c r="F1856" i="2"/>
  <c r="F1789" i="2"/>
  <c r="F1790" i="2"/>
  <c r="F1793" i="2"/>
  <c r="F1794" i="2" s="1"/>
  <c r="F1796" i="2"/>
  <c r="F1797" i="2" s="1"/>
  <c r="F1799" i="2"/>
  <c r="F1800" i="2" s="1"/>
  <c r="F1802" i="2"/>
  <c r="F1803" i="2"/>
  <c r="F1804" i="2"/>
  <c r="F1807" i="2"/>
  <c r="F1808" i="2" s="1"/>
  <c r="F1810" i="2"/>
  <c r="F1811" i="2" s="1"/>
  <c r="F1769" i="2"/>
  <c r="F1770" i="2" s="1"/>
  <c r="F1772" i="2"/>
  <c r="F1773" i="2" s="1"/>
  <c r="F1775" i="2"/>
  <c r="F1776" i="2" s="1"/>
  <c r="F1778" i="2"/>
  <c r="F1779" i="2"/>
  <c r="F1782" i="2"/>
  <c r="F1783" i="2" s="1"/>
  <c r="F1785" i="2"/>
  <c r="F1786" i="2"/>
  <c r="F1872" i="2" l="1"/>
  <c r="F1857" i="2"/>
  <c r="F1868" i="2"/>
  <c r="F1862" i="2"/>
  <c r="F1877" i="2"/>
  <c r="F1843" i="2"/>
  <c r="F1824" i="2"/>
  <c r="F1849" i="2"/>
  <c r="F1787" i="2"/>
  <c r="F1805" i="2"/>
  <c r="F1791" i="2"/>
  <c r="F1780" i="2"/>
  <c r="F1744" i="2"/>
  <c r="F1745" i="2"/>
  <c r="F1748" i="2"/>
  <c r="F1749" i="2"/>
  <c r="F1752" i="2"/>
  <c r="F1753" i="2"/>
  <c r="F1754" i="2"/>
  <c r="F1757" i="2"/>
  <c r="F1758" i="2" s="1"/>
  <c r="F1760" i="2"/>
  <c r="F1761" i="2"/>
  <c r="F1762" i="2"/>
  <c r="F1765" i="2"/>
  <c r="F1766" i="2"/>
  <c r="F1738" i="2"/>
  <c r="F1739" i="2"/>
  <c r="F1740" i="2"/>
  <c r="F1741" i="2"/>
  <c r="F1427" i="2"/>
  <c r="F1428" i="2" s="1"/>
  <c r="F1767" i="2" l="1"/>
  <c r="F1750" i="2"/>
  <c r="F1746" i="2"/>
  <c r="F1742" i="2"/>
  <c r="F1763" i="2"/>
  <c r="F1755" i="2"/>
  <c r="B13" i="16"/>
  <c r="A13" i="16"/>
  <c r="F1607" i="2" l="1"/>
  <c r="F1409" i="2" l="1"/>
  <c r="F1410" i="2" s="1"/>
  <c r="F1258" i="2" l="1"/>
  <c r="F1259" i="2"/>
  <c r="F578" i="2" l="1"/>
  <c r="F579" i="2"/>
  <c r="F571" i="2"/>
  <c r="F572" i="2"/>
  <c r="F575" i="2"/>
  <c r="F576" i="2"/>
  <c r="F577" i="2"/>
  <c r="F580" i="2" l="1"/>
  <c r="F573" i="2"/>
  <c r="F380" i="2" l="1"/>
  <c r="F381" i="2" s="1"/>
  <c r="F8" i="17" l="1"/>
  <c r="F9" i="17"/>
  <c r="F10" i="17"/>
  <c r="F11" i="17"/>
  <c r="F12" i="17"/>
  <c r="F395" i="2"/>
  <c r="F396" i="2"/>
  <c r="F503" i="2"/>
  <c r="F504" i="2" s="1"/>
  <c r="F14" i="17" l="1"/>
  <c r="F397" i="2"/>
  <c r="F433" i="2"/>
  <c r="F434" i="2" s="1"/>
  <c r="G13" i="16" l="1"/>
  <c r="F1677" i="1" l="1"/>
  <c r="F1678" i="1"/>
  <c r="F1679" i="1" l="1"/>
  <c r="F1684" i="1"/>
  <c r="F1685" i="1"/>
  <c r="F1686" i="1" l="1"/>
  <c r="F1210" i="1"/>
  <c r="F1211" i="1"/>
  <c r="F1212" i="1"/>
  <c r="F1213" i="1"/>
  <c r="F1214" i="1" l="1"/>
  <c r="F1343" i="1"/>
  <c r="F1344" i="1"/>
  <c r="F1345" i="1"/>
  <c r="F1346" i="1"/>
  <c r="F1287" i="1"/>
  <c r="F1288" i="1" s="1"/>
  <c r="F1281" i="1"/>
  <c r="F1284" i="1"/>
  <c r="F1285" i="1" s="1"/>
  <c r="F1278" i="1"/>
  <c r="F1279" i="1"/>
  <c r="F1280" i="1"/>
  <c r="F1265" i="1"/>
  <c r="F1266" i="1" s="1"/>
  <c r="F1268" i="1"/>
  <c r="F1269" i="1"/>
  <c r="F1270" i="1"/>
  <c r="F1273" i="1"/>
  <c r="F1274" i="1"/>
  <c r="F1275" i="1"/>
  <c r="F1244" i="1"/>
  <c r="F1245" i="1" s="1"/>
  <c r="F1247" i="1"/>
  <c r="F1248" i="1" s="1"/>
  <c r="F1250" i="1"/>
  <c r="F1251" i="1" s="1"/>
  <c r="F1253" i="1"/>
  <c r="F1254" i="1" s="1"/>
  <c r="F1256" i="1"/>
  <c r="F1257" i="1" s="1"/>
  <c r="F1259" i="1"/>
  <c r="F1260" i="1" s="1"/>
  <c r="F1262" i="1"/>
  <c r="F1263" i="1" s="1"/>
  <c r="F1347" i="1" l="1"/>
  <c r="F1282" i="1"/>
  <c r="F1276" i="1"/>
  <c r="F1271" i="1"/>
  <c r="F1035" i="1" l="1"/>
  <c r="F1036" i="1" s="1"/>
  <c r="F1038" i="1"/>
  <c r="F1039" i="1" s="1"/>
  <c r="F1041" i="1"/>
  <c r="F1042" i="1"/>
  <c r="F1043" i="1"/>
  <c r="F1016" i="1"/>
  <c r="F1017" i="1" s="1"/>
  <c r="F1019" i="1"/>
  <c r="F1020" i="1" s="1"/>
  <c r="F1022" i="1"/>
  <c r="F1023" i="1" s="1"/>
  <c r="F1025" i="1"/>
  <c r="F1026" i="1"/>
  <c r="F1029" i="1"/>
  <c r="F1030" i="1" s="1"/>
  <c r="F1032" i="1"/>
  <c r="F1033" i="1" s="1"/>
  <c r="F1044" i="1" l="1"/>
  <c r="F1027" i="1"/>
  <c r="F709" i="1" l="1"/>
  <c r="F710" i="1"/>
  <c r="F711" i="1" s="1"/>
  <c r="F687" i="1"/>
  <c r="F688" i="1"/>
  <c r="F689" i="1"/>
  <c r="F692" i="1"/>
  <c r="F693" i="1" s="1"/>
  <c r="F667" i="1"/>
  <c r="F668" i="1" s="1"/>
  <c r="F670" i="1"/>
  <c r="F671" i="1" s="1"/>
  <c r="F673" i="1"/>
  <c r="F674" i="1"/>
  <c r="F675" i="1"/>
  <c r="F678" i="1"/>
  <c r="F679" i="1"/>
  <c r="F682" i="1"/>
  <c r="F683" i="1" s="1"/>
  <c r="F685" i="1"/>
  <c r="F686" i="1"/>
  <c r="F690" i="1" l="1"/>
  <c r="F680" i="1"/>
  <c r="F676" i="1"/>
  <c r="F664" i="1" l="1"/>
  <c r="F581" i="1" l="1"/>
  <c r="F582" i="1" s="1"/>
  <c r="F514" i="1"/>
  <c r="F515" i="1" s="1"/>
  <c r="F4" i="1" l="1"/>
  <c r="F7" i="1"/>
  <c r="F8" i="1"/>
  <c r="F9" i="1"/>
  <c r="F10" i="1"/>
  <c r="F11" i="1"/>
  <c r="F14" i="1"/>
  <c r="F15" i="1" s="1"/>
  <c r="F17" i="1"/>
  <c r="F18" i="1" s="1"/>
  <c r="F20" i="1"/>
  <c r="F21" i="1" s="1"/>
  <c r="F23" i="1"/>
  <c r="F24" i="1" s="1"/>
  <c r="F26" i="1"/>
  <c r="F27" i="1" s="1"/>
  <c r="F29" i="1"/>
  <c r="F30" i="1" s="1"/>
  <c r="F32" i="1"/>
  <c r="F33" i="1"/>
  <c r="F36" i="1"/>
  <c r="F37" i="1" s="1"/>
  <c r="F39" i="1"/>
  <c r="F40" i="1"/>
  <c r="F43" i="1"/>
  <c r="F44" i="1"/>
  <c r="F47" i="1"/>
  <c r="F48" i="1" s="1"/>
  <c r="F50" i="1"/>
  <c r="F51" i="1"/>
  <c r="F52" i="1"/>
  <c r="F55" i="1"/>
  <c r="F56" i="1"/>
  <c r="F57" i="1"/>
  <c r="F58" i="1"/>
  <c r="F59" i="1"/>
  <c r="F60" i="1"/>
  <c r="F61" i="1"/>
  <c r="F62" i="1"/>
  <c r="F65" i="1"/>
  <c r="F66" i="1" s="1"/>
  <c r="F68" i="1"/>
  <c r="F69" i="1" s="1"/>
  <c r="F71" i="1"/>
  <c r="F72" i="1" s="1"/>
  <c r="F74" i="1"/>
  <c r="F75" i="1" s="1"/>
  <c r="F77" i="1"/>
  <c r="F78" i="1" s="1"/>
  <c r="F80" i="1"/>
  <c r="F81" i="1"/>
  <c r="F84" i="1"/>
  <c r="F85" i="1" s="1"/>
  <c r="F87" i="1"/>
  <c r="F88" i="1" s="1"/>
  <c r="F90" i="1"/>
  <c r="F91" i="1"/>
  <c r="F92" i="1"/>
  <c r="F93" i="1"/>
  <c r="F94" i="1"/>
  <c r="F97" i="1"/>
  <c r="F98" i="1" s="1"/>
  <c r="F100" i="1"/>
  <c r="F101" i="1" s="1"/>
  <c r="F103" i="1"/>
  <c r="F104" i="1" s="1"/>
  <c r="F106" i="1"/>
  <c r="F107" i="1" s="1"/>
  <c r="F109" i="1"/>
  <c r="F110" i="1"/>
  <c r="F113" i="1"/>
  <c r="F114" i="1"/>
  <c r="F117" i="1"/>
  <c r="F118" i="1" s="1"/>
  <c r="F120" i="1"/>
  <c r="F121" i="1"/>
  <c r="F124" i="1"/>
  <c r="F125" i="1"/>
  <c r="F126" i="1"/>
  <c r="F127" i="1"/>
  <c r="F130" i="1"/>
  <c r="F131" i="1" s="1"/>
  <c r="F133" i="1"/>
  <c r="F134" i="1" s="1"/>
  <c r="F136" i="1"/>
  <c r="F137" i="1"/>
  <c r="F138" i="1"/>
  <c r="F139" i="1"/>
  <c r="F140" i="1"/>
  <c r="F143" i="1"/>
  <c r="F144" i="1"/>
  <c r="F145" i="1"/>
  <c r="F146" i="1"/>
  <c r="F147" i="1"/>
  <c r="F150" i="1"/>
  <c r="F151" i="1" s="1"/>
  <c r="F153" i="1"/>
  <c r="F154" i="1" s="1"/>
  <c r="F156" i="1"/>
  <c r="F157" i="1"/>
  <c r="F160" i="1"/>
  <c r="F161" i="1"/>
  <c r="F162" i="1"/>
  <c r="F165" i="1"/>
  <c r="F166" i="1" s="1"/>
  <c r="F168" i="1"/>
  <c r="F169" i="1"/>
  <c r="F172" i="1"/>
  <c r="F173" i="1"/>
  <c r="F174" i="1"/>
  <c r="F175" i="1"/>
  <c r="F176" i="1"/>
  <c r="F179" i="1"/>
  <c r="F180" i="1" s="1"/>
  <c r="F182" i="1"/>
  <c r="F183" i="1" s="1"/>
  <c r="F185" i="1"/>
  <c r="F186" i="1" s="1"/>
  <c r="F188" i="1"/>
  <c r="F189" i="1" s="1"/>
  <c r="F191" i="1"/>
  <c r="F192" i="1" s="1"/>
  <c r="F194" i="1"/>
  <c r="F195" i="1" s="1"/>
  <c r="F197" i="1"/>
  <c r="F198" i="1"/>
  <c r="F199" i="1"/>
  <c r="F202" i="1"/>
  <c r="F203" i="1"/>
  <c r="F204" i="1"/>
  <c r="F205" i="1"/>
  <c r="F206" i="1"/>
  <c r="F207" i="1"/>
  <c r="F210" i="1"/>
  <c r="F211" i="1"/>
  <c r="F212" i="1"/>
  <c r="F213" i="1"/>
  <c r="F216" i="1"/>
  <c r="F217" i="1" s="1"/>
  <c r="F219" i="1"/>
  <c r="F220" i="1" s="1"/>
  <c r="F222" i="1"/>
  <c r="F223" i="1" s="1"/>
  <c r="F225" i="1"/>
  <c r="F226" i="1"/>
  <c r="F229" i="1"/>
  <c r="F230" i="1" s="1"/>
  <c r="F232" i="1"/>
  <c r="F233" i="1" s="1"/>
  <c r="F235" i="1"/>
  <c r="F236" i="1" s="1"/>
  <c r="F238" i="1"/>
  <c r="F239" i="1"/>
  <c r="F240" i="1"/>
  <c r="F241" i="1"/>
  <c r="F244" i="1"/>
  <c r="F245" i="1" s="1"/>
  <c r="F247" i="1"/>
  <c r="F248" i="1"/>
  <c r="F249" i="1"/>
  <c r="F252" i="1"/>
  <c r="F253" i="1"/>
  <c r="F254" i="1"/>
  <c r="F255" i="1"/>
  <c r="F258" i="1"/>
  <c r="F259" i="1"/>
  <c r="F260" i="1"/>
  <c r="F263" i="1"/>
  <c r="F264" i="1"/>
  <c r="F265" i="1"/>
  <c r="F266" i="1"/>
  <c r="F269" i="1"/>
  <c r="F270" i="1" s="1"/>
  <c r="F272" i="1"/>
  <c r="F273" i="1" s="1"/>
  <c r="F275" i="1"/>
  <c r="F276" i="1" s="1"/>
  <c r="F278" i="1"/>
  <c r="F279" i="1" s="1"/>
  <c r="F281" i="1"/>
  <c r="F282" i="1"/>
  <c r="F285" i="1"/>
  <c r="F286" i="1" s="1"/>
  <c r="F288" i="1"/>
  <c r="F289" i="1"/>
  <c r="F292" i="1"/>
  <c r="F293" i="1" s="1"/>
  <c r="F295" i="1"/>
  <c r="F296" i="1"/>
  <c r="F297" i="1"/>
  <c r="F298" i="1"/>
  <c r="F299" i="1"/>
  <c r="F302" i="1"/>
  <c r="F303" i="1" s="1"/>
  <c r="F305" i="1"/>
  <c r="F306" i="1" s="1"/>
  <c r="F308" i="1"/>
  <c r="F309" i="1" s="1"/>
  <c r="F311" i="1"/>
  <c r="F312" i="1" s="1"/>
  <c r="F314" i="1"/>
  <c r="F315" i="1"/>
  <c r="F318" i="1"/>
  <c r="F319" i="1" s="1"/>
  <c r="F321" i="1"/>
  <c r="F322" i="1" s="1"/>
  <c r="F324" i="1"/>
  <c r="F325" i="1"/>
  <c r="F328" i="1"/>
  <c r="F329" i="1" s="1"/>
  <c r="F331" i="1"/>
  <c r="F332" i="1" s="1"/>
  <c r="F334" i="1"/>
  <c r="F335" i="1" s="1"/>
  <c r="F337" i="1"/>
  <c r="F338" i="1"/>
  <c r="F341" i="1"/>
  <c r="F342" i="1"/>
  <c r="F345" i="1"/>
  <c r="F346" i="1"/>
  <c r="F349" i="1"/>
  <c r="F350" i="1" s="1"/>
  <c r="F352" i="1"/>
  <c r="F353" i="1"/>
  <c r="F356" i="1"/>
  <c r="F357" i="1"/>
  <c r="F358" i="1"/>
  <c r="F359" i="1"/>
  <c r="F362" i="1"/>
  <c r="F363" i="1"/>
  <c r="F364" i="1"/>
  <c r="F367" i="1"/>
  <c r="F368" i="1"/>
  <c r="F369" i="1"/>
  <c r="F370" i="1"/>
  <c r="F373" i="1"/>
  <c r="F374" i="1" s="1"/>
  <c r="F376" i="1"/>
  <c r="F377" i="1" s="1"/>
  <c r="F379" i="1"/>
  <c r="F380" i="1"/>
  <c r="F381" i="1"/>
  <c r="F382" i="1"/>
  <c r="F385" i="1"/>
  <c r="F386" i="1" s="1"/>
  <c r="F388" i="1"/>
  <c r="F389" i="1"/>
  <c r="F392" i="1"/>
  <c r="F393" i="1" s="1"/>
  <c r="F395" i="1"/>
  <c r="F396" i="1" s="1"/>
  <c r="F398" i="1"/>
  <c r="F399" i="1" s="1"/>
  <c r="F401" i="1"/>
  <c r="F402" i="1"/>
  <c r="F403" i="1"/>
  <c r="F406" i="1"/>
  <c r="F407" i="1"/>
  <c r="F410" i="1"/>
  <c r="F411" i="1"/>
  <c r="F414" i="1"/>
  <c r="F415" i="1"/>
  <c r="F416" i="1"/>
  <c r="F419" i="1"/>
  <c r="F420" i="1" s="1"/>
  <c r="F422" i="1"/>
  <c r="F423" i="1"/>
  <c r="F424" i="1"/>
  <c r="F425" i="1"/>
  <c r="F428" i="1"/>
  <c r="F429" i="1"/>
  <c r="F432" i="1"/>
  <c r="F433" i="1" s="1"/>
  <c r="F435" i="1"/>
  <c r="F436" i="1" s="1"/>
  <c r="F438" i="1"/>
  <c r="F439" i="1" s="1"/>
  <c r="F441" i="1"/>
  <c r="F442" i="1" s="1"/>
  <c r="F444" i="1"/>
  <c r="F445" i="1" s="1"/>
  <c r="F447" i="1"/>
  <c r="F448" i="1" s="1"/>
  <c r="F450" i="1"/>
  <c r="F451" i="1"/>
  <c r="F452" i="1"/>
  <c r="F455" i="1"/>
  <c r="F456" i="1" s="1"/>
  <c r="F458" i="1"/>
  <c r="F459" i="1"/>
  <c r="F462" i="1"/>
  <c r="F463" i="1" s="1"/>
  <c r="F465" i="1"/>
  <c r="F466" i="1"/>
  <c r="F467" i="1"/>
  <c r="F468" i="1"/>
  <c r="F469" i="1"/>
  <c r="F472" i="1"/>
  <c r="F473" i="1" s="1"/>
  <c r="F475" i="1"/>
  <c r="F476" i="1" s="1"/>
  <c r="F478" i="1"/>
  <c r="F479" i="1" s="1"/>
  <c r="F481" i="1"/>
  <c r="F482" i="1" s="1"/>
  <c r="F484" i="1"/>
  <c r="F485" i="1" s="1"/>
  <c r="F487" i="1"/>
  <c r="F488" i="1" s="1"/>
  <c r="F490" i="1"/>
  <c r="F491" i="1" s="1"/>
  <c r="F493" i="1"/>
  <c r="F494" i="1"/>
  <c r="F495" i="1"/>
  <c r="F498" i="1"/>
  <c r="F499" i="1" s="1"/>
  <c r="F501" i="1"/>
  <c r="F502" i="1" s="1"/>
  <c r="F504" i="1"/>
  <c r="F505" i="1"/>
  <c r="F506" i="1"/>
  <c r="F507" i="1"/>
  <c r="F510" i="1"/>
  <c r="F511" i="1"/>
  <c r="F517" i="1"/>
  <c r="F518" i="1"/>
  <c r="F519" i="1"/>
  <c r="F522" i="1"/>
  <c r="F523" i="1"/>
  <c r="F526" i="1"/>
  <c r="F527" i="1"/>
  <c r="F528" i="1"/>
  <c r="F529" i="1"/>
  <c r="F530" i="1"/>
  <c r="F533" i="1"/>
  <c r="F534" i="1"/>
  <c r="F537" i="1"/>
  <c r="F538" i="1" s="1"/>
  <c r="F540" i="1"/>
  <c r="F541" i="1"/>
  <c r="F544" i="1"/>
  <c r="F545" i="1" s="1"/>
  <c r="F547" i="1"/>
  <c r="F548" i="1"/>
  <c r="F549" i="1"/>
  <c r="F552" i="1"/>
  <c r="F553" i="1" s="1"/>
  <c r="F555" i="1"/>
  <c r="F556" i="1"/>
  <c r="F559" i="1"/>
  <c r="F560" i="1" s="1"/>
  <c r="F562" i="1"/>
  <c r="F563" i="1" s="1"/>
  <c r="F565" i="1"/>
  <c r="F566" i="1" s="1"/>
  <c r="F568" i="1"/>
  <c r="F569" i="1" s="1"/>
  <c r="F571" i="1"/>
  <c r="F572" i="1" s="1"/>
  <c r="F574" i="1"/>
  <c r="F575" i="1"/>
  <c r="F578" i="1"/>
  <c r="F579" i="1" s="1"/>
  <c r="F584" i="1"/>
  <c r="F585" i="1" s="1"/>
  <c r="F587" i="1"/>
  <c r="F588" i="1" s="1"/>
  <c r="F590" i="1"/>
  <c r="F591" i="1" s="1"/>
  <c r="F593" i="1"/>
  <c r="F594" i="1" s="1"/>
  <c r="F596" i="1"/>
  <c r="F597" i="1"/>
  <c r="F598" i="1"/>
  <c r="F601" i="1"/>
  <c r="F602" i="1" s="1"/>
  <c r="F604" i="1"/>
  <c r="F605" i="1" s="1"/>
  <c r="F607" i="1"/>
  <c r="F608" i="1" s="1"/>
  <c r="F610" i="1"/>
  <c r="F611" i="1" s="1"/>
  <c r="F613" i="1"/>
  <c r="F614" i="1" s="1"/>
  <c r="F616" i="1"/>
  <c r="F617" i="1"/>
  <c r="F620" i="1"/>
  <c r="F621" i="1"/>
  <c r="F622" i="1"/>
  <c r="F623" i="1"/>
  <c r="F624" i="1"/>
  <c r="F625" i="1"/>
  <c r="F628" i="1"/>
  <c r="F629" i="1"/>
  <c r="F632" i="1"/>
  <c r="F633" i="1"/>
  <c r="F636" i="1"/>
  <c r="F637" i="1"/>
  <c r="F640" i="1"/>
  <c r="F641" i="1" s="1"/>
  <c r="F643" i="1"/>
  <c r="F644" i="1" s="1"/>
  <c r="F646" i="1"/>
  <c r="F647" i="1" s="1"/>
  <c r="F649" i="1"/>
  <c r="F650" i="1" s="1"/>
  <c r="F652" i="1"/>
  <c r="F653" i="1" s="1"/>
  <c r="F655" i="1"/>
  <c r="F656" i="1"/>
  <c r="F657" i="1"/>
  <c r="F660" i="1"/>
  <c r="F661" i="1"/>
  <c r="F662" i="1"/>
  <c r="F663" i="1"/>
  <c r="F695" i="1"/>
  <c r="F696" i="1" s="1"/>
  <c r="F698" i="1"/>
  <c r="F699" i="1" s="1"/>
  <c r="F701" i="1"/>
  <c r="F702" i="1" s="1"/>
  <c r="F704" i="1"/>
  <c r="F705" i="1"/>
  <c r="F706" i="1"/>
  <c r="F713" i="1"/>
  <c r="F714" i="1"/>
  <c r="F715" i="1"/>
  <c r="F716" i="1"/>
  <c r="F717" i="1"/>
  <c r="F718" i="1"/>
  <c r="F719" i="1"/>
  <c r="F720" i="1"/>
  <c r="F723" i="1"/>
  <c r="F724" i="1" s="1"/>
  <c r="F726" i="1"/>
  <c r="F727" i="1"/>
  <c r="F728" i="1"/>
  <c r="F729" i="1"/>
  <c r="F732" i="1"/>
  <c r="F733" i="1" s="1"/>
  <c r="F735" i="1"/>
  <c r="F736" i="1" s="1"/>
  <c r="F738" i="1"/>
  <c r="F739" i="1"/>
  <c r="F740" i="1"/>
  <c r="F743" i="1"/>
  <c r="F744" i="1"/>
  <c r="F747" i="1"/>
  <c r="F748" i="1"/>
  <c r="F751" i="1"/>
  <c r="F752" i="1"/>
  <c r="F755" i="1"/>
  <c r="F756" i="1" s="1"/>
  <c r="F758" i="1"/>
  <c r="F759" i="1" s="1"/>
  <c r="F761" i="1"/>
  <c r="F762" i="1"/>
  <c r="F763" i="1"/>
  <c r="F764" i="1"/>
  <c r="F767" i="1"/>
  <c r="F768" i="1" s="1"/>
  <c r="F770" i="1"/>
  <c r="F771" i="1" s="1"/>
  <c r="F773" i="1"/>
  <c r="F774" i="1" s="1"/>
  <c r="F776" i="1"/>
  <c r="F777" i="1" s="1"/>
  <c r="F779" i="1"/>
  <c r="F780" i="1"/>
  <c r="F783" i="1"/>
  <c r="F784" i="1" s="1"/>
  <c r="F786" i="1"/>
  <c r="F787" i="1" s="1"/>
  <c r="F789" i="1"/>
  <c r="F790" i="1" s="1"/>
  <c r="F792" i="1"/>
  <c r="F793" i="1" s="1"/>
  <c r="F795" i="1"/>
  <c r="F796" i="1"/>
  <c r="F799" i="1"/>
  <c r="F800" i="1" s="1"/>
  <c r="F802" i="1"/>
  <c r="F803" i="1" s="1"/>
  <c r="F805" i="1"/>
  <c r="F806" i="1"/>
  <c r="F809" i="1"/>
  <c r="F810" i="1" s="1"/>
  <c r="F812" i="1"/>
  <c r="F813" i="1" s="1"/>
  <c r="F815" i="1"/>
  <c r="F816" i="1" s="1"/>
  <c r="F818" i="1"/>
  <c r="F819" i="1" s="1"/>
  <c r="F821" i="1"/>
  <c r="F822" i="1" s="1"/>
  <c r="F824" i="1"/>
  <c r="F825" i="1"/>
  <c r="F826" i="1"/>
  <c r="F827" i="1"/>
  <c r="F830" i="1"/>
  <c r="F831" i="1"/>
  <c r="F834" i="1"/>
  <c r="F835" i="1" s="1"/>
  <c r="F837" i="1"/>
  <c r="F838" i="1"/>
  <c r="F839" i="1"/>
  <c r="F840" i="1"/>
  <c r="F843" i="1"/>
  <c r="F844" i="1"/>
  <c r="F847" i="1"/>
  <c r="F848" i="1" s="1"/>
  <c r="F850" i="1"/>
  <c r="F851" i="1" s="1"/>
  <c r="F853" i="1"/>
  <c r="F854" i="1" s="1"/>
  <c r="F856" i="1"/>
  <c r="F857" i="1"/>
  <c r="F858" i="1"/>
  <c r="F859" i="1"/>
  <c r="F860" i="1"/>
  <c r="F863" i="1"/>
  <c r="F864" i="1"/>
  <c r="F867" i="1"/>
  <c r="F868" i="1" s="1"/>
  <c r="F870" i="1"/>
  <c r="F871" i="1"/>
  <c r="F874" i="1"/>
  <c r="F875" i="1"/>
  <c r="F876" i="1"/>
  <c r="F879" i="1"/>
  <c r="F880" i="1"/>
  <c r="F881" i="1"/>
  <c r="F882" i="1"/>
  <c r="F885" i="1"/>
  <c r="F886" i="1" s="1"/>
  <c r="F888" i="1"/>
  <c r="F889" i="1" s="1"/>
  <c r="F891" i="1"/>
  <c r="F892" i="1" s="1"/>
  <c r="F894" i="1"/>
  <c r="F895" i="1"/>
  <c r="F896" i="1"/>
  <c r="F899" i="1"/>
  <c r="F900" i="1"/>
  <c r="F903" i="1"/>
  <c r="F904" i="1" s="1"/>
  <c r="F906" i="1"/>
  <c r="F907" i="1"/>
  <c r="F908" i="1"/>
  <c r="F909" i="1"/>
  <c r="F912" i="1"/>
  <c r="F913" i="1"/>
  <c r="F916" i="1"/>
  <c r="F917" i="1" s="1"/>
  <c r="F919" i="1"/>
  <c r="F920" i="1" s="1"/>
  <c r="F922" i="1"/>
  <c r="F923" i="1" s="1"/>
  <c r="F925" i="1"/>
  <c r="F926" i="1" s="1"/>
  <c r="F928" i="1"/>
  <c r="F929" i="1" s="1"/>
  <c r="F931" i="1"/>
  <c r="F932" i="1" s="1"/>
  <c r="F934" i="1"/>
  <c r="F935" i="1"/>
  <c r="F938" i="1"/>
  <c r="F939" i="1" s="1"/>
  <c r="F941" i="1"/>
  <c r="F942" i="1" s="1"/>
  <c r="F944" i="1"/>
  <c r="F945" i="1" s="1"/>
  <c r="F947" i="1"/>
  <c r="F948" i="1" s="1"/>
  <c r="F950" i="1"/>
  <c r="F951" i="1"/>
  <c r="F954" i="1"/>
  <c r="F955" i="1"/>
  <c r="F956" i="1"/>
  <c r="F957" i="1"/>
  <c r="F960" i="1"/>
  <c r="F961" i="1"/>
  <c r="F964" i="1"/>
  <c r="F965" i="1"/>
  <c r="F966" i="1"/>
  <c r="F967" i="1"/>
  <c r="F970" i="1"/>
  <c r="F971" i="1"/>
  <c r="F972" i="1"/>
  <c r="F975" i="1"/>
  <c r="F976" i="1"/>
  <c r="F977" i="1"/>
  <c r="F978" i="1"/>
  <c r="F979" i="1"/>
  <c r="F982" i="1"/>
  <c r="F983" i="1" s="1"/>
  <c r="F985" i="1"/>
  <c r="F986" i="1" s="1"/>
  <c r="F988" i="1"/>
  <c r="F989" i="1" s="1"/>
  <c r="F991" i="1"/>
  <c r="F992" i="1" s="1"/>
  <c r="F994" i="1"/>
  <c r="F995" i="1"/>
  <c r="F998" i="1"/>
  <c r="F999" i="1" s="1"/>
  <c r="F1001" i="1"/>
  <c r="F1002" i="1" s="1"/>
  <c r="F1004" i="1"/>
  <c r="F1005" i="1"/>
  <c r="F1008" i="1"/>
  <c r="F1009" i="1"/>
  <c r="F1010" i="1"/>
  <c r="F1013" i="1"/>
  <c r="F1014" i="1" s="1"/>
  <c r="F1046" i="1"/>
  <c r="F1047" i="1"/>
  <c r="F1048" i="1"/>
  <c r="F1051" i="1"/>
  <c r="F1052" i="1"/>
  <c r="F1055" i="1"/>
  <c r="F1056" i="1" s="1"/>
  <c r="F1058" i="1"/>
  <c r="F1059" i="1" s="1"/>
  <c r="F1061" i="1"/>
  <c r="F1062" i="1" s="1"/>
  <c r="F1064" i="1"/>
  <c r="F1065" i="1" s="1"/>
  <c r="F1067" i="1"/>
  <c r="F1068" i="1" s="1"/>
  <c r="F1070" i="1"/>
  <c r="F1071" i="1" s="1"/>
  <c r="F1073" i="1"/>
  <c r="F1074" i="1" s="1"/>
  <c r="F1076" i="1"/>
  <c r="F1077" i="1" s="1"/>
  <c r="F1079" i="1"/>
  <c r="F1080" i="1" s="1"/>
  <c r="F1082" i="1"/>
  <c r="F1083" i="1" s="1"/>
  <c r="F1085" i="1"/>
  <c r="F1086" i="1" s="1"/>
  <c r="F1088" i="1"/>
  <c r="F1089" i="1" s="1"/>
  <c r="F1091" i="1"/>
  <c r="F1092" i="1"/>
  <c r="F1093" i="1"/>
  <c r="F1094" i="1"/>
  <c r="F1097" i="1"/>
  <c r="F1098" i="1"/>
  <c r="F1101" i="1"/>
  <c r="F1102" i="1" s="1"/>
  <c r="F1104" i="1"/>
  <c r="F1105" i="1"/>
  <c r="F1108" i="1"/>
  <c r="F1109" i="1"/>
  <c r="F1110" i="1"/>
  <c r="F1111" i="1"/>
  <c r="F1114" i="1"/>
  <c r="F1115" i="1"/>
  <c r="F1118" i="1"/>
  <c r="F1119" i="1"/>
  <c r="F1120" i="1"/>
  <c r="F1121" i="1"/>
  <c r="F1124" i="1"/>
  <c r="F1125" i="1" s="1"/>
  <c r="F1127" i="1"/>
  <c r="F1128" i="1" s="1"/>
  <c r="F1130" i="1"/>
  <c r="F1131" i="1"/>
  <c r="F1132" i="1"/>
  <c r="F1133" i="1"/>
  <c r="F1134" i="1"/>
  <c r="F1137" i="1"/>
  <c r="F1138" i="1"/>
  <c r="F1139" i="1"/>
  <c r="F1142" i="1"/>
  <c r="F1143" i="1"/>
  <c r="F1146" i="1"/>
  <c r="F1147" i="1" s="1"/>
  <c r="F1149" i="1"/>
  <c r="F1150" i="1" s="1"/>
  <c r="F1152" i="1"/>
  <c r="F1153" i="1"/>
  <c r="F1156" i="1"/>
  <c r="F1157" i="1" s="1"/>
  <c r="F1159" i="1"/>
  <c r="F1160" i="1"/>
  <c r="F1163" i="1"/>
  <c r="F1164" i="1"/>
  <c r="F1165" i="1"/>
  <c r="F1166" i="1"/>
  <c r="F1167" i="1"/>
  <c r="F1168" i="1"/>
  <c r="F1171" i="1"/>
  <c r="F1172" i="1"/>
  <c r="F1173" i="1"/>
  <c r="F1174" i="1"/>
  <c r="F1177" i="1"/>
  <c r="F1178" i="1" s="1"/>
  <c r="F1180" i="1"/>
  <c r="F1181" i="1"/>
  <c r="F1184" i="1"/>
  <c r="F1185" i="1"/>
  <c r="F1186" i="1"/>
  <c r="F1187" i="1"/>
  <c r="F1190" i="1"/>
  <c r="F1191" i="1"/>
  <c r="F1194" i="1"/>
  <c r="F1195" i="1" s="1"/>
  <c r="F1197" i="1"/>
  <c r="F1198" i="1" s="1"/>
  <c r="F1200" i="1"/>
  <c r="F1201" i="1"/>
  <c r="F1205" i="1"/>
  <c r="F1206" i="1"/>
  <c r="F1207" i="1"/>
  <c r="F1216" i="1"/>
  <c r="F1217" i="1"/>
  <c r="F1218" i="1"/>
  <c r="F1219" i="1"/>
  <c r="F1222" i="1"/>
  <c r="F1223" i="1"/>
  <c r="F1226" i="1"/>
  <c r="F1227" i="1"/>
  <c r="F1228" i="1"/>
  <c r="F1231" i="1"/>
  <c r="F1232" i="1" s="1"/>
  <c r="F1234" i="1"/>
  <c r="F1235" i="1" s="1"/>
  <c r="F1237" i="1"/>
  <c r="F1238" i="1"/>
  <c r="F1241" i="1"/>
  <c r="F1242" i="1" s="1"/>
  <c r="F1290" i="1"/>
  <c r="F1291" i="1" s="1"/>
  <c r="F1293" i="1"/>
  <c r="F1294" i="1" s="1"/>
  <c r="F1296" i="1"/>
  <c r="F1297" i="1" s="1"/>
  <c r="F1299" i="1"/>
  <c r="F1300" i="1" s="1"/>
  <c r="F1302" i="1"/>
  <c r="F1303" i="1" s="1"/>
  <c r="F1305" i="1"/>
  <c r="F1306" i="1"/>
  <c r="F1309" i="1"/>
  <c r="F1310" i="1" s="1"/>
  <c r="F1312" i="1"/>
  <c r="F1313" i="1" s="1"/>
  <c r="F1315" i="1"/>
  <c r="F1316" i="1"/>
  <c r="F1319" i="1"/>
  <c r="F1320" i="1" s="1"/>
  <c r="F1322" i="1"/>
  <c r="F1323" i="1" s="1"/>
  <c r="F1325" i="1"/>
  <c r="F1326" i="1" s="1"/>
  <c r="F1328" i="1"/>
  <c r="F1329" i="1" s="1"/>
  <c r="F1331" i="1"/>
  <c r="F1332" i="1" s="1"/>
  <c r="F1334" i="1"/>
  <c r="F1335" i="1" s="1"/>
  <c r="F1337" i="1"/>
  <c r="F1338" i="1" s="1"/>
  <c r="F1340" i="1"/>
  <c r="F1341" i="1" s="1"/>
  <c r="F1349" i="1"/>
  <c r="F1350" i="1"/>
  <c r="F1353" i="1"/>
  <c r="F1354" i="1"/>
  <c r="F1355" i="1"/>
  <c r="F1356" i="1"/>
  <c r="F1357" i="1"/>
  <c r="F1360" i="1"/>
  <c r="F1361" i="1" s="1"/>
  <c r="F1363" i="1"/>
  <c r="F1364" i="1"/>
  <c r="F1365" i="1"/>
  <c r="F1368" i="1"/>
  <c r="F1369" i="1"/>
  <c r="F1370" i="1"/>
  <c r="F1371" i="1"/>
  <c r="F1372" i="1"/>
  <c r="F1373" i="1"/>
  <c r="F1374" i="1"/>
  <c r="F1375" i="1"/>
  <c r="F1378" i="1"/>
  <c r="F1379" i="1" s="1"/>
  <c r="F1381" i="1"/>
  <c r="F1382" i="1"/>
  <c r="F1383" i="1"/>
  <c r="F1386" i="1"/>
  <c r="F1387" i="1" s="1"/>
  <c r="F1389" i="1"/>
  <c r="F1390" i="1" s="1"/>
  <c r="F1392" i="1"/>
  <c r="F1393" i="1" s="1"/>
  <c r="F1395" i="1"/>
  <c r="F1396" i="1" s="1"/>
  <c r="F1398" i="1"/>
  <c r="F1399" i="1" s="1"/>
  <c r="F1401" i="1"/>
  <c r="F1402" i="1" s="1"/>
  <c r="F1404" i="1"/>
  <c r="F1405" i="1"/>
  <c r="F1408" i="1"/>
  <c r="F1409" i="1" s="1"/>
  <c r="F1411" i="1"/>
  <c r="F1412" i="1"/>
  <c r="F1415" i="1"/>
  <c r="F1416" i="1"/>
  <c r="F1417" i="1"/>
  <c r="F1418" i="1"/>
  <c r="F1421" i="1"/>
  <c r="F1422" i="1" s="1"/>
  <c r="F1424" i="1"/>
  <c r="F1425" i="1" s="1"/>
  <c r="F1427" i="1"/>
  <c r="F1428" i="1" s="1"/>
  <c r="F1430" i="1"/>
  <c r="F1431" i="1" s="1"/>
  <c r="F1433" i="1"/>
  <c r="F1434" i="1" s="1"/>
  <c r="F1436" i="1"/>
  <c r="F1437" i="1" s="1"/>
  <c r="F1439" i="1"/>
  <c r="F1440" i="1" s="1"/>
  <c r="F1442" i="1"/>
  <c r="F1443" i="1" s="1"/>
  <c r="F1445" i="1"/>
  <c r="F1446" i="1"/>
  <c r="F1449" i="1"/>
  <c r="F1450" i="1" s="1"/>
  <c r="F1452" i="1"/>
  <c r="F1453" i="1" s="1"/>
  <c r="F1455" i="1"/>
  <c r="F1456" i="1" s="1"/>
  <c r="F1458" i="1"/>
  <c r="F1459" i="1"/>
  <c r="F1460" i="1"/>
  <c r="F1461" i="1"/>
  <c r="F1464" i="1"/>
  <c r="F1465" i="1"/>
  <c r="F1468" i="1"/>
  <c r="F1469" i="1"/>
  <c r="F1472" i="1"/>
  <c r="F1473" i="1"/>
  <c r="F1476" i="1"/>
  <c r="F1477" i="1" s="1"/>
  <c r="F1479" i="1"/>
  <c r="F1480" i="1" s="1"/>
  <c r="F1482" i="1"/>
  <c r="F1483" i="1" s="1"/>
  <c r="F1485" i="1"/>
  <c r="F1486" i="1"/>
  <c r="F1489" i="1"/>
  <c r="F1490" i="1"/>
  <c r="F1493" i="1"/>
  <c r="F1494" i="1" s="1"/>
  <c r="F1496" i="1"/>
  <c r="F1497" i="1" s="1"/>
  <c r="F1499" i="1"/>
  <c r="F1500" i="1"/>
  <c r="F1501" i="1"/>
  <c r="F1502" i="1"/>
  <c r="F1505" i="1"/>
  <c r="F1506" i="1"/>
  <c r="F1507" i="1"/>
  <c r="F1510" i="1"/>
  <c r="F1511" i="1" s="1"/>
  <c r="F1513" i="1"/>
  <c r="F1514" i="1" s="1"/>
  <c r="F1516" i="1"/>
  <c r="F1517" i="1" s="1"/>
  <c r="F1519" i="1"/>
  <c r="F1520" i="1" s="1"/>
  <c r="F1522" i="1"/>
  <c r="F1523" i="1" s="1"/>
  <c r="F1525" i="1"/>
  <c r="F1526" i="1"/>
  <c r="F1527" i="1"/>
  <c r="F1530" i="1"/>
  <c r="F1531" i="1" s="1"/>
  <c r="F1533" i="1"/>
  <c r="F1534" i="1" s="1"/>
  <c r="F1536" i="1"/>
  <c r="F1537" i="1"/>
  <c r="F1538" i="1"/>
  <c r="F1539" i="1"/>
  <c r="F1542" i="1"/>
  <c r="F1543" i="1" s="1"/>
  <c r="F1545" i="1"/>
  <c r="F1546" i="1" s="1"/>
  <c r="F1548" i="1"/>
  <c r="F1549" i="1"/>
  <c r="F1552" i="1"/>
  <c r="F1553" i="1" s="1"/>
  <c r="F1555" i="1"/>
  <c r="F1556" i="1"/>
  <c r="F1559" i="1"/>
  <c r="F1560" i="1" s="1"/>
  <c r="F1562" i="1"/>
  <c r="F1563" i="1" s="1"/>
  <c r="F1565" i="1"/>
  <c r="F1566" i="1" s="1"/>
  <c r="F1568" i="1"/>
  <c r="F1569" i="1" s="1"/>
  <c r="F1571" i="1"/>
  <c r="F1572" i="1"/>
  <c r="F1573" i="1"/>
  <c r="F1574" i="1"/>
  <c r="F1575" i="1"/>
  <c r="F1576" i="1"/>
  <c r="F1577" i="1"/>
  <c r="F1580" i="1"/>
  <c r="F1581" i="1"/>
  <c r="F1584" i="1"/>
  <c r="F1585" i="1" s="1"/>
  <c r="F1587" i="1"/>
  <c r="F1588" i="1" s="1"/>
  <c r="F1590" i="1"/>
  <c r="F1591" i="1"/>
  <c r="F1592" i="1"/>
  <c r="F1593" i="1"/>
  <c r="F1594" i="1"/>
  <c r="F1595" i="1"/>
  <c r="F1596" i="1"/>
  <c r="F1597" i="1"/>
  <c r="F1600" i="1"/>
  <c r="F1601" i="1"/>
  <c r="F1604" i="1"/>
  <c r="F1605" i="1" s="1"/>
  <c r="F1607" i="1"/>
  <c r="F1608" i="1"/>
  <c r="F1611" i="1"/>
  <c r="F1612" i="1" s="1"/>
  <c r="F1614" i="1"/>
  <c r="F1615" i="1" s="1"/>
  <c r="F1617" i="1"/>
  <c r="F1618" i="1" s="1"/>
  <c r="F1620" i="1"/>
  <c r="F1621" i="1"/>
  <c r="F1624" i="1"/>
  <c r="F1625" i="1"/>
  <c r="F1626" i="1"/>
  <c r="F1629" i="1"/>
  <c r="F1630" i="1"/>
  <c r="F1631" i="1"/>
  <c r="F1632" i="1"/>
  <c r="F1635" i="1"/>
  <c r="F1636" i="1"/>
  <c r="F1639" i="1"/>
  <c r="F1640" i="1" s="1"/>
  <c r="F1642" i="1"/>
  <c r="F1643" i="1" s="1"/>
  <c r="F1645" i="1"/>
  <c r="F1646" i="1" s="1"/>
  <c r="F1648" i="1"/>
  <c r="F1649" i="1"/>
  <c r="F1652" i="1"/>
  <c r="F1653" i="1"/>
  <c r="F1654" i="1"/>
  <c r="F1655" i="1"/>
  <c r="F1658" i="1"/>
  <c r="F1659" i="1" s="1"/>
  <c r="F1661" i="1"/>
  <c r="F1662" i="1" s="1"/>
  <c r="F1664" i="1"/>
  <c r="F1665" i="1"/>
  <c r="F1668" i="1"/>
  <c r="F1669" i="1"/>
  <c r="F1670" i="1"/>
  <c r="F1671" i="1"/>
  <c r="F1674" i="1"/>
  <c r="F1675" i="1" s="1"/>
  <c r="F1681" i="1"/>
  <c r="F1682" i="1" s="1"/>
  <c r="F1688" i="1"/>
  <c r="F1689" i="1"/>
  <c r="F1692" i="1"/>
  <c r="F1693" i="1"/>
  <c r="F1694" i="1"/>
  <c r="F1697" i="1"/>
  <c r="F1698" i="1"/>
  <c r="F1701" i="1"/>
  <c r="F1702" i="1" s="1"/>
  <c r="F1704" i="1"/>
  <c r="F1705" i="1" s="1"/>
  <c r="F1707" i="1"/>
  <c r="F1708" i="1"/>
  <c r="F1709" i="1"/>
  <c r="F1712" i="1"/>
  <c r="F1713" i="1" s="1"/>
  <c r="F1715" i="1"/>
  <c r="F1716" i="1" s="1"/>
  <c r="F1718" i="1"/>
  <c r="F1719" i="1" s="1"/>
  <c r="F1721" i="1"/>
  <c r="F1722" i="1" s="1"/>
  <c r="F1724" i="1"/>
  <c r="F1725" i="1"/>
  <c r="F1726" i="1"/>
  <c r="F1727" i="1"/>
  <c r="F1730" i="1"/>
  <c r="F1731" i="1" s="1"/>
  <c r="F1733" i="1"/>
  <c r="F1734" i="1" s="1"/>
  <c r="F1736" i="1"/>
  <c r="F1737" i="1" s="1"/>
  <c r="F1739" i="1"/>
  <c r="F1740" i="1"/>
  <c r="F1741" i="1"/>
  <c r="F1742" i="1"/>
  <c r="F1745" i="1"/>
  <c r="F1746" i="1" s="1"/>
  <c r="F1748" i="1"/>
  <c r="F1749" i="1" s="1"/>
  <c r="F1751" i="1"/>
  <c r="F1752" i="1" s="1"/>
  <c r="F1754" i="1"/>
  <c r="F1755" i="1" s="1"/>
  <c r="F1757" i="1"/>
  <c r="F1758" i="1" s="1"/>
  <c r="F1760" i="1"/>
  <c r="F1761" i="1" s="1"/>
  <c r="F1763" i="1"/>
  <c r="F1764" i="1" s="1"/>
  <c r="F1766" i="1"/>
  <c r="F1767" i="1" s="1"/>
  <c r="F1769" i="1"/>
  <c r="F1770" i="1" s="1"/>
  <c r="F1772" i="1"/>
  <c r="F1773" i="1" s="1"/>
  <c r="F1775" i="1"/>
  <c r="F1776" i="1" s="1"/>
  <c r="F1778" i="1"/>
  <c r="F1779" i="1" s="1"/>
  <c r="F1781" i="1"/>
  <c r="F1782" i="1"/>
  <c r="F1785" i="1"/>
  <c r="F1786" i="1" s="1"/>
  <c r="F1788" i="1"/>
  <c r="F1789" i="1" s="1"/>
  <c r="F1791" i="1"/>
  <c r="F1792" i="1" s="1"/>
  <c r="F1794" i="1"/>
  <c r="F1795" i="1"/>
  <c r="F1798" i="1"/>
  <c r="F1799" i="1" s="1"/>
  <c r="F1801" i="1"/>
  <c r="F1802" i="1" s="1"/>
  <c r="F1804" i="1"/>
  <c r="F1805" i="1"/>
  <c r="F1806" i="1"/>
  <c r="F1807" i="1"/>
  <c r="F1808" i="1"/>
  <c r="F1809" i="1"/>
  <c r="F1810" i="1"/>
  <c r="F1811" i="1"/>
  <c r="F1814" i="1"/>
  <c r="F1815" i="1" s="1"/>
  <c r="F1817" i="1"/>
  <c r="F1818" i="1" s="1"/>
  <c r="F1820" i="1"/>
  <c r="F1821" i="1"/>
  <c r="F1824" i="1"/>
  <c r="F1825" i="1"/>
  <c r="F1828" i="1"/>
  <c r="F1829" i="1"/>
  <c r="F1830" i="1"/>
  <c r="F1831" i="1"/>
  <c r="F1832" i="1"/>
  <c r="F1833" i="1"/>
  <c r="F1834" i="1"/>
  <c r="F1837" i="1"/>
  <c r="F1838" i="1"/>
  <c r="F1839" i="1"/>
  <c r="F1840" i="1"/>
  <c r="F1843" i="1"/>
  <c r="F1844" i="1"/>
  <c r="F1845" i="1"/>
  <c r="F1848" i="1"/>
  <c r="F1849" i="1"/>
  <c r="F1850" i="1"/>
  <c r="F1853" i="1"/>
  <c r="F1854" i="1"/>
  <c r="F1855" i="1"/>
  <c r="F1856" i="1"/>
  <c r="F1857" i="1"/>
  <c r="F1860" i="1"/>
  <c r="F1861" i="1" s="1"/>
  <c r="F1863" i="1"/>
  <c r="F1864" i="1" s="1"/>
  <c r="F1866" i="1"/>
  <c r="F1867" i="1" s="1"/>
  <c r="F1869" i="1"/>
  <c r="F1870" i="1"/>
  <c r="F1873" i="1"/>
  <c r="F1874" i="1"/>
  <c r="F1875" i="1"/>
  <c r="F1876" i="1"/>
  <c r="F1879" i="1"/>
  <c r="F1880" i="1" s="1"/>
  <c r="F1882" i="1"/>
  <c r="F1883" i="1" s="1"/>
  <c r="F1885" i="1"/>
  <c r="F1886" i="1" s="1"/>
  <c r="F1888" i="1"/>
  <c r="F1889" i="1" s="1"/>
  <c r="F1891" i="1"/>
  <c r="F1892" i="1" s="1"/>
  <c r="F1894" i="1"/>
  <c r="F1895" i="1" s="1"/>
  <c r="F1897" i="1"/>
  <c r="F1898" i="1" s="1"/>
  <c r="F1900" i="1"/>
  <c r="F1901" i="1" s="1"/>
  <c r="F1903" i="1"/>
  <c r="F1904" i="1" s="1"/>
  <c r="F1906" i="1"/>
  <c r="F1907" i="1" s="1"/>
  <c r="F1909" i="1"/>
  <c r="F1910" i="1" s="1"/>
  <c r="F1912" i="1"/>
  <c r="F1913" i="1" s="1"/>
  <c r="F1915" i="1"/>
  <c r="F1916" i="1" s="1"/>
  <c r="F1918" i="1"/>
  <c r="F1919" i="1" s="1"/>
  <c r="F1921" i="1"/>
  <c r="F1922" i="1"/>
  <c r="F1925" i="1"/>
  <c r="F1926" i="1"/>
  <c r="F1927" i="1"/>
  <c r="F1930" i="1"/>
  <c r="F1931" i="1" s="1"/>
  <c r="F1933" i="1"/>
  <c r="F1934" i="1"/>
  <c r="F1935" i="1"/>
  <c r="F1936" i="1"/>
  <c r="F1939" i="1"/>
  <c r="F1940" i="1"/>
  <c r="F1941" i="1"/>
  <c r="F1942" i="1"/>
  <c r="F1943" i="1"/>
  <c r="F1944" i="1"/>
  <c r="F1945" i="1"/>
  <c r="F1946" i="1"/>
  <c r="F1949" i="1"/>
  <c r="F1950" i="1"/>
  <c r="F1951" i="1"/>
  <c r="F1952" i="1"/>
  <c r="F1955" i="1"/>
  <c r="F1956" i="1"/>
  <c r="F1959" i="1"/>
  <c r="F1960" i="1" s="1"/>
  <c r="F1962" i="1"/>
  <c r="F1963" i="1" s="1"/>
  <c r="F1965" i="1"/>
  <c r="F1966" i="1" s="1"/>
  <c r="F1968" i="1"/>
  <c r="F1969" i="1" s="1"/>
  <c r="F1971" i="1"/>
  <c r="F1972" i="1" s="1"/>
  <c r="F1974" i="1"/>
  <c r="F1975" i="1" s="1"/>
  <c r="F1977" i="1"/>
  <c r="F1978" i="1"/>
  <c r="F1979" i="1"/>
  <c r="F1982" i="1"/>
  <c r="F1983" i="1" s="1"/>
  <c r="F1985" i="1"/>
  <c r="F1986" i="1" s="1"/>
  <c r="F1988" i="1"/>
  <c r="F1989" i="1"/>
  <c r="F1990" i="1"/>
  <c r="F1991" i="1"/>
  <c r="F1992" i="1"/>
  <c r="F1995" i="1"/>
  <c r="F1996" i="1" s="1"/>
  <c r="F1998" i="1"/>
  <c r="F1999" i="1" s="1"/>
  <c r="F2001" i="1"/>
  <c r="F2002" i="1" s="1"/>
  <c r="F2004" i="1"/>
  <c r="F2005" i="1" s="1"/>
  <c r="F2007" i="1"/>
  <c r="F2008" i="1" s="1"/>
  <c r="F2010" i="1"/>
  <c r="F2011" i="1"/>
  <c r="F2014" i="1"/>
  <c r="F2015" i="1" s="1"/>
  <c r="F2017" i="1"/>
  <c r="F2018" i="1" s="1"/>
  <c r="F2020" i="1"/>
  <c r="F2021" i="1" s="1"/>
  <c r="F2023" i="1"/>
  <c r="F2024" i="1" s="1"/>
  <c r="F2026" i="1"/>
  <c r="F2027" i="1"/>
  <c r="F2028" i="1"/>
  <c r="F2031" i="1"/>
  <c r="F2032" i="1" s="1"/>
  <c r="F2034" i="1"/>
  <c r="F2035" i="1" s="1"/>
  <c r="F2037" i="1"/>
  <c r="F2038" i="1" s="1"/>
  <c r="F2040" i="1"/>
  <c r="F2041" i="1"/>
  <c r="F2044" i="1"/>
  <c r="F2045" i="1" s="1"/>
  <c r="F2047" i="1"/>
  <c r="F2048" i="1"/>
  <c r="F2051" i="1"/>
  <c r="F2052" i="1" s="1"/>
  <c r="F2054" i="1"/>
  <c r="F2055" i="1" s="1"/>
  <c r="F2057" i="1"/>
  <c r="F2058" i="1" s="1"/>
  <c r="F2060" i="1"/>
  <c r="F2061" i="1"/>
  <c r="F2064" i="1"/>
  <c r="F2065" i="1"/>
  <c r="F2066" i="1"/>
  <c r="F2067" i="1"/>
  <c r="F2068" i="1"/>
  <c r="F2071" i="1"/>
  <c r="F2072" i="1"/>
  <c r="F2073" i="1"/>
  <c r="F2076" i="1"/>
  <c r="F2077" i="1"/>
  <c r="F2080" i="1"/>
  <c r="F2081" i="1" s="1"/>
  <c r="F2083" i="1"/>
  <c r="F2084" i="1" s="1"/>
  <c r="F2086" i="1"/>
  <c r="F2087" i="1"/>
  <c r="F2088" i="1"/>
  <c r="F2089" i="1"/>
  <c r="F6" i="2"/>
  <c r="F7" i="2" s="1"/>
  <c r="F9" i="2"/>
  <c r="F10" i="2" s="1"/>
  <c r="F12" i="2"/>
  <c r="F13" i="2" s="1"/>
  <c r="F15" i="2"/>
  <c r="F16" i="2" s="1"/>
  <c r="F18" i="2"/>
  <c r="F19" i="2" s="1"/>
  <c r="F21" i="2"/>
  <c r="F22" i="2" s="1"/>
  <c r="F24" i="2"/>
  <c r="F25" i="2" s="1"/>
  <c r="F27" i="2"/>
  <c r="F28" i="2" s="1"/>
  <c r="F30" i="2"/>
  <c r="F31" i="2" s="1"/>
  <c r="F33" i="2"/>
  <c r="F34" i="2" s="1"/>
  <c r="F36" i="2"/>
  <c r="F37" i="2"/>
  <c r="F38" i="2"/>
  <c r="F41" i="2"/>
  <c r="F43" i="2" s="1"/>
  <c r="F42" i="2"/>
  <c r="F45" i="2"/>
  <c r="F46" i="2" s="1"/>
  <c r="F48" i="2"/>
  <c r="F49" i="2" s="1"/>
  <c r="F51" i="2"/>
  <c r="F52" i="2"/>
  <c r="F53" i="2"/>
  <c r="F54" i="2"/>
  <c r="F57" i="2"/>
  <c r="F58" i="2" s="1"/>
  <c r="F60" i="2"/>
  <c r="F61" i="2"/>
  <c r="F64" i="2"/>
  <c r="F65" i="2"/>
  <c r="F66" i="2"/>
  <c r="F67" i="2"/>
  <c r="F70" i="2"/>
  <c r="F71" i="2"/>
  <c r="F72" i="2"/>
  <c r="F73" i="2"/>
  <c r="F76" i="2"/>
  <c r="F77" i="2" s="1"/>
  <c r="F79" i="2"/>
  <c r="F80" i="2" s="1"/>
  <c r="F82" i="2"/>
  <c r="F83" i="2" s="1"/>
  <c r="F85" i="2"/>
  <c r="F86" i="2" s="1"/>
  <c r="F88" i="2"/>
  <c r="F89" i="2"/>
  <c r="F90" i="2"/>
  <c r="F91" i="2"/>
  <c r="F92" i="2"/>
  <c r="F93" i="2"/>
  <c r="F94" i="2"/>
  <c r="F97" i="2"/>
  <c r="F98" i="2" s="1"/>
  <c r="F100" i="2"/>
  <c r="F101" i="2"/>
  <c r="F104" i="2"/>
  <c r="F105" i="2"/>
  <c r="F106" i="2"/>
  <c r="F107" i="2"/>
  <c r="F108" i="2"/>
  <c r="F109" i="2"/>
  <c r="F112" i="2"/>
  <c r="F113" i="2" s="1"/>
  <c r="F115" i="2"/>
  <c r="F116" i="2" s="1"/>
  <c r="F118" i="2"/>
  <c r="F119" i="2" s="1"/>
  <c r="F121" i="2"/>
  <c r="F122" i="2" s="1"/>
  <c r="F124" i="2"/>
  <c r="F125" i="2"/>
  <c r="F128" i="2"/>
  <c r="F129" i="2" s="1"/>
  <c r="F131" i="2"/>
  <c r="F132" i="2" s="1"/>
  <c r="F134" i="2"/>
  <c r="F135" i="2" s="1"/>
  <c r="F137" i="2"/>
  <c r="F138" i="2"/>
  <c r="F139" i="2"/>
  <c r="F142" i="2"/>
  <c r="F143" i="2"/>
  <c r="F146" i="2"/>
  <c r="F147" i="2" s="1"/>
  <c r="F149" i="2"/>
  <c r="F150" i="2" s="1"/>
  <c r="F152" i="2"/>
  <c r="F153" i="2"/>
  <c r="F156" i="2"/>
  <c r="F157" i="2" s="1"/>
  <c r="F159" i="2"/>
  <c r="F160" i="2" s="1"/>
  <c r="F162" i="2"/>
  <c r="F163" i="2" s="1"/>
  <c r="F165" i="2"/>
  <c r="F166" i="2" s="1"/>
  <c r="F168" i="2"/>
  <c r="F169" i="2"/>
  <c r="F172" i="2"/>
  <c r="F173" i="2" s="1"/>
  <c r="F175" i="2"/>
  <c r="F176" i="2" s="1"/>
  <c r="F178" i="2"/>
  <c r="F179" i="2" s="1"/>
  <c r="F181" i="2"/>
  <c r="F182" i="2"/>
  <c r="F183" i="2"/>
  <c r="F184" i="2"/>
  <c r="F187" i="2"/>
  <c r="F188" i="2" s="1"/>
  <c r="F190" i="2"/>
  <c r="F191" i="2" s="1"/>
  <c r="F193" i="2"/>
  <c r="F194" i="2" s="1"/>
  <c r="F196" i="2"/>
  <c r="F197" i="2"/>
  <c r="F200" i="2"/>
  <c r="F201" i="2"/>
  <c r="F204" i="2"/>
  <c r="F205" i="2" s="1"/>
  <c r="F207" i="2"/>
  <c r="F208" i="2"/>
  <c r="F209" i="2"/>
  <c r="F210" i="2"/>
  <c r="F213" i="2"/>
  <c r="F214" i="2"/>
  <c r="F215" i="2"/>
  <c r="F216" i="2"/>
  <c r="F219" i="2"/>
  <c r="F220" i="2"/>
  <c r="F223" i="2"/>
  <c r="F224" i="2" s="1"/>
  <c r="F226" i="2"/>
  <c r="F227" i="2"/>
  <c r="F228" i="2"/>
  <c r="F229" i="2"/>
  <c r="F232" i="2"/>
  <c r="F233" i="2"/>
  <c r="F234" i="2"/>
  <c r="F235" i="2"/>
  <c r="F236" i="2"/>
  <c r="F237" i="2"/>
  <c r="F238" i="2"/>
  <c r="F241" i="2"/>
  <c r="F243" i="2" s="1"/>
  <c r="F242" i="2"/>
  <c r="F245" i="2"/>
  <c r="F246" i="2" s="1"/>
  <c r="F248" i="2"/>
  <c r="F249" i="2" s="1"/>
  <c r="F251" i="2"/>
  <c r="F253" i="2" s="1"/>
  <c r="F252" i="2"/>
  <c r="F255" i="2"/>
  <c r="F256" i="2"/>
  <c r="F257" i="2"/>
  <c r="F258" i="2"/>
  <c r="F259" i="2"/>
  <c r="F260" i="2"/>
  <c r="F261" i="2"/>
  <c r="F264" i="2"/>
  <c r="F265" i="2"/>
  <c r="F268" i="2"/>
  <c r="F269" i="2" s="1"/>
  <c r="F271" i="2"/>
  <c r="F272" i="2"/>
  <c r="F273" i="2"/>
  <c r="F274" i="2"/>
  <c r="F277" i="2"/>
  <c r="F278" i="2" s="1"/>
  <c r="F280" i="2"/>
  <c r="F281" i="2" s="1"/>
  <c r="F283" i="2"/>
  <c r="F284" i="2" s="1"/>
  <c r="F286" i="2"/>
  <c r="F287" i="2"/>
  <c r="F288" i="2"/>
  <c r="F291" i="2"/>
  <c r="F292" i="2" s="1"/>
  <c r="F294" i="2"/>
  <c r="F295" i="2" s="1"/>
  <c r="F297" i="2"/>
  <c r="F299" i="2" s="1"/>
  <c r="F298" i="2"/>
  <c r="F301" i="2"/>
  <c r="F302" i="2" s="1"/>
  <c r="F304" i="2"/>
  <c r="F305" i="2"/>
  <c r="F306" i="2"/>
  <c r="F309" i="2"/>
  <c r="F310" i="2" s="1"/>
  <c r="F312" i="2"/>
  <c r="F313" i="2"/>
  <c r="F314" i="2" s="1"/>
  <c r="F316" i="2"/>
  <c r="F317" i="2" s="1"/>
  <c r="F319" i="2"/>
  <c r="F320" i="2" s="1"/>
  <c r="F322" i="2"/>
  <c r="F323" i="2"/>
  <c r="F326" i="2"/>
  <c r="F327" i="2" s="1"/>
  <c r="F329" i="2"/>
  <c r="F330" i="2" s="1"/>
  <c r="F332" i="2"/>
  <c r="F333" i="2" s="1"/>
  <c r="F335" i="2"/>
  <c r="F336" i="2" s="1"/>
  <c r="F338" i="2"/>
  <c r="F339" i="2" s="1"/>
  <c r="F341" i="2"/>
  <c r="F342" i="2" s="1"/>
  <c r="F344" i="2"/>
  <c r="F345" i="2"/>
  <c r="F346" i="2"/>
  <c r="F347" i="2"/>
  <c r="F350" i="2"/>
  <c r="F351" i="2"/>
  <c r="F352" i="2"/>
  <c r="F355" i="2"/>
  <c r="F357" i="2" s="1"/>
  <c r="F356" i="2"/>
  <c r="F359" i="2"/>
  <c r="F360" i="2"/>
  <c r="F361" i="2"/>
  <c r="F362" i="2"/>
  <c r="F365" i="2"/>
  <c r="F366" i="2" s="1"/>
  <c r="F368" i="2"/>
  <c r="F369" i="2" s="1"/>
  <c r="F371" i="2"/>
  <c r="F372" i="2"/>
  <c r="F373" i="2"/>
  <c r="F374" i="2"/>
  <c r="F377" i="2"/>
  <c r="F378" i="2" s="1"/>
  <c r="F383" i="2"/>
  <c r="F384" i="2"/>
  <c r="F387" i="2"/>
  <c r="F388" i="2" s="1"/>
  <c r="F390" i="2"/>
  <c r="F391" i="2"/>
  <c r="F392" i="2"/>
  <c r="F399" i="2"/>
  <c r="F400" i="2"/>
  <c r="F403" i="2"/>
  <c r="F404" i="2"/>
  <c r="F405" i="2"/>
  <c r="F406" i="2"/>
  <c r="F407" i="2"/>
  <c r="F408" i="2"/>
  <c r="F409" i="2"/>
  <c r="F412" i="2"/>
  <c r="F413" i="2" s="1"/>
  <c r="F415" i="2"/>
  <c r="F416" i="2" s="1"/>
  <c r="F418" i="2"/>
  <c r="F419" i="2" s="1"/>
  <c r="F421" i="2"/>
  <c r="F422" i="2" s="1"/>
  <c r="F424" i="2"/>
  <c r="F425" i="2" s="1"/>
  <c r="F427" i="2"/>
  <c r="F428" i="2" s="1"/>
  <c r="F430" i="2"/>
  <c r="F431" i="2" s="1"/>
  <c r="F436" i="2"/>
  <c r="F437" i="2" s="1"/>
  <c r="F439" i="2"/>
  <c r="F440" i="2" s="1"/>
  <c r="F442" i="2"/>
  <c r="F443" i="2" s="1"/>
  <c r="F445" i="2"/>
  <c r="F446" i="2"/>
  <c r="F449" i="2"/>
  <c r="F450" i="2" s="1"/>
  <c r="F452" i="2"/>
  <c r="F453" i="2" s="1"/>
  <c r="F455" i="2"/>
  <c r="F457" i="2" s="1"/>
  <c r="F456" i="2"/>
  <c r="F459" i="2"/>
  <c r="F460" i="2" s="1"/>
  <c r="F462" i="2"/>
  <c r="F463" i="2" s="1"/>
  <c r="F465" i="2"/>
  <c r="F466" i="2" s="1"/>
  <c r="F468" i="2"/>
  <c r="F469" i="2"/>
  <c r="F472" i="2"/>
  <c r="F473" i="2" s="1"/>
  <c r="F475" i="2"/>
  <c r="F476" i="2"/>
  <c r="F477" i="2"/>
  <c r="F480" i="2"/>
  <c r="F481" i="2" s="1"/>
  <c r="F483" i="2"/>
  <c r="F484" i="2" s="1"/>
  <c r="F486" i="2"/>
  <c r="F487" i="2" s="1"/>
  <c r="F489" i="2"/>
  <c r="F490" i="2"/>
  <c r="F493" i="2"/>
  <c r="F494" i="2"/>
  <c r="F497" i="2"/>
  <c r="F498" i="2" s="1"/>
  <c r="F500" i="2"/>
  <c r="F501" i="2" s="1"/>
  <c r="F506" i="2"/>
  <c r="F507" i="2"/>
  <c r="F508" i="2"/>
  <c r="F511" i="2"/>
  <c r="F512" i="2" s="1"/>
  <c r="F514" i="2"/>
  <c r="F515" i="2"/>
  <c r="F518" i="2"/>
  <c r="F519" i="2" s="1"/>
  <c r="F521" i="2"/>
  <c r="F522" i="2" s="1"/>
  <c r="F524" i="2"/>
  <c r="F525" i="2" s="1"/>
  <c r="F527" i="2"/>
  <c r="F528" i="2"/>
  <c r="F529" i="2"/>
  <c r="F530" i="2"/>
  <c r="F533" i="2"/>
  <c r="F534" i="2"/>
  <c r="F537" i="2"/>
  <c r="F538" i="2"/>
  <c r="F539" i="2"/>
  <c r="F540" i="2"/>
  <c r="F543" i="2"/>
  <c r="F544" i="2"/>
  <c r="F547" i="2"/>
  <c r="F548" i="2"/>
  <c r="F549" i="2"/>
  <c r="F550" i="2"/>
  <c r="F551" i="2"/>
  <c r="F554" i="2"/>
  <c r="F555" i="2"/>
  <c r="F558" i="2"/>
  <c r="F559" i="2"/>
  <c r="F560" i="2"/>
  <c r="F561" i="2"/>
  <c r="F562" i="2"/>
  <c r="F563" i="2"/>
  <c r="F564" i="2"/>
  <c r="F567" i="2"/>
  <c r="F568" i="2"/>
  <c r="F582" i="2"/>
  <c r="F583" i="2" s="1"/>
  <c r="F585" i="2"/>
  <c r="F586" i="2" s="1"/>
  <c r="F588" i="2"/>
  <c r="F589" i="2" s="1"/>
  <c r="F591" i="2"/>
  <c r="F592" i="2"/>
  <c r="F593" i="2"/>
  <c r="F596" i="2"/>
  <c r="F597" i="2" s="1"/>
  <c r="F599" i="2"/>
  <c r="F600" i="2" s="1"/>
  <c r="F602" i="2"/>
  <c r="F603" i="2" s="1"/>
  <c r="F605" i="2"/>
  <c r="F606" i="2" s="1"/>
  <c r="F608" i="2"/>
  <c r="F609" i="2" s="1"/>
  <c r="F611" i="2"/>
  <c r="F612" i="2" s="1"/>
  <c r="F614" i="2"/>
  <c r="F615" i="2" s="1"/>
  <c r="F617" i="2"/>
  <c r="F618" i="2" s="1"/>
  <c r="F620" i="2"/>
  <c r="F621" i="2"/>
  <c r="F624" i="2"/>
  <c r="F625" i="2" s="1"/>
  <c r="F627" i="2"/>
  <c r="F628" i="2" s="1"/>
  <c r="F630" i="2"/>
  <c r="F631" i="2" s="1"/>
  <c r="F633" i="2"/>
  <c r="F634" i="2" s="1"/>
  <c r="F636" i="2"/>
  <c r="F637" i="2" s="1"/>
  <c r="F639" i="2"/>
  <c r="F640" i="2"/>
  <c r="F643" i="2"/>
  <c r="F644" i="2"/>
  <c r="F645" i="2"/>
  <c r="F646" i="2"/>
  <c r="F647" i="2"/>
  <c r="F650" i="2"/>
  <c r="F651" i="2"/>
  <c r="F652" i="2"/>
  <c r="F655" i="2"/>
  <c r="F656" i="2" s="1"/>
  <c r="F658" i="2"/>
  <c r="F659" i="2"/>
  <c r="F662" i="2"/>
  <c r="F663" i="2"/>
  <c r="F664" i="2"/>
  <c r="F667" i="2"/>
  <c r="F668" i="2" s="1"/>
  <c r="F670" i="2"/>
  <c r="F671" i="2"/>
  <c r="F672" i="2"/>
  <c r="F673" i="2"/>
  <c r="F674" i="2"/>
  <c r="F675" i="2"/>
  <c r="F678" i="2"/>
  <c r="F679" i="2" s="1"/>
  <c r="F681" i="2"/>
  <c r="F682" i="2" s="1"/>
  <c r="F684" i="2"/>
  <c r="F685" i="2" s="1"/>
  <c r="F687" i="2"/>
  <c r="F688" i="2"/>
  <c r="F689" i="2"/>
  <c r="F692" i="2"/>
  <c r="F693" i="2" s="1"/>
  <c r="F695" i="2"/>
  <c r="F696" i="2" s="1"/>
  <c r="F698" i="2"/>
  <c r="F699" i="2"/>
  <c r="F700" i="2"/>
  <c r="F703" i="2"/>
  <c r="F704" i="2"/>
  <c r="F707" i="2"/>
  <c r="F708" i="2"/>
  <c r="F709" i="2"/>
  <c r="F710" i="2"/>
  <c r="F711" i="2"/>
  <c r="F714" i="2"/>
  <c r="F715" i="2"/>
  <c r="F718" i="2"/>
  <c r="F719" i="2" s="1"/>
  <c r="F721" i="2"/>
  <c r="F722" i="2" s="1"/>
  <c r="F724" i="2"/>
  <c r="F725" i="2"/>
  <c r="F728" i="2"/>
  <c r="F729" i="2"/>
  <c r="F730" i="2"/>
  <c r="F733" i="2"/>
  <c r="F734" i="2" s="1"/>
  <c r="F736" i="2"/>
  <c r="F737" i="2" s="1"/>
  <c r="F739" i="2"/>
  <c r="F740" i="2" s="1"/>
  <c r="F742" i="2"/>
  <c r="F743" i="2" s="1"/>
  <c r="F745" i="2"/>
  <c r="F746" i="2" s="1"/>
  <c r="F748" i="2"/>
  <c r="F749" i="2"/>
  <c r="F752" i="2"/>
  <c r="F753" i="2" s="1"/>
  <c r="F755" i="2"/>
  <c r="F756" i="2" s="1"/>
  <c r="F758" i="2"/>
  <c r="F759" i="2" s="1"/>
  <c r="F761" i="2"/>
  <c r="F762" i="2"/>
  <c r="F763" i="2"/>
  <c r="F766" i="2"/>
  <c r="F767" i="2" s="1"/>
  <c r="F769" i="2"/>
  <c r="F770" i="2"/>
  <c r="F773" i="2"/>
  <c r="F774" i="2" s="1"/>
  <c r="F776" i="2"/>
  <c r="F777" i="2" s="1"/>
  <c r="F779" i="2"/>
  <c r="F780" i="2" s="1"/>
  <c r="F782" i="2"/>
  <c r="F783" i="2"/>
  <c r="F786" i="2"/>
  <c r="F787" i="2" s="1"/>
  <c r="F789" i="2"/>
  <c r="F790" i="2" s="1"/>
  <c r="F792" i="2"/>
  <c r="F793" i="2"/>
  <c r="F794" i="2"/>
  <c r="F795" i="2"/>
  <c r="F798" i="2"/>
  <c r="F799" i="2"/>
  <c r="F802" i="2"/>
  <c r="F803" i="2"/>
  <c r="F804" i="2"/>
  <c r="F805" i="2"/>
  <c r="F806" i="2"/>
  <c r="F807" i="2"/>
  <c r="F808" i="2"/>
  <c r="F809" i="2"/>
  <c r="F812" i="2"/>
  <c r="F813" i="2"/>
  <c r="F814" i="2"/>
  <c r="F815" i="2"/>
  <c r="F818" i="2"/>
  <c r="F819" i="2" s="1"/>
  <c r="F821" i="2"/>
  <c r="F822" i="2" s="1"/>
  <c r="F824" i="2"/>
  <c r="F825" i="2" s="1"/>
  <c r="F827" i="2"/>
  <c r="F828" i="2" s="1"/>
  <c r="F830" i="2"/>
  <c r="F831" i="2"/>
  <c r="F834" i="2"/>
  <c r="F835" i="2"/>
  <c r="F836" i="2"/>
  <c r="F837" i="2"/>
  <c r="F840" i="2"/>
  <c r="F841" i="2" s="1"/>
  <c r="F843" i="2"/>
  <c r="F844" i="2" s="1"/>
  <c r="F846" i="2"/>
  <c r="F847" i="2"/>
  <c r="F848" i="2"/>
  <c r="F851" i="2"/>
  <c r="F852" i="2"/>
  <c r="F855" i="2"/>
  <c r="F856" i="2" s="1"/>
  <c r="F858" i="2"/>
  <c r="F859" i="2" s="1"/>
  <c r="F861" i="2"/>
  <c r="F862" i="2" s="1"/>
  <c r="F864" i="2"/>
  <c r="F865" i="2" s="1"/>
  <c r="F867" i="2"/>
  <c r="F868" i="2" s="1"/>
  <c r="F870" i="2"/>
  <c r="F871" i="2"/>
  <c r="F874" i="2"/>
  <c r="F875" i="2" s="1"/>
  <c r="F877" i="2"/>
  <c r="F878" i="2" s="1"/>
  <c r="F880" i="2"/>
  <c r="F881" i="2" s="1"/>
  <c r="F883" i="2"/>
  <c r="F884" i="2" s="1"/>
  <c r="F886" i="2"/>
  <c r="F887" i="2" s="1"/>
  <c r="F889" i="2"/>
  <c r="F890" i="2"/>
  <c r="F891" i="2"/>
  <c r="F892" i="2"/>
  <c r="F893" i="2"/>
  <c r="F894" i="2"/>
  <c r="F897" i="2"/>
  <c r="F898" i="2"/>
  <c r="F901" i="2"/>
  <c r="F902" i="2" s="1"/>
  <c r="F904" i="2"/>
  <c r="F905" i="2" s="1"/>
  <c r="F907" i="2"/>
  <c r="F908" i="2"/>
  <c r="F911" i="2"/>
  <c r="F912" i="2"/>
  <c r="F915" i="2"/>
  <c r="F916" i="2" s="1"/>
  <c r="F918" i="2"/>
  <c r="F919" i="2" s="1"/>
  <c r="F921" i="2"/>
  <c r="F922" i="2" s="1"/>
  <c r="F924" i="2"/>
  <c r="F925" i="2"/>
  <c r="F926" i="2"/>
  <c r="F929" i="2"/>
  <c r="F930" i="2" s="1"/>
  <c r="F932" i="2"/>
  <c r="F933" i="2" s="1"/>
  <c r="F935" i="2"/>
  <c r="F936" i="2"/>
  <c r="F937" i="2"/>
  <c r="F940" i="2"/>
  <c r="F941" i="2" s="1"/>
  <c r="F943" i="2"/>
  <c r="F944" i="2" s="1"/>
  <c r="F946" i="2"/>
  <c r="F947" i="2" s="1"/>
  <c r="F949" i="2"/>
  <c r="F950" i="2" s="1"/>
  <c r="F952" i="2"/>
  <c r="F953" i="2" s="1"/>
  <c r="F955" i="2"/>
  <c r="F956" i="2" s="1"/>
  <c r="F958" i="2"/>
  <c r="F959" i="2" s="1"/>
  <c r="F961" i="2"/>
  <c r="F962" i="2" s="1"/>
  <c r="F964" i="2"/>
  <c r="F965" i="2" s="1"/>
  <c r="F967" i="2"/>
  <c r="F968" i="2" s="1"/>
  <c r="F970" i="2"/>
  <c r="F971" i="2"/>
  <c r="F972" i="2"/>
  <c r="F973" i="2"/>
  <c r="F974" i="2"/>
  <c r="F977" i="2"/>
  <c r="F978" i="2"/>
  <c r="F979" i="2"/>
  <c r="F980" i="2"/>
  <c r="F983" i="2"/>
  <c r="F984" i="2" s="1"/>
  <c r="F986" i="2"/>
  <c r="F987" i="2"/>
  <c r="F988" i="2"/>
  <c r="F989" i="2"/>
  <c r="F992" i="2"/>
  <c r="F993" i="2" s="1"/>
  <c r="F995" i="2"/>
  <c r="F996" i="2"/>
  <c r="F999" i="2"/>
  <c r="F1000" i="2"/>
  <c r="F1001" i="2"/>
  <c r="F1004" i="2"/>
  <c r="F1005" i="2"/>
  <c r="F1006" i="2"/>
  <c r="F1009" i="2"/>
  <c r="F1010" i="2"/>
  <c r="F1011" i="2"/>
  <c r="F1014" i="2"/>
  <c r="F1015" i="2"/>
  <c r="F1018" i="2"/>
  <c r="F1019" i="2" s="1"/>
  <c r="F1021" i="2"/>
  <c r="F1022" i="2" s="1"/>
  <c r="F1024" i="2"/>
  <c r="F1025" i="2" s="1"/>
  <c r="F1027" i="2"/>
  <c r="F1028" i="2" s="1"/>
  <c r="F1030" i="2"/>
  <c r="F1031" i="2" s="1"/>
  <c r="F1033" i="2"/>
  <c r="F1034" i="2"/>
  <c r="F1037" i="2"/>
  <c r="F1038" i="2" s="1"/>
  <c r="F1040" i="2"/>
  <c r="F1041" i="2" s="1"/>
  <c r="F1043" i="2"/>
  <c r="F1044" i="2" s="1"/>
  <c r="F1046" i="2"/>
  <c r="F1047" i="2"/>
  <c r="F1050" i="2"/>
  <c r="F1051" i="2"/>
  <c r="F1054" i="2"/>
  <c r="F1055" i="2" s="1"/>
  <c r="F1057" i="2"/>
  <c r="F1058" i="2"/>
  <c r="F1061" i="2"/>
  <c r="F1062" i="2"/>
  <c r="F1063" i="2"/>
  <c r="F1066" i="2"/>
  <c r="F1067" i="2" s="1"/>
  <c r="F1069" i="2"/>
  <c r="F1070" i="2"/>
  <c r="F1071" i="2"/>
  <c r="F1072" i="2"/>
  <c r="F1073" i="2"/>
  <c r="F1076" i="2"/>
  <c r="F1077" i="2"/>
  <c r="F1080" i="2"/>
  <c r="F1081" i="2" s="1"/>
  <c r="F1083" i="2"/>
  <c r="F1084" i="2" s="1"/>
  <c r="F1086" i="2"/>
  <c r="F1087" i="2" s="1"/>
  <c r="F1089" i="2"/>
  <c r="F1090" i="2"/>
  <c r="F1093" i="2"/>
  <c r="F1094" i="2"/>
  <c r="F1097" i="2"/>
  <c r="F1098" i="2"/>
  <c r="F1099" i="2"/>
  <c r="F1100" i="2"/>
  <c r="F1103" i="2"/>
  <c r="F1104" i="2" s="1"/>
  <c r="F1106" i="2"/>
  <c r="F1107" i="2" s="1"/>
  <c r="F1109" i="2"/>
  <c r="F1110" i="2"/>
  <c r="F1111" i="2"/>
  <c r="F1112" i="2"/>
  <c r="F1115" i="2"/>
  <c r="F1116" i="2"/>
  <c r="F1119" i="2"/>
  <c r="F1120" i="2"/>
  <c r="F1121" i="2"/>
  <c r="F1124" i="2"/>
  <c r="F1125" i="2" s="1"/>
  <c r="F1127" i="2"/>
  <c r="F1128" i="2"/>
  <c r="F1129" i="2"/>
  <c r="F1130" i="2"/>
  <c r="F1131" i="2"/>
  <c r="F1134" i="2"/>
  <c r="F1135" i="2" s="1"/>
  <c r="F1137" i="2"/>
  <c r="F1138" i="2"/>
  <c r="F1141" i="2"/>
  <c r="F1142" i="2" s="1"/>
  <c r="F1144" i="2"/>
  <c r="F1145" i="2"/>
  <c r="F1146" i="2"/>
  <c r="F1147" i="2"/>
  <c r="F1148" i="2"/>
  <c r="F1151" i="2"/>
  <c r="F1152" i="2"/>
  <c r="F1153" i="2"/>
  <c r="F1156" i="2"/>
  <c r="F1157" i="2" s="1"/>
  <c r="F1159" i="2"/>
  <c r="F1160" i="2" s="1"/>
  <c r="F1162" i="2"/>
  <c r="F1163" i="2" s="1"/>
  <c r="F1165" i="2"/>
  <c r="F1166" i="2" s="1"/>
  <c r="F1168" i="2"/>
  <c r="F1169" i="2" s="1"/>
  <c r="F1171" i="2"/>
  <c r="F1172" i="2" s="1"/>
  <c r="F1174" i="2"/>
  <c r="F1175" i="2"/>
  <c r="F1176" i="2"/>
  <c r="F1177" i="2"/>
  <c r="F1180" i="2"/>
  <c r="F1181" i="2"/>
  <c r="F1184" i="2"/>
  <c r="F1185" i="2" s="1"/>
  <c r="F1187" i="2"/>
  <c r="F1188" i="2" s="1"/>
  <c r="F1190" i="2"/>
  <c r="F1191" i="2" s="1"/>
  <c r="F1193" i="2"/>
  <c r="F1194" i="2"/>
  <c r="F1195" i="2"/>
  <c r="F1198" i="2"/>
  <c r="F1199" i="2" s="1"/>
  <c r="F1201" i="2"/>
  <c r="F1202" i="2" s="1"/>
  <c r="F1204" i="2"/>
  <c r="F1205" i="2" s="1"/>
  <c r="F1207" i="2"/>
  <c r="F1208" i="2" s="1"/>
  <c r="F1210" i="2"/>
  <c r="F1211" i="2" s="1"/>
  <c r="F1213" i="2"/>
  <c r="F1214" i="2" s="1"/>
  <c r="F1216" i="2"/>
  <c r="F1217" i="2" s="1"/>
  <c r="F1219" i="2"/>
  <c r="F1220" i="2" s="1"/>
  <c r="F1222" i="2"/>
  <c r="F1223" i="2" s="1"/>
  <c r="F1225" i="2"/>
  <c r="F1226" i="2"/>
  <c r="F1227" i="2"/>
  <c r="F1228" i="2"/>
  <c r="F1229" i="2"/>
  <c r="F1232" i="2"/>
  <c r="F1233" i="2" s="1"/>
  <c r="F1235" i="2"/>
  <c r="F1236" i="2"/>
  <c r="F1237" i="2"/>
  <c r="F1238" i="2"/>
  <c r="F1241" i="2"/>
  <c r="F1242" i="2" s="1"/>
  <c r="F1244" i="2"/>
  <c r="F1245" i="2"/>
  <c r="F1248" i="2"/>
  <c r="F1249" i="2"/>
  <c r="F1250" i="2"/>
  <c r="F1251" i="2"/>
  <c r="F1254" i="2"/>
  <c r="F1255" i="2"/>
  <c r="F1256" i="2"/>
  <c r="F1257" i="2"/>
  <c r="F1262" i="2"/>
  <c r="F1263" i="2"/>
  <c r="F1266" i="2"/>
  <c r="F1267" i="2"/>
  <c r="F1268" i="2"/>
  <c r="F1271" i="2"/>
  <c r="F1272" i="2"/>
  <c r="F1275" i="2"/>
  <c r="F1276" i="2" s="1"/>
  <c r="F1278" i="2"/>
  <c r="F1279" i="2" s="1"/>
  <c r="F1281" i="2"/>
  <c r="F1282" i="2"/>
  <c r="F1283" i="2"/>
  <c r="F1284" i="2"/>
  <c r="F1285" i="2"/>
  <c r="F1286" i="2"/>
  <c r="F1289" i="2"/>
  <c r="F1290" i="2"/>
  <c r="F1293" i="2"/>
  <c r="F1294" i="2"/>
  <c r="F1297" i="2"/>
  <c r="F1298" i="2" s="1"/>
  <c r="F1300" i="2"/>
  <c r="F1301" i="2" s="1"/>
  <c r="F1303" i="2"/>
  <c r="F1304" i="2"/>
  <c r="F1305" i="2"/>
  <c r="F1306" i="2"/>
  <c r="F1307" i="2"/>
  <c r="F1308" i="2"/>
  <c r="F1311" i="2"/>
  <c r="F1312" i="2"/>
  <c r="F1313" i="2"/>
  <c r="F1314" i="2"/>
  <c r="F1315" i="2"/>
  <c r="F1316" i="2"/>
  <c r="F1319" i="2"/>
  <c r="F1320" i="2" s="1"/>
  <c r="F1322" i="2"/>
  <c r="F1323" i="2" s="1"/>
  <c r="F1325" i="2"/>
  <c r="F1326" i="2"/>
  <c r="F1327" i="2"/>
  <c r="F1330" i="2"/>
  <c r="F1331" i="2" s="1"/>
  <c r="F1333" i="2"/>
  <c r="F1334" i="2" s="1"/>
  <c r="F1336" i="2"/>
  <c r="F1337" i="2" s="1"/>
  <c r="F1339" i="2"/>
  <c r="F1340" i="2" s="1"/>
  <c r="F1342" i="2"/>
  <c r="F1343" i="2" s="1"/>
  <c r="F1345" i="2"/>
  <c r="F1346" i="2" s="1"/>
  <c r="F1348" i="2"/>
  <c r="F1349" i="2" s="1"/>
  <c r="F1351" i="2"/>
  <c r="F1352" i="2" s="1"/>
  <c r="F1354" i="2"/>
  <c r="F1355" i="2" s="1"/>
  <c r="F1357" i="2"/>
  <c r="F1358" i="2" s="1"/>
  <c r="F1360" i="2"/>
  <c r="F1361" i="2" s="1"/>
  <c r="F1363" i="2"/>
  <c r="F1364" i="2" s="1"/>
  <c r="F1366" i="2"/>
  <c r="F1367" i="2" s="1"/>
  <c r="F1369" i="2"/>
  <c r="F1370" i="2" s="1"/>
  <c r="F1372" i="2"/>
  <c r="F1373" i="2" s="1"/>
  <c r="F1375" i="2"/>
  <c r="F1376" i="2"/>
  <c r="F1379" i="2"/>
  <c r="F1380" i="2"/>
  <c r="F1383" i="2"/>
  <c r="F1384" i="2" s="1"/>
  <c r="F1386" i="2"/>
  <c r="F1387" i="2"/>
  <c r="F1388" i="2"/>
  <c r="F1389" i="2"/>
  <c r="F1392" i="2"/>
  <c r="F1393" i="2"/>
  <c r="F1394" i="2"/>
  <c r="F1395" i="2"/>
  <c r="F1398" i="2"/>
  <c r="F1399" i="2"/>
  <c r="F1400" i="2"/>
  <c r="F1401" i="2"/>
  <c r="F1402" i="2"/>
  <c r="F1403" i="2"/>
  <c r="F1406" i="2"/>
  <c r="F1407" i="2" s="1"/>
  <c r="F1412" i="2"/>
  <c r="F1413" i="2" s="1"/>
  <c r="F1415" i="2"/>
  <c r="F1416" i="2" s="1"/>
  <c r="F1418" i="2"/>
  <c r="F1419" i="2" s="1"/>
  <c r="F1421" i="2"/>
  <c r="F1422" i="2" s="1"/>
  <c r="F1424" i="2"/>
  <c r="F1425" i="2" s="1"/>
  <c r="F1430" i="2"/>
  <c r="F1431" i="2"/>
  <c r="F1432" i="2"/>
  <c r="F1435" i="2"/>
  <c r="F1436" i="2"/>
  <c r="F1439" i="2"/>
  <c r="F1440" i="2"/>
  <c r="F1443" i="2"/>
  <c r="F1444" i="2"/>
  <c r="F1447" i="2"/>
  <c r="F1448" i="2" s="1"/>
  <c r="F1450" i="2"/>
  <c r="F1451" i="2"/>
  <c r="F1452" i="2"/>
  <c r="F1453" i="2"/>
  <c r="F1456" i="2"/>
  <c r="F1457" i="2" s="1"/>
  <c r="F1459" i="2"/>
  <c r="F1460" i="2" s="1"/>
  <c r="F1462" i="2"/>
  <c r="F1463" i="2" s="1"/>
  <c r="F1465" i="2"/>
  <c r="F1466" i="2" s="1"/>
  <c r="F1468" i="2"/>
  <c r="F1469" i="2" s="1"/>
  <c r="F1471" i="2"/>
  <c r="F1472" i="2" s="1"/>
  <c r="F1474" i="2"/>
  <c r="F1475" i="2" s="1"/>
  <c r="F1477" i="2"/>
  <c r="F1478" i="2" s="1"/>
  <c r="F1480" i="2"/>
  <c r="F1481" i="2" s="1"/>
  <c r="F1483" i="2"/>
  <c r="F1484" i="2"/>
  <c r="F1487" i="2"/>
  <c r="F1488" i="2"/>
  <c r="F1491" i="2"/>
  <c r="F1492" i="2"/>
  <c r="F1495" i="2"/>
  <c r="F1496" i="2" s="1"/>
  <c r="F1498" i="2"/>
  <c r="F1499" i="2"/>
  <c r="F1502" i="2"/>
  <c r="F1503" i="2"/>
  <c r="F1504" i="2"/>
  <c r="F1507" i="2"/>
  <c r="F1508" i="2"/>
  <c r="F1509" i="2"/>
  <c r="F1512" i="2"/>
  <c r="F1513" i="2" s="1"/>
  <c r="F1515" i="2"/>
  <c r="F1516" i="2"/>
  <c r="F1517" i="2"/>
  <c r="F1520" i="2"/>
  <c r="F1521" i="2" s="1"/>
  <c r="F1523" i="2"/>
  <c r="F1524" i="2" s="1"/>
  <c r="F1526" i="2"/>
  <c r="F1527" i="2" s="1"/>
  <c r="F1529" i="2"/>
  <c r="F1530" i="2" s="1"/>
  <c r="F1532" i="2"/>
  <c r="F1533" i="2" s="1"/>
  <c r="F1535" i="2"/>
  <c r="F1536" i="2"/>
  <c r="F1537" i="2"/>
  <c r="F1538" i="2"/>
  <c r="F1541" i="2"/>
  <c r="F1542" i="2"/>
  <c r="F1545" i="2"/>
  <c r="F1546" i="2"/>
  <c r="F1547" i="2"/>
  <c r="F1550" i="2"/>
  <c r="F1551" i="2"/>
  <c r="F1554" i="2"/>
  <c r="F1555" i="2" s="1"/>
  <c r="F1557" i="2"/>
  <c r="F1558" i="2" s="1"/>
  <c r="F1560" i="2"/>
  <c r="F1561" i="2"/>
  <c r="F1564" i="2"/>
  <c r="F1565" i="2" s="1"/>
  <c r="F1567" i="2"/>
  <c r="F1568" i="2" s="1"/>
  <c r="F1570" i="2"/>
  <c r="F1571" i="2"/>
  <c r="F1574" i="2"/>
  <c r="F1575" i="2" s="1"/>
  <c r="F1577" i="2"/>
  <c r="F1578" i="2" s="1"/>
  <c r="F1580" i="2"/>
  <c r="F1581" i="2" s="1"/>
  <c r="F1583" i="2"/>
  <c r="F1584" i="2"/>
  <c r="F1587" i="2"/>
  <c r="F1588" i="2"/>
  <c r="F1591" i="2"/>
  <c r="F1592" i="2" s="1"/>
  <c r="F1594" i="2"/>
  <c r="F1595" i="2"/>
  <c r="F1596" i="2"/>
  <c r="F1597" i="2"/>
  <c r="F1598" i="2"/>
  <c r="F1601" i="2"/>
  <c r="F1602" i="2"/>
  <c r="F1603" i="2"/>
  <c r="F1606" i="2"/>
  <c r="F1608" i="2"/>
  <c r="F1609" i="2"/>
  <c r="F1610" i="2"/>
  <c r="F1613" i="2"/>
  <c r="F1614" i="2" s="1"/>
  <c r="F1616" i="2"/>
  <c r="F1617" i="2" s="1"/>
  <c r="F1619" i="2"/>
  <c r="F1620" i="2" s="1"/>
  <c r="F1622" i="2"/>
  <c r="F1623" i="2"/>
  <c r="F1626" i="2"/>
  <c r="F1627" i="2" s="1"/>
  <c r="F1629" i="2"/>
  <c r="F1630" i="2"/>
  <c r="F1633" i="2"/>
  <c r="F1634" i="2" s="1"/>
  <c r="F1636" i="2"/>
  <c r="F1637" i="2" s="1"/>
  <c r="F1639" i="2"/>
  <c r="F1640" i="2" s="1"/>
  <c r="F1642" i="2"/>
  <c r="F1643" i="2" s="1"/>
  <c r="F1645" i="2"/>
  <c r="F1646" i="2"/>
  <c r="F1649" i="2"/>
  <c r="F1650" i="2"/>
  <c r="F1651" i="2"/>
  <c r="F1652" i="2"/>
  <c r="F1653" i="2"/>
  <c r="F1656" i="2"/>
  <c r="F1657" i="2" s="1"/>
  <c r="F1659" i="2"/>
  <c r="F1660" i="2" s="1"/>
  <c r="F1662" i="2"/>
  <c r="F1663" i="2"/>
  <c r="F1664" i="2"/>
  <c r="F1667" i="2"/>
  <c r="F1668" i="2"/>
  <c r="F1671" i="2"/>
  <c r="F1672" i="2" s="1"/>
  <c r="F1674" i="2"/>
  <c r="F1675" i="2" s="1"/>
  <c r="F1677" i="2"/>
  <c r="F1678" i="2" s="1"/>
  <c r="F1680" i="2"/>
  <c r="F1681" i="2" s="1"/>
  <c r="F1683" i="2"/>
  <c r="F1684" i="2" s="1"/>
  <c r="F1686" i="2"/>
  <c r="F1687" i="2"/>
  <c r="F1690" i="2"/>
  <c r="F1691" i="2"/>
  <c r="F1694" i="2"/>
  <c r="F1695" i="2"/>
  <c r="F1698" i="2"/>
  <c r="F1699" i="2" s="1"/>
  <c r="F1701" i="2"/>
  <c r="F1702" i="2" s="1"/>
  <c r="F1704" i="2"/>
  <c r="F1705" i="2" s="1"/>
  <c r="F1707" i="2"/>
  <c r="F1708" i="2" s="1"/>
  <c r="F1710" i="2"/>
  <c r="F1711" i="2" s="1"/>
  <c r="F1713" i="2"/>
  <c r="F1714" i="2" s="1"/>
  <c r="F1716" i="2"/>
  <c r="F1717" i="2"/>
  <c r="F1720" i="2"/>
  <c r="F1721" i="2" s="1"/>
  <c r="F1723" i="2"/>
  <c r="F1724" i="2" s="1"/>
  <c r="F1726" i="2"/>
  <c r="F1727" i="2" s="1"/>
  <c r="F1729" i="2"/>
  <c r="F1730" i="2" s="1"/>
  <c r="F1732" i="2"/>
  <c r="F1733" i="2" s="1"/>
  <c r="F1735" i="2"/>
  <c r="F1736" i="2" s="1"/>
  <c r="F6" i="3"/>
  <c r="F7" i="3" s="1"/>
  <c r="F9" i="3"/>
  <c r="F10" i="3" s="1"/>
  <c r="F12" i="3"/>
  <c r="F13" i="3"/>
  <c r="F14" i="3"/>
  <c r="F17" i="3"/>
  <c r="F18" i="3"/>
  <c r="F21" i="3"/>
  <c r="F22" i="3"/>
  <c r="F25" i="3"/>
  <c r="F26" i="3"/>
  <c r="F29" i="3"/>
  <c r="F30" i="3" s="1"/>
  <c r="F32" i="3"/>
  <c r="F33" i="3" s="1"/>
  <c r="F35" i="3"/>
  <c r="F36" i="3" s="1"/>
  <c r="F38" i="3"/>
  <c r="F39" i="3" s="1"/>
  <c r="F41" i="3"/>
  <c r="F42" i="3"/>
  <c r="F43" i="3"/>
  <c r="F46" i="3"/>
  <c r="F47" i="3"/>
  <c r="F50" i="3"/>
  <c r="F51" i="3" s="1"/>
  <c r="F53" i="3"/>
  <c r="F54" i="3" s="1"/>
  <c r="F56" i="3"/>
  <c r="F57" i="3" s="1"/>
  <c r="F59" i="3"/>
  <c r="F60" i="3" s="1"/>
  <c r="F62" i="3"/>
  <c r="F63" i="3"/>
  <c r="F64" i="3"/>
  <c r="F65" i="3"/>
  <c r="F66" i="3"/>
  <c r="F69" i="3"/>
  <c r="F70" i="3"/>
  <c r="F71" i="3"/>
  <c r="F74" i="3"/>
  <c r="F75" i="3"/>
  <c r="F76" i="3"/>
  <c r="F79" i="3"/>
  <c r="F80" i="3"/>
  <c r="F81" i="3"/>
  <c r="F82" i="3"/>
  <c r="F85" i="3"/>
  <c r="F86" i="3"/>
  <c r="F87" i="3"/>
  <c r="F90" i="3"/>
  <c r="F91" i="3" s="1"/>
  <c r="F93" i="3"/>
  <c r="F94" i="3" s="1"/>
  <c r="F96" i="3"/>
  <c r="F97" i="3" s="1"/>
  <c r="F99" i="3"/>
  <c r="F100" i="3" s="1"/>
  <c r="F102" i="3"/>
  <c r="F103" i="3" s="1"/>
  <c r="F105" i="3"/>
  <c r="F106" i="3" s="1"/>
  <c r="F108" i="3"/>
  <c r="F109" i="3" s="1"/>
  <c r="F111" i="3"/>
  <c r="F112" i="3" s="1"/>
  <c r="F114" i="3"/>
  <c r="F115" i="3" s="1"/>
  <c r="F117" i="3"/>
  <c r="F118" i="3"/>
  <c r="F121" i="3"/>
  <c r="F122" i="3" s="1"/>
  <c r="F124" i="3"/>
  <c r="F125" i="3"/>
  <c r="F128" i="3"/>
  <c r="F129" i="3"/>
  <c r="F130" i="3"/>
  <c r="F131" i="3"/>
  <c r="F134" i="3"/>
  <c r="F135" i="3" s="1"/>
  <c r="F137" i="3"/>
  <c r="F138" i="3"/>
  <c r="F139" i="3"/>
  <c r="F142" i="3"/>
  <c r="F143" i="3" s="1"/>
  <c r="F145" i="3"/>
  <c r="F146" i="3" s="1"/>
  <c r="F148" i="3"/>
  <c r="F149" i="3" s="1"/>
  <c r="F151" i="3"/>
  <c r="F152" i="3" s="1"/>
  <c r="F154" i="3"/>
  <c r="F155" i="3" s="1"/>
  <c r="F157" i="3"/>
  <c r="F158" i="3" s="1"/>
  <c r="F160" i="3"/>
  <c r="F161" i="3" s="1"/>
  <c r="F163" i="3"/>
  <c r="F164" i="3"/>
  <c r="F167" i="3"/>
  <c r="F168" i="3" s="1"/>
  <c r="F170" i="3"/>
  <c r="F171" i="3" s="1"/>
  <c r="F173" i="3"/>
  <c r="F174" i="3"/>
  <c r="F175" i="3"/>
  <c r="F176" i="3"/>
  <c r="F177" i="3"/>
  <c r="F180" i="3"/>
  <c r="F182" i="3" s="1"/>
  <c r="F181" i="3"/>
  <c r="F184" i="3"/>
  <c r="F185" i="3" s="1"/>
  <c r="F187" i="3"/>
  <c r="F188" i="3"/>
  <c r="F189" i="3"/>
  <c r="F192" i="3"/>
  <c r="F194" i="3" s="1"/>
  <c r="F193" i="3"/>
  <c r="F196" i="3"/>
  <c r="F197" i="3" s="1"/>
  <c r="F199" i="3"/>
  <c r="F200" i="3" s="1"/>
  <c r="F202" i="3"/>
  <c r="F203" i="3" s="1"/>
  <c r="F205" i="3"/>
  <c r="F206" i="3" s="1"/>
  <c r="F208" i="3"/>
  <c r="F209" i="3"/>
  <c r="F210" i="3"/>
  <c r="F211" i="3"/>
  <c r="F214" i="3"/>
  <c r="F215" i="3"/>
  <c r="F216" i="3"/>
  <c r="F219" i="3"/>
  <c r="F220" i="3"/>
  <c r="F221" i="3"/>
  <c r="F222" i="3"/>
  <c r="F225" i="3"/>
  <c r="F226" i="3"/>
  <c r="F229" i="3"/>
  <c r="F230" i="3" s="1"/>
  <c r="F232" i="3"/>
  <c r="F233" i="3" s="1"/>
  <c r="F235" i="3"/>
  <c r="F236" i="3"/>
  <c r="F237" i="3"/>
  <c r="F238" i="3"/>
  <c r="F239" i="3"/>
  <c r="F240" i="3"/>
  <c r="F243" i="3"/>
  <c r="F244" i="3"/>
  <c r="F245" i="3"/>
  <c r="F246" i="3"/>
  <c r="F247" i="3"/>
  <c r="F250" i="3"/>
  <c r="F251" i="3" s="1"/>
  <c r="F253" i="3"/>
  <c r="F254" i="3" s="1"/>
  <c r="F256" i="3"/>
  <c r="F257" i="3" s="1"/>
  <c r="F259" i="3"/>
  <c r="F260" i="3"/>
  <c r="F263" i="3"/>
  <c r="F264" i="3"/>
  <c r="F267" i="3"/>
  <c r="F268" i="3"/>
  <c r="F269" i="3"/>
  <c r="F272" i="3"/>
  <c r="F273" i="3" s="1"/>
  <c r="F275" i="3"/>
  <c r="F276" i="3" s="1"/>
  <c r="F278" i="3"/>
  <c r="F279" i="3" s="1"/>
  <c r="F281" i="3"/>
  <c r="F282" i="3" s="1"/>
  <c r="F284" i="3"/>
  <c r="F285" i="3" s="1"/>
  <c r="F287" i="3"/>
  <c r="F288" i="3" s="1"/>
  <c r="F290" i="3"/>
  <c r="F291" i="3"/>
  <c r="F292" i="3"/>
  <c r="F295" i="3"/>
  <c r="F296" i="3"/>
  <c r="F299" i="3"/>
  <c r="F300" i="3" s="1"/>
  <c r="F302" i="3"/>
  <c r="F303" i="3"/>
  <c r="F304" i="3"/>
  <c r="F307" i="3"/>
  <c r="F308" i="3"/>
  <c r="F311" i="3"/>
  <c r="F312" i="3" s="1"/>
  <c r="F314" i="3"/>
  <c r="F315" i="3" s="1"/>
  <c r="F317" i="3"/>
  <c r="F318" i="3" s="1"/>
  <c r="F320" i="3"/>
  <c r="F321" i="3" s="1"/>
  <c r="F323" i="3"/>
  <c r="F324" i="3" s="1"/>
  <c r="F326" i="3"/>
  <c r="F327" i="3"/>
  <c r="F330" i="3"/>
  <c r="F332" i="3" s="1"/>
  <c r="F331" i="3"/>
  <c r="F334" i="3"/>
  <c r="F335" i="3" s="1"/>
  <c r="F337" i="3"/>
  <c r="F338" i="3"/>
  <c r="F341" i="3"/>
  <c r="F342" i="3" s="1"/>
  <c r="F344" i="3"/>
  <c r="F345" i="3"/>
  <c r="F346" i="3"/>
  <c r="F349" i="3"/>
  <c r="F350" i="3" s="1"/>
  <c r="F352" i="3"/>
  <c r="F353" i="3"/>
  <c r="F354" i="3"/>
  <c r="F357" i="3"/>
  <c r="F358" i="3"/>
  <c r="F361" i="3"/>
  <c r="F362" i="3"/>
  <c r="F363" i="3"/>
  <c r="F364" i="3"/>
  <c r="F367" i="3"/>
  <c r="F368" i="3" s="1"/>
  <c r="F370" i="3"/>
  <c r="F371" i="3" s="1"/>
  <c r="F373" i="3"/>
  <c r="F374" i="3" s="1"/>
  <c r="F376" i="3"/>
  <c r="F377" i="3"/>
  <c r="F378" i="3"/>
  <c r="F381" i="3"/>
  <c r="F382" i="3" s="1"/>
  <c r="F384" i="3"/>
  <c r="F385" i="3" s="1"/>
  <c r="F387" i="3"/>
  <c r="F388" i="3"/>
  <c r="F391" i="3"/>
  <c r="F392" i="3"/>
  <c r="F395" i="3"/>
  <c r="F396" i="3"/>
  <c r="F399" i="3"/>
  <c r="F400" i="3"/>
  <c r="F401" i="3"/>
  <c r="F402" i="3"/>
  <c r="F405" i="3"/>
  <c r="F406" i="3"/>
  <c r="F407" i="3"/>
  <c r="F410" i="3"/>
  <c r="F411" i="3" s="1"/>
  <c r="F413" i="3"/>
  <c r="F414" i="3"/>
  <c r="F415" i="3"/>
  <c r="F418" i="3"/>
  <c r="F419" i="3"/>
  <c r="F422" i="3"/>
  <c r="F423" i="3" s="1"/>
  <c r="F425" i="3"/>
  <c r="F426" i="3" s="1"/>
  <c r="F428" i="3"/>
  <c r="F429" i="3" s="1"/>
  <c r="F431" i="3"/>
  <c r="F432" i="3" s="1"/>
  <c r="F434" i="3"/>
  <c r="F435" i="3"/>
  <c r="F438" i="3"/>
  <c r="F439" i="3" s="1"/>
  <c r="F441" i="3"/>
  <c r="F442" i="3" s="1"/>
  <c r="F444" i="3"/>
  <c r="F445" i="3" s="1"/>
  <c r="F447" i="3"/>
  <c r="F448" i="3" s="1"/>
  <c r="F450" i="3"/>
  <c r="F451" i="3" s="1"/>
  <c r="F453" i="3"/>
  <c r="F454" i="3" s="1"/>
  <c r="F456" i="3"/>
  <c r="F457" i="3"/>
  <c r="F458" i="3"/>
  <c r="F459" i="3"/>
  <c r="F462" i="3"/>
  <c r="F464" i="3" s="1"/>
  <c r="F463" i="3"/>
  <c r="F466" i="3"/>
  <c r="F467" i="3" s="1"/>
  <c r="F469" i="3"/>
  <c r="F470" i="3" s="1"/>
  <c r="F472" i="3"/>
  <c r="F473" i="3"/>
  <c r="F476" i="3"/>
  <c r="F477" i="3"/>
  <c r="F478" i="3"/>
  <c r="F479" i="3"/>
  <c r="F480" i="3"/>
  <c r="F483" i="3"/>
  <c r="F484" i="3" s="1"/>
  <c r="F486" i="3"/>
  <c r="F487" i="3"/>
  <c r="F488" i="3"/>
  <c r="F489" i="3"/>
  <c r="F492" i="3"/>
  <c r="F494" i="3" s="1"/>
  <c r="F493" i="3"/>
  <c r="F496" i="3"/>
  <c r="F497" i="3" s="1"/>
  <c r="F499" i="3"/>
  <c r="F500" i="3" s="1"/>
  <c r="F502" i="3"/>
  <c r="F503" i="3" s="1"/>
  <c r="F505" i="3"/>
  <c r="F506" i="3"/>
  <c r="F509" i="3"/>
  <c r="F510" i="3" s="1"/>
  <c r="F512" i="3"/>
  <c r="F513" i="3" s="1"/>
  <c r="F515" i="3"/>
  <c r="F516" i="3" s="1"/>
  <c r="F518" i="3"/>
  <c r="F519" i="3"/>
  <c r="F520" i="3"/>
  <c r="F523" i="3"/>
  <c r="F524" i="3" s="1"/>
  <c r="F526" i="3"/>
  <c r="F527" i="3" s="1"/>
  <c r="F529" i="3"/>
  <c r="F530" i="3"/>
  <c r="F533" i="3"/>
  <c r="F534" i="3" s="1"/>
  <c r="F536" i="3"/>
  <c r="F537" i="3" s="1"/>
  <c r="F539" i="3"/>
  <c r="F540" i="3" s="1"/>
  <c r="F542" i="3"/>
  <c r="F543" i="3"/>
  <c r="F544" i="3"/>
  <c r="F547" i="3"/>
  <c r="F548" i="3" s="1"/>
  <c r="F550" i="3"/>
  <c r="F551" i="3"/>
  <c r="F552" i="3"/>
  <c r="F553" i="3"/>
  <c r="F556" i="3"/>
  <c r="F557" i="3"/>
  <c r="F560" i="3"/>
  <c r="F561" i="3" s="1"/>
  <c r="F568" i="3"/>
  <c r="F569" i="3"/>
  <c r="F572" i="3"/>
  <c r="F573" i="3"/>
  <c r="F574" i="3"/>
  <c r="F575" i="3"/>
  <c r="F579" i="3"/>
  <c r="F580" i="3"/>
  <c r="F583" i="3"/>
  <c r="F584" i="3"/>
  <c r="F587" i="3"/>
  <c r="F588" i="3"/>
  <c r="F589" i="3" s="1"/>
  <c r="F591" i="3"/>
  <c r="F592" i="3" s="1"/>
  <c r="F594" i="3"/>
  <c r="F595" i="3" s="1"/>
  <c r="F597" i="3"/>
  <c r="F598" i="3"/>
  <c r="F601" i="3"/>
  <c r="F602" i="3" s="1"/>
  <c r="F604" i="3"/>
  <c r="F605" i="3" s="1"/>
  <c r="F607" i="3"/>
  <c r="F608" i="3"/>
  <c r="F611" i="3"/>
  <c r="F612" i="3"/>
  <c r="F615" i="3"/>
  <c r="F616" i="3" s="1"/>
  <c r="F618" i="3"/>
  <c r="F619" i="3"/>
  <c r="F620" i="3"/>
  <c r="F623" i="3"/>
  <c r="F624" i="3" s="1"/>
  <c r="F626" i="3"/>
  <c r="F627" i="3"/>
  <c r="F630" i="3"/>
  <c r="F631" i="3" s="1"/>
  <c r="F636" i="3"/>
  <c r="F637" i="3" s="1"/>
  <c r="F639" i="3"/>
  <c r="F640" i="3" s="1"/>
  <c r="F642" i="3"/>
  <c r="F643" i="3" s="1"/>
  <c r="F645" i="3"/>
  <c r="F646" i="3" s="1"/>
  <c r="F648" i="3"/>
  <c r="F649" i="3"/>
  <c r="F650" i="3"/>
  <c r="F651" i="3"/>
  <c r="F654" i="3"/>
  <c r="F655" i="3" s="1"/>
  <c r="F657" i="3"/>
  <c r="F658" i="3" s="1"/>
  <c r="F660" i="3"/>
  <c r="F661" i="3" s="1"/>
  <c r="F663" i="3"/>
  <c r="F664" i="3" s="1"/>
  <c r="F666" i="3"/>
  <c r="F667" i="3" s="1"/>
  <c r="F669" i="3"/>
  <c r="F670" i="3" s="1"/>
  <c r="F672" i="3"/>
  <c r="F673" i="3" s="1"/>
  <c r="F675" i="3"/>
  <c r="F676" i="3"/>
  <c r="F679" i="3"/>
  <c r="F681" i="3" s="1"/>
  <c r="F680" i="3"/>
  <c r="F683" i="3"/>
  <c r="F684" i="3" s="1"/>
  <c r="F686" i="3"/>
  <c r="F687" i="3" s="1"/>
  <c r="F689" i="3"/>
  <c r="F690" i="3"/>
  <c r="F691" i="3"/>
  <c r="F694" i="3"/>
  <c r="F695" i="3" s="1"/>
  <c r="F697" i="3"/>
  <c r="F698" i="3" s="1"/>
  <c r="F700" i="3"/>
  <c r="F701" i="3" s="1"/>
  <c r="F703" i="3"/>
  <c r="F705" i="3" s="1"/>
  <c r="F704" i="3"/>
  <c r="F707" i="3"/>
  <c r="F708" i="3" s="1"/>
  <c r="F710" i="3"/>
  <c r="F711" i="3" s="1"/>
  <c r="F713" i="3"/>
  <c r="F714" i="3"/>
  <c r="F717" i="3"/>
  <c r="F718" i="3" s="1"/>
  <c r="F720" i="3"/>
  <c r="F721" i="3" s="1"/>
  <c r="F723" i="3"/>
  <c r="F724" i="3"/>
  <c r="F725" i="3"/>
  <c r="F728" i="3"/>
  <c r="F729" i="3" s="1"/>
  <c r="F732" i="3"/>
  <c r="F733" i="3" s="1"/>
  <c r="F735" i="3"/>
  <c r="F736" i="3"/>
  <c r="F737" i="3"/>
  <c r="F740" i="3"/>
  <c r="F741" i="3" s="1"/>
  <c r="F743" i="3"/>
  <c r="F744" i="3"/>
  <c r="F747" i="3"/>
  <c r="F748" i="3" s="1"/>
  <c r="F750" i="3"/>
  <c r="F751" i="3" s="1"/>
  <c r="F753" i="3"/>
  <c r="F754" i="3"/>
  <c r="F755" i="3"/>
  <c r="F756" i="3"/>
  <c r="F759" i="3"/>
  <c r="F760" i="3"/>
  <c r="F763" i="3"/>
  <c r="F764" i="3" s="1"/>
  <c r="F766" i="3"/>
  <c r="F767" i="3"/>
  <c r="F768" i="3"/>
  <c r="F771" i="3"/>
  <c r="F772" i="3"/>
  <c r="F773" i="3"/>
  <c r="F774" i="3"/>
  <c r="F775" i="3"/>
  <c r="F776" i="3"/>
  <c r="F779" i="3"/>
  <c r="F780" i="3" s="1"/>
  <c r="F782" i="3"/>
  <c r="F783" i="3" s="1"/>
  <c r="F785" i="3"/>
  <c r="F786" i="3" s="1"/>
  <c r="F788" i="3"/>
  <c r="F789" i="3" s="1"/>
  <c r="F791" i="3"/>
  <c r="F792" i="3"/>
  <c r="F793" i="3"/>
  <c r="F796" i="3"/>
  <c r="F797" i="3" s="1"/>
  <c r="F799" i="3"/>
  <c r="F800" i="3" s="1"/>
  <c r="F802" i="3"/>
  <c r="F803" i="3" s="1"/>
  <c r="F805" i="3"/>
  <c r="F806" i="3" s="1"/>
  <c r="F808" i="3"/>
  <c r="F809" i="3" s="1"/>
  <c r="F811" i="3"/>
  <c r="F812" i="3"/>
  <c r="F815" i="3"/>
  <c r="F816" i="3" s="1"/>
  <c r="F818" i="3"/>
  <c r="F819" i="3" s="1"/>
  <c r="F821" i="3"/>
  <c r="F822" i="3"/>
  <c r="F825" i="3"/>
  <c r="F826" i="3"/>
  <c r="F827" i="3"/>
  <c r="F830" i="3"/>
  <c r="F831" i="3" s="1"/>
  <c r="F833" i="3"/>
  <c r="F834" i="3"/>
  <c r="F835" i="3"/>
  <c r="F836" i="3"/>
  <c r="F839" i="3"/>
  <c r="F840" i="3" s="1"/>
  <c r="F842" i="3"/>
  <c r="F843" i="3"/>
  <c r="F846" i="3"/>
  <c r="F847" i="3"/>
  <c r="F848" i="3"/>
  <c r="F851" i="3"/>
  <c r="F852" i="3" s="1"/>
  <c r="F854" i="3"/>
  <c r="F855" i="3"/>
  <c r="F856" i="3"/>
  <c r="F857" i="3"/>
  <c r="F858" i="3"/>
  <c r="F859" i="3"/>
  <c r="F860" i="3"/>
  <c r="F863" i="3"/>
  <c r="F864" i="3" s="1"/>
  <c r="F866" i="3"/>
  <c r="F867" i="3"/>
  <c r="F868" i="3"/>
  <c r="F869" i="3"/>
  <c r="F872" i="3"/>
  <c r="F873" i="3" s="1"/>
  <c r="F875" i="3"/>
  <c r="F876" i="3" s="1"/>
  <c r="F878" i="3"/>
  <c r="F879" i="3" s="1"/>
  <c r="F881" i="3"/>
  <c r="F882" i="3"/>
  <c r="F883" i="3"/>
  <c r="F884" i="3"/>
  <c r="F887" i="3"/>
  <c r="F888" i="3" s="1"/>
  <c r="F890" i="3"/>
  <c r="F891" i="3" s="1"/>
  <c r="F893" i="3"/>
  <c r="F894" i="3" s="1"/>
  <c r="F896" i="3"/>
  <c r="F897" i="3" s="1"/>
  <c r="F899" i="3"/>
  <c r="F900" i="3" s="1"/>
  <c r="F902" i="3"/>
  <c r="F903" i="3" s="1"/>
  <c r="F905" i="3"/>
  <c r="F906" i="3" s="1"/>
  <c r="F908" i="3"/>
  <c r="F909" i="3"/>
  <c r="F912" i="3"/>
  <c r="F913" i="3" s="1"/>
  <c r="F915" i="3"/>
  <c r="F916" i="3" s="1"/>
  <c r="F918" i="3"/>
  <c r="F919" i="3"/>
  <c r="F920" i="3"/>
  <c r="F923" i="3"/>
  <c r="F924" i="3" s="1"/>
  <c r="F926" i="3"/>
  <c r="F927" i="3"/>
  <c r="F928" i="3"/>
  <c r="F931" i="3"/>
  <c r="F932" i="3" s="1"/>
  <c r="F934" i="3"/>
  <c r="F935" i="3" s="1"/>
  <c r="F937" i="3"/>
  <c r="F938" i="3" s="1"/>
  <c r="F940" i="3"/>
  <c r="F941" i="3" s="1"/>
  <c r="F943" i="3"/>
  <c r="F944" i="3" s="1"/>
  <c r="F946" i="3"/>
  <c r="F947" i="3" s="1"/>
  <c r="F949" i="3"/>
  <c r="F950" i="3"/>
  <c r="F953" i="3"/>
  <c r="F954" i="3" s="1"/>
  <c r="F956" i="3"/>
  <c r="F957" i="3" s="1"/>
  <c r="F959" i="3"/>
  <c r="F960" i="3" s="1"/>
  <c r="F962" i="3"/>
  <c r="F963" i="3" s="1"/>
  <c r="F965" i="3"/>
  <c r="F966" i="3"/>
  <c r="F969" i="3"/>
  <c r="F970" i="3"/>
  <c r="F971" i="3"/>
  <c r="F974" i="3"/>
  <c r="F975" i="3"/>
  <c r="F976" i="3"/>
  <c r="F977" i="3"/>
  <c r="F978" i="3"/>
  <c r="F981" i="3"/>
  <c r="F982" i="3" s="1"/>
  <c r="F984" i="3"/>
  <c r="F985" i="3"/>
  <c r="F988" i="3"/>
  <c r="F989" i="3"/>
  <c r="F990" i="3"/>
  <c r="F991" i="3"/>
  <c r="F992" i="3"/>
  <c r="F995" i="3"/>
  <c r="F996" i="3" s="1"/>
  <c r="F998" i="3"/>
  <c r="F999" i="3" s="1"/>
  <c r="F1001" i="3"/>
  <c r="F1002" i="3" s="1"/>
  <c r="F1004" i="3"/>
  <c r="F1005" i="3" s="1"/>
  <c r="F1007" i="3"/>
  <c r="F1008" i="3" s="1"/>
  <c r="F1010" i="3"/>
  <c r="F1011" i="3"/>
  <c r="F1012" i="3"/>
  <c r="F1013" i="3"/>
  <c r="F1016" i="3"/>
  <c r="F1018" i="3" s="1"/>
  <c r="F1017" i="3"/>
  <c r="F1020" i="3"/>
  <c r="F1021" i="3"/>
  <c r="F1024" i="3"/>
  <c r="F1025" i="3" s="1"/>
  <c r="F1027" i="3"/>
  <c r="F1028" i="3"/>
  <c r="F1029" i="3"/>
  <c r="F1032" i="3"/>
  <c r="F1033" i="3" s="1"/>
  <c r="F1035" i="3"/>
  <c r="F1036" i="3" s="1"/>
  <c r="F1038" i="3"/>
  <c r="F1039" i="3"/>
  <c r="F1042" i="3"/>
  <c r="F1043" i="3" s="1"/>
  <c r="F1045" i="3"/>
  <c r="F1046" i="3"/>
  <c r="F1049" i="3"/>
  <c r="F1050" i="3" s="1"/>
  <c r="F1052" i="3"/>
  <c r="F1053" i="3" s="1"/>
  <c r="F1055" i="3"/>
  <c r="F1056" i="3"/>
  <c r="F1059" i="3"/>
  <c r="F1060" i="3"/>
  <c r="F1061" i="3"/>
  <c r="F1062" i="3"/>
  <c r="F1065" i="3"/>
  <c r="F1066" i="3"/>
  <c r="F1067" i="3"/>
  <c r="F1070" i="3"/>
  <c r="F1071" i="3"/>
  <c r="F1074" i="3"/>
  <c r="F1075" i="3" s="1"/>
  <c r="F1077" i="3"/>
  <c r="F1078" i="3"/>
  <c r="F1079" i="3"/>
  <c r="F1080" i="3"/>
  <c r="F1081" i="3"/>
  <c r="F1084" i="3"/>
  <c r="F1085" i="3" s="1"/>
  <c r="F1087" i="3"/>
  <c r="F1088" i="3" s="1"/>
  <c r="F1090" i="3"/>
  <c r="F1091" i="3" s="1"/>
  <c r="F1093" i="3"/>
  <c r="F1094" i="3"/>
  <c r="F1095" i="3"/>
  <c r="F1096" i="3"/>
  <c r="F1099" i="3"/>
  <c r="F1100" i="3" s="1"/>
  <c r="F1102" i="3"/>
  <c r="F1103" i="3" s="1"/>
  <c r="F1105" i="3"/>
  <c r="F1106" i="3" s="1"/>
  <c r="F1108" i="3"/>
  <c r="F1109" i="3" s="1"/>
  <c r="F1111" i="3"/>
  <c r="F1112" i="3" s="1"/>
  <c r="F1114" i="3"/>
  <c r="F1115" i="3"/>
  <c r="F1116" i="3"/>
  <c r="F1117" i="3"/>
  <c r="F1118" i="3"/>
  <c r="F1121" i="3"/>
  <c r="F1122" i="3"/>
  <c r="F1125" i="3"/>
  <c r="F1126" i="3" s="1"/>
  <c r="F1128" i="3"/>
  <c r="F1129" i="3"/>
  <c r="F1130" i="3"/>
  <c r="F1131" i="3"/>
  <c r="F1132" i="3"/>
  <c r="F1133" i="3"/>
  <c r="F1136" i="3"/>
  <c r="F1137" i="3" s="1"/>
  <c r="F1139" i="3"/>
  <c r="F1140" i="3" s="1"/>
  <c r="F1142" i="3"/>
  <c r="F1143" i="3"/>
  <c r="F1144" i="3"/>
  <c r="F1147" i="3"/>
  <c r="F1148" i="3" s="1"/>
  <c r="F1150" i="3"/>
  <c r="F1151" i="3" s="1"/>
  <c r="F1153" i="3"/>
  <c r="F1154" i="3" s="1"/>
  <c r="F1156" i="3"/>
  <c r="F1157" i="3" s="1"/>
  <c r="F1159" i="3"/>
  <c r="F1160" i="3" s="1"/>
  <c r="F1162" i="3"/>
  <c r="F1163" i="3" s="1"/>
  <c r="F1165" i="3"/>
  <c r="F1166" i="3" s="1"/>
  <c r="F1168" i="3"/>
  <c r="F1169" i="3"/>
  <c r="F1170" i="3"/>
  <c r="F1173" i="3"/>
  <c r="F1174" i="3"/>
  <c r="F1177" i="3"/>
  <c r="F1178" i="3" s="1"/>
  <c r="F1180" i="3"/>
  <c r="F1181" i="3"/>
  <c r="F1184" i="3"/>
  <c r="F1185" i="3" s="1"/>
  <c r="F1187" i="3"/>
  <c r="F1188" i="3" s="1"/>
  <c r="F1190" i="3"/>
  <c r="F1191" i="3"/>
  <c r="F1192" i="3"/>
  <c r="F1193" i="3"/>
  <c r="F1194" i="3"/>
  <c r="F1195" i="3"/>
  <c r="F1196" i="3"/>
  <c r="F1197" i="3"/>
  <c r="F1198" i="3"/>
  <c r="F1199" i="3"/>
  <c r="F1202" i="3"/>
  <c r="F1204" i="3" s="1"/>
  <c r="F1203" i="3"/>
  <c r="F1206" i="3"/>
  <c r="F1207" i="3"/>
  <c r="F1208" i="3"/>
  <c r="F1211" i="3"/>
  <c r="F1212" i="3"/>
  <c r="F1213" i="3"/>
  <c r="F1214" i="3"/>
  <c r="F1215" i="3"/>
  <c r="F1216" i="3"/>
  <c r="F1219" i="3"/>
  <c r="F1220" i="3"/>
  <c r="F1223" i="3"/>
  <c r="F1224" i="3"/>
  <c r="F1227" i="3"/>
  <c r="F1228" i="3"/>
  <c r="F1229" i="3"/>
  <c r="F1232" i="3"/>
  <c r="F1233" i="3" s="1"/>
  <c r="F1235" i="3"/>
  <c r="F1236" i="3" s="1"/>
  <c r="F1238" i="3"/>
  <c r="F1240" i="3" s="1"/>
  <c r="F1239" i="3"/>
  <c r="F1242" i="3"/>
  <c r="F1243" i="3" s="1"/>
  <c r="F1245" i="3"/>
  <c r="F1246" i="3"/>
  <c r="F1247" i="3"/>
  <c r="F1248" i="3"/>
  <c r="F1251" i="3"/>
  <c r="F1252" i="3"/>
  <c r="F1255" i="3"/>
  <c r="F1256" i="3" s="1"/>
  <c r="F1258" i="3"/>
  <c r="F1259" i="3"/>
  <c r="F1260" i="3"/>
  <c r="F1261" i="3"/>
  <c r="F1264" i="3"/>
  <c r="F1265" i="3"/>
  <c r="F1268" i="3"/>
  <c r="F1269" i="3"/>
  <c r="F1270" i="3"/>
  <c r="F1273" i="3"/>
  <c r="F1274" i="3"/>
  <c r="F1275" i="3"/>
  <c r="F1276" i="3"/>
  <c r="F1277" i="3"/>
  <c r="F1278" i="3"/>
  <c r="F1281" i="3"/>
  <c r="F1282" i="3" s="1"/>
  <c r="F1284" i="3"/>
  <c r="F1285" i="3" s="1"/>
  <c r="F1287" i="3"/>
  <c r="F1288" i="3" s="1"/>
  <c r="F1290" i="3"/>
  <c r="F1291" i="3" s="1"/>
  <c r="F1293" i="3"/>
  <c r="F1294" i="3" s="1"/>
  <c r="F1296" i="3"/>
  <c r="F1297" i="3" s="1"/>
  <c r="F1299" i="3"/>
  <c r="F1300" i="3" s="1"/>
  <c r="F1302" i="3"/>
  <c r="F1303" i="3" s="1"/>
  <c r="F1305" i="3"/>
  <c r="F1306" i="3" s="1"/>
  <c r="F1308" i="3"/>
  <c r="F1309" i="3"/>
  <c r="F1310" i="3"/>
  <c r="F1311" i="3"/>
  <c r="F1314" i="3"/>
  <c r="F1316" i="3" s="1"/>
  <c r="F1315" i="3"/>
  <c r="F1318" i="3"/>
  <c r="F1319" i="3" s="1"/>
  <c r="F1321" i="3"/>
  <c r="F1322" i="3"/>
  <c r="F1323" i="3"/>
  <c r="F1324" i="3"/>
  <c r="F1325" i="3"/>
  <c r="F1328" i="3"/>
  <c r="F1329" i="3" s="1"/>
  <c r="F1331" i="3"/>
  <c r="F1332" i="3" s="1"/>
  <c r="F1337" i="3"/>
  <c r="F1338" i="3" s="1"/>
  <c r="F1340" i="3"/>
  <c r="F1341" i="3" s="1"/>
  <c r="F1343" i="3"/>
  <c r="F1344" i="3"/>
  <c r="F1347" i="3"/>
  <c r="F1349" i="3" s="1"/>
  <c r="F1348" i="3"/>
  <c r="F1351" i="3"/>
  <c r="F1352" i="3" s="1"/>
  <c r="F1354" i="3"/>
  <c r="F1355" i="3" s="1"/>
  <c r="F1357" i="3"/>
  <c r="F1358" i="3"/>
  <c r="F1359" i="3"/>
  <c r="F1362" i="3"/>
  <c r="F1363" i="3"/>
  <c r="F1366" i="3"/>
  <c r="F1367" i="3" s="1"/>
  <c r="F1369" i="3"/>
  <c r="F1370" i="3"/>
  <c r="F1371" i="3"/>
  <c r="F1374" i="3"/>
  <c r="F1375" i="3"/>
  <c r="F1378" i="3"/>
  <c r="F1379" i="3"/>
  <c r="F1382" i="3"/>
  <c r="F1383" i="3" s="1"/>
  <c r="F1385" i="3"/>
  <c r="F1386" i="3" s="1"/>
  <c r="F1388" i="3"/>
  <c r="F1389" i="3"/>
  <c r="F1392" i="3"/>
  <c r="F1393" i="3"/>
  <c r="F1394" i="3"/>
  <c r="F1397" i="3"/>
  <c r="F1398" i="3"/>
  <c r="F1399" i="3"/>
  <c r="F1402" i="3"/>
  <c r="F1403" i="3" s="1"/>
  <c r="F1405" i="3"/>
  <c r="F1406" i="3" s="1"/>
  <c r="F1408" i="3"/>
  <c r="F1409" i="3"/>
  <c r="F1410" i="3"/>
  <c r="F1413" i="3"/>
  <c r="F1414" i="3"/>
  <c r="F1415" i="3"/>
  <c r="F1416" i="3"/>
  <c r="F1419" i="3"/>
  <c r="F1420" i="3" s="1"/>
  <c r="F1422" i="3"/>
  <c r="F1423" i="3" s="1"/>
  <c r="F1425" i="3"/>
  <c r="F1426" i="3"/>
  <c r="F1429" i="3"/>
  <c r="F1430" i="3"/>
  <c r="F1431" i="3"/>
  <c r="F1432" i="3"/>
  <c r="F1435" i="3"/>
  <c r="F1436" i="3" s="1"/>
  <c r="F1438" i="3"/>
  <c r="F1439" i="3" s="1"/>
  <c r="F1441" i="3"/>
  <c r="F1442" i="3" s="1"/>
  <c r="F1444" i="3"/>
  <c r="F1445" i="3" s="1"/>
  <c r="F1447" i="3"/>
  <c r="F1448" i="3" s="1"/>
  <c r="F1450" i="3"/>
  <c r="F1451" i="3" s="1"/>
  <c r="F1453" i="3"/>
  <c r="F1454" i="3" s="1"/>
  <c r="F1456" i="3"/>
  <c r="F1457" i="3" s="1"/>
  <c r="F1459" i="3"/>
  <c r="F1460" i="3" s="1"/>
  <c r="F1462" i="3"/>
  <c r="F1463" i="3" s="1"/>
  <c r="F1465" i="3"/>
  <c r="F1466" i="3"/>
  <c r="F1469" i="3"/>
  <c r="F1470" i="3" s="1"/>
  <c r="F1472" i="3"/>
  <c r="F1473" i="3"/>
  <c r="F1474" i="3"/>
  <c r="F1475" i="3"/>
  <c r="F1478" i="3"/>
  <c r="F1479" i="3" s="1"/>
  <c r="F1481" i="3"/>
  <c r="F1482" i="3" s="1"/>
  <c r="F1484" i="3"/>
  <c r="F1485" i="3"/>
  <c r="F1486" i="3"/>
  <c r="F1489" i="3"/>
  <c r="F1490" i="3"/>
  <c r="F1493" i="3"/>
  <c r="F1494" i="3" s="1"/>
  <c r="F1496" i="3"/>
  <c r="F1497" i="3" s="1"/>
  <c r="F1499" i="3"/>
  <c r="F1500" i="3"/>
  <c r="F1503" i="3"/>
  <c r="F1504" i="3" s="1"/>
  <c r="F1506" i="3"/>
  <c r="F1507" i="3" s="1"/>
  <c r="F1509" i="3"/>
  <c r="F1510" i="3" s="1"/>
  <c r="F1512" i="3"/>
  <c r="F1513" i="3"/>
  <c r="F1516" i="3"/>
  <c r="F1517" i="3"/>
  <c r="F1520" i="3"/>
  <c r="F1521" i="3"/>
  <c r="F1524" i="3"/>
  <c r="F1525" i="3"/>
  <c r="F1526" i="3"/>
  <c r="F1527" i="3"/>
  <c r="F1528" i="3"/>
  <c r="F1529" i="3"/>
  <c r="F1532" i="3"/>
  <c r="F1533" i="3" s="1"/>
  <c r="F1535" i="3"/>
  <c r="F1536" i="3"/>
  <c r="F1537" i="3"/>
  <c r="F1540" i="3"/>
  <c r="F1541" i="3" s="1"/>
  <c r="F1543" i="3"/>
  <c r="F1544" i="3" s="1"/>
  <c r="F1546" i="3"/>
  <c r="F1547" i="3" s="1"/>
  <c r="F1549" i="3"/>
  <c r="F1550" i="3"/>
  <c r="F1551" i="3"/>
  <c r="F1552" i="3"/>
  <c r="F1553" i="3"/>
  <c r="F1554" i="3"/>
  <c r="F1557" i="3"/>
  <c r="F1558" i="3" s="1"/>
  <c r="F1560" i="3"/>
  <c r="F1561" i="3" s="1"/>
  <c r="F1563" i="3"/>
  <c r="F1564" i="3"/>
  <c r="F1567" i="3"/>
  <c r="F1568" i="3"/>
  <c r="F1571" i="3"/>
  <c r="F1572" i="3" s="1"/>
  <c r="F1574" i="3"/>
  <c r="F1575" i="3"/>
  <c r="F1576" i="3"/>
  <c r="F1577" i="3"/>
  <c r="F1580" i="3"/>
  <c r="F1581" i="3"/>
  <c r="F1582" i="3"/>
  <c r="F1585" i="3"/>
  <c r="F1586" i="3"/>
  <c r="F1587" i="3"/>
  <c r="F1590" i="3"/>
  <c r="F1591" i="3" s="1"/>
  <c r="F1593" i="3"/>
  <c r="F1594" i="3" s="1"/>
  <c r="F1596" i="3"/>
  <c r="F1597" i="3" s="1"/>
  <c r="F1599" i="3"/>
  <c r="F1600" i="3" s="1"/>
  <c r="F1602" i="3"/>
  <c r="F1603" i="3" s="1"/>
  <c r="F1605" i="3"/>
  <c r="F1606" i="3" s="1"/>
  <c r="F1608" i="3"/>
  <c r="F1609" i="3" s="1"/>
  <c r="F1611" i="3"/>
  <c r="F1612" i="3" s="1"/>
  <c r="F1614" i="3"/>
  <c r="F1615" i="3"/>
  <c r="F1616" i="3"/>
  <c r="F1617" i="3"/>
  <c r="F1618" i="3"/>
  <c r="F1621" i="3"/>
  <c r="F1622" i="3" s="1"/>
  <c r="F1624" i="3"/>
  <c r="F1625" i="3"/>
  <c r="F1626" i="3"/>
  <c r="F1627" i="3"/>
  <c r="F1628" i="3"/>
  <c r="F1629" i="3"/>
  <c r="F1632" i="3"/>
  <c r="F1633" i="3" s="1"/>
  <c r="F1635" i="3"/>
  <c r="F1636" i="3" s="1"/>
  <c r="F1638" i="3"/>
  <c r="F1639" i="3" s="1"/>
  <c r="F1641" i="3"/>
  <c r="F1642" i="3" s="1"/>
  <c r="F1644" i="3"/>
  <c r="F1645" i="3" s="1"/>
  <c r="F1647" i="3"/>
  <c r="F1648" i="3" s="1"/>
  <c r="F1650" i="3"/>
  <c r="F1651" i="3" s="1"/>
  <c r="F1653" i="3"/>
  <c r="F1654" i="3" s="1"/>
  <c r="F1656" i="3"/>
  <c r="F1657" i="3" s="1"/>
  <c r="F1659" i="3"/>
  <c r="F1660" i="3"/>
  <c r="F1661" i="3"/>
  <c r="F1664" i="3"/>
  <c r="F1665" i="3" s="1"/>
  <c r="F1667" i="3"/>
  <c r="F1668" i="3" s="1"/>
  <c r="F1670" i="3"/>
  <c r="F1671" i="3"/>
  <c r="F1674" i="3"/>
  <c r="F1675" i="3" s="1"/>
  <c r="F1677" i="3"/>
  <c r="F1678" i="3"/>
  <c r="F1679" i="3"/>
  <c r="F1682" i="3"/>
  <c r="F1683" i="3"/>
  <c r="F1684" i="3"/>
  <c r="F1685" i="3"/>
  <c r="F1688" i="3"/>
  <c r="F1689" i="3"/>
  <c r="F1690" i="3"/>
  <c r="F1691" i="3"/>
  <c r="F1692" i="3"/>
  <c r="F1695" i="3"/>
  <c r="F1696" i="3"/>
  <c r="F4" i="4"/>
  <c r="F5" i="4"/>
  <c r="F6" i="4"/>
  <c r="F7" i="4"/>
  <c r="F8" i="4"/>
  <c r="F9" i="4"/>
  <c r="F12" i="4"/>
  <c r="F13" i="4"/>
  <c r="F17" i="4"/>
  <c r="F18" i="4"/>
  <c r="F21" i="4"/>
  <c r="F22" i="4" s="1"/>
  <c r="F24" i="4"/>
  <c r="F25" i="4" s="1"/>
  <c r="F27" i="4"/>
  <c r="F28" i="4" s="1"/>
  <c r="F30" i="4"/>
  <c r="F31" i="4" s="1"/>
  <c r="F33" i="4"/>
  <c r="F34" i="4" s="1"/>
  <c r="F36" i="4"/>
  <c r="F37" i="4" s="1"/>
  <c r="F39" i="4"/>
  <c r="F40" i="4" s="1"/>
  <c r="F42" i="4"/>
  <c r="F43" i="4"/>
  <c r="F44" i="4"/>
  <c r="F45" i="4"/>
  <c r="F48" i="4"/>
  <c r="F49" i="4"/>
  <c r="F52" i="4"/>
  <c r="F53" i="4"/>
  <c r="F54" i="4"/>
  <c r="F55" i="4"/>
  <c r="F56" i="4"/>
  <c r="F59" i="4"/>
  <c r="F60" i="4" s="1"/>
  <c r="F62" i="4"/>
  <c r="F63" i="4" s="1"/>
  <c r="F65" i="4"/>
  <c r="F66" i="4" s="1"/>
  <c r="F68" i="4"/>
  <c r="F69" i="4"/>
  <c r="F70" i="4"/>
  <c r="F73" i="4"/>
  <c r="F74" i="4" s="1"/>
  <c r="F76" i="4"/>
  <c r="F77" i="4" s="1"/>
  <c r="F79" i="4"/>
  <c r="F80" i="4" s="1"/>
  <c r="F82" i="4"/>
  <c r="F83" i="4" s="1"/>
  <c r="F85" i="4"/>
  <c r="F86" i="4" s="1"/>
  <c r="F88" i="4"/>
  <c r="F89" i="4"/>
  <c r="F90" i="4"/>
  <c r="F91" i="4"/>
  <c r="F94" i="4"/>
  <c r="F95" i="4"/>
  <c r="F98" i="4"/>
  <c r="F99" i="4" s="1"/>
  <c r="F101" i="4"/>
  <c r="F102" i="4" s="1"/>
  <c r="F104" i="4"/>
  <c r="F105" i="4"/>
  <c r="F108" i="4"/>
  <c r="F109" i="4" s="1"/>
  <c r="F111" i="4"/>
  <c r="F112" i="4"/>
  <c r="F115" i="4"/>
  <c r="F116" i="4" s="1"/>
  <c r="F118" i="4"/>
  <c r="F119" i="4"/>
  <c r="F120" i="4"/>
  <c r="F123" i="4"/>
  <c r="F124" i="4"/>
  <c r="F125" i="4"/>
  <c r="F128" i="4"/>
  <c r="F129" i="4" s="1"/>
  <c r="F131" i="4"/>
  <c r="F132" i="4" s="1"/>
  <c r="F134" i="4"/>
  <c r="F135" i="4"/>
  <c r="F138" i="4"/>
  <c r="F139" i="4"/>
  <c r="F140" i="4"/>
  <c r="F141" i="4"/>
  <c r="F144" i="4"/>
  <c r="F145" i="4" s="1"/>
  <c r="F147" i="4"/>
  <c r="F148" i="4" s="1"/>
  <c r="F150" i="4"/>
  <c r="F151" i="4"/>
  <c r="F154" i="4"/>
  <c r="F155" i="4" s="1"/>
  <c r="F157" i="4"/>
  <c r="F158" i="4" s="1"/>
  <c r="F160" i="4"/>
  <c r="F161" i="4"/>
  <c r="F164" i="4"/>
  <c r="F165" i="4" s="1"/>
  <c r="F167" i="4"/>
  <c r="F168" i="4" s="1"/>
  <c r="F170" i="4"/>
  <c r="F171" i="4" s="1"/>
  <c r="F173" i="4"/>
  <c r="F174" i="4" s="1"/>
  <c r="F176" i="4"/>
  <c r="F177" i="4"/>
  <c r="F178" i="4"/>
  <c r="F179" i="4"/>
  <c r="F182" i="4"/>
  <c r="F183" i="4" s="1"/>
  <c r="F185" i="4"/>
  <c r="F186" i="4" s="1"/>
  <c r="F188" i="4"/>
  <c r="F189" i="4"/>
  <c r="F192" i="4"/>
  <c r="F193" i="4" s="1"/>
  <c r="F195" i="4"/>
  <c r="F196" i="4" s="1"/>
  <c r="F198" i="4"/>
  <c r="F199" i="4" s="1"/>
  <c r="F201" i="4"/>
  <c r="F202" i="4" s="1"/>
  <c r="F204" i="4"/>
  <c r="F205" i="4" s="1"/>
  <c r="F207" i="4"/>
  <c r="F208" i="4" s="1"/>
  <c r="F210" i="4"/>
  <c r="F211" i="4" s="1"/>
  <c r="F213" i="4"/>
  <c r="F214" i="4"/>
  <c r="F217" i="4"/>
  <c r="F218" i="4"/>
  <c r="F219" i="4"/>
  <c r="F222" i="4"/>
  <c r="F223" i="4" s="1"/>
  <c r="F225" i="4"/>
  <c r="F226" i="4" s="1"/>
  <c r="F228" i="4"/>
  <c r="F229" i="4" s="1"/>
  <c r="F231" i="4"/>
  <c r="F232" i="4" s="1"/>
  <c r="F234" i="4"/>
  <c r="F235" i="4" s="1"/>
  <c r="F237" i="4"/>
  <c r="F238" i="4"/>
  <c r="F239" i="4"/>
  <c r="F240" i="4"/>
  <c r="F241" i="4"/>
  <c r="F244" i="4"/>
  <c r="F245" i="4" s="1"/>
  <c r="F247" i="4"/>
  <c r="F248" i="4"/>
  <c r="F251" i="4"/>
  <c r="F252" i="4"/>
  <c r="F253" i="4"/>
  <c r="F254" i="4"/>
  <c r="F257" i="4"/>
  <c r="F258" i="4" s="1"/>
  <c r="F260" i="4"/>
  <c r="F261" i="4" s="1"/>
  <c r="F263" i="4"/>
  <c r="F264" i="4" s="1"/>
  <c r="F266" i="4"/>
  <c r="F267" i="4"/>
  <c r="F270" i="4"/>
  <c r="F271" i="4"/>
  <c r="F272" i="4"/>
  <c r="F275" i="4"/>
  <c r="F276" i="4"/>
  <c r="F277" i="4"/>
  <c r="F282" i="4"/>
  <c r="F283" i="4"/>
  <c r="F284" i="4"/>
  <c r="F285" i="4"/>
  <c r="F286" i="4"/>
  <c r="F287" i="4"/>
  <c r="F290" i="4"/>
  <c r="F291" i="4"/>
  <c r="F294" i="4"/>
  <c r="F295" i="4"/>
  <c r="F298" i="4"/>
  <c r="F299" i="4"/>
  <c r="F302" i="4"/>
  <c r="F303" i="4"/>
  <c r="F306" i="4"/>
  <c r="F307" i="4"/>
  <c r="F308" i="4"/>
  <c r="F309" i="4"/>
  <c r="F312" i="4"/>
  <c r="F313" i="4"/>
  <c r="F314" i="4"/>
  <c r="F317" i="4"/>
  <c r="F318" i="4" s="1"/>
  <c r="F320" i="4"/>
  <c r="F321" i="4" s="1"/>
  <c r="F323" i="4"/>
  <c r="F324" i="4"/>
  <c r="F327" i="4"/>
  <c r="F328" i="4"/>
  <c r="F331" i="4"/>
  <c r="F332" i="4"/>
  <c r="F333" i="4"/>
  <c r="F336" i="4"/>
  <c r="F337" i="4"/>
  <c r="F338" i="4"/>
  <c r="F339" i="4"/>
  <c r="F342" i="4"/>
  <c r="F343" i="4" s="1"/>
  <c r="F345" i="4"/>
  <c r="F346" i="4" s="1"/>
  <c r="F348" i="4"/>
  <c r="F349" i="4"/>
  <c r="F352" i="4"/>
  <c r="F353" i="4" s="1"/>
  <c r="F355" i="4"/>
  <c r="F356" i="4" s="1"/>
  <c r="F358" i="4"/>
  <c r="F359" i="4" s="1"/>
  <c r="F361" i="4"/>
  <c r="F362" i="4" s="1"/>
  <c r="F364" i="4"/>
  <c r="F365" i="4" s="1"/>
  <c r="F367" i="4"/>
  <c r="F368" i="4" s="1"/>
  <c r="F370" i="4"/>
  <c r="F371" i="4" s="1"/>
  <c r="F373" i="4"/>
  <c r="F374" i="4" s="1"/>
  <c r="F376" i="4"/>
  <c r="F377" i="4" s="1"/>
  <c r="F379" i="4"/>
  <c r="F380" i="4" s="1"/>
  <c r="F382" i="4"/>
  <c r="F383" i="4" s="1"/>
  <c r="F385" i="4"/>
  <c r="F386" i="4" s="1"/>
  <c r="F388" i="4"/>
  <c r="F389" i="4" s="1"/>
  <c r="F391" i="4"/>
  <c r="F392" i="4"/>
  <c r="F393" i="4"/>
  <c r="F394" i="4"/>
  <c r="F397" i="4"/>
  <c r="F398" i="4" s="1"/>
  <c r="F400" i="4"/>
  <c r="F401" i="4"/>
  <c r="F402" i="4"/>
  <c r="F403" i="4"/>
  <c r="F406" i="4"/>
  <c r="F407" i="4"/>
  <c r="F410" i="4"/>
  <c r="F411" i="4" s="1"/>
  <c r="F413" i="4"/>
  <c r="F414" i="4" s="1"/>
  <c r="F416" i="4"/>
  <c r="F417" i="4" s="1"/>
  <c r="F419" i="4"/>
  <c r="F420" i="4" s="1"/>
  <c r="F422" i="4"/>
  <c r="F423" i="4" s="1"/>
  <c r="F425" i="4"/>
  <c r="F426" i="4"/>
  <c r="F429" i="4"/>
  <c r="F430" i="4"/>
  <c r="F431" i="4"/>
  <c r="F434" i="4"/>
  <c r="F435" i="4" s="1"/>
  <c r="F437" i="4"/>
  <c r="F438" i="4"/>
  <c r="F441" i="4"/>
  <c r="F442" i="4"/>
  <c r="F443" i="4"/>
  <c r="F444" i="4"/>
  <c r="F445" i="4"/>
  <c r="F448" i="4"/>
  <c r="F449" i="4"/>
  <c r="F452" i="4"/>
  <c r="F453" i="4"/>
  <c r="F456" i="4"/>
  <c r="F457" i="4"/>
  <c r="F460" i="4"/>
  <c r="F461" i="4"/>
  <c r="F464" i="4"/>
  <c r="F465" i="4" s="1"/>
  <c r="F467" i="4"/>
  <c r="F468" i="4"/>
  <c r="F469" i="4"/>
  <c r="F470" i="4"/>
  <c r="F471" i="4"/>
  <c r="F472" i="4"/>
  <c r="F475" i="4"/>
  <c r="F476" i="4" s="1"/>
  <c r="F478" i="4"/>
  <c r="F479" i="4" s="1"/>
  <c r="F481" i="4"/>
  <c r="F482" i="4" s="1"/>
  <c r="F484" i="4"/>
  <c r="F485" i="4"/>
  <c r="F488" i="4"/>
  <c r="F489" i="4" s="1"/>
  <c r="F491" i="4"/>
  <c r="F492" i="4"/>
  <c r="F493" i="4"/>
  <c r="F496" i="4"/>
  <c r="F497" i="4"/>
  <c r="F498" i="4"/>
  <c r="F499" i="4"/>
  <c r="F502" i="4"/>
  <c r="F503" i="4"/>
  <c r="F504" i="4"/>
  <c r="F505" i="4"/>
  <c r="F508" i="4"/>
  <c r="F509" i="4"/>
  <c r="F512" i="4"/>
  <c r="F513" i="4"/>
  <c r="F514" i="4"/>
  <c r="F517" i="4"/>
  <c r="F518" i="4"/>
  <c r="F519" i="4"/>
  <c r="F520" i="4"/>
  <c r="F523" i="4"/>
  <c r="F524" i="4"/>
  <c r="F527" i="4"/>
  <c r="F528" i="4" s="1"/>
  <c r="F530" i="4"/>
  <c r="F531" i="4" s="1"/>
  <c r="F533" i="4"/>
  <c r="F534" i="4" s="1"/>
  <c r="F536" i="4"/>
  <c r="F537" i="4" s="1"/>
  <c r="F539" i="4"/>
  <c r="F540" i="4" s="1"/>
  <c r="F542" i="4"/>
  <c r="F543" i="4"/>
  <c r="F546" i="4"/>
  <c r="F547" i="4" s="1"/>
  <c r="F549" i="4"/>
  <c r="F550" i="4" s="1"/>
  <c r="F552" i="4"/>
  <c r="F553" i="4"/>
  <c r="F554" i="4"/>
  <c r="F555" i="4"/>
  <c r="F558" i="4"/>
  <c r="F559" i="4" s="1"/>
  <c r="F561" i="4"/>
  <c r="F562" i="4" s="1"/>
  <c r="F564" i="4"/>
  <c r="F565" i="4"/>
  <c r="F568" i="4"/>
  <c r="F569" i="4" s="1"/>
  <c r="F571" i="4"/>
  <c r="F572" i="4" s="1"/>
  <c r="F574" i="4"/>
  <c r="F575" i="4" s="1"/>
  <c r="F577" i="4"/>
  <c r="F578" i="4"/>
  <c r="F579" i="4"/>
  <c r="F580" i="4"/>
  <c r="F583" i="4"/>
  <c r="F584" i="4"/>
  <c r="F587" i="4"/>
  <c r="F588" i="4" s="1"/>
  <c r="F590" i="4"/>
  <c r="F591" i="4"/>
  <c r="F594" i="4"/>
  <c r="F595" i="4" s="1"/>
  <c r="F597" i="4"/>
  <c r="F598" i="4"/>
  <c r="F599" i="4"/>
  <c r="F602" i="4"/>
  <c r="F603" i="4"/>
  <c r="F606" i="4"/>
  <c r="F607" i="4"/>
  <c r="F610" i="4"/>
  <c r="F611" i="4"/>
  <c r="F614" i="4"/>
  <c r="F615" i="4"/>
  <c r="F616" i="4"/>
  <c r="F617" i="4"/>
  <c r="F620" i="4"/>
  <c r="F621" i="4" s="1"/>
  <c r="F623" i="4"/>
  <c r="F624" i="4" s="1"/>
  <c r="F626" i="4"/>
  <c r="F627" i="4" s="1"/>
  <c r="F629" i="4"/>
  <c r="F630" i="4" s="1"/>
  <c r="F632" i="4"/>
  <c r="F633" i="4" s="1"/>
  <c r="F635" i="4"/>
  <c r="F636" i="4"/>
  <c r="F637" i="4"/>
  <c r="F638" i="4"/>
  <c r="F639" i="4"/>
  <c r="F644" i="4"/>
  <c r="F645" i="4" s="1"/>
  <c r="F647" i="4"/>
  <c r="F648" i="4" s="1"/>
  <c r="F650" i="4"/>
  <c r="F651" i="4" s="1"/>
  <c r="F653" i="4"/>
  <c r="F654" i="4" s="1"/>
  <c r="F656" i="4"/>
  <c r="F657" i="4" s="1"/>
  <c r="F659" i="4"/>
  <c r="F660" i="4" s="1"/>
  <c r="F662" i="4"/>
  <c r="F663" i="4" s="1"/>
  <c r="F665" i="4"/>
  <c r="F666" i="4" s="1"/>
  <c r="F668" i="4"/>
  <c r="F669" i="4" s="1"/>
  <c r="F671" i="4"/>
  <c r="F672" i="4" s="1"/>
  <c r="F674" i="4"/>
  <c r="F675" i="4" s="1"/>
  <c r="F677" i="4"/>
  <c r="F678" i="4" s="1"/>
  <c r="F680" i="4"/>
  <c r="F681" i="4" s="1"/>
  <c r="F683" i="4"/>
  <c r="F684" i="4" s="1"/>
  <c r="F686" i="4"/>
  <c r="F687" i="4" s="1"/>
  <c r="F689" i="4"/>
  <c r="F690" i="4"/>
  <c r="F693" i="4"/>
  <c r="F694" i="4"/>
  <c r="F697" i="4"/>
  <c r="F698" i="4"/>
  <c r="F699" i="4"/>
  <c r="F700" i="4"/>
  <c r="F703" i="4"/>
  <c r="F704" i="4" s="1"/>
  <c r="F706" i="4"/>
  <c r="F707" i="4" s="1"/>
  <c r="F709" i="4"/>
  <c r="F710" i="4" s="1"/>
  <c r="F712" i="4"/>
  <c r="F713" i="4" s="1"/>
  <c r="F715" i="4"/>
  <c r="F716" i="4"/>
  <c r="F717" i="4"/>
  <c r="F720" i="4"/>
  <c r="F721" i="4"/>
  <c r="F724" i="4"/>
  <c r="F725" i="4"/>
  <c r="F726" i="4"/>
  <c r="F729" i="4"/>
  <c r="F730" i="4" s="1"/>
  <c r="F732" i="4"/>
  <c r="F733" i="4" s="1"/>
  <c r="F735" i="4"/>
  <c r="F736" i="4"/>
  <c r="F737" i="4"/>
  <c r="F740" i="4"/>
  <c r="F741" i="4"/>
  <c r="F744" i="4"/>
  <c r="F745" i="4"/>
  <c r="F748" i="4"/>
  <c r="F749" i="4"/>
  <c r="F752" i="4"/>
  <c r="F753" i="4" s="1"/>
  <c r="F755" i="4"/>
  <c r="F756" i="4"/>
  <c r="F759" i="4"/>
  <c r="F760" i="4"/>
  <c r="F761" i="4"/>
  <c r="F762" i="4"/>
  <c r="F765" i="4"/>
  <c r="F766" i="4" s="1"/>
  <c r="F768" i="4"/>
  <c r="F769" i="4" s="1"/>
  <c r="F771" i="4"/>
  <c r="F772" i="4"/>
  <c r="F773" i="4"/>
  <c r="F774" i="4"/>
  <c r="F775" i="4"/>
  <c r="F776" i="4"/>
  <c r="F779" i="4"/>
  <c r="F780" i="4" s="1"/>
  <c r="F782" i="4"/>
  <c r="F783" i="4" s="1"/>
  <c r="F788" i="4"/>
  <c r="F789" i="4" s="1"/>
  <c r="F791" i="4"/>
  <c r="F792" i="4" s="1"/>
  <c r="F794" i="4"/>
  <c r="F795" i="4" s="1"/>
  <c r="F797" i="4"/>
  <c r="F798" i="4" s="1"/>
  <c r="F800" i="4"/>
  <c r="F801" i="4"/>
  <c r="F802" i="4"/>
  <c r="F803" i="4"/>
  <c r="F806" i="4"/>
  <c r="F807" i="4" s="1"/>
  <c r="F809" i="4"/>
  <c r="F810" i="4" s="1"/>
  <c r="F812" i="4"/>
  <c r="F813" i="4"/>
  <c r="F814" i="4"/>
  <c r="F815" i="4"/>
  <c r="F818" i="4"/>
  <c r="F819" i="4"/>
  <c r="F822" i="4"/>
  <c r="F823" i="4"/>
  <c r="F824" i="4"/>
  <c r="F827" i="4"/>
  <c r="F828" i="4" s="1"/>
  <c r="F830" i="4"/>
  <c r="F831" i="4" s="1"/>
  <c r="F833" i="4"/>
  <c r="F834" i="4" s="1"/>
  <c r="F836" i="4"/>
  <c r="F837" i="4"/>
  <c r="F840" i="4"/>
  <c r="F841" i="4" s="1"/>
  <c r="F843" i="4"/>
  <c r="F844" i="4" s="1"/>
  <c r="F846" i="4"/>
  <c r="F847" i="4" s="1"/>
  <c r="F849" i="4"/>
  <c r="F850" i="4" s="1"/>
  <c r="F852" i="4"/>
  <c r="F853" i="4" s="1"/>
  <c r="F855" i="4"/>
  <c r="F856" i="4" s="1"/>
  <c r="F858" i="4"/>
  <c r="F859" i="4"/>
  <c r="F862" i="4"/>
  <c r="F863" i="4" s="1"/>
  <c r="F865" i="4"/>
  <c r="F866" i="4" s="1"/>
  <c r="F868" i="4"/>
  <c r="F869" i="4"/>
  <c r="F870" i="4"/>
  <c r="F873" i="4"/>
  <c r="F874" i="4" s="1"/>
  <c r="F876" i="4"/>
  <c r="F877" i="4"/>
  <c r="F878" i="4"/>
  <c r="F881" i="4"/>
  <c r="F882" i="4"/>
  <c r="F883" i="4"/>
  <c r="F884" i="4"/>
  <c r="F885" i="4"/>
  <c r="F886" i="4"/>
  <c r="F889" i="4"/>
  <c r="F890" i="4" s="1"/>
  <c r="F892" i="4"/>
  <c r="F893" i="4"/>
  <c r="F896" i="4"/>
  <c r="F897" i="4"/>
  <c r="F900" i="4"/>
  <c r="F901" i="4"/>
  <c r="F902" i="4"/>
  <c r="F905" i="4"/>
  <c r="F906" i="4"/>
  <c r="F910" i="4"/>
  <c r="F911" i="4" s="1"/>
  <c r="F913" i="4"/>
  <c r="F914" i="4" s="1"/>
  <c r="F916" i="4"/>
  <c r="F917" i="4"/>
  <c r="F918" i="4"/>
  <c r="F921" i="4"/>
  <c r="F922" i="4"/>
  <c r="F923" i="4"/>
  <c r="F924" i="4"/>
  <c r="F927" i="4"/>
  <c r="F928" i="4"/>
  <c r="F931" i="4"/>
  <c r="F932" i="4"/>
  <c r="F935" i="4"/>
  <c r="F936" i="4"/>
  <c r="F937" i="4"/>
  <c r="F940" i="4"/>
  <c r="F941" i="4" s="1"/>
  <c r="F943" i="4"/>
  <c r="F944" i="4" s="1"/>
  <c r="F946" i="4"/>
  <c r="F947" i="4" s="1"/>
  <c r="F949" i="4"/>
  <c r="F950" i="4"/>
  <c r="F951" i="4"/>
  <c r="F952" i="4"/>
  <c r="F953" i="4"/>
  <c r="F954" i="4"/>
  <c r="F957" i="4"/>
  <c r="F958" i="4"/>
  <c r="F959" i="4"/>
  <c r="F962" i="4"/>
  <c r="F963" i="4"/>
  <c r="F966" i="4"/>
  <c r="F967" i="4" s="1"/>
  <c r="F969" i="4"/>
  <c r="F970" i="4" s="1"/>
  <c r="F972" i="4"/>
  <c r="F973" i="4" s="1"/>
  <c r="F975" i="4"/>
  <c r="F976" i="4" s="1"/>
  <c r="F978" i="4"/>
  <c r="F979" i="4" s="1"/>
  <c r="F981" i="4"/>
  <c r="F982" i="4" s="1"/>
  <c r="F984" i="4"/>
  <c r="F985" i="4" s="1"/>
  <c r="F987" i="4"/>
  <c r="F988" i="4" s="1"/>
  <c r="F990" i="4"/>
  <c r="F991" i="4" s="1"/>
  <c r="F993" i="4"/>
  <c r="F994" i="4"/>
  <c r="F995" i="4"/>
  <c r="F996" i="4"/>
  <c r="F999" i="4"/>
  <c r="F1000" i="4"/>
  <c r="F1003" i="4"/>
  <c r="F1004" i="4"/>
  <c r="F6" i="9"/>
  <c r="F7" i="9"/>
  <c r="F8" i="9"/>
  <c r="F9" i="9"/>
  <c r="F12" i="9"/>
  <c r="F13" i="9" s="1"/>
  <c r="F15" i="9"/>
  <c r="F16" i="9" s="1"/>
  <c r="F18" i="9"/>
  <c r="F19" i="9" s="1"/>
  <c r="F21" i="9"/>
  <c r="F22" i="9" s="1"/>
  <c r="F24" i="9"/>
  <c r="F25" i="9"/>
  <c r="F28" i="9"/>
  <c r="F29" i="9" s="1"/>
  <c r="F31" i="9"/>
  <c r="F32" i="9" s="1"/>
  <c r="F34" i="9"/>
  <c r="F35" i="9" s="1"/>
  <c r="F37" i="9"/>
  <c r="F38" i="9" s="1"/>
  <c r="F40" i="9"/>
  <c r="F41" i="9"/>
  <c r="F44" i="9"/>
  <c r="F45" i="9" s="1"/>
  <c r="F47" i="9"/>
  <c r="F48" i="9" s="1"/>
  <c r="F50" i="9"/>
  <c r="F51" i="9"/>
  <c r="F54" i="9"/>
  <c r="F55" i="9" s="1"/>
  <c r="F57" i="9"/>
  <c r="F58" i="9" s="1"/>
  <c r="F60" i="9"/>
  <c r="F61" i="9" s="1"/>
  <c r="F63" i="9"/>
  <c r="F64" i="9" s="1"/>
  <c r="F66" i="9"/>
  <c r="F67" i="9" s="1"/>
  <c r="F69" i="9"/>
  <c r="F70" i="9" s="1"/>
  <c r="F72" i="9"/>
  <c r="F73" i="9" s="1"/>
  <c r="F75" i="9"/>
  <c r="F76" i="9"/>
  <c r="F79" i="9"/>
  <c r="F80" i="9" s="1"/>
  <c r="F82" i="9"/>
  <c r="F83" i="9"/>
  <c r="F84" i="9"/>
  <c r="F87" i="9"/>
  <c r="F88" i="9" s="1"/>
  <c r="F90" i="9"/>
  <c r="F91" i="9"/>
  <c r="F92" i="9"/>
  <c r="F95" i="9"/>
  <c r="F96" i="9"/>
  <c r="F97" i="9"/>
  <c r="F100" i="9"/>
  <c r="F101" i="9"/>
  <c r="F102" i="9"/>
  <c r="F103" i="9"/>
  <c r="F106" i="9"/>
  <c r="F107" i="9" s="1"/>
  <c r="F109" i="9"/>
  <c r="F110" i="9"/>
  <c r="F111" i="9"/>
  <c r="F114" i="9"/>
  <c r="F115" i="9"/>
  <c r="F116" i="9"/>
  <c r="F119" i="9"/>
  <c r="F120" i="9" s="1"/>
  <c r="F122" i="9"/>
  <c r="F123" i="9" s="1"/>
  <c r="F125" i="9"/>
  <c r="F126" i="9" s="1"/>
  <c r="F128" i="9"/>
  <c r="F129" i="9"/>
  <c r="F132" i="9"/>
  <c r="F133" i="9" s="1"/>
  <c r="F135" i="9"/>
  <c r="F136" i="9" s="1"/>
  <c r="F138" i="9"/>
  <c r="F139" i="9"/>
  <c r="F142" i="9"/>
  <c r="F143" i="9"/>
  <c r="F144" i="9"/>
  <c r="F145" i="9"/>
  <c r="F148" i="9"/>
  <c r="F149" i="9"/>
  <c r="F150" i="9"/>
  <c r="F153" i="9"/>
  <c r="F154" i="9"/>
  <c r="F155" i="9"/>
  <c r="F156" i="9"/>
  <c r="F159" i="9"/>
  <c r="F160" i="9" s="1"/>
  <c r="F162" i="9"/>
  <c r="F163" i="9" s="1"/>
  <c r="F165" i="9"/>
  <c r="F166" i="9"/>
  <c r="F169" i="9"/>
  <c r="F170" i="9" s="1"/>
  <c r="F172" i="9"/>
  <c r="F173" i="9"/>
  <c r="F176" i="9"/>
  <c r="F177" i="9" s="1"/>
  <c r="F179" i="9"/>
  <c r="F180" i="9" s="1"/>
  <c r="F182" i="9"/>
  <c r="F183" i="9" s="1"/>
  <c r="F185" i="9"/>
  <c r="F186" i="9"/>
  <c r="F187" i="9"/>
  <c r="F188" i="9"/>
  <c r="F189" i="9"/>
  <c r="F190" i="9"/>
  <c r="F193" i="9"/>
  <c r="F194" i="9" s="1"/>
  <c r="F196" i="9"/>
  <c r="F197" i="9"/>
  <c r="F198" i="9"/>
  <c r="F201" i="9"/>
  <c r="F202" i="9" s="1"/>
  <c r="F204" i="9"/>
  <c r="F205" i="9"/>
  <c r="F208" i="9"/>
  <c r="F209" i="9"/>
  <c r="F212" i="9"/>
  <c r="F213" i="9" s="1"/>
  <c r="F215" i="9"/>
  <c r="F216" i="9" s="1"/>
  <c r="F218" i="9"/>
  <c r="F219" i="9"/>
  <c r="F222" i="9"/>
  <c r="F223" i="9"/>
  <c r="F224" i="9"/>
  <c r="F227" i="9"/>
  <c r="F228" i="9" s="1"/>
  <c r="F230" i="9"/>
  <c r="F231" i="9"/>
  <c r="F234" i="9"/>
  <c r="F235" i="9" s="1"/>
  <c r="F237" i="9"/>
  <c r="F238" i="9"/>
  <c r="F241" i="9"/>
  <c r="F242" i="9"/>
  <c r="F245" i="9"/>
  <c r="F246" i="9" s="1"/>
  <c r="F248" i="9"/>
  <c r="F249" i="9"/>
  <c r="F250" i="9"/>
  <c r="F251" i="9"/>
  <c r="F254" i="9"/>
  <c r="F255" i="9"/>
  <c r="F258" i="9"/>
  <c r="F259" i="9"/>
  <c r="F262" i="9"/>
  <c r="F263" i="9"/>
  <c r="F264" i="9"/>
  <c r="F265" i="9"/>
  <c r="F266" i="9"/>
  <c r="F269" i="9"/>
  <c r="F270" i="9" s="1"/>
  <c r="F272" i="9"/>
  <c r="F273" i="9"/>
  <c r="F276" i="9"/>
  <c r="F277" i="9"/>
  <c r="F278" i="9"/>
  <c r="F281" i="9"/>
  <c r="F282" i="9" s="1"/>
  <c r="F284" i="9"/>
  <c r="F285" i="9" s="1"/>
  <c r="F287" i="9"/>
  <c r="F288" i="9" s="1"/>
  <c r="F290" i="9"/>
  <c r="F291" i="9" s="1"/>
  <c r="F293" i="9"/>
  <c r="F294" i="9" s="1"/>
  <c r="F296" i="9"/>
  <c r="F297" i="9" s="1"/>
  <c r="F299" i="9"/>
  <c r="F300" i="9" s="1"/>
  <c r="F302" i="9"/>
  <c r="F303" i="9" s="1"/>
  <c r="F305" i="9"/>
  <c r="F306" i="9" s="1"/>
  <c r="F308" i="9"/>
  <c r="F309" i="9"/>
  <c r="F310" i="9"/>
  <c r="F311" i="9"/>
  <c r="F314" i="9"/>
  <c r="F315" i="9" s="1"/>
  <c r="F317" i="9"/>
  <c r="F318" i="9"/>
  <c r="F321" i="9"/>
  <c r="F322" i="9"/>
  <c r="F325" i="9"/>
  <c r="F326" i="9"/>
  <c r="F329" i="9"/>
  <c r="F330" i="9" s="1"/>
  <c r="F332" i="9"/>
  <c r="F333" i="9" s="1"/>
  <c r="F335" i="9"/>
  <c r="F336" i="9"/>
  <c r="F337" i="9"/>
  <c r="F340" i="9"/>
  <c r="F341" i="9"/>
  <c r="F344" i="9"/>
  <c r="F345" i="9" s="1"/>
  <c r="F347" i="9"/>
  <c r="F348" i="9" s="1"/>
  <c r="F350" i="9"/>
  <c r="F351" i="9"/>
  <c r="F354" i="9"/>
  <c r="F355" i="9" s="1"/>
  <c r="F357" i="9"/>
  <c r="F358" i="9"/>
  <c r="F359" i="9"/>
  <c r="F362" i="9"/>
  <c r="F363" i="9"/>
  <c r="F364" i="9"/>
  <c r="F365" i="9"/>
  <c r="F366" i="9"/>
  <c r="F369" i="9"/>
  <c r="F370" i="9" s="1"/>
  <c r="F372" i="9"/>
  <c r="F373" i="9" s="1"/>
  <c r="F375" i="9"/>
  <c r="F376" i="9" s="1"/>
  <c r="F378" i="9"/>
  <c r="F379" i="9" s="1"/>
  <c r="F381" i="9"/>
  <c r="F382" i="9" s="1"/>
  <c r="F384" i="9"/>
  <c r="F385" i="9" s="1"/>
  <c r="F387" i="9"/>
  <c r="F388" i="9" s="1"/>
  <c r="F390" i="9"/>
  <c r="F391" i="9" s="1"/>
  <c r="F393" i="9"/>
  <c r="F394" i="9"/>
  <c r="F395" i="9"/>
  <c r="F396" i="9"/>
  <c r="F399" i="9"/>
  <c r="F400" i="9"/>
  <c r="F403" i="9"/>
  <c r="F404" i="9"/>
  <c r="F407" i="9"/>
  <c r="F408" i="9" s="1"/>
  <c r="F410" i="9"/>
  <c r="F411" i="9" s="1"/>
  <c r="F413" i="9"/>
  <c r="F414" i="9"/>
  <c r="F417" i="9"/>
  <c r="F418" i="9" s="1"/>
  <c r="F420" i="9"/>
  <c r="F421" i="9" s="1"/>
  <c r="F423" i="9"/>
  <c r="F424" i="9" s="1"/>
  <c r="F426" i="9"/>
  <c r="F427" i="9" s="1"/>
  <c r="F429" i="9"/>
  <c r="F430" i="9"/>
  <c r="F433" i="9"/>
  <c r="F434" i="9"/>
  <c r="F435" i="9"/>
  <c r="F436" i="9"/>
  <c r="F439" i="9"/>
  <c r="F440" i="9"/>
  <c r="F443" i="9"/>
  <c r="F444" i="9" s="1"/>
  <c r="F446" i="9"/>
  <c r="F447" i="9"/>
  <c r="F450" i="9"/>
  <c r="F451" i="9"/>
  <c r="F452" i="9"/>
  <c r="F455" i="9"/>
  <c r="F456" i="9"/>
  <c r="F457" i="9"/>
  <c r="F459" i="9"/>
  <c r="F460" i="9" s="1"/>
  <c r="F462" i="9"/>
  <c r="F463" i="9" s="1"/>
  <c r="F465" i="9"/>
  <c r="F466" i="9"/>
  <c r="F467" i="9"/>
  <c r="F470" i="9"/>
  <c r="F471" i="9"/>
  <c r="F474" i="9"/>
  <c r="F475" i="9" s="1"/>
  <c r="F477" i="9"/>
  <c r="F478" i="9" s="1"/>
  <c r="F480" i="9"/>
  <c r="F481" i="9"/>
  <c r="F484" i="9"/>
  <c r="F485" i="9"/>
  <c r="F488" i="9"/>
  <c r="F489" i="9"/>
  <c r="F492" i="9"/>
  <c r="F493" i="9"/>
  <c r="F494" i="9"/>
  <c r="F495" i="9"/>
  <c r="F498" i="9"/>
  <c r="F499" i="9"/>
  <c r="F500" i="9"/>
  <c r="F501" i="9"/>
  <c r="F504" i="9"/>
  <c r="F505" i="9" s="1"/>
  <c r="F507" i="9"/>
  <c r="F508" i="9"/>
  <c r="F509" i="9"/>
  <c r="F512" i="9"/>
  <c r="F513" i="9" s="1"/>
  <c r="F515" i="9"/>
  <c r="F516" i="9"/>
  <c r="F519" i="9"/>
  <c r="F520" i="9" s="1"/>
  <c r="F522" i="9"/>
  <c r="F523" i="9" s="1"/>
  <c r="F525" i="9"/>
  <c r="F526" i="9" s="1"/>
  <c r="F528" i="9"/>
  <c r="F529" i="9" s="1"/>
  <c r="F531" i="9"/>
  <c r="F532" i="9"/>
  <c r="F533" i="9"/>
  <c r="F534" i="9"/>
  <c r="F537" i="9"/>
  <c r="F538" i="9"/>
  <c r="F541" i="9"/>
  <c r="F542" i="9"/>
  <c r="F543" i="9"/>
  <c r="F546" i="9"/>
  <c r="F547" i="9"/>
  <c r="F548" i="9"/>
  <c r="F549" i="9"/>
  <c r="F552" i="9"/>
  <c r="F553" i="9"/>
  <c r="F556" i="9"/>
  <c r="F557" i="9"/>
  <c r="F558" i="9"/>
  <c r="F559" i="9"/>
  <c r="F560" i="9"/>
  <c r="F563" i="9"/>
  <c r="F564" i="9"/>
  <c r="F565" i="9"/>
  <c r="F566" i="9"/>
  <c r="F569" i="9"/>
  <c r="F570" i="9"/>
  <c r="F573" i="9"/>
  <c r="F574" i="9"/>
  <c r="F575" i="9"/>
  <c r="F576" i="9"/>
  <c r="F577" i="9"/>
  <c r="F578" i="9"/>
  <c r="F579" i="9"/>
  <c r="F582" i="9"/>
  <c r="F583" i="9"/>
  <c r="F584" i="9"/>
  <c r="F585" i="9"/>
  <c r="F588" i="9"/>
  <c r="F589" i="9"/>
  <c r="F590" i="9"/>
  <c r="F593" i="9"/>
  <c r="F594" i="9" s="1"/>
  <c r="F596" i="9"/>
  <c r="F597" i="9" s="1"/>
  <c r="F599" i="9"/>
  <c r="F600" i="9" s="1"/>
  <c r="F602" i="9"/>
  <c r="F603" i="9" s="1"/>
  <c r="F605" i="9"/>
  <c r="F606" i="9" s="1"/>
  <c r="F608" i="9"/>
  <c r="F609" i="9" s="1"/>
  <c r="F611" i="9"/>
  <c r="F612" i="9" s="1"/>
  <c r="F614" i="9"/>
  <c r="F615" i="9"/>
  <c r="F616" i="9"/>
  <c r="F617" i="9"/>
  <c r="F620" i="9"/>
  <c r="F621" i="9"/>
  <c r="F624" i="9"/>
  <c r="F625" i="9"/>
  <c r="F628" i="9"/>
  <c r="F629" i="9"/>
  <c r="F630" i="9"/>
  <c r="F631" i="9"/>
  <c r="F634" i="9"/>
  <c r="F635" i="9" s="1"/>
  <c r="F637" i="9"/>
  <c r="F638" i="9" s="1"/>
  <c r="F640" i="9"/>
  <c r="F641" i="9"/>
  <c r="F644" i="9"/>
  <c r="F645" i="9" s="1"/>
  <c r="F647" i="9"/>
  <c r="F648" i="9"/>
  <c r="F651" i="9"/>
  <c r="F652" i="9" s="1"/>
  <c r="F654" i="9"/>
  <c r="F655" i="9" s="1"/>
  <c r="F657" i="9"/>
  <c r="F658" i="9" s="1"/>
  <c r="F660" i="9"/>
  <c r="F661" i="9" s="1"/>
  <c r="F663" i="9"/>
  <c r="F664" i="9"/>
  <c r="F667" i="9"/>
  <c r="F668" i="9" s="1"/>
  <c r="F670" i="9"/>
  <c r="F671" i="9" s="1"/>
  <c r="F673" i="9"/>
  <c r="F674" i="9" s="1"/>
  <c r="F676" i="9"/>
  <c r="F677" i="9" s="1"/>
  <c r="F679" i="9"/>
  <c r="F680" i="9"/>
  <c r="F681" i="9"/>
  <c r="F684" i="9"/>
  <c r="F685" i="9"/>
  <c r="F686" i="9"/>
  <c r="F687" i="9"/>
  <c r="F690" i="9"/>
  <c r="F691" i="9"/>
  <c r="F694" i="9"/>
  <c r="F695" i="9"/>
  <c r="F696" i="9"/>
  <c r="F699" i="9"/>
  <c r="F700" i="9"/>
  <c r="F703" i="9"/>
  <c r="F704" i="9"/>
  <c r="F707" i="9"/>
  <c r="F708" i="9"/>
  <c r="F711" i="9"/>
  <c r="F712" i="9"/>
  <c r="F715" i="9"/>
  <c r="F716" i="9" s="1"/>
  <c r="F718" i="9"/>
  <c r="F719" i="9" s="1"/>
  <c r="F721" i="9"/>
  <c r="F722" i="9" s="1"/>
  <c r="F724" i="9"/>
  <c r="F725" i="9"/>
  <c r="F728" i="9"/>
  <c r="F729" i="9"/>
  <c r="F732" i="9"/>
  <c r="F733" i="9"/>
  <c r="F734" i="9"/>
  <c r="F735" i="9"/>
  <c r="F736" i="9"/>
  <c r="F739" i="9"/>
  <c r="F740" i="9" s="1"/>
  <c r="F742" i="9"/>
  <c r="F743" i="9"/>
  <c r="F746" i="9"/>
  <c r="F747" i="9" s="1"/>
  <c r="F749" i="9"/>
  <c r="F750" i="9" s="1"/>
  <c r="F752" i="9"/>
  <c r="F753" i="9" s="1"/>
  <c r="F755" i="9"/>
  <c r="F756" i="9" s="1"/>
  <c r="F758" i="9"/>
  <c r="F759" i="9" s="1"/>
  <c r="F761" i="9"/>
  <c r="F762" i="9" s="1"/>
  <c r="F764" i="9"/>
  <c r="F765" i="9"/>
  <c r="F766" i="9"/>
  <c r="F769" i="9"/>
  <c r="F770" i="9" s="1"/>
  <c r="F772" i="9"/>
  <c r="F773" i="9"/>
  <c r="F774" i="9"/>
  <c r="F777" i="9"/>
  <c r="F778" i="9"/>
  <c r="F779" i="9"/>
  <c r="F782" i="9"/>
  <c r="F783" i="9" s="1"/>
  <c r="F785" i="9"/>
  <c r="F786" i="9" s="1"/>
  <c r="F788" i="9"/>
  <c r="F789" i="9" s="1"/>
  <c r="F791" i="9"/>
  <c r="F792" i="9"/>
  <c r="F795" i="9"/>
  <c r="F796" i="9" s="1"/>
  <c r="F798" i="9"/>
  <c r="F799" i="9" s="1"/>
  <c r="F801" i="9"/>
  <c r="F802" i="9" s="1"/>
  <c r="F804" i="9"/>
  <c r="F805" i="9" s="1"/>
  <c r="F807" i="9"/>
  <c r="F808" i="9" s="1"/>
  <c r="F810" i="9"/>
  <c r="F811" i="9" s="1"/>
  <c r="F813" i="9"/>
  <c r="F814" i="9"/>
  <c r="F817" i="9"/>
  <c r="F818" i="9" s="1"/>
  <c r="F820" i="9"/>
  <c r="F821" i="9" s="1"/>
  <c r="F823" i="9"/>
  <c r="F824" i="9" s="1"/>
  <c r="F826" i="9"/>
  <c r="F827" i="9" s="1"/>
  <c r="F829" i="9"/>
  <c r="F830" i="9"/>
  <c r="F833" i="9"/>
  <c r="F834" i="9" s="1"/>
  <c r="F836" i="9"/>
  <c r="F837" i="9" s="1"/>
  <c r="F839" i="9"/>
  <c r="F840" i="9"/>
  <c r="F843" i="9"/>
  <c r="F844" i="9" s="1"/>
  <c r="F846" i="9"/>
  <c r="F847" i="9"/>
  <c r="F848" i="9"/>
  <c r="F849" i="9"/>
  <c r="F852" i="9"/>
  <c r="F853" i="9"/>
  <c r="F854" i="9"/>
  <c r="F857" i="9"/>
  <c r="F858" i="9"/>
  <c r="F859" i="9"/>
  <c r="F860" i="9"/>
  <c r="F863" i="9"/>
  <c r="F864" i="9"/>
  <c r="F865" i="9"/>
  <c r="F868" i="9"/>
  <c r="F869" i="9"/>
  <c r="F870" i="9"/>
  <c r="F873" i="9"/>
  <c r="F874" i="9"/>
  <c r="F875" i="9"/>
  <c r="F878" i="9"/>
  <c r="F879" i="9" s="1"/>
  <c r="F881" i="9"/>
  <c r="F882" i="9"/>
  <c r="F885" i="9"/>
  <c r="F886" i="9"/>
  <c r="F889" i="9"/>
  <c r="F890" i="9" s="1"/>
  <c r="F892" i="9"/>
  <c r="F893" i="9" s="1"/>
  <c r="F895" i="9"/>
  <c r="F896" i="9" s="1"/>
  <c r="F898" i="9"/>
  <c r="F899" i="9"/>
  <c r="F900" i="9"/>
  <c r="F901" i="9"/>
  <c r="F904" i="9"/>
  <c r="F905" i="9"/>
  <c r="F908" i="9"/>
  <c r="F909" i="9" s="1"/>
  <c r="F911" i="9"/>
  <c r="F912" i="9" s="1"/>
  <c r="F914" i="9"/>
  <c r="F915" i="9" s="1"/>
  <c r="F917" i="9"/>
  <c r="F918" i="9" s="1"/>
  <c r="F920" i="9"/>
  <c r="F921" i="9" s="1"/>
  <c r="F923" i="9"/>
  <c r="F924" i="9"/>
  <c r="F927" i="9"/>
  <c r="F928" i="9"/>
  <c r="F929" i="9"/>
  <c r="F932" i="9"/>
  <c r="F933" i="9" s="1"/>
  <c r="F935" i="9"/>
  <c r="F936" i="9" s="1"/>
  <c r="F938" i="9"/>
  <c r="F939" i="9" s="1"/>
  <c r="F941" i="9"/>
  <c r="F942" i="9" s="1"/>
  <c r="F944" i="9"/>
  <c r="F945" i="9" s="1"/>
  <c r="F947" i="9"/>
  <c r="F948" i="9" s="1"/>
  <c r="F950" i="9"/>
  <c r="F951" i="9" s="1"/>
  <c r="F953" i="9"/>
  <c r="F954" i="9" s="1"/>
  <c r="F956" i="9"/>
  <c r="F957" i="9" s="1"/>
  <c r="F959" i="9"/>
  <c r="F960" i="9" s="1"/>
  <c r="F962" i="9"/>
  <c r="F963" i="9"/>
  <c r="F964" i="9"/>
  <c r="F967" i="9"/>
  <c r="F968" i="9" s="1"/>
  <c r="F970" i="9"/>
  <c r="F971" i="9" s="1"/>
  <c r="F973" i="9"/>
  <c r="F974" i="9"/>
  <c r="F975" i="9"/>
  <c r="F978" i="9"/>
  <c r="F979" i="9"/>
  <c r="F980" i="9"/>
  <c r="F981" i="9"/>
  <c r="F982" i="9"/>
  <c r="F985" i="9"/>
  <c r="F986" i="9" s="1"/>
  <c r="F988" i="9"/>
  <c r="F989" i="9" s="1"/>
  <c r="F991" i="9"/>
  <c r="F992" i="9" s="1"/>
  <c r="F994" i="9"/>
  <c r="F995" i="9" s="1"/>
  <c r="F997" i="9"/>
  <c r="F998" i="9" s="1"/>
  <c r="F1000" i="9"/>
  <c r="F1001" i="9" s="1"/>
  <c r="F1003" i="9"/>
  <c r="F1004" i="9"/>
  <c r="F1005" i="9"/>
  <c r="F1008" i="9"/>
  <c r="F1009" i="9"/>
  <c r="F1010" i="9"/>
  <c r="F1013" i="9"/>
  <c r="F1014" i="9" s="1"/>
  <c r="F1016" i="9"/>
  <c r="F1017" i="9" s="1"/>
  <c r="F1019" i="9"/>
  <c r="F1020" i="9"/>
  <c r="F1021" i="9"/>
  <c r="F1022" i="9"/>
  <c r="F1025" i="9"/>
  <c r="F1026" i="9" s="1"/>
  <c r="F1028" i="9"/>
  <c r="F1029" i="9"/>
  <c r="F1032" i="9"/>
  <c r="F1033" i="9"/>
  <c r="F1034" i="9"/>
  <c r="F1035" i="9"/>
  <c r="F1038" i="9"/>
  <c r="F1039" i="9"/>
  <c r="F1040" i="9"/>
  <c r="F1041" i="9"/>
  <c r="F1042" i="9"/>
  <c r="F1043" i="9"/>
  <c r="F1046" i="9"/>
  <c r="F1047" i="9"/>
  <c r="F1050" i="9"/>
  <c r="F1051" i="9"/>
  <c r="F1052" i="9"/>
  <c r="F1053" i="9"/>
  <c r="F1054" i="9"/>
  <c r="F1057" i="9"/>
  <c r="F1058" i="9"/>
  <c r="F1059" i="9"/>
  <c r="F1060" i="9"/>
  <c r="F1061" i="9"/>
  <c r="F1064" i="9"/>
  <c r="F1065" i="9"/>
  <c r="F1066" i="9"/>
  <c r="F1067" i="9"/>
  <c r="F1070" i="9"/>
  <c r="F1071" i="9" s="1"/>
  <c r="F1073" i="9"/>
  <c r="F1074" i="9" s="1"/>
  <c r="F1076" i="9"/>
  <c r="F1077" i="9" s="1"/>
  <c r="F1079" i="9"/>
  <c r="F1080" i="9" s="1"/>
  <c r="F1082" i="9"/>
  <c r="F1083" i="9"/>
  <c r="F1084" i="9"/>
  <c r="F1085" i="9"/>
  <c r="F1088" i="9"/>
  <c r="F1089" i="9"/>
  <c r="F1092" i="9"/>
  <c r="F1093" i="9" s="1"/>
  <c r="F1095" i="9"/>
  <c r="F1096" i="9" s="1"/>
  <c r="F1098" i="9"/>
  <c r="F1099" i="9" s="1"/>
  <c r="F1101" i="9"/>
  <c r="F1102" i="9" s="1"/>
  <c r="F1104" i="9"/>
  <c r="F1105" i="9" s="1"/>
  <c r="F1107" i="9"/>
  <c r="F1108" i="9" s="1"/>
  <c r="F1110" i="9"/>
  <c r="F1111" i="9" s="1"/>
  <c r="F1113" i="9"/>
  <c r="F1114" i="9" s="1"/>
  <c r="F1116" i="9"/>
  <c r="F1117" i="9"/>
  <c r="F1120" i="9"/>
  <c r="F1121" i="9" s="1"/>
  <c r="F1123" i="9"/>
  <c r="F1124" i="9" s="1"/>
  <c r="F1126" i="9"/>
  <c r="F1127" i="9" s="1"/>
  <c r="F1129" i="9"/>
  <c r="F1130" i="9" s="1"/>
  <c r="F1132" i="9"/>
  <c r="F1133" i="9"/>
  <c r="F1136" i="9"/>
  <c r="F1137" i="9" s="1"/>
  <c r="F1139" i="9"/>
  <c r="F1140" i="9" s="1"/>
  <c r="F1142" i="9"/>
  <c r="F1143" i="9" s="1"/>
  <c r="F1145" i="9"/>
  <c r="F1146" i="9"/>
  <c r="F1147" i="9"/>
  <c r="F1150" i="9"/>
  <c r="F1151" i="9" s="1"/>
  <c r="F1153" i="9"/>
  <c r="F1154" i="9"/>
  <c r="F1155" i="9"/>
  <c r="F1156" i="9"/>
  <c r="F1159" i="9"/>
  <c r="F1160" i="9"/>
  <c r="F1161" i="9"/>
  <c r="F1164" i="9"/>
  <c r="F1165" i="9"/>
  <c r="F1168" i="9"/>
  <c r="F1169" i="9"/>
  <c r="F1170" i="9"/>
  <c r="F1171" i="9"/>
  <c r="F1172" i="9"/>
  <c r="F1175" i="9"/>
  <c r="F1176" i="9"/>
  <c r="F1177" i="9"/>
  <c r="F1178" i="9"/>
  <c r="F1181" i="9"/>
  <c r="F1182" i="9" s="1"/>
  <c r="F1184" i="9"/>
  <c r="F1185" i="9" s="1"/>
  <c r="F1187" i="9"/>
  <c r="F1188" i="9"/>
  <c r="F1189" i="9"/>
  <c r="F1190" i="9"/>
  <c r="F1193" i="9"/>
  <c r="F1194" i="9"/>
  <c r="F1195" i="9"/>
  <c r="F1198" i="9"/>
  <c r="F1199" i="9" s="1"/>
  <c r="F1201" i="9"/>
  <c r="F1202" i="9" s="1"/>
  <c r="F1204" i="9"/>
  <c r="F1205" i="9"/>
  <c r="F1208" i="9"/>
  <c r="F1209" i="9"/>
  <c r="F1210" i="9"/>
  <c r="F1213" i="9"/>
  <c r="F1214" i="9"/>
  <c r="F1215" i="9"/>
  <c r="F1218" i="9"/>
  <c r="F1219" i="9" s="1"/>
  <c r="F1221" i="9"/>
  <c r="F1222" i="9"/>
  <c r="F1225" i="9"/>
  <c r="F1226" i="9"/>
  <c r="F1229" i="9"/>
  <c r="F1230" i="9" s="1"/>
  <c r="F1232" i="9"/>
  <c r="F1233" i="9"/>
  <c r="F1236" i="9"/>
  <c r="F1237" i="9" s="1"/>
  <c r="F1239" i="9"/>
  <c r="F1240" i="9"/>
  <c r="F1241" i="9"/>
  <c r="F1242" i="9"/>
  <c r="F1245" i="9"/>
  <c r="F1246" i="9"/>
  <c r="F1249" i="9"/>
  <c r="F1250" i="9"/>
  <c r="F1251" i="9"/>
  <c r="F1252" i="9"/>
  <c r="F1253" i="9"/>
  <c r="F1256" i="9"/>
  <c r="F1257" i="9"/>
  <c r="F1258" i="9"/>
  <c r="F1259" i="9"/>
  <c r="F1260" i="9"/>
  <c r="F1261" i="9"/>
  <c r="F1264" i="9"/>
  <c r="F1265" i="9" s="1"/>
  <c r="F1267" i="9"/>
  <c r="F1268" i="9" s="1"/>
  <c r="F1270" i="9"/>
  <c r="F1271" i="9" s="1"/>
  <c r="F1273" i="9"/>
  <c r="F1274" i="9" s="1"/>
  <c r="F1276" i="9"/>
  <c r="F1277" i="9" s="1"/>
  <c r="F1279" i="9"/>
  <c r="F1280" i="9" s="1"/>
  <c r="F1282" i="9"/>
  <c r="F1283" i="9" s="1"/>
  <c r="F1285" i="9"/>
  <c r="F1286" i="9" s="1"/>
  <c r="F1288" i="9"/>
  <c r="F1289" i="9"/>
  <c r="F1290" i="9"/>
  <c r="F1293" i="9"/>
  <c r="F1294" i="9" s="1"/>
  <c r="F1296" i="9"/>
  <c r="F1297" i="9" s="1"/>
  <c r="F1299" i="9"/>
  <c r="F1300" i="9" s="1"/>
  <c r="F1302" i="9"/>
  <c r="F1303" i="9" s="1"/>
  <c r="F1305" i="9"/>
  <c r="F1306" i="9" s="1"/>
  <c r="F1308" i="9"/>
  <c r="F1309" i="9" s="1"/>
  <c r="F1311" i="9"/>
  <c r="F1312" i="9" s="1"/>
  <c r="F1314" i="9"/>
  <c r="F1315" i="9"/>
  <c r="F1318" i="9"/>
  <c r="F1319" i="9" s="1"/>
  <c r="F1321" i="9"/>
  <c r="F1322" i="9" s="1"/>
  <c r="F1324" i="9"/>
  <c r="F1325" i="9" s="1"/>
  <c r="F1327" i="9"/>
  <c r="F1328" i="9" s="1"/>
  <c r="F1330" i="9"/>
  <c r="F1331" i="9" s="1"/>
  <c r="F1333" i="9"/>
  <c r="F1334" i="9" s="1"/>
  <c r="F1336" i="9"/>
  <c r="F1337" i="9" s="1"/>
  <c r="F1339" i="9"/>
  <c r="F1340" i="9" s="1"/>
  <c r="F1342" i="9"/>
  <c r="F1343" i="9"/>
  <c r="F1346" i="9"/>
  <c r="F1347" i="9"/>
  <c r="F1348" i="9"/>
  <c r="F1351" i="9"/>
  <c r="F1352" i="9"/>
  <c r="F1353" i="9"/>
  <c r="F1354" i="9"/>
  <c r="F1357" i="9"/>
  <c r="F1358" i="9" s="1"/>
  <c r="F1360" i="9"/>
  <c r="F1361" i="9"/>
  <c r="F1362" i="9"/>
  <c r="F1363" i="9"/>
  <c r="F1364" i="9"/>
  <c r="F1367" i="9"/>
  <c r="F1368" i="9"/>
  <c r="F1371" i="9"/>
  <c r="F1372" i="9" s="1"/>
  <c r="F1374" i="9"/>
  <c r="F1375" i="9" s="1"/>
  <c r="F1377" i="9"/>
  <c r="F1378" i="9" s="1"/>
  <c r="F1380" i="9"/>
  <c r="F1381" i="9" s="1"/>
  <c r="F1383" i="9"/>
  <c r="F1384" i="9" s="1"/>
  <c r="F1386" i="9"/>
  <c r="F1387" i="9" s="1"/>
  <c r="F1389" i="9"/>
  <c r="F1390" i="9" s="1"/>
  <c r="F1392" i="9"/>
  <c r="F1393" i="9" s="1"/>
  <c r="F1395" i="9"/>
  <c r="F1396" i="9"/>
  <c r="F1399" i="9"/>
  <c r="F1400" i="9"/>
  <c r="F1403" i="9"/>
  <c r="F1404" i="9" s="1"/>
  <c r="F1422" i="9"/>
  <c r="F1423" i="9"/>
  <c r="F1426" i="9"/>
  <c r="F1427" i="9"/>
  <c r="F1430" i="9"/>
  <c r="F1431" i="9" s="1"/>
  <c r="F1433" i="9"/>
  <c r="F1434" i="9"/>
  <c r="F1435" i="9"/>
  <c r="F1438" i="9"/>
  <c r="F1439" i="9" s="1"/>
  <c r="F1441" i="9"/>
  <c r="F1442" i="9"/>
  <c r="F1443" i="9"/>
  <c r="F1446" i="9"/>
  <c r="F1447" i="9" s="1"/>
  <c r="F1449" i="9"/>
  <c r="F1450" i="9" s="1"/>
  <c r="F1452" i="9"/>
  <c r="F1453" i="9" s="1"/>
  <c r="F1455" i="9"/>
  <c r="F1456" i="9" s="1"/>
  <c r="F1458" i="9"/>
  <c r="F1459" i="9"/>
  <c r="F1460" i="9"/>
  <c r="F1463" i="9"/>
  <c r="F1464" i="9"/>
  <c r="F1465" i="9"/>
  <c r="F1466" i="9"/>
  <c r="F1469" i="9"/>
  <c r="F1470" i="9" s="1"/>
  <c r="F1472" i="9"/>
  <c r="F1473" i="9" s="1"/>
  <c r="F1475" i="9"/>
  <c r="F1476" i="9" s="1"/>
  <c r="F1478" i="9"/>
  <c r="F1479" i="9" s="1"/>
  <c r="F1481" i="9"/>
  <c r="F1482" i="9" s="1"/>
  <c r="F1484" i="9"/>
  <c r="F1485" i="9"/>
  <c r="F1488" i="9"/>
  <c r="F1489" i="9" s="1"/>
  <c r="F1491" i="9"/>
  <c r="F1492" i="9" s="1"/>
  <c r="F1494" i="9"/>
  <c r="F1496" i="9" s="1"/>
  <c r="F1498" i="9"/>
  <c r="F1499" i="9" s="1"/>
  <c r="F1501" i="9"/>
  <c r="F1502" i="9" s="1"/>
  <c r="F1504" i="9"/>
  <c r="F1505" i="9" s="1"/>
  <c r="F1507" i="9"/>
  <c r="F1508" i="9" s="1"/>
  <c r="F1510" i="9"/>
  <c r="F1511" i="9"/>
  <c r="F1512" i="9"/>
  <c r="F1513" i="9"/>
  <c r="F1516" i="9"/>
  <c r="F1517" i="9"/>
  <c r="F1518" i="9"/>
  <c r="F1519" i="9"/>
  <c r="F1522" i="9"/>
  <c r="F1523" i="9"/>
  <c r="F1526" i="9"/>
  <c r="F1527" i="9" s="1"/>
  <c r="F1529" i="9"/>
  <c r="F1530" i="9" s="1"/>
  <c r="F1532" i="9"/>
  <c r="F1533" i="9" s="1"/>
  <c r="F1535" i="9"/>
  <c r="F1536" i="9" s="1"/>
  <c r="F1538" i="9"/>
  <c r="F1539" i="9" s="1"/>
  <c r="F1541" i="9"/>
  <c r="F1542" i="9"/>
  <c r="F1545" i="9"/>
  <c r="F1546" i="9"/>
  <c r="F1549" i="9"/>
  <c r="F1550" i="9"/>
  <c r="F1553" i="9"/>
  <c r="F1554" i="9"/>
  <c r="F1555" i="9"/>
  <c r="F1556" i="9"/>
  <c r="F1559" i="9"/>
  <c r="F1560" i="9" s="1"/>
  <c r="F1562" i="9"/>
  <c r="F1563" i="9" s="1"/>
  <c r="F1565" i="9"/>
  <c r="F1566" i="9"/>
  <c r="F1569" i="9"/>
  <c r="F1570" i="9" s="1"/>
  <c r="F1572" i="9"/>
  <c r="F1573" i="9" s="1"/>
  <c r="F1575" i="9"/>
  <c r="F1576" i="9" s="1"/>
  <c r="F1578" i="9"/>
  <c r="F1579" i="9" s="1"/>
  <c r="F1581" i="9"/>
  <c r="F1582" i="9" s="1"/>
  <c r="F1584" i="9"/>
  <c r="F1585" i="9"/>
  <c r="F1586" i="9"/>
  <c r="F1589" i="9"/>
  <c r="F1590" i="9" s="1"/>
  <c r="F1592" i="9"/>
  <c r="F1593" i="9"/>
  <c r="F1594" i="9"/>
  <c r="F1595" i="9"/>
  <c r="F1598" i="9"/>
  <c r="F1599" i="9"/>
  <c r="F1600" i="9"/>
  <c r="F1601" i="9"/>
  <c r="F1604" i="9"/>
  <c r="F1605" i="9"/>
  <c r="F1606" i="9"/>
  <c r="F1609" i="9"/>
  <c r="F1610" i="9"/>
  <c r="F1611" i="9"/>
  <c r="F1614" i="9"/>
  <c r="F1615" i="9"/>
  <c r="F1616" i="9"/>
  <c r="F1619" i="9"/>
  <c r="F1620" i="9" s="1"/>
  <c r="F1622" i="9"/>
  <c r="F1623" i="9" s="1"/>
  <c r="F1625" i="9"/>
  <c r="F1626" i="9" s="1"/>
  <c r="F1628" i="9"/>
  <c r="F1629" i="9"/>
  <c r="F1630" i="9"/>
  <c r="F1631" i="9"/>
  <c r="F1632" i="9"/>
  <c r="F1633" i="9"/>
  <c r="F1636" i="9"/>
  <c r="F1637" i="9" s="1"/>
  <c r="F1639" i="9"/>
  <c r="F1640" i="9" s="1"/>
  <c r="F1642" i="9"/>
  <c r="F1643" i="9"/>
  <c r="F1644" i="9"/>
  <c r="F1645" i="9"/>
  <c r="F1648" i="9"/>
  <c r="F1649" i="9"/>
  <c r="F1652" i="9"/>
  <c r="F1653" i="9" s="1"/>
  <c r="F1655" i="9"/>
  <c r="F1656" i="9" s="1"/>
  <c r="F1658" i="9"/>
  <c r="F1659" i="9"/>
  <c r="F1662" i="9"/>
  <c r="F1663" i="9"/>
  <c r="F1666" i="9"/>
  <c r="F1667" i="9"/>
  <c r="F1670" i="9"/>
  <c r="F1671" i="9" s="1"/>
  <c r="F1674" i="9"/>
  <c r="F1675" i="9" s="1"/>
  <c r="F1677" i="9"/>
  <c r="F1678" i="9" s="1"/>
  <c r="F1680" i="9"/>
  <c r="F1681" i="9" s="1"/>
  <c r="F1683" i="9"/>
  <c r="F1684" i="9" s="1"/>
  <c r="F1686" i="9"/>
  <c r="F1687" i="9"/>
  <c r="F1688" i="9"/>
  <c r="F1689" i="9"/>
  <c r="F1690" i="9"/>
  <c r="F1693" i="9"/>
  <c r="F1694" i="9"/>
  <c r="F1695" i="9"/>
  <c r="F1698" i="9"/>
  <c r="F1699" i="9" s="1"/>
  <c r="F1701" i="9"/>
  <c r="F1702" i="9" s="1"/>
  <c r="F1704" i="9"/>
  <c r="F1705" i="9" s="1"/>
  <c r="F1707" i="9"/>
  <c r="F1708" i="9"/>
  <c r="F1709" i="9"/>
  <c r="F1712" i="9"/>
  <c r="F1713" i="9"/>
  <c r="F1716" i="9"/>
  <c r="F1717" i="9" s="1"/>
  <c r="F1725" i="9"/>
  <c r="F1728" i="9"/>
  <c r="F1729" i="9"/>
  <c r="F1732" i="9"/>
  <c r="F1733" i="9" s="1"/>
  <c r="F1735" i="9"/>
  <c r="F1736" i="9"/>
  <c r="F1739" i="9"/>
  <c r="F1740" i="9"/>
  <c r="F1741" i="9"/>
  <c r="F1744" i="9"/>
  <c r="F1745" i="9"/>
  <c r="F1746" i="9"/>
  <c r="F1749" i="9"/>
  <c r="F1750" i="9" s="1"/>
  <c r="F1752" i="9"/>
  <c r="F1753" i="9" s="1"/>
  <c r="F1755" i="9"/>
  <c r="F1756" i="9" s="1"/>
  <c r="F1758" i="9"/>
  <c r="F1759" i="9"/>
  <c r="F1760" i="9"/>
  <c r="F1763" i="9"/>
  <c r="F1764" i="9"/>
  <c r="F1765" i="9"/>
  <c r="F1768" i="9"/>
  <c r="F1769" i="9"/>
  <c r="F1770" i="9"/>
  <c r="F1771" i="9"/>
  <c r="F1772" i="9"/>
  <c r="F1804" i="9"/>
  <c r="F1805" i="9"/>
  <c r="F1808" i="9"/>
  <c r="F1809" i="9" s="1"/>
  <c r="F1811" i="9"/>
  <c r="F1812" i="9" s="1"/>
  <c r="F1814" i="9"/>
  <c r="F1815" i="9" s="1"/>
  <c r="F1817" i="9"/>
  <c r="F1818" i="9"/>
  <c r="F1821" i="9"/>
  <c r="F1822" i="9" s="1"/>
  <c r="F1824" i="9"/>
  <c r="F1825" i="9" s="1"/>
  <c r="F1827" i="9"/>
  <c r="F1828" i="9" s="1"/>
  <c r="F1830" i="9"/>
  <c r="F1831" i="9" s="1"/>
  <c r="F1833" i="9"/>
  <c r="F1834" i="9" s="1"/>
  <c r="F1836" i="9"/>
  <c r="F1837" i="9"/>
  <c r="F1838" i="9"/>
  <c r="F1841" i="9"/>
  <c r="F1842" i="9"/>
  <c r="F1843" i="9"/>
  <c r="F1844" i="9"/>
  <c r="F1847" i="9"/>
  <c r="F1848" i="9"/>
  <c r="F1851" i="9"/>
  <c r="F1852" i="9"/>
  <c r="F1855" i="9"/>
  <c r="F1856" i="9"/>
  <c r="F1859" i="9"/>
  <c r="F1860" i="9"/>
  <c r="F1861" i="9"/>
  <c r="F1862" i="9"/>
  <c r="F1865" i="9"/>
  <c r="F1866" i="9" s="1"/>
  <c r="F1868" i="9"/>
  <c r="F1869" i="9" s="1"/>
  <c r="F1871" i="9"/>
  <c r="F1872" i="9" s="1"/>
  <c r="F1874" i="9"/>
  <c r="F1875" i="9" s="1"/>
  <c r="F1877" i="9"/>
  <c r="F1878" i="9"/>
  <c r="F1881" i="9"/>
  <c r="F1882" i="9" s="1"/>
  <c r="F1884" i="9"/>
  <c r="F1885" i="9" s="1"/>
  <c r="F1887" i="9"/>
  <c r="F1888" i="9"/>
  <c r="F1889" i="9"/>
  <c r="F1892" i="9"/>
  <c r="F1893" i="9"/>
  <c r="F1894" i="9"/>
  <c r="F1895" i="9"/>
  <c r="F1896" i="9"/>
  <c r="F1897" i="9"/>
  <c r="F1903" i="9"/>
  <c r="F1904" i="9"/>
  <c r="F1907" i="9"/>
  <c r="F1908" i="9" s="1"/>
  <c r="F1910" i="9"/>
  <c r="F1911" i="9" s="1"/>
  <c r="F1913" i="9"/>
  <c r="F1914" i="9" s="1"/>
  <c r="F1916" i="9"/>
  <c r="F1917" i="9"/>
  <c r="F1918" i="9"/>
  <c r="F1921" i="9"/>
  <c r="F1922" i="9" s="1"/>
  <c r="F1924" i="9"/>
  <c r="F1925" i="9" s="1"/>
  <c r="F1927" i="9"/>
  <c r="F1928" i="9" s="1"/>
  <c r="F1930" i="9"/>
  <c r="F1931" i="9"/>
  <c r="F1932" i="9"/>
  <c r="F1935" i="9"/>
  <c r="F1936" i="9" s="1"/>
  <c r="F1938" i="9"/>
  <c r="F1939" i="9" s="1"/>
  <c r="F1941" i="9"/>
  <c r="F1942" i="9" s="1"/>
  <c r="F1944" i="9"/>
  <c r="F1945" i="9" s="1"/>
  <c r="F1947" i="9"/>
  <c r="F1948" i="9" s="1"/>
  <c r="F1950" i="9"/>
  <c r="F1951" i="9" s="1"/>
  <c r="F1953" i="9"/>
  <c r="F1954" i="9" s="1"/>
  <c r="F6" i="10"/>
  <c r="F8" i="10" s="1"/>
  <c r="F10" i="10"/>
  <c r="F11" i="10" s="1"/>
  <c r="F36" i="10"/>
  <c r="F37" i="10"/>
  <c r="F40" i="10"/>
  <c r="F41" i="10" s="1"/>
  <c r="F43" i="10"/>
  <c r="F44" i="10"/>
  <c r="F45" i="10"/>
  <c r="F46" i="10"/>
  <c r="F56" i="10"/>
  <c r="F57" i="10"/>
  <c r="F60" i="10"/>
  <c r="F61" i="10"/>
  <c r="F64" i="10"/>
  <c r="F65" i="10" s="1"/>
  <c r="F67" i="10"/>
  <c r="F68" i="10" s="1"/>
  <c r="F70" i="10"/>
  <c r="F71" i="10" s="1"/>
  <c r="F73" i="10"/>
  <c r="F74" i="10" s="1"/>
  <c r="F76" i="10"/>
  <c r="F77" i="10" s="1"/>
  <c r="F79" i="10"/>
  <c r="F80" i="10"/>
  <c r="F81" i="10"/>
  <c r="F82" i="10"/>
  <c r="F85" i="10"/>
  <c r="F86" i="10"/>
  <c r="F89" i="10"/>
  <c r="F90" i="10" s="1"/>
  <c r="F92" i="10"/>
  <c r="F93" i="10"/>
  <c r="F94" i="10"/>
  <c r="F97" i="10"/>
  <c r="F98" i="10" s="1"/>
  <c r="F100" i="10"/>
  <c r="F101" i="10"/>
  <c r="F104" i="10"/>
  <c r="F105" i="10" s="1"/>
  <c r="F107" i="10"/>
  <c r="F108" i="10" s="1"/>
  <c r="F110" i="10"/>
  <c r="F111" i="10" s="1"/>
  <c r="F113" i="10"/>
  <c r="F114" i="10" s="1"/>
  <c r="F116" i="10"/>
  <c r="F117" i="10" s="1"/>
  <c r="F119" i="10"/>
  <c r="F120" i="10"/>
  <c r="F121" i="10"/>
  <c r="F124" i="10"/>
  <c r="F125" i="10" s="1"/>
  <c r="F127" i="10"/>
  <c r="F128" i="10" s="1"/>
  <c r="F130" i="10"/>
  <c r="F131" i="10" s="1"/>
  <c r="F133" i="10"/>
  <c r="F134" i="10" s="1"/>
  <c r="F136" i="10"/>
  <c r="F137" i="10" s="1"/>
  <c r="F139" i="10"/>
  <c r="F140" i="10"/>
  <c r="F143" i="10"/>
  <c r="F144" i="10"/>
  <c r="F145" i="10"/>
  <c r="F148" i="10"/>
  <c r="F149" i="10" s="1"/>
  <c r="F151" i="10"/>
  <c r="F152" i="10"/>
  <c r="F153" i="10"/>
  <c r="F156" i="10"/>
  <c r="F157" i="10"/>
  <c r="F161" i="10"/>
  <c r="F162" i="10"/>
  <c r="F163" i="10"/>
  <c r="F166" i="10"/>
  <c r="F167" i="10"/>
  <c r="F168" i="10"/>
  <c r="F169" i="10"/>
  <c r="F170" i="10"/>
  <c r="F173" i="10"/>
  <c r="F174" i="10"/>
  <c r="F175" i="10"/>
  <c r="F178" i="10"/>
  <c r="F179" i="10" s="1"/>
  <c r="F181" i="10"/>
  <c r="F182" i="10" s="1"/>
  <c r="F184" i="10"/>
  <c r="F185" i="10" s="1"/>
  <c r="F187" i="10"/>
  <c r="F188" i="10" s="1"/>
  <c r="F190" i="10"/>
  <c r="F191" i="10"/>
  <c r="F194" i="10"/>
  <c r="F195" i="10"/>
  <c r="F198" i="10"/>
  <c r="F199" i="10"/>
  <c r="F202" i="10"/>
  <c r="F203" i="10" s="1"/>
  <c r="F205" i="10"/>
  <c r="F206" i="10" s="1"/>
  <c r="F208" i="10"/>
  <c r="F209" i="10" s="1"/>
  <c r="F211" i="10"/>
  <c r="F212" i="10" s="1"/>
  <c r="F214" i="10"/>
  <c r="F215" i="10" s="1"/>
  <c r="F217" i="10"/>
  <c r="F218" i="10"/>
  <c r="F219" i="10"/>
  <c r="F222" i="10"/>
  <c r="F223" i="10" s="1"/>
  <c r="F225" i="10"/>
  <c r="F226" i="10"/>
  <c r="F227" i="10"/>
  <c r="F228" i="10"/>
  <c r="F231" i="10"/>
  <c r="F232" i="10" s="1"/>
  <c r="F234" i="10"/>
  <c r="F235" i="10" s="1"/>
  <c r="F237" i="10"/>
  <c r="F238" i="10" s="1"/>
  <c r="F240" i="10"/>
  <c r="F241" i="10" s="1"/>
  <c r="F246" i="10"/>
  <c r="F247" i="10"/>
  <c r="F250" i="10"/>
  <c r="F251" i="10" s="1"/>
  <c r="F253" i="10"/>
  <c r="F254" i="10"/>
  <c r="F255" i="10"/>
  <c r="F258" i="10"/>
  <c r="F259" i="10" s="1"/>
  <c r="F261" i="10"/>
  <c r="F262" i="10" s="1"/>
  <c r="F264" i="10"/>
  <c r="F265" i="10" s="1"/>
  <c r="F267" i="10"/>
  <c r="F268" i="10"/>
  <c r="F269" i="10"/>
  <c r="F272" i="10"/>
  <c r="F273" i="10" s="1"/>
  <c r="F275" i="10"/>
  <c r="F276" i="10" s="1"/>
  <c r="F278" i="10"/>
  <c r="F279" i="10" s="1"/>
  <c r="F281" i="10"/>
  <c r="F282" i="10" s="1"/>
  <c r="F284" i="10"/>
  <c r="F285" i="10" s="1"/>
  <c r="F287" i="10"/>
  <c r="F288" i="10" s="1"/>
  <c r="F290" i="10"/>
  <c r="F291" i="10"/>
  <c r="F294" i="10"/>
  <c r="F295" i="10" s="1"/>
  <c r="F297" i="10"/>
  <c r="F298" i="10"/>
  <c r="F301" i="10"/>
  <c r="F302" i="10" s="1"/>
  <c r="F304" i="10"/>
  <c r="F305" i="10" s="1"/>
  <c r="F307" i="10"/>
  <c r="F308" i="10"/>
  <c r="F311" i="10"/>
  <c r="F312" i="10"/>
  <c r="F313" i="10"/>
  <c r="F314" i="10"/>
  <c r="F315" i="10"/>
  <c r="F316" i="10"/>
  <c r="F319" i="10"/>
  <c r="F320" i="10" s="1"/>
  <c r="F322" i="10"/>
  <c r="F323" i="10"/>
  <c r="F326" i="10"/>
  <c r="F327" i="10" s="1"/>
  <c r="F329" i="10"/>
  <c r="F330" i="10"/>
  <c r="F331" i="10"/>
  <c r="F332" i="10"/>
  <c r="F333" i="10"/>
  <c r="F334" i="10"/>
  <c r="F337" i="10"/>
  <c r="F338" i="10" s="1"/>
  <c r="F340" i="10"/>
  <c r="F341" i="10"/>
  <c r="F344" i="10"/>
  <c r="F345" i="10" s="1"/>
  <c r="F347" i="10"/>
  <c r="F348" i="10"/>
  <c r="F351" i="10"/>
  <c r="F352" i="10" s="1"/>
  <c r="F354" i="10"/>
  <c r="F355" i="10" s="1"/>
  <c r="F357" i="10"/>
  <c r="F358" i="10" s="1"/>
  <c r="F360" i="10"/>
  <c r="F361" i="10" s="1"/>
  <c r="F363" i="10"/>
  <c r="F364" i="10" s="1"/>
  <c r="F366" i="10"/>
  <c r="F367" i="10" s="1"/>
  <c r="F369" i="10"/>
  <c r="F370" i="10" s="1"/>
  <c r="F372" i="10"/>
  <c r="F373" i="10" s="1"/>
  <c r="F375" i="10"/>
  <c r="F376" i="10"/>
  <c r="F377" i="10"/>
  <c r="F380" i="10"/>
  <c r="F381" i="10"/>
  <c r="F382" i="10"/>
  <c r="F383" i="10"/>
  <c r="F386" i="10"/>
  <c r="F387" i="10"/>
  <c r="F388" i="10"/>
  <c r="F389" i="10"/>
  <c r="F390" i="10"/>
  <c r="F393" i="10"/>
  <c r="F394" i="10" s="1"/>
  <c r="F396" i="10"/>
  <c r="F397" i="10" s="1"/>
  <c r="F399" i="10"/>
  <c r="F400" i="10"/>
  <c r="F401" i="10"/>
  <c r="F402" i="10"/>
  <c r="F405" i="10"/>
  <c r="F406" i="10"/>
  <c r="F407" i="10"/>
  <c r="F410" i="10"/>
  <c r="F411" i="10" s="1"/>
  <c r="F413" i="10"/>
  <c r="F414" i="10" s="1"/>
  <c r="F416" i="10"/>
  <c r="F417" i="10" s="1"/>
  <c r="F419" i="10"/>
  <c r="F420" i="10" s="1"/>
  <c r="F422" i="10"/>
  <c r="F423" i="10" s="1"/>
  <c r="F425" i="10"/>
  <c r="F426" i="10" s="1"/>
  <c r="F428" i="10"/>
  <c r="F429" i="10" s="1"/>
  <c r="F431" i="10"/>
  <c r="F432" i="10" s="1"/>
  <c r="F434" i="10"/>
  <c r="F435" i="10" s="1"/>
  <c r="F437" i="10"/>
  <c r="F438" i="10" s="1"/>
  <c r="F440" i="10"/>
  <c r="F441" i="10" s="1"/>
  <c r="F443" i="10"/>
  <c r="F444" i="10" s="1"/>
  <c r="F446" i="10"/>
  <c r="F447" i="10" s="1"/>
  <c r="F449" i="10"/>
  <c r="F450" i="10" s="1"/>
  <c r="F452" i="10"/>
  <c r="F453" i="10" s="1"/>
  <c r="F455" i="10"/>
  <c r="F456" i="10" s="1"/>
  <c r="F458" i="10"/>
  <c r="F459" i="10" s="1"/>
  <c r="F461" i="10"/>
  <c r="F462" i="10" s="1"/>
  <c r="F464" i="10"/>
  <c r="F465" i="10" s="1"/>
  <c r="F467" i="10"/>
  <c r="F468" i="10" s="1"/>
  <c r="F470" i="10"/>
  <c r="F471" i="10" s="1"/>
  <c r="F473" i="10"/>
  <c r="F474" i="10" s="1"/>
  <c r="F476" i="10"/>
  <c r="F477" i="10" s="1"/>
  <c r="F479" i="10"/>
  <c r="F480" i="10"/>
  <c r="F483" i="10"/>
  <c r="F484" i="10" s="1"/>
  <c r="F486" i="10"/>
  <c r="F487" i="10"/>
  <c r="F488" i="10"/>
  <c r="F491" i="10"/>
  <c r="F492" i="10" s="1"/>
  <c r="F494" i="10"/>
  <c r="F495" i="10" s="1"/>
  <c r="F497" i="10"/>
  <c r="F498" i="10"/>
  <c r="F501" i="10"/>
  <c r="F502" i="10"/>
  <c r="F505" i="10"/>
  <c r="F506" i="10" s="1"/>
  <c r="F508" i="10"/>
  <c r="F509" i="10"/>
  <c r="F512" i="10"/>
  <c r="F513" i="10" s="1"/>
  <c r="F515" i="10"/>
  <c r="F516" i="10" s="1"/>
  <c r="F518" i="10"/>
  <c r="F519" i="10"/>
  <c r="F522" i="10"/>
  <c r="F523" i="10" s="1"/>
  <c r="F525" i="10"/>
  <c r="F526" i="10"/>
  <c r="F527" i="10"/>
  <c r="F528" i="10"/>
  <c r="F529" i="10"/>
  <c r="F532" i="10"/>
  <c r="F533" i="10"/>
  <c r="F534" i="10"/>
  <c r="F537" i="10"/>
  <c r="F538" i="10"/>
  <c r="F541" i="10"/>
  <c r="F542" i="10" s="1"/>
  <c r="F544" i="10"/>
  <c r="F545" i="10"/>
  <c r="F546" i="10"/>
  <c r="F547" i="10"/>
  <c r="F550" i="10"/>
  <c r="F551" i="10"/>
  <c r="F554" i="10"/>
  <c r="F555" i="10"/>
  <c r="F556" i="10"/>
  <c r="F559" i="10"/>
  <c r="F560" i="10"/>
  <c r="F561" i="10"/>
  <c r="F562" i="10"/>
  <c r="F565" i="10"/>
  <c r="F566" i="10"/>
  <c r="F567" i="10"/>
  <c r="F568" i="10"/>
  <c r="F571" i="10"/>
  <c r="F572" i="10" s="1"/>
  <c r="F574" i="10"/>
  <c r="F575" i="10" s="1"/>
  <c r="F577" i="10"/>
  <c r="F578" i="10" s="1"/>
  <c r="F580" i="10"/>
  <c r="F581" i="10" s="1"/>
  <c r="F583" i="10"/>
  <c r="F584" i="10" s="1"/>
  <c r="F586" i="10"/>
  <c r="F587" i="10" s="1"/>
  <c r="F589" i="10"/>
  <c r="F590" i="10"/>
  <c r="F593" i="10"/>
  <c r="F594" i="10" s="1"/>
  <c r="F596" i="10"/>
  <c r="F597" i="10" s="1"/>
  <c r="F599" i="10"/>
  <c r="F600" i="10" s="1"/>
  <c r="F602" i="10"/>
  <c r="F603" i="10" s="1"/>
  <c r="F605" i="10"/>
  <c r="F606" i="10" s="1"/>
  <c r="F608" i="10"/>
  <c r="F609" i="10" s="1"/>
  <c r="F611" i="10"/>
  <c r="F612" i="10" s="1"/>
  <c r="F614" i="10"/>
  <c r="F615" i="10" s="1"/>
  <c r="F617" i="10"/>
  <c r="F618" i="10" s="1"/>
  <c r="F620" i="10"/>
  <c r="F621" i="10"/>
  <c r="F624" i="10"/>
  <c r="F625" i="10" s="1"/>
  <c r="F627" i="10"/>
  <c r="F628" i="10"/>
  <c r="F631" i="10"/>
  <c r="F632" i="10" s="1"/>
  <c r="F634" i="10"/>
  <c r="F635" i="10"/>
  <c r="F638" i="10"/>
  <c r="F639" i="10"/>
  <c r="F640" i="10"/>
  <c r="F643" i="10"/>
  <c r="F644" i="10"/>
  <c r="F647" i="10"/>
  <c r="F648" i="10" s="1"/>
  <c r="F650" i="10"/>
  <c r="F651" i="10" s="1"/>
  <c r="F653" i="10"/>
  <c r="F654" i="10" s="1"/>
  <c r="F656" i="10"/>
  <c r="F657" i="10"/>
  <c r="F660" i="10"/>
  <c r="F661" i="10"/>
  <c r="F665" i="10"/>
  <c r="F666" i="10"/>
  <c r="F667" i="10"/>
  <c r="F668" i="10"/>
  <c r="F671" i="10"/>
  <c r="F672" i="10" s="1"/>
  <c r="F674" i="10"/>
  <c r="F675" i="10" s="1"/>
  <c r="F677" i="10"/>
  <c r="F678" i="10" s="1"/>
  <c r="F680" i="10"/>
  <c r="F681" i="10"/>
  <c r="F684" i="10"/>
  <c r="F685" i="10"/>
  <c r="F686" i="10"/>
  <c r="F689" i="10"/>
  <c r="F690" i="10" s="1"/>
  <c r="F692" i="10"/>
  <c r="F693" i="10" s="1"/>
  <c r="F695" i="10"/>
  <c r="F696" i="10" s="1"/>
  <c r="F698" i="10"/>
  <c r="F699" i="10"/>
  <c r="F702" i="10"/>
  <c r="F703" i="10" s="1"/>
  <c r="F705" i="10"/>
  <c r="F706" i="10"/>
  <c r="F707" i="10"/>
  <c r="F710" i="10"/>
  <c r="F711" i="10"/>
  <c r="F712" i="10"/>
  <c r="F715" i="10"/>
  <c r="F716" i="10" s="1"/>
  <c r="F718" i="10"/>
  <c r="F719" i="10" s="1"/>
  <c r="F721" i="10"/>
  <c r="F722" i="10" s="1"/>
  <c r="F724" i="10"/>
  <c r="F725" i="10" s="1"/>
  <c r="F727" i="10"/>
  <c r="F728" i="10" s="1"/>
  <c r="F730" i="10"/>
  <c r="F731" i="10" s="1"/>
  <c r="F733" i="10"/>
  <c r="F734" i="10"/>
  <c r="F737" i="10"/>
  <c r="F738" i="10"/>
  <c r="F741" i="10"/>
  <c r="F742" i="10"/>
  <c r="F745" i="10"/>
  <c r="F746" i="10"/>
  <c r="F749" i="10"/>
  <c r="F750" i="10" s="1"/>
  <c r="F752" i="10"/>
  <c r="F753" i="10" s="1"/>
  <c r="F755" i="10"/>
  <c r="F756" i="10" s="1"/>
  <c r="F761" i="10"/>
  <c r="F762" i="10" s="1"/>
  <c r="F764" i="10"/>
  <c r="F765" i="10" s="1"/>
  <c r="F767" i="10"/>
  <c r="F768" i="10"/>
  <c r="F771" i="10"/>
  <c r="F772" i="10" s="1"/>
  <c r="F774" i="10"/>
  <c r="F775" i="10" s="1"/>
  <c r="F777" i="10"/>
  <c r="F778" i="10"/>
  <c r="F781" i="10"/>
  <c r="F782" i="10"/>
  <c r="F783" i="10"/>
  <c r="F786" i="10"/>
  <c r="F787" i="10" s="1"/>
  <c r="F789" i="10"/>
  <c r="F790" i="10"/>
  <c r="F793" i="10"/>
  <c r="F794" i="10" s="1"/>
  <c r="F796" i="10"/>
  <c r="F797" i="10"/>
  <c r="F800" i="10"/>
  <c r="F801" i="10" s="1"/>
  <c r="F803" i="10"/>
  <c r="F804" i="10" s="1"/>
  <c r="F806" i="10"/>
  <c r="F807" i="10"/>
  <c r="F810" i="10"/>
  <c r="F811" i="10" s="1"/>
  <c r="F813" i="10"/>
  <c r="F814" i="10"/>
  <c r="F817" i="10"/>
  <c r="F818" i="10" s="1"/>
  <c r="F820" i="10"/>
  <c r="F821" i="10" s="1"/>
  <c r="F823" i="10"/>
  <c r="F824" i="10" s="1"/>
  <c r="F826" i="10"/>
  <c r="F827" i="10" s="1"/>
  <c r="F829" i="10"/>
  <c r="F830" i="10" s="1"/>
  <c r="F832" i="10"/>
  <c r="F833" i="10"/>
  <c r="F836" i="10"/>
  <c r="F837" i="10" s="1"/>
  <c r="F839" i="10"/>
  <c r="F840" i="10" s="1"/>
  <c r="F842" i="10"/>
  <c r="F843" i="10" s="1"/>
  <c r="F845" i="10"/>
  <c r="F846" i="10" s="1"/>
  <c r="F848" i="10"/>
  <c r="F849" i="10" s="1"/>
  <c r="F851" i="10"/>
  <c r="F852" i="10"/>
  <c r="F853" i="10"/>
  <c r="F854" i="10"/>
  <c r="F857" i="10"/>
  <c r="F858" i="10" s="1"/>
  <c r="F860" i="10"/>
  <c r="F861" i="10"/>
  <c r="F862" i="10"/>
  <c r="F863" i="10"/>
  <c r="F864" i="10"/>
  <c r="F867" i="10"/>
  <c r="F868" i="10"/>
  <c r="F869" i="10"/>
  <c r="F871" i="10"/>
  <c r="F872" i="10"/>
  <c r="F873" i="10"/>
  <c r="F874" i="10"/>
  <c r="F875" i="10"/>
  <c r="F876" i="10"/>
  <c r="F879" i="10"/>
  <c r="F880" i="10"/>
  <c r="F881" i="10"/>
  <c r="F882" i="10"/>
  <c r="F883" i="10"/>
  <c r="F886" i="10"/>
  <c r="F887" i="10"/>
  <c r="F890" i="10"/>
  <c r="F891" i="10" s="1"/>
  <c r="F893" i="10"/>
  <c r="F894" i="10" s="1"/>
  <c r="F896" i="10"/>
  <c r="F897" i="10" s="1"/>
  <c r="F899" i="10"/>
  <c r="F900" i="10" s="1"/>
  <c r="F902" i="10"/>
  <c r="F903" i="10"/>
  <c r="F904" i="10"/>
  <c r="F907" i="10"/>
  <c r="F908" i="10" s="1"/>
  <c r="F910" i="10"/>
  <c r="F911" i="10" s="1"/>
  <c r="F913" i="10"/>
  <c r="F914" i="10" s="1"/>
  <c r="F916" i="10"/>
  <c r="F917" i="10" s="1"/>
  <c r="F919" i="10"/>
  <c r="F920" i="10" s="1"/>
  <c r="F922" i="10"/>
  <c r="F923" i="10" s="1"/>
  <c r="F925" i="10"/>
  <c r="F926" i="10" s="1"/>
  <c r="F928" i="10"/>
  <c r="F929" i="10" s="1"/>
  <c r="F931" i="10"/>
  <c r="F932" i="10" s="1"/>
  <c r="F934" i="10"/>
  <c r="F935" i="10" s="1"/>
  <c r="F937" i="10"/>
  <c r="F938" i="10"/>
  <c r="F941" i="10"/>
  <c r="F942" i="10" s="1"/>
  <c r="F944" i="10"/>
  <c r="F945" i="10" s="1"/>
  <c r="F947" i="10"/>
  <c r="F948" i="10" s="1"/>
  <c r="F950" i="10"/>
  <c r="F951" i="10" s="1"/>
  <c r="F953" i="10"/>
  <c r="F954" i="10" s="1"/>
  <c r="F959" i="10"/>
  <c r="F960" i="10"/>
  <c r="F963" i="10"/>
  <c r="F964" i="10"/>
  <c r="F967" i="10"/>
  <c r="F968" i="10" s="1"/>
  <c r="F970" i="10"/>
  <c r="F971" i="10" s="1"/>
  <c r="F973" i="10"/>
  <c r="F974" i="10"/>
  <c r="F977" i="10"/>
  <c r="F978" i="10" s="1"/>
  <c r="F980" i="10"/>
  <c r="F981" i="10"/>
  <c r="F982" i="10"/>
  <c r="F985" i="10"/>
  <c r="F986" i="10"/>
  <c r="F987" i="10"/>
  <c r="F990" i="10"/>
  <c r="F991" i="10" s="1"/>
  <c r="F996" i="10"/>
  <c r="F997" i="10" s="1"/>
  <c r="F999" i="10"/>
  <c r="F1000" i="10"/>
  <c r="F1003" i="10"/>
  <c r="F1004" i="10"/>
  <c r="F1007" i="10"/>
  <c r="F1008" i="10" s="1"/>
  <c r="F1010" i="10"/>
  <c r="F1011" i="10" s="1"/>
  <c r="F1013" i="10"/>
  <c r="F1014" i="10"/>
  <c r="F1015" i="10"/>
  <c r="F1018" i="10"/>
  <c r="F1019" i="10"/>
  <c r="F1020" i="10"/>
  <c r="F1021" i="10"/>
  <c r="F1022" i="10"/>
  <c r="F1023" i="10"/>
  <c r="F1026" i="10"/>
  <c r="F1027" i="10" s="1"/>
  <c r="F1029" i="10"/>
  <c r="F1030" i="10" s="1"/>
  <c r="F1032" i="10"/>
  <c r="F1033" i="10" s="1"/>
  <c r="F1035" i="10"/>
  <c r="F1036" i="10" s="1"/>
  <c r="F1038" i="10"/>
  <c r="F1039" i="10" s="1"/>
  <c r="F1041" i="10"/>
  <c r="F1042" i="10" s="1"/>
  <c r="F1044" i="10"/>
  <c r="F1045" i="10" s="1"/>
  <c r="F1047" i="10"/>
  <c r="F1048" i="10"/>
  <c r="F1049" i="10"/>
  <c r="F1052" i="10"/>
  <c r="F1053" i="10"/>
  <c r="F1056" i="10"/>
  <c r="F1057" i="10" s="1"/>
  <c r="F1059" i="10"/>
  <c r="F1060" i="10"/>
  <c r="F1063" i="10"/>
  <c r="F1064" i="10"/>
  <c r="F1065" i="10"/>
  <c r="F1066" i="10"/>
  <c r="F1069" i="10"/>
  <c r="F1070" i="10"/>
  <c r="F1071" i="10"/>
  <c r="F1074" i="10"/>
  <c r="F1075" i="10" s="1"/>
  <c r="F1077" i="10"/>
  <c r="F1078" i="10"/>
  <c r="F1081" i="10"/>
  <c r="F1082" i="10" s="1"/>
  <c r="F1084" i="10"/>
  <c r="F1085" i="10" s="1"/>
  <c r="F1087" i="10"/>
  <c r="F1088" i="10"/>
  <c r="F1091" i="10"/>
  <c r="F1092" i="10" s="1"/>
  <c r="F1094" i="10"/>
  <c r="F1095" i="10" s="1"/>
  <c r="F1097" i="10"/>
  <c r="F1098" i="10" s="1"/>
  <c r="F1100" i="10"/>
  <c r="F1101" i="10" s="1"/>
  <c r="F1103" i="10"/>
  <c r="F1104" i="10" s="1"/>
  <c r="F1106" i="10"/>
  <c r="F1107" i="10" s="1"/>
  <c r="F1109" i="10"/>
  <c r="F1110" i="10" s="1"/>
  <c r="F1112" i="10"/>
  <c r="F1113" i="10"/>
  <c r="F1114" i="10"/>
  <c r="F1115" i="10"/>
  <c r="F1118" i="10"/>
  <c r="F1119" i="10" s="1"/>
  <c r="F1121" i="10"/>
  <c r="F1122" i="10" s="1"/>
  <c r="F1129" i="10"/>
  <c r="F1130" i="10"/>
  <c r="F1133" i="10"/>
  <c r="F1134" i="10" s="1"/>
  <c r="F1136" i="10"/>
  <c r="F1137" i="10" s="1"/>
  <c r="F1139" i="10"/>
  <c r="F1140" i="10"/>
  <c r="F1143" i="10"/>
  <c r="F1144" i="10"/>
  <c r="F1147" i="10"/>
  <c r="F1148" i="10"/>
  <c r="F1149" i="10"/>
  <c r="F1150" i="10"/>
  <c r="F1157" i="10"/>
  <c r="F1158" i="10"/>
  <c r="F1161" i="10"/>
  <c r="F1162" i="10"/>
  <c r="F1163" i="10"/>
  <c r="F1166" i="10"/>
  <c r="F1167" i="10" s="1"/>
  <c r="F1169" i="10"/>
  <c r="F1170" i="10" s="1"/>
  <c r="F1172" i="10"/>
  <c r="F1173" i="10" s="1"/>
  <c r="F1175" i="10"/>
  <c r="F1176" i="10" s="1"/>
  <c r="F1178" i="10"/>
  <c r="F1179" i="10"/>
  <c r="F1182" i="10"/>
  <c r="F1183" i="10" s="1"/>
  <c r="F1185" i="10"/>
  <c r="F1186" i="10"/>
  <c r="F1187" i="10"/>
  <c r="F1188" i="10"/>
  <c r="F1191" i="10"/>
  <c r="F1192" i="10" s="1"/>
  <c r="F1194" i="10"/>
  <c r="F1195" i="10" s="1"/>
  <c r="F1197" i="10"/>
  <c r="F1198" i="10" s="1"/>
  <c r="F1200" i="10"/>
  <c r="F1201" i="10"/>
  <c r="F1202" i="10"/>
  <c r="F1203" i="10"/>
  <c r="F1204" i="10"/>
  <c r="F1207" i="10"/>
  <c r="F1208" i="10" s="1"/>
  <c r="F1210" i="10"/>
  <c r="F1211" i="10" s="1"/>
  <c r="F1213" i="10"/>
  <c r="F1214" i="10" s="1"/>
  <c r="F1216" i="10"/>
  <c r="F1217" i="10" s="1"/>
  <c r="F1219" i="10"/>
  <c r="F1220" i="10"/>
  <c r="F1223" i="10"/>
  <c r="F1224" i="10" s="1"/>
  <c r="F1226" i="10"/>
  <c r="F1227" i="10" s="1"/>
  <c r="F1229" i="10"/>
  <c r="F1230" i="10" s="1"/>
  <c r="F1232" i="10"/>
  <c r="F1233" i="10"/>
  <c r="F1236" i="10"/>
  <c r="F1237" i="10"/>
  <c r="F1240" i="10"/>
  <c r="F1241" i="10"/>
  <c r="F1244" i="10"/>
  <c r="F1245" i="10"/>
  <c r="F1248" i="10"/>
  <c r="F1249" i="10"/>
  <c r="F1250" i="10"/>
  <c r="F1251" i="10"/>
  <c r="F1254" i="10"/>
  <c r="F1255" i="10"/>
  <c r="F1258" i="10"/>
  <c r="F1259" i="10" s="1"/>
  <c r="F1261" i="10"/>
  <c r="F1262" i="10" s="1"/>
  <c r="F1264" i="10"/>
  <c r="F1265" i="10"/>
  <c r="F1266" i="10"/>
  <c r="F1269" i="10"/>
  <c r="F1270" i="10"/>
  <c r="F1273" i="10"/>
  <c r="F1274" i="10" s="1"/>
  <c r="F1276" i="10"/>
  <c r="F1277" i="10" s="1"/>
  <c r="F1279" i="10"/>
  <c r="F1280" i="10" s="1"/>
  <c r="F1282" i="10"/>
  <c r="F1283" i="10"/>
  <c r="F1286" i="10"/>
  <c r="F1287" i="10"/>
  <c r="F1288" i="10"/>
  <c r="F1289" i="10"/>
  <c r="F1292" i="10"/>
  <c r="F1293" i="10"/>
  <c r="F1296" i="10"/>
  <c r="F1297" i="10" s="1"/>
  <c r="F1299" i="10"/>
  <c r="F1300" i="10" s="1"/>
  <c r="F1302" i="10"/>
  <c r="F1303" i="10" s="1"/>
  <c r="F1305" i="10"/>
  <c r="F1306" i="10"/>
  <c r="F1307" i="10"/>
  <c r="F1308" i="10"/>
  <c r="F1309" i="10"/>
  <c r="F1310" i="10"/>
  <c r="F1313" i="10"/>
  <c r="F1314" i="10" s="1"/>
  <c r="F1316" i="10"/>
  <c r="F1317" i="10" s="1"/>
  <c r="F1319" i="10"/>
  <c r="F1320" i="10" s="1"/>
  <c r="F1322" i="10"/>
  <c r="F1323" i="10" s="1"/>
  <c r="F1325" i="10"/>
  <c r="F1326" i="10" s="1"/>
  <c r="F1328" i="10"/>
  <c r="F1329" i="10"/>
  <c r="F1332" i="10"/>
  <c r="F1333" i="10"/>
  <c r="F1334" i="10"/>
  <c r="F1335" i="10"/>
  <c r="F1338" i="10"/>
  <c r="F1339" i="10"/>
  <c r="F1340" i="10"/>
  <c r="F1341" i="10"/>
  <c r="F1344" i="10"/>
  <c r="F1345" i="10" s="1"/>
  <c r="F1347" i="10"/>
  <c r="F1348" i="10"/>
  <c r="F1349" i="10"/>
  <c r="F1350" i="10"/>
  <c r="F1351" i="10"/>
  <c r="F1352" i="10"/>
  <c r="F1353" i="10"/>
  <c r="F1356" i="10"/>
  <c r="F1357" i="10"/>
  <c r="F1358" i="10"/>
  <c r="F1359" i="10"/>
  <c r="F1362" i="10"/>
  <c r="F1363" i="10" s="1"/>
  <c r="F1365" i="10"/>
  <c r="F1366" i="10" s="1"/>
  <c r="F1368" i="10"/>
  <c r="F1369" i="10" s="1"/>
  <c r="F1371" i="10"/>
  <c r="F1372" i="10" s="1"/>
  <c r="F1374" i="10"/>
  <c r="F1375" i="10" s="1"/>
  <c r="F1377" i="10"/>
  <c r="F1378" i="10" s="1"/>
  <c r="F1380" i="10"/>
  <c r="F1381" i="10"/>
  <c r="F1382" i="10"/>
  <c r="F1383" i="10"/>
  <c r="F1386" i="10"/>
  <c r="F1387" i="10" s="1"/>
  <c r="F1389" i="10"/>
  <c r="F1390" i="10"/>
  <c r="F1393" i="10"/>
  <c r="F1394" i="10" s="1"/>
  <c r="F1396" i="10"/>
  <c r="F1397" i="10" s="1"/>
  <c r="F1399" i="10"/>
  <c r="F1400" i="10" s="1"/>
  <c r="F1405" i="10"/>
  <c r="F1406" i="10" s="1"/>
  <c r="F1408" i="10"/>
  <c r="F1409" i="10" s="1"/>
  <c r="F1411" i="10"/>
  <c r="F1412" i="10" s="1"/>
  <c r="F1414" i="10"/>
  <c r="F1415" i="10" s="1"/>
  <c r="F1417" i="10"/>
  <c r="F1418" i="10"/>
  <c r="F1421" i="10"/>
  <c r="F1422" i="10"/>
  <c r="F1423" i="10"/>
  <c r="F1426" i="10"/>
  <c r="F1427" i="10" s="1"/>
  <c r="F1429" i="10"/>
  <c r="F1430" i="10" s="1"/>
  <c r="F1432" i="10"/>
  <c r="F1433" i="10"/>
  <c r="F1436" i="10"/>
  <c r="F1437" i="10" s="1"/>
  <c r="F1439" i="10"/>
  <c r="F1440" i="10" s="1"/>
  <c r="F1442" i="10"/>
  <c r="F1443" i="10" s="1"/>
  <c r="F1445" i="10"/>
  <c r="F1446" i="10" s="1"/>
  <c r="F1448" i="10"/>
  <c r="F1449" i="10" s="1"/>
  <c r="F1451" i="10"/>
  <c r="F1452" i="10"/>
  <c r="F1453" i="10"/>
  <c r="F1454" i="10"/>
  <c r="F1455" i="10"/>
  <c r="F1457" i="10"/>
  <c r="F1458" i="10"/>
  <c r="F1459" i="10"/>
  <c r="F1462" i="10"/>
  <c r="F1463" i="10" s="1"/>
  <c r="F1465" i="10"/>
  <c r="F1466" i="10" s="1"/>
  <c r="F1468" i="10"/>
  <c r="F1469" i="10" s="1"/>
  <c r="F1471" i="10"/>
  <c r="F1472" i="10" s="1"/>
  <c r="F1474" i="10"/>
  <c r="F1475" i="10" s="1"/>
  <c r="F1477" i="10"/>
  <c r="F1478" i="10" s="1"/>
  <c r="F1480" i="10"/>
  <c r="F1481" i="10" s="1"/>
  <c r="F1483" i="10"/>
  <c r="F1484" i="10"/>
  <c r="F1487" i="10"/>
  <c r="F1488" i="10" s="1"/>
  <c r="F1490" i="10"/>
  <c r="F1491" i="10" s="1"/>
  <c r="F1493" i="10"/>
  <c r="F1494" i="10"/>
  <c r="F1495" i="10"/>
  <c r="F1496" i="10"/>
  <c r="F1499" i="10"/>
  <c r="F1500" i="10" s="1"/>
  <c r="F1502" i="10"/>
  <c r="F1503" i="10" s="1"/>
  <c r="F1505" i="10"/>
  <c r="F1506" i="10" s="1"/>
  <c r="F1508" i="10"/>
  <c r="F1509" i="10" s="1"/>
  <c r="F1511" i="10"/>
  <c r="F1512" i="10"/>
  <c r="F1513" i="10"/>
  <c r="F1516" i="10"/>
  <c r="F1517" i="10" s="1"/>
  <c r="F1519" i="10"/>
  <c r="F1520" i="10" s="1"/>
  <c r="F1522" i="10"/>
  <c r="F1523" i="10"/>
  <c r="F1526" i="10"/>
  <c r="F1527" i="10" s="1"/>
  <c r="F1529" i="10"/>
  <c r="F1530" i="10"/>
  <c r="F1531" i="10"/>
  <c r="F1534" i="10"/>
  <c r="F1535" i="10" s="1"/>
  <c r="F1537" i="10"/>
  <c r="F1538" i="10" s="1"/>
  <c r="F1540" i="10"/>
  <c r="F1541" i="10" s="1"/>
  <c r="F1543" i="10"/>
  <c r="F1544" i="10" s="1"/>
  <c r="F1546" i="10"/>
  <c r="F1547" i="10" s="1"/>
  <c r="F1549" i="10"/>
  <c r="F1550" i="10"/>
  <c r="F1553" i="10"/>
  <c r="F1554" i="10" s="1"/>
  <c r="F1556" i="10"/>
  <c r="F1557" i="10"/>
  <c r="F1560" i="10"/>
  <c r="F1561" i="10" s="1"/>
  <c r="F1563" i="10"/>
  <c r="F1564" i="10" s="1"/>
  <c r="F1566" i="10"/>
  <c r="F1567" i="10"/>
  <c r="F1568" i="10"/>
  <c r="F1571" i="10"/>
  <c r="F1572" i="10"/>
  <c r="F1573" i="10"/>
  <c r="F1576" i="10"/>
  <c r="F1577" i="10" s="1"/>
  <c r="F1579" i="10"/>
  <c r="F1580" i="10" s="1"/>
  <c r="F1582" i="10"/>
  <c r="F1583" i="10" s="1"/>
  <c r="F1585" i="10"/>
  <c r="F1586" i="10"/>
  <c r="F1587" i="10"/>
  <c r="F1588" i="10"/>
  <c r="F1591" i="10"/>
  <c r="F1592" i="10"/>
  <c r="F1593" i="10"/>
  <c r="F1596" i="10"/>
  <c r="F1597" i="10"/>
  <c r="F1598" i="10"/>
  <c r="F1599" i="10"/>
  <c r="F1600" i="10"/>
  <c r="F1601" i="10"/>
  <c r="F1602" i="10"/>
  <c r="F1605" i="10"/>
  <c r="F1606" i="10" s="1"/>
  <c r="F1608" i="10"/>
  <c r="F1609" i="10" s="1"/>
  <c r="F1611" i="10"/>
  <c r="F1612" i="10" s="1"/>
  <c r="F1614" i="10"/>
  <c r="F1615" i="10" s="1"/>
  <c r="F1617" i="10"/>
  <c r="F1618" i="10"/>
  <c r="F1621" i="10"/>
  <c r="F1622" i="10"/>
  <c r="F1625" i="10"/>
  <c r="F1626" i="10"/>
  <c r="F1629" i="10"/>
  <c r="F1630" i="10" s="1"/>
  <c r="F1632" i="10"/>
  <c r="F1633" i="10"/>
  <c r="F1636" i="10"/>
  <c r="F1637" i="10" s="1"/>
  <c r="F1639" i="10"/>
  <c r="F1640" i="10" s="1"/>
  <c r="F1642" i="10"/>
  <c r="F1643" i="10" s="1"/>
  <c r="F1645" i="10"/>
  <c r="F1646" i="10" s="1"/>
  <c r="F1648" i="10"/>
  <c r="F1649" i="10" s="1"/>
  <c r="F1651" i="10"/>
  <c r="F1652" i="10" s="1"/>
  <c r="F1654" i="10"/>
  <c r="F1655" i="10" s="1"/>
  <c r="F1657" i="10"/>
  <c r="F1658" i="10"/>
  <c r="F1659" i="10"/>
  <c r="F1662" i="10"/>
  <c r="F1663" i="10" s="1"/>
  <c r="F1665" i="10"/>
  <c r="F1666" i="10"/>
  <c r="F1667" i="10"/>
  <c r="F1670" i="10"/>
  <c r="F1671" i="10"/>
  <c r="F1674" i="10"/>
  <c r="F1675" i="10" s="1"/>
  <c r="F1677" i="10"/>
  <c r="F1678" i="10" s="1"/>
  <c r="F1680" i="10"/>
  <c r="F1681" i="10" s="1"/>
  <c r="F1683" i="10"/>
  <c r="F1684" i="10" s="1"/>
  <c r="F1686" i="10"/>
  <c r="F1687" i="10" s="1"/>
  <c r="F1689" i="10"/>
  <c r="F1690" i="10" s="1"/>
  <c r="F1692" i="10"/>
  <c r="F1693" i="10"/>
  <c r="F1696" i="10"/>
  <c r="F1697" i="10" s="1"/>
  <c r="F1699" i="10"/>
  <c r="F1700" i="10"/>
  <c r="F1703" i="10"/>
  <c r="F1704" i="10" s="1"/>
  <c r="F1706" i="10"/>
  <c r="F1707" i="10" s="1"/>
  <c r="F1709" i="10"/>
  <c r="F1710" i="10" s="1"/>
  <c r="F1712" i="10"/>
  <c r="F1713" i="10"/>
  <c r="F1716" i="10"/>
  <c r="F1717" i="10" s="1"/>
  <c r="F1719" i="10"/>
  <c r="F1720" i="10" s="1"/>
  <c r="F1722" i="10"/>
  <c r="F1723" i="10" s="1"/>
  <c r="F1725" i="10"/>
  <c r="F1726" i="10" s="1"/>
  <c r="F1728" i="10"/>
  <c r="F1729" i="10" s="1"/>
  <c r="F1731" i="10"/>
  <c r="F1732" i="10"/>
  <c r="F1733" i="10"/>
  <c r="F1734" i="10"/>
  <c r="F1735" i="10"/>
  <c r="F1736" i="10"/>
  <c r="F1739" i="10"/>
  <c r="F1740" i="10"/>
  <c r="F1741" i="10"/>
  <c r="F1744" i="10"/>
  <c r="F1745" i="10" s="1"/>
  <c r="F1747" i="10"/>
  <c r="F1748" i="10" s="1"/>
  <c r="F1750" i="10"/>
  <c r="F1751" i="10" s="1"/>
  <c r="F1753" i="10"/>
  <c r="F1754" i="10"/>
  <c r="F1757" i="10"/>
  <c r="F1758" i="10" s="1"/>
  <c r="F1760" i="10"/>
  <c r="F1761" i="10"/>
  <c r="F1764" i="10"/>
  <c r="F1765" i="10" s="1"/>
  <c r="F1767" i="10"/>
  <c r="F1768" i="10" s="1"/>
  <c r="F1770" i="10"/>
  <c r="F1771" i="10"/>
  <c r="F1772" i="10"/>
  <c r="F1784" i="10"/>
  <c r="F1785" i="10" s="1"/>
  <c r="F1787" i="10"/>
  <c r="F1788" i="10"/>
  <c r="F1789" i="10"/>
  <c r="F1792" i="10"/>
  <c r="F1793" i="10"/>
  <c r="F1796" i="10"/>
  <c r="F1797" i="10"/>
  <c r="F1798" i="10"/>
  <c r="F1801" i="10"/>
  <c r="F1802" i="10"/>
  <c r="F1803" i="10"/>
  <c r="F1804" i="10"/>
  <c r="F1805" i="10"/>
  <c r="F1808" i="10"/>
  <c r="F1809" i="10"/>
  <c r="F1812" i="10"/>
  <c r="F1813" i="10" s="1"/>
  <c r="F1815" i="10"/>
  <c r="F1816" i="10" s="1"/>
  <c r="F1818" i="10"/>
  <c r="F1819" i="10" s="1"/>
  <c r="F1821" i="10"/>
  <c r="F1822" i="10" s="1"/>
  <c r="F1824" i="10"/>
  <c r="F1825" i="10" s="1"/>
  <c r="F1827" i="10"/>
  <c r="F1828" i="10" s="1"/>
  <c r="F1830" i="10"/>
  <c r="F1831" i="10"/>
  <c r="F1834" i="10"/>
  <c r="F1835" i="10"/>
  <c r="F1838" i="10"/>
  <c r="F1839" i="10"/>
  <c r="F1840" i="10"/>
  <c r="F1841" i="10"/>
  <c r="F1842" i="10"/>
  <c r="F1843" i="10"/>
  <c r="F1846" i="10"/>
  <c r="F1847" i="10" s="1"/>
  <c r="F1849" i="10"/>
  <c r="F1850" i="10" s="1"/>
  <c r="F1852" i="10"/>
  <c r="F1853" i="10" s="1"/>
  <c r="F1855" i="10"/>
  <c r="F1856" i="10" s="1"/>
  <c r="F1858" i="10"/>
  <c r="F1859" i="10" s="1"/>
  <c r="F1861" i="10"/>
  <c r="F1862" i="10" s="1"/>
  <c r="F1864" i="10"/>
  <c r="F1865" i="10" s="1"/>
  <c r="F1867" i="10"/>
  <c r="F1868" i="10" s="1"/>
  <c r="F1870" i="10"/>
  <c r="F1871" i="10" s="1"/>
  <c r="F1873" i="10"/>
  <c r="F1874" i="10" s="1"/>
  <c r="F1876" i="10"/>
  <c r="F1877" i="10"/>
  <c r="F1878" i="10"/>
  <c r="F1881" i="10"/>
  <c r="F1882" i="10"/>
  <c r="F1883" i="10"/>
  <c r="F1884" i="10"/>
  <c r="F1887" i="10"/>
  <c r="F1888" i="10" s="1"/>
  <c r="F1890" i="10"/>
  <c r="F1891" i="10" s="1"/>
  <c r="F1893" i="10"/>
  <c r="F1894" i="10" s="1"/>
  <c r="F1896" i="10"/>
  <c r="F1897" i="10" s="1"/>
  <c r="F1899" i="10"/>
  <c r="F1900" i="10" s="1"/>
  <c r="F1902" i="10"/>
  <c r="F1903" i="10" s="1"/>
  <c r="F1905" i="10"/>
  <c r="F1906" i="10" s="1"/>
  <c r="F1908" i="10"/>
  <c r="F1909" i="10" s="1"/>
  <c r="F1911" i="10"/>
  <c r="F1912" i="10" s="1"/>
  <c r="F1914" i="10"/>
  <c r="F1915" i="10"/>
  <c r="F1916" i="10"/>
  <c r="F1919" i="10"/>
  <c r="F1920" i="10" s="1"/>
  <c r="F1922" i="10"/>
  <c r="F1923" i="10" s="1"/>
  <c r="F1925" i="10"/>
  <c r="F1926" i="10" s="1"/>
  <c r="F1928" i="10"/>
  <c r="F1929" i="10" s="1"/>
  <c r="F1931" i="10"/>
  <c r="F1932" i="10"/>
  <c r="F1935" i="10"/>
  <c r="F1936" i="10" s="1"/>
  <c r="F1938" i="10"/>
  <c r="F1939" i="10"/>
  <c r="F1940" i="10"/>
  <c r="F1943" i="10"/>
  <c r="F1944" i="10"/>
  <c r="F1945" i="10"/>
  <c r="F1946" i="10"/>
  <c r="F1949" i="10"/>
  <c r="F1950" i="10"/>
  <c r="F1953" i="10"/>
  <c r="F1954" i="10"/>
  <c r="F1955" i="10"/>
  <c r="F1958" i="10"/>
  <c r="F1959" i="10"/>
  <c r="F1960" i="10"/>
  <c r="F1961" i="10"/>
  <c r="F1962" i="10"/>
  <c r="F1965" i="10"/>
  <c r="F1966" i="10"/>
  <c r="F1969" i="10"/>
  <c r="F1970" i="10"/>
  <c r="F1971" i="10"/>
  <c r="F1974" i="10"/>
  <c r="F1975" i="10"/>
  <c r="F1976" i="10"/>
  <c r="F1977" i="10"/>
  <c r="F1978" i="10"/>
  <c r="F1981" i="10"/>
  <c r="F1982" i="10" s="1"/>
  <c r="F1984" i="10"/>
  <c r="F1985" i="10" s="1"/>
  <c r="F1987" i="10"/>
  <c r="F1988" i="10" s="1"/>
  <c r="F1990" i="10"/>
  <c r="F1991" i="10" s="1"/>
  <c r="F1993" i="10"/>
  <c r="F1994" i="10" s="1"/>
  <c r="F1996" i="10"/>
  <c r="F1997" i="10" s="1"/>
  <c r="F1999" i="10"/>
  <c r="F2000" i="10" s="1"/>
  <c r="F2002" i="10"/>
  <c r="F2003" i="10"/>
  <c r="F2004" i="10"/>
  <c r="F2007" i="10"/>
  <c r="F2008" i="10"/>
  <c r="F2011" i="10"/>
  <c r="F2012" i="10"/>
  <c r="F2015" i="10"/>
  <c r="F2016" i="10" s="1"/>
  <c r="F2018" i="10"/>
  <c r="F2019" i="10"/>
  <c r="F2022" i="10"/>
  <c r="F2023" i="10" s="1"/>
  <c r="F2025" i="10"/>
  <c r="F2026" i="10" s="1"/>
  <c r="F2028" i="10"/>
  <c r="F2029" i="10" s="1"/>
  <c r="F2031" i="10"/>
  <c r="F2032" i="10" s="1"/>
  <c r="F2034" i="10"/>
  <c r="F2035" i="10" s="1"/>
  <c r="F2037" i="10"/>
  <c r="F2038" i="10" s="1"/>
  <c r="F2043" i="10"/>
  <c r="F2044" i="10" s="1"/>
  <c r="F2046" i="10"/>
  <c r="F2047" i="10" s="1"/>
  <c r="F2049" i="10"/>
  <c r="F2050" i="10" s="1"/>
  <c r="F2052" i="10"/>
  <c r="F2053" i="10" s="1"/>
  <c r="F2055" i="10"/>
  <c r="F2056" i="10"/>
  <c r="F2057" i="10"/>
  <c r="F2058" i="10"/>
  <c r="F2061" i="10"/>
  <c r="F2062" i="10" s="1"/>
  <c r="F2064" i="10"/>
  <c r="F2065" i="10"/>
  <c r="F2068" i="10"/>
  <c r="F2069" i="10"/>
  <c r="F2072" i="10"/>
  <c r="F2073" i="10" s="1"/>
  <c r="F2075" i="10"/>
  <c r="F2076" i="10" s="1"/>
  <c r="F2078" i="10"/>
  <c r="F2079" i="10"/>
  <c r="F2080" i="10"/>
  <c r="F2083" i="10"/>
  <c r="F2084" i="10" s="1"/>
  <c r="F2086" i="10"/>
  <c r="F2087" i="10" s="1"/>
  <c r="F2089" i="10"/>
  <c r="F2090" i="10"/>
  <c r="F2093" i="10"/>
  <c r="F2094" i="10"/>
  <c r="F2095" i="10"/>
  <c r="F2098" i="10"/>
  <c r="F2099" i="10" s="1"/>
  <c r="F2101" i="10"/>
  <c r="F2102" i="10"/>
  <c r="F2105" i="10"/>
  <c r="F2106" i="10"/>
  <c r="F2109" i="10"/>
  <c r="F2110" i="10"/>
  <c r="F2111" i="10"/>
  <c r="F2114" i="10"/>
  <c r="F2115" i="10" s="1"/>
  <c r="F2117" i="10"/>
  <c r="F2118" i="10" s="1"/>
  <c r="F2120" i="10"/>
  <c r="F2121" i="10"/>
  <c r="F2122" i="10"/>
  <c r="F2125" i="10"/>
  <c r="F2126" i="10" s="1"/>
  <c r="F2128" i="10"/>
  <c r="F2129" i="10"/>
  <c r="F2130" i="10"/>
  <c r="F2131" i="10"/>
  <c r="F2132" i="10"/>
  <c r="F2135" i="10"/>
  <c r="F2136" i="10"/>
  <c r="F6" i="11"/>
  <c r="F7" i="11" s="1"/>
  <c r="F9" i="11"/>
  <c r="F10" i="11" s="1"/>
  <c r="F12" i="11"/>
  <c r="F13" i="11" s="1"/>
  <c r="F15" i="11"/>
  <c r="F16" i="11" s="1"/>
  <c r="F18" i="11"/>
  <c r="F19" i="11" s="1"/>
  <c r="F21" i="11"/>
  <c r="F22" i="11"/>
  <c r="F25" i="11"/>
  <c r="F26" i="11" s="1"/>
  <c r="F28" i="11"/>
  <c r="F29" i="11"/>
  <c r="F30" i="11"/>
  <c r="F31" i="11"/>
  <c r="F34" i="11"/>
  <c r="F35" i="11" s="1"/>
  <c r="F37" i="11"/>
  <c r="F38" i="11" s="1"/>
  <c r="F40" i="11"/>
  <c r="F41" i="11" s="1"/>
  <c r="F43" i="11"/>
  <c r="F44" i="11" s="1"/>
  <c r="F46" i="11"/>
  <c r="F47" i="11" s="1"/>
  <c r="F49" i="11"/>
  <c r="F50" i="11" s="1"/>
  <c r="F52" i="11"/>
  <c r="F53" i="11" s="1"/>
  <c r="F55" i="11"/>
  <c r="F56" i="11" s="1"/>
  <c r="F58" i="11"/>
  <c r="F59" i="11" s="1"/>
  <c r="F61" i="11"/>
  <c r="F62" i="11"/>
  <c r="F63" i="11"/>
  <c r="F66" i="11"/>
  <c r="F67" i="11" s="1"/>
  <c r="F69" i="11"/>
  <c r="F70" i="11"/>
  <c r="F73" i="11"/>
  <c r="F74" i="11" s="1"/>
  <c r="F76" i="11"/>
  <c r="F77" i="11" s="1"/>
  <c r="F79" i="11"/>
  <c r="F80" i="11" s="1"/>
  <c r="F82" i="11"/>
  <c r="F83" i="11"/>
  <c r="F86" i="11"/>
  <c r="F87" i="11" s="1"/>
  <c r="F89" i="11"/>
  <c r="F90" i="11" s="1"/>
  <c r="F92" i="11"/>
  <c r="F93" i="11" s="1"/>
  <c r="F95" i="11"/>
  <c r="F96" i="11"/>
  <c r="F99" i="11"/>
  <c r="F100" i="11"/>
  <c r="F101" i="11"/>
  <c r="F102" i="11"/>
  <c r="F105" i="11"/>
  <c r="F106" i="11"/>
  <c r="F107" i="11"/>
  <c r="F110" i="11"/>
  <c r="F111" i="11" s="1"/>
  <c r="F113" i="11"/>
  <c r="F114" i="11" s="1"/>
  <c r="F116" i="11"/>
  <c r="F117" i="11"/>
  <c r="F120" i="11"/>
  <c r="F121" i="11" s="1"/>
  <c r="F123" i="11"/>
  <c r="F124" i="11" s="1"/>
  <c r="F126" i="11"/>
  <c r="F127" i="11"/>
  <c r="F130" i="11"/>
  <c r="F131" i="11"/>
  <c r="F134" i="11"/>
  <c r="F135" i="11" s="1"/>
  <c r="F137" i="11"/>
  <c r="F138" i="11"/>
  <c r="F139" i="11"/>
  <c r="F140" i="11"/>
  <c r="F141" i="11"/>
  <c r="F144" i="11"/>
  <c r="F145" i="11" s="1"/>
  <c r="F147" i="11"/>
  <c r="F148" i="11"/>
  <c r="F151" i="11"/>
  <c r="F152" i="11" s="1"/>
  <c r="F154" i="11"/>
  <c r="F155" i="11"/>
  <c r="F158" i="11"/>
  <c r="F159" i="11"/>
  <c r="F162" i="11"/>
  <c r="F163" i="11" s="1"/>
  <c r="F165" i="11"/>
  <c r="F166" i="11"/>
  <c r="F169" i="11"/>
  <c r="F170" i="11"/>
  <c r="F171" i="11"/>
  <c r="F172" i="11"/>
  <c r="F175" i="11"/>
  <c r="F176" i="11"/>
  <c r="F177" i="11"/>
  <c r="F178" i="11"/>
  <c r="F179" i="11"/>
  <c r="F180" i="11"/>
  <c r="F181" i="11"/>
  <c r="F183" i="11"/>
  <c r="F184" i="11"/>
  <c r="F185" i="11"/>
  <c r="F186" i="11"/>
  <c r="F187" i="11"/>
  <c r="F190" i="11"/>
  <c r="F191" i="11"/>
  <c r="F192" i="11"/>
  <c r="F193" i="11"/>
  <c r="F196" i="11"/>
  <c r="F197" i="11" s="1"/>
  <c r="F199" i="11"/>
  <c r="F200" i="11" s="1"/>
  <c r="F202" i="11"/>
  <c r="F203" i="11" s="1"/>
  <c r="F205" i="11"/>
  <c r="F206" i="11" s="1"/>
  <c r="F208" i="11"/>
  <c r="F209" i="11" s="1"/>
  <c r="F211" i="11"/>
  <c r="F212" i="11"/>
  <c r="F213" i="11"/>
  <c r="F216" i="11"/>
  <c r="F217" i="11" s="1"/>
  <c r="F219" i="11"/>
  <c r="F220" i="11" s="1"/>
  <c r="F222" i="11"/>
  <c r="F223" i="11" s="1"/>
  <c r="F225" i="11"/>
  <c r="F226" i="11"/>
  <c r="F227" i="11"/>
  <c r="F230" i="11"/>
  <c r="F231" i="11"/>
  <c r="F234" i="11"/>
  <c r="F235" i="11" s="1"/>
  <c r="F237" i="11"/>
  <c r="F238" i="11" s="1"/>
  <c r="F240" i="11"/>
  <c r="F241" i="11" s="1"/>
  <c r="F243" i="11"/>
  <c r="F244" i="11" s="1"/>
  <c r="F246" i="11"/>
  <c r="F247" i="11" s="1"/>
  <c r="F249" i="11"/>
  <c r="F250" i="11" s="1"/>
  <c r="F252" i="11"/>
  <c r="F253" i="11" s="1"/>
  <c r="F255" i="11"/>
  <c r="F256" i="11" s="1"/>
  <c r="F258" i="11"/>
  <c r="F259" i="11" s="1"/>
  <c r="F261" i="11"/>
  <c r="F262" i="11" s="1"/>
  <c r="F264" i="11"/>
  <c r="F265" i="11" s="1"/>
  <c r="F267" i="11"/>
  <c r="F268" i="11" s="1"/>
  <c r="F270" i="11"/>
  <c r="F271" i="11"/>
  <c r="F274" i="11"/>
  <c r="F275" i="11" s="1"/>
  <c r="F277" i="11"/>
  <c r="F278" i="11" s="1"/>
  <c r="F280" i="11"/>
  <c r="F281" i="11" s="1"/>
  <c r="F283" i="11"/>
  <c r="F284" i="11" s="1"/>
  <c r="F289" i="11"/>
  <c r="F290" i="11" s="1"/>
  <c r="F292" i="11"/>
  <c r="F293" i="11"/>
  <c r="F294" i="11"/>
  <c r="F297" i="11"/>
  <c r="F298" i="11" s="1"/>
  <c r="F300" i="11"/>
  <c r="F301" i="11" s="1"/>
  <c r="F303" i="11"/>
  <c r="F304" i="11"/>
  <c r="F307" i="11"/>
  <c r="F308" i="11"/>
  <c r="F311" i="11"/>
  <c r="F312" i="11" s="1"/>
  <c r="F314" i="11"/>
  <c r="F315" i="11"/>
  <c r="F316" i="11"/>
  <c r="F317" i="11"/>
  <c r="F318" i="11"/>
  <c r="F321" i="11"/>
  <c r="F322" i="11" s="1"/>
  <c r="F324" i="11"/>
  <c r="F325" i="11"/>
  <c r="F328" i="11"/>
  <c r="F329" i="11" s="1"/>
  <c r="F331" i="11"/>
  <c r="F332" i="11" s="1"/>
  <c r="F334" i="11"/>
  <c r="F335" i="11" s="1"/>
  <c r="F337" i="11"/>
  <c r="F338" i="11" s="1"/>
  <c r="F340" i="11"/>
  <c r="F341" i="11" s="1"/>
  <c r="F343" i="11"/>
  <c r="F344" i="11" s="1"/>
  <c r="F346" i="11"/>
  <c r="F347" i="11" s="1"/>
  <c r="F349" i="11"/>
  <c r="F350" i="11"/>
  <c r="F351" i="11"/>
  <c r="F354" i="11"/>
  <c r="F355" i="11"/>
  <c r="F356" i="11"/>
  <c r="F359" i="11"/>
  <c r="F360" i="11" s="1"/>
  <c r="F362" i="11"/>
  <c r="F363" i="11"/>
  <c r="F364" i="11"/>
  <c r="F365" i="11"/>
  <c r="F366" i="11"/>
  <c r="F367" i="11"/>
  <c r="F370" i="11"/>
  <c r="F371" i="11"/>
  <c r="F374" i="11"/>
  <c r="F375" i="11" s="1"/>
  <c r="F377" i="11"/>
  <c r="F378" i="11"/>
  <c r="F381" i="11"/>
  <c r="F382" i="11"/>
  <c r="F383" i="11"/>
  <c r="F384" i="11"/>
  <c r="F385" i="11"/>
  <c r="F386" i="11"/>
  <c r="F389" i="11"/>
  <c r="F390" i="11"/>
  <c r="F393" i="11"/>
  <c r="F394" i="11"/>
  <c r="F397" i="11"/>
  <c r="F398" i="11" s="1"/>
  <c r="F400" i="11"/>
  <c r="F401" i="11"/>
  <c r="F402" i="11"/>
  <c r="F403" i="11"/>
  <c r="F406" i="11"/>
  <c r="F407" i="11" s="1"/>
  <c r="F409" i="11"/>
  <c r="F410" i="11" s="1"/>
  <c r="F412" i="11"/>
  <c r="F413" i="11" s="1"/>
  <c r="F415" i="11"/>
  <c r="F416" i="11"/>
  <c r="F419" i="11"/>
  <c r="F420" i="11" s="1"/>
  <c r="F422" i="11"/>
  <c r="F423" i="11" s="1"/>
  <c r="F425" i="11"/>
  <c r="F426" i="11" s="1"/>
  <c r="F428" i="11"/>
  <c r="F429" i="11" s="1"/>
  <c r="F431" i="11"/>
  <c r="F432" i="11" s="1"/>
  <c r="F434" i="11"/>
  <c r="F435" i="11" s="1"/>
  <c r="F437" i="11"/>
  <c r="F438" i="11"/>
  <c r="F441" i="11"/>
  <c r="F442" i="11" s="1"/>
  <c r="F444" i="11"/>
  <c r="F445" i="11"/>
  <c r="F446" i="11"/>
  <c r="F449" i="11"/>
  <c r="F450" i="11" s="1"/>
  <c r="F452" i="11"/>
  <c r="F453" i="11" s="1"/>
  <c r="F455" i="11"/>
  <c r="F456" i="11" s="1"/>
  <c r="F458" i="11"/>
  <c r="F459" i="11" s="1"/>
  <c r="F461" i="11"/>
  <c r="F462" i="11"/>
  <c r="F465" i="11"/>
  <c r="F466" i="11" s="1"/>
  <c r="F468" i="11"/>
  <c r="F469" i="11" s="1"/>
  <c r="F471" i="11"/>
  <c r="F472" i="11" s="1"/>
  <c r="F474" i="11"/>
  <c r="F475" i="11"/>
  <c r="F476" i="11"/>
  <c r="F477" i="11"/>
  <c r="F480" i="11"/>
  <c r="F481" i="11"/>
  <c r="F482" i="11"/>
  <c r="F483" i="11"/>
  <c r="F484" i="11"/>
  <c r="F487" i="11"/>
  <c r="F488" i="11"/>
  <c r="F489" i="11"/>
  <c r="F492" i="11"/>
  <c r="F493" i="11"/>
  <c r="F494" i="11"/>
  <c r="F495" i="11"/>
  <c r="F498" i="11"/>
  <c r="F499" i="11"/>
  <c r="F500" i="11"/>
  <c r="F501" i="11"/>
  <c r="F504" i="11"/>
  <c r="F505" i="11" s="1"/>
  <c r="F507" i="11"/>
  <c r="F508" i="11" s="1"/>
  <c r="F510" i="11"/>
  <c r="F511" i="11" s="1"/>
  <c r="F513" i="11"/>
  <c r="F514" i="11" s="1"/>
  <c r="F516" i="11"/>
  <c r="F517" i="11" s="1"/>
  <c r="F519" i="11"/>
  <c r="F520" i="11" s="1"/>
  <c r="F522" i="11"/>
  <c r="F523" i="11"/>
  <c r="F526" i="11"/>
  <c r="F527" i="11"/>
  <c r="F528" i="11"/>
  <c r="F529" i="11"/>
  <c r="F532" i="11"/>
  <c r="F533" i="11"/>
  <c r="F536" i="11"/>
  <c r="F537" i="11" s="1"/>
  <c r="F539" i="11"/>
  <c r="F540" i="11" s="1"/>
  <c r="F542" i="11"/>
  <c r="F543" i="11" s="1"/>
  <c r="F545" i="11"/>
  <c r="F546" i="11" s="1"/>
  <c r="F548" i="11"/>
  <c r="F549" i="11" s="1"/>
  <c r="F551" i="11"/>
  <c r="F552" i="11"/>
  <c r="F555" i="11"/>
  <c r="F556" i="11"/>
  <c r="F557" i="11"/>
  <c r="F560" i="11"/>
  <c r="F561" i="11"/>
  <c r="F564" i="11"/>
  <c r="F565" i="11"/>
  <c r="F568" i="11"/>
  <c r="F569" i="11" s="1"/>
  <c r="F571" i="11"/>
  <c r="F572" i="11" s="1"/>
  <c r="F574" i="11"/>
  <c r="F575" i="11" s="1"/>
  <c r="F577" i="11"/>
  <c r="F578" i="11" s="1"/>
  <c r="F580" i="11"/>
  <c r="F581" i="11" s="1"/>
  <c r="F583" i="11"/>
  <c r="F584" i="11" s="1"/>
  <c r="F586" i="11"/>
  <c r="F587" i="11" s="1"/>
  <c r="F589" i="11"/>
  <c r="F590" i="11" s="1"/>
  <c r="F592" i="11"/>
  <c r="F593" i="11" s="1"/>
  <c r="F595" i="11"/>
  <c r="F596" i="11" s="1"/>
  <c r="F598" i="11"/>
  <c r="F599" i="11" s="1"/>
  <c r="F601" i="11"/>
  <c r="F602" i="11" s="1"/>
  <c r="F604" i="11"/>
  <c r="F605" i="11" s="1"/>
  <c r="F607" i="11"/>
  <c r="F608" i="11" s="1"/>
  <c r="F610" i="11"/>
  <c r="F611" i="11" s="1"/>
  <c r="F613" i="11"/>
  <c r="F614" i="11"/>
  <c r="F615" i="11"/>
  <c r="F618" i="11"/>
  <c r="F619" i="11" s="1"/>
  <c r="F621" i="11"/>
  <c r="F622" i="11"/>
  <c r="F625" i="11"/>
  <c r="F626" i="11" s="1"/>
  <c r="F628" i="11"/>
  <c r="F629" i="11" s="1"/>
  <c r="F631" i="11"/>
  <c r="F632" i="11"/>
  <c r="F635" i="11"/>
  <c r="F636" i="11"/>
  <c r="F639" i="11"/>
  <c r="F640" i="11" s="1"/>
  <c r="F642" i="11"/>
  <c r="F643" i="11" s="1"/>
  <c r="F645" i="11"/>
  <c r="F646" i="11" s="1"/>
  <c r="F648" i="11"/>
  <c r="F649" i="11" s="1"/>
  <c r="F651" i="11"/>
  <c r="F652" i="11"/>
  <c r="F653" i="11"/>
  <c r="F654" i="11"/>
  <c r="F657" i="11"/>
  <c r="F658" i="11" s="1"/>
  <c r="F660" i="11"/>
  <c r="F661" i="11" s="1"/>
  <c r="F663" i="11"/>
  <c r="F664" i="11" s="1"/>
  <c r="F666" i="11"/>
  <c r="F667" i="11"/>
  <c r="F668" i="11"/>
  <c r="F669" i="11"/>
  <c r="F670" i="11"/>
  <c r="F671" i="11"/>
  <c r="F674" i="11"/>
  <c r="F675" i="11"/>
  <c r="F678" i="11"/>
  <c r="F679" i="11"/>
  <c r="F682" i="11"/>
  <c r="F683" i="11"/>
  <c r="F684" i="11"/>
  <c r="F687" i="11"/>
  <c r="F688" i="11" s="1"/>
  <c r="F690" i="11"/>
  <c r="F691" i="11" s="1"/>
  <c r="F693" i="11"/>
  <c r="F694" i="11" s="1"/>
  <c r="F696" i="11"/>
  <c r="F697" i="11" s="1"/>
  <c r="F699" i="11"/>
  <c r="F700" i="11" s="1"/>
  <c r="F702" i="11"/>
  <c r="F703" i="11" s="1"/>
  <c r="F705" i="11"/>
  <c r="F706" i="11"/>
  <c r="F707" i="11"/>
  <c r="F708" i="11"/>
  <c r="F711" i="11"/>
  <c r="F712" i="11"/>
  <c r="F713" i="11"/>
  <c r="F714" i="11"/>
  <c r="F717" i="11"/>
  <c r="F718" i="11" s="1"/>
  <c r="F720" i="11"/>
  <c r="F721" i="11" s="1"/>
  <c r="F723" i="11"/>
  <c r="F724" i="11" s="1"/>
  <c r="F726" i="11"/>
  <c r="F727" i="11" s="1"/>
  <c r="F729" i="11"/>
  <c r="F730" i="11" s="1"/>
  <c r="F732" i="11"/>
  <c r="F733" i="11" s="1"/>
  <c r="F735" i="11"/>
  <c r="F736" i="11" s="1"/>
  <c r="F738" i="11"/>
  <c r="F739" i="11" s="1"/>
  <c r="F741" i="11"/>
  <c r="F742" i="11" s="1"/>
  <c r="F744" i="11"/>
  <c r="F745" i="11" s="1"/>
  <c r="F747" i="11"/>
  <c r="F748" i="11" s="1"/>
  <c r="F750" i="11"/>
  <c r="F751" i="11"/>
  <c r="F754" i="11"/>
  <c r="F755" i="11" s="1"/>
  <c r="F757" i="11"/>
  <c r="F758" i="11" s="1"/>
  <c r="F760" i="11"/>
  <c r="F761" i="11" s="1"/>
  <c r="F763" i="11"/>
  <c r="F764" i="11" s="1"/>
  <c r="F766" i="11"/>
  <c r="F767" i="11" s="1"/>
  <c r="F769" i="11"/>
  <c r="F770" i="11" s="1"/>
  <c r="F772" i="11"/>
  <c r="F773" i="11" s="1"/>
  <c r="F775" i="11"/>
  <c r="F776" i="11" s="1"/>
  <c r="F778" i="11"/>
  <c r="F779" i="11"/>
  <c r="F780" i="11"/>
  <c r="F783" i="11"/>
  <c r="F784" i="11"/>
  <c r="F785" i="11"/>
  <c r="F788" i="11"/>
  <c r="F789" i="11"/>
  <c r="F790" i="11"/>
  <c r="F792" i="11"/>
  <c r="F793" i="11" s="1"/>
  <c r="F795" i="11"/>
  <c r="F796" i="11" s="1"/>
  <c r="F798" i="11"/>
  <c r="F799" i="11" s="1"/>
  <c r="F801" i="11"/>
  <c r="F802" i="11"/>
  <c r="F805" i="11"/>
  <c r="F806" i="11" s="1"/>
  <c r="F808" i="11"/>
  <c r="F809" i="11" s="1"/>
  <c r="F811" i="11"/>
  <c r="F812" i="11" s="1"/>
  <c r="F814" i="11"/>
  <c r="F815" i="11" s="1"/>
  <c r="F817" i="11"/>
  <c r="F818" i="11" s="1"/>
  <c r="F820" i="11"/>
  <c r="F821" i="11" s="1"/>
  <c r="F823" i="11"/>
  <c r="F824" i="11"/>
  <c r="F827" i="11"/>
  <c r="F828" i="11"/>
  <c r="F831" i="11"/>
  <c r="F832" i="11"/>
  <c r="F833" i="11"/>
  <c r="F834" i="11"/>
  <c r="F835" i="11"/>
  <c r="F838" i="11"/>
  <c r="F839" i="11" s="1"/>
  <c r="F841" i="11"/>
  <c r="F842" i="11"/>
  <c r="F843" i="11"/>
  <c r="F846" i="11"/>
  <c r="F847" i="11" s="1"/>
  <c r="F849" i="11"/>
  <c r="F850" i="11" s="1"/>
  <c r="F852" i="11"/>
  <c r="F853" i="11" s="1"/>
  <c r="F855" i="11"/>
  <c r="F856" i="11" s="1"/>
  <c r="F858" i="11"/>
  <c r="F859" i="11" s="1"/>
  <c r="F861" i="11"/>
  <c r="F862" i="11" s="1"/>
  <c r="F864" i="11"/>
  <c r="F865" i="11" s="1"/>
  <c r="F867" i="11"/>
  <c r="F868" i="11" s="1"/>
  <c r="F870" i="11"/>
  <c r="F871" i="11" s="1"/>
  <c r="F873" i="11"/>
  <c r="F874" i="11" s="1"/>
  <c r="F876" i="11"/>
  <c r="F877" i="11" s="1"/>
  <c r="F879" i="11"/>
  <c r="F880" i="11" s="1"/>
  <c r="F882" i="11"/>
  <c r="F883" i="11" s="1"/>
  <c r="F885" i="11"/>
  <c r="F886" i="11" s="1"/>
  <c r="F888" i="11"/>
  <c r="F889" i="11"/>
  <c r="F892" i="11"/>
  <c r="F893" i="11" s="1"/>
  <c r="F895" i="11"/>
  <c r="F896" i="11" s="1"/>
  <c r="F898" i="11"/>
  <c r="F899" i="11" s="1"/>
  <c r="F901" i="11"/>
  <c r="F902" i="11" s="1"/>
  <c r="F904" i="11"/>
  <c r="F905" i="11" s="1"/>
  <c r="F907" i="11"/>
  <c r="F908" i="11" s="1"/>
  <c r="F910" i="11"/>
  <c r="F911" i="11" s="1"/>
  <c r="F913" i="11"/>
  <c r="F914" i="11"/>
  <c r="F915" i="11"/>
  <c r="F916" i="11"/>
  <c r="F919" i="11"/>
  <c r="F920" i="11"/>
  <c r="F921" i="11"/>
  <c r="F922" i="11"/>
  <c r="F923" i="11"/>
  <c r="F924" i="11"/>
  <c r="F927" i="11"/>
  <c r="F928" i="11"/>
  <c r="F931" i="11"/>
  <c r="F932" i="11"/>
  <c r="F933" i="11"/>
  <c r="F936" i="11"/>
  <c r="F937" i="11"/>
  <c r="F940" i="11"/>
  <c r="F941" i="11"/>
  <c r="F942" i="11"/>
  <c r="F943" i="11"/>
  <c r="F944" i="11"/>
  <c r="F947" i="11"/>
  <c r="F948" i="11" s="1"/>
  <c r="F950" i="11"/>
  <c r="F951" i="11" s="1"/>
  <c r="F953" i="11"/>
  <c r="F954" i="11" s="1"/>
  <c r="F956" i="11"/>
  <c r="F957" i="11" s="1"/>
  <c r="F959" i="11"/>
  <c r="F960" i="11" s="1"/>
  <c r="F962" i="11"/>
  <c r="F963" i="11" s="1"/>
  <c r="F965" i="11"/>
  <c r="F966" i="11"/>
  <c r="F969" i="11"/>
  <c r="F970" i="11"/>
  <c r="F971" i="11"/>
  <c r="F972" i="11"/>
  <c r="F973" i="11"/>
  <c r="F976" i="11"/>
  <c r="F977" i="11" s="1"/>
  <c r="F979" i="11"/>
  <c r="F980" i="11" s="1"/>
  <c r="F982" i="11"/>
  <c r="F983" i="11" s="1"/>
  <c r="F985" i="11"/>
  <c r="F986" i="11" s="1"/>
  <c r="F988" i="11"/>
  <c r="F989" i="11" s="1"/>
  <c r="F991" i="11"/>
  <c r="F992" i="11"/>
  <c r="F995" i="11"/>
  <c r="F996" i="11" s="1"/>
  <c r="F998" i="11"/>
  <c r="F999" i="11" s="1"/>
  <c r="F1001" i="11"/>
  <c r="F1002" i="11" s="1"/>
  <c r="F1004" i="11"/>
  <c r="F1005" i="11" s="1"/>
  <c r="F1007" i="11"/>
  <c r="F1008" i="11" s="1"/>
  <c r="F1010" i="11"/>
  <c r="F1011" i="11" s="1"/>
  <c r="F1013" i="11"/>
  <c r="F1014" i="11" s="1"/>
  <c r="F1016" i="11"/>
  <c r="F1017" i="11" s="1"/>
  <c r="F1019" i="11"/>
  <c r="F1020" i="11" s="1"/>
  <c r="F1022" i="11"/>
  <c r="F1023" i="11" s="1"/>
  <c r="F1025" i="11"/>
  <c r="F1026" i="11" s="1"/>
  <c r="F1028" i="11"/>
  <c r="F1029" i="11" s="1"/>
  <c r="F1031" i="11"/>
  <c r="F1032" i="11"/>
  <c r="F1033" i="11"/>
  <c r="F1036" i="11"/>
  <c r="F1037" i="11" s="1"/>
  <c r="F1039" i="11"/>
  <c r="F1040" i="11" s="1"/>
  <c r="F1042" i="11"/>
  <c r="F1043" i="11"/>
  <c r="F1046" i="11"/>
  <c r="F1047" i="11"/>
  <c r="F1048" i="11"/>
  <c r="F1049" i="11"/>
  <c r="F1052" i="11"/>
  <c r="F1053" i="11" s="1"/>
  <c r="F1055" i="11"/>
  <c r="F1056" i="11"/>
  <c r="F1057" i="11"/>
  <c r="F1058" i="11"/>
  <c r="F1061" i="11"/>
  <c r="F1062" i="11" s="1"/>
  <c r="F1064" i="11"/>
  <c r="F1065" i="11" s="1"/>
  <c r="F1067" i="11"/>
  <c r="F1068" i="11" s="1"/>
  <c r="F1070" i="11"/>
  <c r="F1071" i="11" s="1"/>
  <c r="F1073" i="11"/>
  <c r="F1074" i="11"/>
  <c r="F1077" i="11"/>
  <c r="F1078" i="11" s="1"/>
  <c r="F1080" i="11"/>
  <c r="F1081" i="11" s="1"/>
  <c r="F1083" i="11"/>
  <c r="F1084" i="11" s="1"/>
  <c r="F1086" i="11"/>
  <c r="F1087" i="11" s="1"/>
  <c r="F1089" i="11"/>
  <c r="F1090" i="11" s="1"/>
  <c r="F1092" i="11"/>
  <c r="F1093" i="11"/>
  <c r="F1094" i="11"/>
  <c r="F1095" i="11"/>
  <c r="F1098" i="11"/>
  <c r="F1099" i="11" s="1"/>
  <c r="F1101" i="11"/>
  <c r="F1102" i="11"/>
  <c r="F1103" i="11"/>
  <c r="F1104" i="11"/>
  <c r="F1105" i="11"/>
  <c r="F1106" i="11"/>
  <c r="F1109" i="11"/>
  <c r="F1110" i="11"/>
  <c r="F1111" i="11"/>
  <c r="F1112" i="11"/>
  <c r="F1115" i="11"/>
  <c r="F1116" i="11"/>
  <c r="F1117" i="11"/>
  <c r="F1118" i="11"/>
  <c r="F1121" i="11"/>
  <c r="F1122" i="11"/>
  <c r="F1123" i="11"/>
  <c r="F1124" i="11"/>
  <c r="F1127" i="11"/>
  <c r="F1128" i="11"/>
  <c r="F1131" i="11"/>
  <c r="F1132" i="11"/>
  <c r="F1133" i="11"/>
  <c r="F1136" i="11"/>
  <c r="F1137" i="11" s="1"/>
  <c r="F1139" i="11"/>
  <c r="F1140" i="11" s="1"/>
  <c r="F1142" i="11"/>
  <c r="F1143" i="11" s="1"/>
  <c r="F1145" i="11"/>
  <c r="F1146" i="11" s="1"/>
  <c r="F1148" i="11"/>
  <c r="F1149" i="11" s="1"/>
  <c r="F1151" i="11"/>
  <c r="F1152" i="11"/>
  <c r="F1153" i="11"/>
  <c r="F1156" i="11"/>
  <c r="F1157" i="11" s="1"/>
  <c r="F1159" i="11"/>
  <c r="F1160" i="11"/>
  <c r="F1163" i="11"/>
  <c r="F1164" i="11"/>
  <c r="F1167" i="11"/>
  <c r="F1168" i="11"/>
  <c r="F1169" i="11"/>
  <c r="F1172" i="11"/>
  <c r="F1173" i="11" s="1"/>
  <c r="F1175" i="11"/>
  <c r="F1176" i="11" s="1"/>
  <c r="F1178" i="11"/>
  <c r="F1179" i="11" s="1"/>
  <c r="F1181" i="11"/>
  <c r="F1182" i="11" s="1"/>
  <c r="F1188" i="11"/>
  <c r="F1189" i="11" s="1"/>
  <c r="F1191" i="11"/>
  <c r="F1192" i="11"/>
  <c r="F1193" i="11"/>
  <c r="F1196" i="11"/>
  <c r="F1197" i="11" s="1"/>
  <c r="F1199" i="11"/>
  <c r="F1200" i="11" s="1"/>
  <c r="F1202" i="11"/>
  <c r="F1203" i="11" s="1"/>
  <c r="F1205" i="11"/>
  <c r="F1206" i="11" s="1"/>
  <c r="F1208" i="11"/>
  <c r="F1209" i="11"/>
  <c r="F1210" i="11"/>
  <c r="F1211" i="11"/>
  <c r="F1212" i="11"/>
  <c r="F1213" i="11"/>
  <c r="F1216" i="11"/>
  <c r="F1217" i="11"/>
  <c r="F1218" i="11"/>
  <c r="F1219" i="11"/>
  <c r="F1222" i="11"/>
  <c r="F1223" i="11" s="1"/>
  <c r="F1225" i="11"/>
  <c r="F1226" i="11" s="1"/>
  <c r="F1228" i="11"/>
  <c r="F1229" i="11" s="1"/>
  <c r="F1231" i="11"/>
  <c r="F1232" i="11" s="1"/>
  <c r="F1234" i="11"/>
  <c r="F1235" i="11" s="1"/>
  <c r="F1237" i="11"/>
  <c r="F1238" i="11" s="1"/>
  <c r="F1240" i="11"/>
  <c r="F1241" i="11" s="1"/>
  <c r="F1243" i="11"/>
  <c r="F1244" i="11" s="1"/>
  <c r="F1246" i="11"/>
  <c r="F1247" i="11"/>
  <c r="F1250" i="11"/>
  <c r="F1251" i="11" s="1"/>
  <c r="F1253" i="11"/>
  <c r="F1254" i="11"/>
  <c r="F1257" i="11"/>
  <c r="F1258" i="11" s="1"/>
  <c r="F1260" i="11"/>
  <c r="F1261" i="11" s="1"/>
  <c r="F1263" i="11"/>
  <c r="F1264" i="11" s="1"/>
  <c r="F1266" i="11"/>
  <c r="F1267" i="11" s="1"/>
  <c r="F1269" i="11"/>
  <c r="F1270" i="11" s="1"/>
  <c r="F1272" i="11"/>
  <c r="F1273" i="11"/>
  <c r="F1276" i="11"/>
  <c r="F1277" i="11" s="1"/>
  <c r="F1279" i="11"/>
  <c r="F1280" i="11" s="1"/>
  <c r="F1282" i="11"/>
  <c r="F1283" i="11" s="1"/>
  <c r="F1285" i="11"/>
  <c r="F1286" i="11"/>
  <c r="F1287" i="11"/>
  <c r="F1288" i="11"/>
  <c r="F1289" i="11"/>
  <c r="F1292" i="11"/>
  <c r="F1293" i="11"/>
  <c r="F1294" i="11"/>
  <c r="F1295" i="11"/>
  <c r="F1296" i="11"/>
  <c r="F1299" i="11"/>
  <c r="F1300" i="11" s="1"/>
  <c r="F1302" i="11"/>
  <c r="F1303" i="11" s="1"/>
  <c r="F1305" i="11"/>
  <c r="F1306" i="11" s="1"/>
  <c r="F1308" i="11"/>
  <c r="F1309" i="11"/>
  <c r="F1312" i="11"/>
  <c r="F1313" i="11"/>
  <c r="F1316" i="11"/>
  <c r="F1317" i="11" s="1"/>
  <c r="F1319" i="11"/>
  <c r="F1320" i="11"/>
  <c r="F1321" i="11"/>
  <c r="F1322" i="11"/>
  <c r="F1325" i="11"/>
  <c r="F1326" i="11" s="1"/>
  <c r="F1328" i="11"/>
  <c r="F1329" i="11" s="1"/>
  <c r="F1331" i="11"/>
  <c r="F1332" i="11" s="1"/>
  <c r="F1334" i="11"/>
  <c r="F1335" i="11"/>
  <c r="F1336" i="11"/>
  <c r="F1339" i="11"/>
  <c r="F1340" i="11" s="1"/>
  <c r="F1342" i="11"/>
  <c r="F1343" i="11" s="1"/>
  <c r="F1345" i="11"/>
  <c r="F1346" i="11" s="1"/>
  <c r="F1348" i="11"/>
  <c r="F1349" i="11" s="1"/>
  <c r="F1351" i="11"/>
  <c r="F1352" i="11"/>
  <c r="F1355" i="11"/>
  <c r="F1356" i="11"/>
  <c r="F1357" i="11"/>
  <c r="F1358" i="11"/>
  <c r="F1361" i="11"/>
  <c r="F1362" i="11"/>
  <c r="F1365" i="11"/>
  <c r="F1366" i="11" s="1"/>
  <c r="F1368" i="11"/>
  <c r="F1369" i="11" s="1"/>
  <c r="F1371" i="11"/>
  <c r="F1372" i="11"/>
  <c r="F1373" i="11"/>
  <c r="F1374" i="11"/>
  <c r="F1375" i="11"/>
  <c r="F1378" i="11"/>
  <c r="F1379" i="11" s="1"/>
  <c r="F1381" i="11"/>
  <c r="F1382" i="11" s="1"/>
  <c r="F1384" i="11"/>
  <c r="F1385" i="11" s="1"/>
  <c r="F1387" i="11"/>
  <c r="F1388" i="11" s="1"/>
  <c r="F1390" i="11"/>
  <c r="F1391" i="11" s="1"/>
  <c r="F1393" i="11"/>
  <c r="F1394" i="11" s="1"/>
  <c r="F1396" i="11"/>
  <c r="F1397" i="11" s="1"/>
  <c r="F1399" i="11"/>
  <c r="F1400" i="11" s="1"/>
  <c r="F1402" i="11"/>
  <c r="F1403" i="11"/>
  <c r="F1406" i="11"/>
  <c r="F1407" i="11"/>
  <c r="F1410" i="11"/>
  <c r="F1411" i="11"/>
  <c r="F1412" i="11"/>
  <c r="F1415" i="11"/>
  <c r="F1416" i="11"/>
  <c r="F1417" i="11"/>
  <c r="F1418" i="11"/>
  <c r="F1419" i="11"/>
  <c r="F1422" i="11"/>
  <c r="F1423" i="11"/>
  <c r="F1424" i="11"/>
  <c r="F1425" i="11"/>
  <c r="F1428" i="11"/>
  <c r="F1429" i="11" s="1"/>
  <c r="F1431" i="11"/>
  <c r="F1432" i="11" s="1"/>
  <c r="F1434" i="11"/>
  <c r="F1435" i="11" s="1"/>
  <c r="F1437" i="11"/>
  <c r="F1438" i="11" s="1"/>
  <c r="F1440" i="11"/>
  <c r="F1441" i="11"/>
  <c r="F1442" i="11"/>
  <c r="F1445" i="11"/>
  <c r="F1446" i="11" s="1"/>
  <c r="F1448" i="11"/>
  <c r="F1449" i="11" s="1"/>
  <c r="F1451" i="11"/>
  <c r="F1452" i="11" s="1"/>
  <c r="F1454" i="11"/>
  <c r="F1455" i="11" s="1"/>
  <c r="F1457" i="11"/>
  <c r="F1458" i="11" s="1"/>
  <c r="F1460" i="11"/>
  <c r="F1461" i="11" s="1"/>
  <c r="F1463" i="11"/>
  <c r="F1464" i="11" s="1"/>
  <c r="F1466" i="11"/>
  <c r="F1467" i="11"/>
  <c r="F1470" i="11"/>
  <c r="F1471" i="11" s="1"/>
  <c r="F1473" i="11"/>
  <c r="F1474" i="11"/>
  <c r="F1477" i="11"/>
  <c r="F1478" i="11"/>
  <c r="F1481" i="11"/>
  <c r="F1482" i="11" s="1"/>
  <c r="F1484" i="11"/>
  <c r="F1485" i="11" s="1"/>
  <c r="F1487" i="11"/>
  <c r="F1488" i="11"/>
  <c r="F1491" i="11"/>
  <c r="F1492" i="11" s="1"/>
  <c r="F1494" i="11"/>
  <c r="F1495" i="11" s="1"/>
  <c r="F1497" i="11"/>
  <c r="F1498" i="11"/>
  <c r="F1499" i="11"/>
  <c r="F1500" i="11"/>
  <c r="F1501" i="11"/>
  <c r="F1502" i="11"/>
  <c r="F1505" i="11"/>
  <c r="F1506" i="11"/>
  <c r="F1507" i="11"/>
  <c r="F1510" i="11"/>
  <c r="F1511" i="11" s="1"/>
  <c r="F1513" i="11"/>
  <c r="F1514" i="11" s="1"/>
  <c r="F1516" i="11"/>
  <c r="F1517" i="11" s="1"/>
  <c r="F1519" i="11"/>
  <c r="F1520" i="11" s="1"/>
  <c r="F1522" i="11"/>
  <c r="F1523" i="11" s="1"/>
  <c r="F1525" i="11"/>
  <c r="F1526" i="11"/>
  <c r="F1527" i="11"/>
  <c r="F1528" i="11"/>
  <c r="F1531" i="11"/>
  <c r="F1532" i="11" s="1"/>
  <c r="F1534" i="11"/>
  <c r="F1535" i="11" s="1"/>
  <c r="F1537" i="11"/>
  <c r="F1538" i="11"/>
  <c r="F1539" i="11"/>
  <c r="F1542" i="11"/>
  <c r="F1543" i="11" s="1"/>
  <c r="F1545" i="11"/>
  <c r="F1546" i="11" s="1"/>
  <c r="F1548" i="11"/>
  <c r="F1549" i="11" s="1"/>
  <c r="F1551" i="11"/>
  <c r="F1552" i="11" s="1"/>
  <c r="F1554" i="11"/>
  <c r="F1555" i="11" s="1"/>
  <c r="F1557" i="11"/>
  <c r="F1558" i="11"/>
  <c r="F1559" i="11"/>
  <c r="F1560" i="11"/>
  <c r="F1563" i="11"/>
  <c r="F1564" i="11" s="1"/>
  <c r="F1566" i="11"/>
  <c r="F1567" i="11" s="1"/>
  <c r="F1569" i="11"/>
  <c r="F1570" i="11" s="1"/>
  <c r="F1572" i="11"/>
  <c r="F1573" i="11"/>
  <c r="F1574" i="11"/>
  <c r="F1577" i="11"/>
  <c r="F1578" i="11"/>
  <c r="F1581" i="11"/>
  <c r="F1582" i="11"/>
  <c r="F1585" i="11"/>
  <c r="F1586" i="11" s="1"/>
  <c r="F1588" i="11"/>
  <c r="F1589" i="11" s="1"/>
  <c r="F1591" i="11"/>
  <c r="F1592" i="11"/>
  <c r="F1595" i="11"/>
  <c r="F1596" i="11" s="1"/>
  <c r="F1598" i="11"/>
  <c r="F1599" i="11" s="1"/>
  <c r="F1601" i="11"/>
  <c r="F1602" i="11" s="1"/>
  <c r="F1604" i="11"/>
  <c r="F1605" i="11" s="1"/>
  <c r="F1607" i="11"/>
  <c r="F1608" i="11" s="1"/>
  <c r="F1615" i="11"/>
  <c r="F1616" i="11" s="1"/>
  <c r="F1618" i="11"/>
  <c r="F1619" i="11"/>
  <c r="F1620" i="11"/>
  <c r="F1623" i="11"/>
  <c r="F1624" i="11" s="1"/>
  <c r="F1626" i="11"/>
  <c r="F1627" i="11" s="1"/>
  <c r="F1629" i="11"/>
  <c r="F1630" i="11" s="1"/>
  <c r="F1632" i="11"/>
  <c r="F1633" i="11" s="1"/>
  <c r="F1635" i="11"/>
  <c r="F1636" i="11" s="1"/>
  <c r="F1638" i="11"/>
  <c r="F1639" i="11"/>
  <c r="F1642" i="11"/>
  <c r="F1643" i="11" s="1"/>
  <c r="F1645" i="11"/>
  <c r="F1646" i="11" s="1"/>
  <c r="F1648" i="11"/>
  <c r="F1649" i="11" s="1"/>
  <c r="F1660" i="11"/>
  <c r="F1662" i="11"/>
  <c r="F1663" i="11"/>
  <c r="F1664" i="11"/>
  <c r="F1665" i="11"/>
  <c r="F1668" i="11"/>
  <c r="F1669" i="11"/>
  <c r="F1672" i="11"/>
  <c r="F1673" i="11" s="1"/>
  <c r="F1675" i="11"/>
  <c r="F1676" i="11" s="1"/>
  <c r="F1678" i="11"/>
  <c r="F1679" i="11" s="1"/>
  <c r="F1681" i="11"/>
  <c r="F1682" i="11" s="1"/>
  <c r="F1684" i="11"/>
  <c r="F1685" i="11" s="1"/>
  <c r="F1687" i="11"/>
  <c r="F1688" i="11" s="1"/>
  <c r="F1690" i="11"/>
  <c r="F1691" i="11" s="1"/>
  <c r="F1693" i="11"/>
  <c r="F1694" i="11"/>
  <c r="F1695" i="11"/>
  <c r="F1698" i="11"/>
  <c r="F1699" i="11" s="1"/>
  <c r="F1701" i="11"/>
  <c r="F1702" i="11" s="1"/>
  <c r="F1719" i="11"/>
  <c r="F1720" i="11" s="1"/>
  <c r="F1722" i="11"/>
  <c r="F1723" i="11"/>
  <c r="F1726" i="11"/>
  <c r="F1727" i="11"/>
  <c r="F1730" i="11"/>
  <c r="F1731" i="11"/>
  <c r="F1711" i="11"/>
  <c r="F1712" i="11" s="1"/>
  <c r="F1734" i="11"/>
  <c r="F1735" i="11" s="1"/>
  <c r="F1737" i="11"/>
  <c r="F1738" i="11" s="1"/>
  <c r="F1740" i="11"/>
  <c r="F1741" i="11" s="1"/>
  <c r="F1743" i="11"/>
  <c r="F1744" i="11" s="1"/>
  <c r="F1746" i="11"/>
  <c r="F1747" i="11" s="1"/>
  <c r="F1749" i="11"/>
  <c r="F1750" i="11"/>
  <c r="F1751" i="11"/>
  <c r="F1754" i="11"/>
  <c r="F1755" i="11" s="1"/>
  <c r="F1757" i="11"/>
  <c r="F1758" i="11"/>
  <c r="F1759" i="11"/>
  <c r="F1762" i="11"/>
  <c r="F1763" i="11"/>
  <c r="F1764" i="11"/>
  <c r="F1765" i="11"/>
  <c r="F1768" i="11"/>
  <c r="F1769" i="11"/>
  <c r="F1770" i="11"/>
  <c r="F1777" i="11"/>
  <c r="F1778" i="11"/>
  <c r="F1785" i="11"/>
  <c r="F1786" i="11" s="1"/>
  <c r="F1788" i="11"/>
  <c r="F1789" i="11"/>
  <c r="F1792" i="11"/>
  <c r="F1793" i="11" s="1"/>
  <c r="F1795" i="11"/>
  <c r="F1796" i="11"/>
  <c r="F1797" i="11"/>
  <c r="F1800" i="11"/>
  <c r="F1801" i="11" s="1"/>
  <c r="F1803" i="11"/>
  <c r="F1804" i="11" s="1"/>
  <c r="F1806" i="11"/>
  <c r="F1807" i="11" s="1"/>
  <c r="F1809" i="11"/>
  <c r="F1810" i="11" s="1"/>
  <c r="F1812" i="11"/>
  <c r="F1813" i="11" s="1"/>
  <c r="F1815" i="11"/>
  <c r="F1816" i="11" s="1"/>
  <c r="F1818" i="11"/>
  <c r="F1819" i="11"/>
  <c r="F1820" i="11"/>
  <c r="F1824" i="11"/>
  <c r="F1825" i="11" s="1"/>
  <c r="F1827" i="11"/>
  <c r="F1828" i="11" s="1"/>
  <c r="F1830" i="11"/>
  <c r="F1831" i="11" s="1"/>
  <c r="F1833" i="11"/>
  <c r="F1834" i="11" s="1"/>
  <c r="F1836" i="11"/>
  <c r="F1837" i="11" s="1"/>
  <c r="F1839" i="11"/>
  <c r="F1840" i="11"/>
  <c r="F1843" i="11"/>
  <c r="F1844" i="11"/>
  <c r="F1847" i="11"/>
  <c r="F1848" i="11"/>
  <c r="F1851" i="11"/>
  <c r="F1852" i="11"/>
  <c r="F1855" i="11"/>
  <c r="F1856" i="11" s="1"/>
  <c r="F1858" i="11"/>
  <c r="F1859" i="11" s="1"/>
  <c r="F1861" i="11"/>
  <c r="F1862" i="11" s="1"/>
  <c r="F1864" i="11"/>
  <c r="F1865" i="11" s="1"/>
  <c r="F1867" i="11"/>
  <c r="F1868" i="11" s="1"/>
  <c r="F1870" i="11"/>
  <c r="F1871" i="11"/>
  <c r="F1874" i="11"/>
  <c r="F1875" i="11" s="1"/>
  <c r="F1877" i="11"/>
  <c r="F1878" i="11" s="1"/>
  <c r="F1880" i="11"/>
  <c r="F1881" i="11" s="1"/>
  <c r="F1883" i="11"/>
  <c r="F1884" i="11" s="1"/>
  <c r="F1886" i="11"/>
  <c r="F1887" i="11"/>
  <c r="F1888" i="11"/>
  <c r="F1891" i="11"/>
  <c r="F1892" i="11"/>
  <c r="F1895" i="11"/>
  <c r="F1896" i="11" s="1"/>
  <c r="F1898" i="11"/>
  <c r="F1899" i="11"/>
  <c r="F1900" i="11"/>
  <c r="F1901" i="11"/>
  <c r="F1904" i="11"/>
  <c r="F1905" i="11" s="1"/>
  <c r="F1907" i="11"/>
  <c r="F1908" i="11" s="1"/>
  <c r="F1910" i="11"/>
  <c r="F1911" i="11" s="1"/>
  <c r="F1913" i="11"/>
  <c r="F1914" i="11" s="1"/>
  <c r="F1916" i="11"/>
  <c r="F1917" i="11" s="1"/>
  <c r="F1919" i="11"/>
  <c r="F1920" i="11" s="1"/>
  <c r="F1922" i="11"/>
  <c r="F1923" i="11"/>
  <c r="F1926" i="11"/>
  <c r="F1927" i="11"/>
  <c r="F1930" i="11"/>
  <c r="F1931" i="11"/>
  <c r="F1932" i="11"/>
  <c r="F1933" i="11"/>
  <c r="F1936" i="11"/>
  <c r="F1937" i="11"/>
  <c r="F1938" i="11"/>
  <c r="F1939" i="11"/>
  <c r="F1940" i="11"/>
  <c r="F1941" i="11"/>
  <c r="F1944" i="11"/>
  <c r="F1945" i="11"/>
  <c r="F1948" i="11"/>
  <c r="F1949" i="11"/>
  <c r="F1955" i="11"/>
  <c r="F1956" i="11"/>
  <c r="F1957" i="11"/>
  <c r="F1960" i="11"/>
  <c r="F1961" i="11"/>
  <c r="F1962" i="11"/>
  <c r="F1965" i="11"/>
  <c r="F1966" i="11"/>
  <c r="F1969" i="11"/>
  <c r="F1972" i="11" s="1"/>
  <c r="F1970" i="11"/>
  <c r="F1971" i="11"/>
  <c r="F6" i="12"/>
  <c r="F7" i="12"/>
  <c r="F10" i="12"/>
  <c r="F11" i="12"/>
  <c r="F12" i="12"/>
  <c r="F15" i="12"/>
  <c r="F16" i="12" s="1"/>
  <c r="F18" i="12"/>
  <c r="F19" i="12" s="1"/>
  <c r="F21" i="12"/>
  <c r="F22" i="12" s="1"/>
  <c r="F24" i="12"/>
  <c r="F25" i="12"/>
  <c r="F28" i="12"/>
  <c r="F29" i="12" s="1"/>
  <c r="F31" i="12"/>
  <c r="F32" i="12"/>
  <c r="F33" i="12"/>
  <c r="F34" i="12"/>
  <c r="F37" i="12"/>
  <c r="F38" i="12" s="1"/>
  <c r="F40" i="12"/>
  <c r="F41" i="12"/>
  <c r="F42" i="12"/>
  <c r="F43" i="12"/>
  <c r="F44" i="12"/>
  <c r="F47" i="12"/>
  <c r="F48" i="12"/>
  <c r="F51" i="12"/>
  <c r="F52" i="12" s="1"/>
  <c r="F54" i="12"/>
  <c r="F55" i="12" s="1"/>
  <c r="F57" i="12"/>
  <c r="F58" i="12" s="1"/>
  <c r="F60" i="12"/>
  <c r="F61" i="12"/>
  <c r="F64" i="12"/>
  <c r="F65" i="12" s="1"/>
  <c r="F67" i="12"/>
  <c r="F68" i="12" s="1"/>
  <c r="F70" i="12"/>
  <c r="F71" i="12" s="1"/>
  <c r="F73" i="12"/>
  <c r="F74" i="12" s="1"/>
  <c r="F76" i="12"/>
  <c r="F77" i="12" s="1"/>
  <c r="F79" i="12"/>
  <c r="F80" i="12" s="1"/>
  <c r="F82" i="12"/>
  <c r="F83" i="12"/>
  <c r="F86" i="12"/>
  <c r="F87" i="12"/>
  <c r="F90" i="12"/>
  <c r="F91" i="12"/>
  <c r="F94" i="12"/>
  <c r="F95" i="12"/>
  <c r="F96" i="12"/>
  <c r="F97" i="12"/>
  <c r="F98" i="12"/>
  <c r="F99" i="12"/>
  <c r="F102" i="12"/>
  <c r="F103" i="12" s="1"/>
  <c r="F105" i="12"/>
  <c r="F106" i="12" s="1"/>
  <c r="F108" i="12"/>
  <c r="F109" i="12"/>
  <c r="F110" i="12"/>
  <c r="F113" i="12"/>
  <c r="F114" i="12" s="1"/>
  <c r="F116" i="12"/>
  <c r="F117" i="12"/>
  <c r="F120" i="12"/>
  <c r="F121" i="12"/>
  <c r="F124" i="12"/>
  <c r="F125" i="12"/>
  <c r="F126" i="12"/>
  <c r="F127" i="12"/>
  <c r="F128" i="12"/>
  <c r="F131" i="12"/>
  <c r="F132" i="12" s="1"/>
  <c r="F134" i="12"/>
  <c r="F135" i="12"/>
  <c r="F136" i="12"/>
  <c r="F139" i="12"/>
  <c r="F140" i="12" s="1"/>
  <c r="F142" i="12"/>
  <c r="F143" i="12" s="1"/>
  <c r="F145" i="12"/>
  <c r="F146" i="12" s="1"/>
  <c r="F148" i="12"/>
  <c r="F149" i="12" s="1"/>
  <c r="F151" i="12"/>
  <c r="F152" i="12"/>
  <c r="F155" i="12"/>
  <c r="F156" i="12" s="1"/>
  <c r="F158" i="12"/>
  <c r="F159" i="12" s="1"/>
  <c r="F161" i="12"/>
  <c r="F162" i="12" s="1"/>
  <c r="F164" i="12"/>
  <c r="F165" i="12" s="1"/>
  <c r="F167" i="12"/>
  <c r="F168" i="12" s="1"/>
  <c r="F170" i="12"/>
  <c r="F171" i="12" s="1"/>
  <c r="F173" i="12"/>
  <c r="F174" i="12" s="1"/>
  <c r="F176" i="12"/>
  <c r="F177" i="12" s="1"/>
  <c r="F179" i="12"/>
  <c r="F180" i="12" s="1"/>
  <c r="F182" i="12"/>
  <c r="F183" i="12"/>
  <c r="F186" i="12"/>
  <c r="F187" i="12"/>
  <c r="F188" i="12"/>
  <c r="F189" i="12"/>
  <c r="F190" i="12"/>
  <c r="F193" i="12"/>
  <c r="F194" i="12"/>
  <c r="F195" i="12"/>
  <c r="F198" i="12"/>
  <c r="F199" i="12" s="1"/>
  <c r="F201" i="12"/>
  <c r="F202" i="12" s="1"/>
  <c r="F204" i="12"/>
  <c r="F205" i="12" s="1"/>
  <c r="F207" i="12"/>
  <c r="F208" i="12" s="1"/>
  <c r="F210" i="12"/>
  <c r="F211" i="12" s="1"/>
  <c r="F213" i="12"/>
  <c r="F214" i="12" s="1"/>
  <c r="F216" i="12"/>
  <c r="F217" i="12"/>
  <c r="F218" i="12"/>
  <c r="F221" i="12"/>
  <c r="F222" i="12" s="1"/>
  <c r="F224" i="12"/>
  <c r="F225" i="12" s="1"/>
  <c r="F227" i="12"/>
  <c r="F228" i="12" s="1"/>
  <c r="F230" i="12"/>
  <c r="F231" i="12" s="1"/>
  <c r="F233" i="12"/>
  <c r="F234" i="12" s="1"/>
  <c r="F236" i="12"/>
  <c r="F237" i="12" s="1"/>
  <c r="F239" i="12"/>
  <c r="F240" i="12" s="1"/>
  <c r="F242" i="12"/>
  <c r="F243" i="12" s="1"/>
  <c r="F245" i="12"/>
  <c r="F246" i="12"/>
  <c r="F247" i="12"/>
  <c r="F248" i="12"/>
  <c r="F251" i="12"/>
  <c r="F252" i="12" s="1"/>
  <c r="F254" i="12"/>
  <c r="F255" i="12"/>
  <c r="F258" i="12"/>
  <c r="F259" i="12"/>
  <c r="F262" i="12"/>
  <c r="F263" i="12" s="1"/>
  <c r="F265" i="12"/>
  <c r="F266" i="12" s="1"/>
  <c r="F268" i="12"/>
  <c r="F269" i="12" s="1"/>
  <c r="F271" i="12"/>
  <c r="F272" i="12"/>
  <c r="F273" i="12"/>
  <c r="F274" i="12"/>
  <c r="F277" i="12"/>
  <c r="F278" i="12" s="1"/>
  <c r="F280" i="12"/>
  <c r="F281" i="12"/>
  <c r="F284" i="12"/>
  <c r="F285" i="12" s="1"/>
  <c r="F287" i="12"/>
  <c r="F288" i="12" s="1"/>
  <c r="F290" i="12"/>
  <c r="F291" i="12" s="1"/>
  <c r="F293" i="12"/>
  <c r="F294" i="12"/>
  <c r="F295" i="12"/>
  <c r="F296" i="12"/>
  <c r="F299" i="12"/>
  <c r="F300" i="12" s="1"/>
  <c r="F302" i="12"/>
  <c r="F303" i="12"/>
  <c r="F306" i="12"/>
  <c r="F307" i="12" s="1"/>
  <c r="F309" i="12"/>
  <c r="F310" i="12" s="1"/>
  <c r="F312" i="12"/>
  <c r="F313" i="12" s="1"/>
  <c r="F315" i="12"/>
  <c r="F316" i="12"/>
  <c r="F319" i="12"/>
  <c r="F320" i="12" s="1"/>
  <c r="F322" i="12"/>
  <c r="F323" i="12" s="1"/>
  <c r="F325" i="12"/>
  <c r="F326" i="12"/>
  <c r="F327" i="12"/>
  <c r="F330" i="12"/>
  <c r="F331" i="12"/>
  <c r="F332" i="12"/>
  <c r="F335" i="12"/>
  <c r="F336" i="12" s="1"/>
  <c r="F341" i="12"/>
  <c r="F342" i="12" s="1"/>
  <c r="F344" i="12"/>
  <c r="F345" i="12" s="1"/>
  <c r="F347" i="12"/>
  <c r="F348" i="12"/>
  <c r="F351" i="12"/>
  <c r="F352" i="12" s="1"/>
  <c r="F354" i="12"/>
  <c r="F355" i="12" s="1"/>
  <c r="F357" i="12"/>
  <c r="F358" i="12" s="1"/>
  <c r="F360" i="12"/>
  <c r="F361" i="12" s="1"/>
  <c r="F363" i="12"/>
  <c r="F364" i="12" s="1"/>
  <c r="F366" i="12"/>
  <c r="F367" i="12" s="1"/>
  <c r="F369" i="12"/>
  <c r="F370" i="12" s="1"/>
  <c r="F372" i="12"/>
  <c r="F373" i="12" s="1"/>
  <c r="F375" i="12"/>
  <c r="F376" i="12" s="1"/>
  <c r="F378" i="12"/>
  <c r="F379" i="12" s="1"/>
  <c r="F381" i="12"/>
  <c r="F382" i="12"/>
  <c r="F383" i="12"/>
  <c r="F386" i="12"/>
  <c r="F387" i="12" s="1"/>
  <c r="F389" i="12"/>
  <c r="F390" i="12"/>
  <c r="F391" i="12"/>
  <c r="F392" i="12"/>
  <c r="F395" i="12"/>
  <c r="F396" i="12" s="1"/>
  <c r="F398" i="12"/>
  <c r="F399" i="12" s="1"/>
  <c r="F401" i="12"/>
  <c r="F402" i="12" s="1"/>
  <c r="F404" i="12"/>
  <c r="F405" i="12" s="1"/>
  <c r="F407" i="12"/>
  <c r="F408" i="12"/>
  <c r="F411" i="12"/>
  <c r="F412" i="12"/>
  <c r="F413" i="12"/>
  <c r="F416" i="12"/>
  <c r="F417" i="12" s="1"/>
  <c r="F419" i="12"/>
  <c r="F420" i="12"/>
  <c r="F421" i="12"/>
  <c r="F424" i="12"/>
  <c r="F425" i="12" s="1"/>
  <c r="F427" i="12"/>
  <c r="F428" i="12"/>
  <c r="F429" i="12"/>
  <c r="F430" i="12"/>
  <c r="F431" i="12"/>
  <c r="F434" i="12"/>
  <c r="F435" i="12" s="1"/>
  <c r="F437" i="12"/>
  <c r="F438" i="12" s="1"/>
  <c r="F440" i="12"/>
  <c r="F441" i="12" s="1"/>
  <c r="F443" i="12"/>
  <c r="F444" i="12" s="1"/>
  <c r="F446" i="12"/>
  <c r="F447" i="12" s="1"/>
  <c r="F449" i="12"/>
  <c r="F450" i="12" s="1"/>
  <c r="F452" i="12"/>
  <c r="F453" i="12" s="1"/>
  <c r="F455" i="12"/>
  <c r="F456" i="12"/>
  <c r="F457" i="12"/>
  <c r="F458" i="12"/>
  <c r="F461" i="12"/>
  <c r="F462" i="12" s="1"/>
  <c r="F464" i="12"/>
  <c r="F465" i="12" s="1"/>
  <c r="F467" i="12"/>
  <c r="F468" i="12"/>
  <c r="F469" i="12"/>
  <c r="F470" i="12"/>
  <c r="F471" i="12"/>
  <c r="F472" i="12"/>
  <c r="F473" i="12"/>
  <c r="F476" i="12"/>
  <c r="F477" i="12"/>
  <c r="F478" i="12"/>
  <c r="F479" i="12"/>
  <c r="F482" i="12"/>
  <c r="F483" i="12" s="1"/>
  <c r="F485" i="12"/>
  <c r="F486" i="12" s="1"/>
  <c r="F488" i="12"/>
  <c r="F489" i="12" s="1"/>
  <c r="F491" i="12"/>
  <c r="F492" i="12"/>
  <c r="F493" i="12"/>
  <c r="F496" i="12"/>
  <c r="F497" i="12" s="1"/>
  <c r="F499" i="12"/>
  <c r="F500" i="12" s="1"/>
  <c r="F502" i="12"/>
  <c r="F503" i="12"/>
  <c r="F504" i="12"/>
  <c r="F507" i="12"/>
  <c r="F508" i="12" s="1"/>
  <c r="F510" i="12"/>
  <c r="F511" i="12"/>
  <c r="F514" i="12"/>
  <c r="F515" i="12"/>
  <c r="F516" i="12"/>
  <c r="F519" i="12"/>
  <c r="F520" i="12" s="1"/>
  <c r="F522" i="12"/>
  <c r="F523" i="12" s="1"/>
  <c r="F525" i="12"/>
  <c r="F526" i="12"/>
  <c r="F527" i="12"/>
  <c r="F530" i="12"/>
  <c r="F531" i="12" s="1"/>
  <c r="F533" i="12"/>
  <c r="F534" i="12" s="1"/>
  <c r="F536" i="12"/>
  <c r="F537" i="12" s="1"/>
  <c r="F539" i="12"/>
  <c r="F540" i="12"/>
  <c r="F543" i="12"/>
  <c r="F544" i="12" s="1"/>
  <c r="F546" i="12"/>
  <c r="F547" i="12"/>
  <c r="F548" i="12"/>
  <c r="F551" i="12"/>
  <c r="F552" i="12" s="1"/>
  <c r="F554" i="12"/>
  <c r="F555" i="12" s="1"/>
  <c r="F557" i="12"/>
  <c r="F558" i="12" s="1"/>
  <c r="F560" i="12"/>
  <c r="F561" i="12"/>
  <c r="F564" i="12"/>
  <c r="F565" i="12"/>
  <c r="F566" i="12"/>
  <c r="F567" i="12"/>
  <c r="F570" i="12"/>
  <c r="F571" i="12" s="1"/>
  <c r="F573" i="12"/>
  <c r="F574" i="12" s="1"/>
  <c r="F576" i="12"/>
  <c r="F577" i="12"/>
  <c r="F580" i="12"/>
  <c r="F581" i="12" s="1"/>
  <c r="F583" i="12"/>
  <c r="F584" i="12" s="1"/>
  <c r="F586" i="12"/>
  <c r="F587" i="12" s="1"/>
  <c r="F589" i="12"/>
  <c r="F590" i="12" s="1"/>
  <c r="F592" i="12"/>
  <c r="F593" i="12"/>
  <c r="F594" i="12"/>
  <c r="F595" i="12"/>
  <c r="F598" i="12"/>
  <c r="F599" i="12" s="1"/>
  <c r="F601" i="12"/>
  <c r="F602" i="12"/>
  <c r="F603" i="12"/>
  <c r="F604" i="12"/>
  <c r="F605" i="12"/>
  <c r="F608" i="12"/>
  <c r="F609" i="12" s="1"/>
  <c r="F611" i="12"/>
  <c r="F612" i="12"/>
  <c r="F613" i="12"/>
  <c r="F616" i="12"/>
  <c r="F617" i="12" s="1"/>
  <c r="F619" i="12"/>
  <c r="F620" i="12" s="1"/>
  <c r="F622" i="12"/>
  <c r="F623" i="12" s="1"/>
  <c r="F625" i="12"/>
  <c r="F626" i="12" s="1"/>
  <c r="F628" i="12"/>
  <c r="F629" i="12" s="1"/>
  <c r="F631" i="12"/>
  <c r="F632" i="12"/>
  <c r="F633" i="12"/>
  <c r="F634" i="12"/>
  <c r="F635" i="12"/>
  <c r="F638" i="12"/>
  <c r="F639" i="12" s="1"/>
  <c r="F641" i="12"/>
  <c r="F642" i="12" s="1"/>
  <c r="F644" i="12"/>
  <c r="F645" i="12" s="1"/>
  <c r="F647" i="12"/>
  <c r="F648" i="12" s="1"/>
  <c r="F650" i="12"/>
  <c r="F651" i="12" s="1"/>
  <c r="F653" i="12"/>
  <c r="F654" i="12"/>
  <c r="F655" i="12"/>
  <c r="F658" i="12"/>
  <c r="F659" i="12" s="1"/>
  <c r="F661" i="12"/>
  <c r="F662" i="12" s="1"/>
  <c r="F664" i="12"/>
  <c r="F665" i="12"/>
  <c r="F670" i="12"/>
  <c r="F671" i="12" s="1"/>
  <c r="F673" i="12"/>
  <c r="F674" i="12" s="1"/>
  <c r="F676" i="12"/>
  <c r="F677" i="12" s="1"/>
  <c r="F679" i="12"/>
  <c r="F680" i="12" s="1"/>
  <c r="F682" i="12"/>
  <c r="F683" i="12" s="1"/>
  <c r="F685" i="12"/>
  <c r="F686" i="12" s="1"/>
  <c r="F688" i="12"/>
  <c r="F689" i="12"/>
  <c r="F692" i="12"/>
  <c r="F693" i="12" s="1"/>
  <c r="F695" i="12"/>
  <c r="F696" i="12"/>
  <c r="F699" i="12"/>
  <c r="F700" i="12" s="1"/>
  <c r="F702" i="12"/>
  <c r="F703" i="12" s="1"/>
  <c r="F705" i="12"/>
  <c r="F706" i="12" s="1"/>
  <c r="F708" i="12"/>
  <c r="F709" i="12" s="1"/>
  <c r="F711" i="12"/>
  <c r="F712" i="12"/>
  <c r="F713" i="12"/>
  <c r="F714" i="12"/>
  <c r="F715" i="12"/>
  <c r="F718" i="12"/>
  <c r="F719" i="12"/>
  <c r="F722" i="12"/>
  <c r="F723" i="12" s="1"/>
  <c r="F725" i="12"/>
  <c r="F726" i="12" s="1"/>
  <c r="F728" i="12"/>
  <c r="F729" i="12" s="1"/>
  <c r="F731" i="12"/>
  <c r="F732" i="12"/>
  <c r="F735" i="12"/>
  <c r="F736" i="12"/>
  <c r="F737" i="12"/>
  <c r="F738" i="12"/>
  <c r="F741" i="12"/>
  <c r="F742" i="12"/>
  <c r="F743" i="12"/>
  <c r="F744" i="12"/>
  <c r="F747" i="12"/>
  <c r="F748" i="12" s="1"/>
  <c r="F750" i="12"/>
  <c r="F751" i="12"/>
  <c r="F754" i="12"/>
  <c r="F755" i="12"/>
  <c r="F758" i="12"/>
  <c r="F759" i="12" s="1"/>
  <c r="F761" i="12"/>
  <c r="F762" i="12" s="1"/>
  <c r="F764" i="12"/>
  <c r="F765" i="12" s="1"/>
  <c r="F767" i="12"/>
  <c r="F768" i="12" s="1"/>
  <c r="F770" i="12"/>
  <c r="F771" i="12" s="1"/>
  <c r="F773" i="12"/>
  <c r="F774" i="12" s="1"/>
  <c r="F776" i="12"/>
  <c r="F777" i="12" s="1"/>
  <c r="F779" i="12"/>
  <c r="F780" i="12"/>
  <c r="F783" i="12"/>
  <c r="F784" i="12" s="1"/>
  <c r="F786" i="12"/>
  <c r="F787" i="12" s="1"/>
  <c r="F789" i="12"/>
  <c r="F790" i="12" s="1"/>
  <c r="F792" i="12"/>
  <c r="F793" i="12"/>
  <c r="F794" i="12"/>
  <c r="F795" i="12"/>
  <c r="F798" i="12"/>
  <c r="F799" i="12"/>
  <c r="F800" i="12"/>
  <c r="F803" i="12"/>
  <c r="F804" i="12" s="1"/>
  <c r="F809" i="12"/>
  <c r="F810" i="12"/>
  <c r="F811" i="12"/>
  <c r="F814" i="12"/>
  <c r="F815" i="12"/>
  <c r="F818" i="12"/>
  <c r="F819" i="12" s="1"/>
  <c r="F821" i="12"/>
  <c r="F822" i="12" s="1"/>
  <c r="F824" i="12"/>
  <c r="F825" i="12"/>
  <c r="F826" i="12"/>
  <c r="F827" i="12"/>
  <c r="F828" i="12"/>
  <c r="F831" i="12"/>
  <c r="F832" i="12" s="1"/>
  <c r="F834" i="12"/>
  <c r="F835" i="12" s="1"/>
  <c r="F837" i="12"/>
  <c r="F838" i="12"/>
  <c r="F841" i="12"/>
  <c r="F842" i="12"/>
  <c r="F845" i="12"/>
  <c r="F846" i="12" s="1"/>
  <c r="F848" i="12"/>
  <c r="F849" i="12" s="1"/>
  <c r="F851" i="12"/>
  <c r="F852" i="12"/>
  <c r="F853" i="12"/>
  <c r="F856" i="12"/>
  <c r="F857" i="12" s="1"/>
  <c r="F859" i="12"/>
  <c r="F860" i="12"/>
  <c r="F863" i="12"/>
  <c r="F864" i="12" s="1"/>
  <c r="F866" i="12"/>
  <c r="F867" i="12" s="1"/>
  <c r="F869" i="12"/>
  <c r="F870" i="12"/>
  <c r="F871" i="12"/>
  <c r="F872" i="12"/>
  <c r="F873" i="12"/>
  <c r="F876" i="12"/>
  <c r="F877" i="12" s="1"/>
  <c r="F879" i="12"/>
  <c r="F880" i="12" s="1"/>
  <c r="F882" i="12"/>
  <c r="F883" i="12" s="1"/>
  <c r="F885" i="12"/>
  <c r="F886" i="12"/>
  <c r="F887" i="12"/>
  <c r="F890" i="12"/>
  <c r="F891" i="12"/>
  <c r="F892" i="12"/>
  <c r="F895" i="12"/>
  <c r="F896" i="12"/>
  <c r="F899" i="12"/>
  <c r="F900" i="12" s="1"/>
  <c r="F902" i="12"/>
  <c r="F903" i="12"/>
  <c r="F904" i="12"/>
  <c r="F907" i="12"/>
  <c r="F908" i="12" s="1"/>
  <c r="F910" i="12"/>
  <c r="F911" i="12" s="1"/>
  <c r="F913" i="12"/>
  <c r="F914" i="12" s="1"/>
  <c r="F916" i="12"/>
  <c r="F917" i="12"/>
  <c r="F918" i="12"/>
  <c r="F919" i="12"/>
  <c r="F920" i="12"/>
  <c r="F921" i="12"/>
  <c r="F924" i="12"/>
  <c r="F925" i="12" s="1"/>
  <c r="F927" i="12"/>
  <c r="F928" i="12" s="1"/>
  <c r="F930" i="12"/>
  <c r="F931" i="12" s="1"/>
  <c r="F933" i="12"/>
  <c r="F934" i="12"/>
  <c r="F935" i="12"/>
  <c r="F936" i="12"/>
  <c r="F939" i="12"/>
  <c r="F940" i="12" s="1"/>
  <c r="F942" i="12"/>
  <c r="F943" i="12"/>
  <c r="F944" i="12"/>
  <c r="F945" i="12"/>
  <c r="F948" i="12"/>
  <c r="F949" i="12" s="1"/>
  <c r="F951" i="12"/>
  <c r="F952" i="12" s="1"/>
  <c r="F954" i="12"/>
  <c r="F955" i="12"/>
  <c r="F956" i="12"/>
  <c r="F957" i="12"/>
  <c r="F960" i="12"/>
  <c r="F961" i="12"/>
  <c r="F962" i="12"/>
  <c r="F965" i="12"/>
  <c r="F966" i="12" s="1"/>
  <c r="F968" i="12"/>
  <c r="F969" i="12" s="1"/>
  <c r="F971" i="12"/>
  <c r="F972" i="12" s="1"/>
  <c r="F974" i="12"/>
  <c r="F975" i="12" s="1"/>
  <c r="F977" i="12"/>
  <c r="F978" i="12"/>
  <c r="F979" i="12"/>
  <c r="F982" i="12"/>
  <c r="F983" i="12"/>
  <c r="F984" i="12"/>
  <c r="F985" i="12"/>
  <c r="F986" i="12"/>
  <c r="F989" i="12"/>
  <c r="F990" i="12" s="1"/>
  <c r="F992" i="12"/>
  <c r="F993" i="12"/>
  <c r="F996" i="12"/>
  <c r="F997" i="12" s="1"/>
  <c r="F999" i="12"/>
  <c r="F1000" i="12" s="1"/>
  <c r="F1002" i="12"/>
  <c r="F1003" i="12"/>
  <c r="F1006" i="12"/>
  <c r="F1007" i="12" s="1"/>
  <c r="F1009" i="12"/>
  <c r="F1010" i="12"/>
  <c r="F1013" i="12"/>
  <c r="F1014" i="12" s="1"/>
  <c r="F1016" i="12"/>
  <c r="F1017" i="12" s="1"/>
  <c r="F1019" i="12"/>
  <c r="F1020" i="12"/>
  <c r="F1023" i="12"/>
  <c r="F1024" i="12" s="1"/>
  <c r="F1026" i="12"/>
  <c r="F1027" i="12" s="1"/>
  <c r="F1029" i="12"/>
  <c r="F1030" i="12" s="1"/>
  <c r="F1032" i="12"/>
  <c r="F1033" i="12" s="1"/>
  <c r="F1035" i="12"/>
  <c r="F1036" i="12"/>
  <c r="F1039" i="12"/>
  <c r="F1040" i="12"/>
  <c r="F1043" i="12"/>
  <c r="F1044" i="12"/>
  <c r="F1047" i="12"/>
  <c r="F1048" i="12" s="1"/>
  <c r="F1050" i="12"/>
  <c r="F1051" i="12" s="1"/>
  <c r="F1053" i="12"/>
  <c r="F1054" i="12" s="1"/>
  <c r="F1056" i="12"/>
  <c r="F1057" i="12" s="1"/>
  <c r="F1059" i="12"/>
  <c r="F1060" i="12"/>
  <c r="F1063" i="12"/>
  <c r="F1064" i="12"/>
  <c r="F1067" i="12"/>
  <c r="F1068" i="12"/>
  <c r="F1069" i="12"/>
  <c r="F1072" i="12"/>
  <c r="F1073" i="12"/>
  <c r="F1074" i="12"/>
  <c r="F1077" i="12"/>
  <c r="F1078" i="12"/>
  <c r="F1081" i="12"/>
  <c r="F1082" i="12" s="1"/>
  <c r="F1084" i="12"/>
  <c r="F1085" i="12"/>
  <c r="F1086" i="12"/>
  <c r="F1087" i="12"/>
  <c r="F1088" i="12"/>
  <c r="F1091" i="12"/>
  <c r="F1092" i="12"/>
  <c r="F1095" i="12"/>
  <c r="F1096" i="12" s="1"/>
  <c r="F1098" i="12"/>
  <c r="F1099" i="12" s="1"/>
  <c r="F1101" i="12"/>
  <c r="F1102" i="12"/>
  <c r="F1105" i="12"/>
  <c r="F1106" i="12" s="1"/>
  <c r="F1108" i="12"/>
  <c r="F1109" i="12"/>
  <c r="F1110" i="12"/>
  <c r="F1111" i="12"/>
  <c r="F1114" i="12"/>
  <c r="F1115" i="12" s="1"/>
  <c r="F1117" i="12"/>
  <c r="F1118" i="12" s="1"/>
  <c r="F1120" i="12"/>
  <c r="F1121" i="12" s="1"/>
  <c r="F1123" i="12"/>
  <c r="F1124" i="12"/>
  <c r="F1125" i="12"/>
  <c r="F1126" i="12"/>
  <c r="F1127" i="12"/>
  <c r="F1128" i="12"/>
  <c r="F1129" i="12"/>
  <c r="F1132" i="12"/>
  <c r="F1133" i="12"/>
  <c r="F1134" i="12"/>
  <c r="F1137" i="12"/>
  <c r="F1138" i="12" s="1"/>
  <c r="F1140" i="12"/>
  <c r="F1141" i="12" s="1"/>
  <c r="F1143" i="12"/>
  <c r="F1144" i="12" s="1"/>
  <c r="F1146" i="12"/>
  <c r="F1147" i="12" s="1"/>
  <c r="F1152" i="12"/>
  <c r="F1153" i="12" s="1"/>
  <c r="F1155" i="12"/>
  <c r="F1156" i="12"/>
  <c r="F1157" i="12"/>
  <c r="F1160" i="12"/>
  <c r="F1161" i="12"/>
  <c r="F1164" i="12"/>
  <c r="F1165" i="12" s="1"/>
  <c r="F1167" i="12"/>
  <c r="F1168" i="12" s="1"/>
  <c r="F1170" i="12"/>
  <c r="F1171" i="12"/>
  <c r="F1172" i="12"/>
  <c r="F1173" i="12"/>
  <c r="F1176" i="12"/>
  <c r="F1177" i="12" s="1"/>
  <c r="F1179" i="12"/>
  <c r="F1180" i="12"/>
  <c r="F1181" i="12"/>
  <c r="F1182" i="12"/>
  <c r="F1185" i="12"/>
  <c r="F1186" i="12" s="1"/>
  <c r="F1188" i="12"/>
  <c r="F1189" i="12" s="1"/>
  <c r="F1191" i="12"/>
  <c r="F1192" i="12"/>
  <c r="F1193" i="12"/>
  <c r="F1196" i="12"/>
  <c r="F1197" i="12" s="1"/>
  <c r="F1199" i="12"/>
  <c r="F1200" i="12" s="1"/>
  <c r="F1202" i="12"/>
  <c r="F1203" i="12"/>
  <c r="F1204" i="12"/>
  <c r="F1207" i="12"/>
  <c r="F1208" i="12" s="1"/>
  <c r="F1210" i="12"/>
  <c r="F1211" i="12" s="1"/>
  <c r="F1213" i="12"/>
  <c r="F1214" i="12" s="1"/>
  <c r="F1216" i="12"/>
  <c r="F1217" i="12"/>
  <c r="F1220" i="12"/>
  <c r="F1221" i="12" s="1"/>
  <c r="F1223" i="12"/>
  <c r="F1224" i="12" s="1"/>
  <c r="F1226" i="12"/>
  <c r="F1227" i="12"/>
  <c r="F1230" i="12"/>
  <c r="F1231" i="12" s="1"/>
  <c r="F1233" i="12"/>
  <c r="F1234" i="12"/>
  <c r="F1235" i="12"/>
  <c r="F1238" i="12"/>
  <c r="F1239" i="12" s="1"/>
  <c r="F1241" i="12"/>
  <c r="F1242" i="12"/>
  <c r="F1243" i="12"/>
  <c r="F1246" i="12"/>
  <c r="F1247" i="12"/>
  <c r="F1248" i="12"/>
  <c r="F1251" i="12"/>
  <c r="F1252" i="12" s="1"/>
  <c r="F1254" i="12"/>
  <c r="F1255" i="12" s="1"/>
  <c r="F1257" i="12"/>
  <c r="F1258" i="12" s="1"/>
  <c r="F1260" i="12"/>
  <c r="F1261" i="12"/>
  <c r="F1262" i="12"/>
  <c r="F1263" i="12"/>
  <c r="F1264" i="12"/>
  <c r="F1265" i="12"/>
  <c r="F1268" i="12"/>
  <c r="F1269" i="12" s="1"/>
  <c r="F1271" i="12"/>
  <c r="F1272" i="12" s="1"/>
  <c r="F1274" i="12"/>
  <c r="F1275" i="12" s="1"/>
  <c r="F1277" i="12"/>
  <c r="F1278" i="12" s="1"/>
  <c r="F1280" i="12"/>
  <c r="F1281" i="12" s="1"/>
  <c r="F1283" i="12"/>
  <c r="F1284" i="12" s="1"/>
  <c r="F1286" i="12"/>
  <c r="F1287" i="12" s="1"/>
  <c r="F1289" i="12"/>
  <c r="F1290" i="12" s="1"/>
  <c r="F1292" i="12"/>
  <c r="F1293" i="12" s="1"/>
  <c r="F1295" i="12"/>
  <c r="F1296" i="12" s="1"/>
  <c r="F1298" i="12"/>
  <c r="F1299" i="12" s="1"/>
  <c r="F1301" i="12"/>
  <c r="F1302" i="12" s="1"/>
  <c r="F1307" i="12"/>
  <c r="F1308" i="12"/>
  <c r="F1311" i="12"/>
  <c r="F1312" i="12" s="1"/>
  <c r="F1314" i="12"/>
  <c r="F1315" i="12" s="1"/>
  <c r="F1317" i="12"/>
  <c r="F1318" i="12" s="1"/>
  <c r="F1320" i="12"/>
  <c r="F1321" i="12" s="1"/>
  <c r="F1323" i="12"/>
  <c r="F1324" i="12" s="1"/>
  <c r="F1326" i="12"/>
  <c r="F1327" i="12" s="1"/>
  <c r="F1329" i="12"/>
  <c r="F1330" i="12"/>
  <c r="F1331" i="12"/>
  <c r="F1334" i="12"/>
  <c r="F1335" i="12" s="1"/>
  <c r="F1337" i="12"/>
  <c r="F1338" i="12"/>
  <c r="F1339" i="12"/>
  <c r="F1342" i="12"/>
  <c r="F1343" i="12"/>
  <c r="F1344" i="12"/>
  <c r="F1345" i="12"/>
  <c r="F1346" i="12"/>
  <c r="F1349" i="12"/>
  <c r="F1350" i="12" s="1"/>
  <c r="F1352" i="12"/>
  <c r="F1353" i="12" s="1"/>
  <c r="F1355" i="12"/>
  <c r="F1356" i="12"/>
  <c r="F1359" i="12"/>
  <c r="F1360" i="12" s="1"/>
  <c r="F1362" i="12"/>
  <c r="F1363" i="12"/>
  <c r="F1366" i="12"/>
  <c r="F1367" i="12"/>
  <c r="F1370" i="12"/>
  <c r="F1371" i="12"/>
  <c r="F1372" i="12"/>
  <c r="F1375" i="12"/>
  <c r="F1376" i="12"/>
  <c r="F1377" i="12"/>
  <c r="F1378" i="12"/>
  <c r="F1381" i="12"/>
  <c r="F1382" i="12" s="1"/>
  <c r="F1384" i="12"/>
  <c r="F1385" i="12" s="1"/>
  <c r="F1387" i="12"/>
  <c r="F1388" i="12" s="1"/>
  <c r="F1390" i="12"/>
  <c r="F1391" i="12" s="1"/>
  <c r="F1393" i="12"/>
  <c r="F1394" i="12" s="1"/>
  <c r="F1396" i="12"/>
  <c r="F1397" i="12" s="1"/>
  <c r="F1399" i="12"/>
  <c r="F1400" i="12" s="1"/>
  <c r="F1402" i="12"/>
  <c r="F1403" i="12" s="1"/>
  <c r="F1405" i="12"/>
  <c r="F1406" i="12" s="1"/>
  <c r="F1408" i="12"/>
  <c r="F1409" i="12" s="1"/>
  <c r="F1411" i="12"/>
  <c r="F1412" i="12" s="1"/>
  <c r="F1414" i="12"/>
  <c r="F1415" i="12"/>
  <c r="F1416" i="12"/>
  <c r="F1417" i="12"/>
  <c r="F1420" i="12"/>
  <c r="F1421" i="12"/>
  <c r="F1422" i="12"/>
  <c r="F1425" i="12"/>
  <c r="F1426" i="12"/>
  <c r="F1427" i="12"/>
  <c r="F1428" i="12"/>
  <c r="F1429" i="12"/>
  <c r="F1432" i="12"/>
  <c r="F1433" i="12"/>
  <c r="F1434" i="12"/>
  <c r="F1437" i="12"/>
  <c r="F1438" i="12"/>
  <c r="F1439" i="12"/>
  <c r="F1440" i="12"/>
  <c r="F1441" i="12"/>
  <c r="F1442" i="12"/>
  <c r="F1445" i="12"/>
  <c r="F1446" i="12"/>
  <c r="F1447" i="12"/>
  <c r="F1448" i="12"/>
  <c r="F1451" i="12"/>
  <c r="F1452" i="12" s="1"/>
  <c r="F1454" i="12"/>
  <c r="F1455" i="12" s="1"/>
  <c r="F1457" i="12"/>
  <c r="F1458" i="12" s="1"/>
  <c r="F1460" i="12"/>
  <c r="F1461" i="12"/>
  <c r="F1462" i="12"/>
  <c r="F1465" i="12"/>
  <c r="F1466" i="12"/>
  <c r="F1469" i="12"/>
  <c r="F1470" i="12" s="1"/>
  <c r="F1475" i="12"/>
  <c r="F1476" i="12" s="1"/>
  <c r="F1478" i="12"/>
  <c r="F1479" i="12" s="1"/>
  <c r="F1481" i="12"/>
  <c r="F1482" i="12" s="1"/>
  <c r="F1484" i="12"/>
  <c r="F1485" i="12" s="1"/>
  <c r="F1487" i="12"/>
  <c r="F1488" i="12" s="1"/>
  <c r="F1490" i="12"/>
  <c r="F1491" i="12" s="1"/>
  <c r="F1493" i="12"/>
  <c r="F1494" i="12" s="1"/>
  <c r="F1496" i="12"/>
  <c r="F1497" i="12" s="1"/>
  <c r="F1499" i="12"/>
  <c r="F1500" i="12" s="1"/>
  <c r="F1502" i="12"/>
  <c r="F1503" i="12"/>
  <c r="F1504" i="12"/>
  <c r="F1507" i="12"/>
  <c r="F1508" i="12" s="1"/>
  <c r="F1510" i="12"/>
  <c r="F1511" i="12" s="1"/>
  <c r="F1513" i="12"/>
  <c r="F1514" i="12" s="1"/>
  <c r="F1516" i="12"/>
  <c r="F1517" i="12"/>
  <c r="F1520" i="12"/>
  <c r="F1521" i="12"/>
  <c r="F1524" i="12"/>
  <c r="F1525" i="12"/>
  <c r="F1528" i="12"/>
  <c r="F1529" i="12" s="1"/>
  <c r="F1531" i="12"/>
  <c r="F1532" i="12" s="1"/>
  <c r="F1534" i="12"/>
  <c r="F1535" i="12" s="1"/>
  <c r="F1537" i="12"/>
  <c r="F1538" i="12"/>
  <c r="F1539" i="12"/>
  <c r="F1542" i="12"/>
  <c r="F1543" i="12"/>
  <c r="F1546" i="12"/>
  <c r="F1547" i="12"/>
  <c r="F1550" i="12"/>
  <c r="F1551" i="12"/>
  <c r="F1554" i="12"/>
  <c r="F1555" i="12" s="1"/>
  <c r="F1557" i="12"/>
  <c r="F1558" i="12"/>
  <c r="F1561" i="12"/>
  <c r="F1562" i="12" s="1"/>
  <c r="F1564" i="12"/>
  <c r="F1565" i="12" s="1"/>
  <c r="F1567" i="12"/>
  <c r="F1568" i="12" s="1"/>
  <c r="F1570" i="12"/>
  <c r="F1571" i="12"/>
  <c r="F1572" i="12"/>
  <c r="F1573" i="12"/>
  <c r="F1574" i="12"/>
  <c r="F1577" i="12"/>
  <c r="F1578" i="12"/>
  <c r="F1581" i="12"/>
  <c r="F1582" i="12"/>
  <c r="F1583" i="12"/>
  <c r="F1584" i="12"/>
  <c r="F1587" i="12"/>
  <c r="F1588" i="12"/>
  <c r="F1589" i="12"/>
  <c r="F1590" i="12"/>
  <c r="F1591" i="12"/>
  <c r="F1592" i="12"/>
  <c r="F1593" i="12"/>
  <c r="F1596" i="12"/>
  <c r="F1597" i="12" s="1"/>
  <c r="F1599" i="12"/>
  <c r="F1600" i="12" s="1"/>
  <c r="F1602" i="12"/>
  <c r="F1603" i="12" s="1"/>
  <c r="F1605" i="12"/>
  <c r="F1606" i="12"/>
  <c r="F1609" i="12"/>
  <c r="F1610" i="12"/>
  <c r="F1611" i="12"/>
  <c r="F1612" i="12"/>
  <c r="F1615" i="12"/>
  <c r="F1616" i="12"/>
  <c r="F1619" i="12"/>
  <c r="F1620" i="12" s="1"/>
  <c r="F1622" i="12"/>
  <c r="F1623" i="12" s="1"/>
  <c r="F1625" i="12"/>
  <c r="F1626" i="12" s="1"/>
  <c r="F1628" i="12"/>
  <c r="F1629" i="12" s="1"/>
  <c r="F1631" i="12"/>
  <c r="F1632" i="12" s="1"/>
  <c r="F1634" i="12"/>
  <c r="F1635" i="12" s="1"/>
  <c r="F1637" i="12"/>
  <c r="F1638" i="12" s="1"/>
  <c r="F1640" i="12"/>
  <c r="F1641" i="12"/>
  <c r="F1642" i="12"/>
  <c r="F1645" i="12"/>
  <c r="F1646" i="12" s="1"/>
  <c r="F1648" i="12"/>
  <c r="F1649" i="12" s="1"/>
  <c r="F1651" i="12"/>
  <c r="F1652" i="12" s="1"/>
  <c r="F1654" i="12"/>
  <c r="F1655" i="12"/>
  <c r="F1656" i="12"/>
  <c r="F1657" i="12"/>
  <c r="F1660" i="12"/>
  <c r="F1661" i="12"/>
  <c r="F1662" i="12"/>
  <c r="F1663" i="12"/>
  <c r="F1666" i="12"/>
  <c r="F1667" i="12" s="1"/>
  <c r="F1669" i="12"/>
  <c r="F1670" i="12" s="1"/>
  <c r="F1676" i="12"/>
  <c r="F1677" i="12"/>
  <c r="F1678" i="12"/>
  <c r="F1679" i="12"/>
  <c r="F1682" i="12"/>
  <c r="F1683" i="12" s="1"/>
  <c r="F1685" i="12"/>
  <c r="F1686" i="12" s="1"/>
  <c r="F1688" i="12"/>
  <c r="F1689" i="12" s="1"/>
  <c r="F1691" i="12"/>
  <c r="F1692" i="12" s="1"/>
  <c r="F1694" i="12"/>
  <c r="F1695" i="12"/>
  <c r="F1698" i="12"/>
  <c r="F1699" i="12" s="1"/>
  <c r="F1701" i="12"/>
  <c r="F1702" i="12" s="1"/>
  <c r="F1704" i="12"/>
  <c r="F1705" i="12" s="1"/>
  <c r="F1707" i="12"/>
  <c r="F1708" i="12" s="1"/>
  <c r="F1710" i="12"/>
  <c r="F1711" i="12" s="1"/>
  <c r="F1713" i="12"/>
  <c r="F1714" i="12"/>
  <c r="F1717" i="12"/>
  <c r="F1718" i="12" s="1"/>
  <c r="F1720" i="12"/>
  <c r="F1721" i="12" s="1"/>
  <c r="F1723" i="12"/>
  <c r="F1724" i="12" s="1"/>
  <c r="F1726" i="12"/>
  <c r="F1727" i="12" s="1"/>
  <c r="F1729" i="12"/>
  <c r="F1730" i="12" s="1"/>
  <c r="F1732" i="12"/>
  <c r="F1733" i="12" s="1"/>
  <c r="F1735" i="12"/>
  <c r="F1736" i="12" s="1"/>
  <c r="F1738" i="12"/>
  <c r="F1739" i="12" s="1"/>
  <c r="F1741" i="12"/>
  <c r="F1742" i="12" s="1"/>
  <c r="F1744" i="12"/>
  <c r="F1745" i="12"/>
  <c r="F1746" i="12"/>
  <c r="F1749" i="12"/>
  <c r="F1750" i="12" s="1"/>
  <c r="F1752" i="12"/>
  <c r="F1753" i="12" s="1"/>
  <c r="F1755" i="12"/>
  <c r="F1756" i="12" s="1"/>
  <c r="F1758" i="12"/>
  <c r="F1759" i="12" s="1"/>
  <c r="F1761" i="12"/>
  <c r="F1762" i="12"/>
  <c r="F1765" i="12"/>
  <c r="F1766" i="12" s="1"/>
  <c r="F1768" i="12"/>
  <c r="F1769" i="12" s="1"/>
  <c r="F1771" i="12"/>
  <c r="F1772" i="12" s="1"/>
  <c r="F1774" i="12"/>
  <c r="F1775" i="12" s="1"/>
  <c r="F1777" i="12"/>
  <c r="F1778" i="12"/>
  <c r="F1781" i="12"/>
  <c r="F1782" i="12" s="1"/>
  <c r="F1784" i="12"/>
  <c r="F1785" i="12" s="1"/>
  <c r="F1787" i="12"/>
  <c r="F1788" i="12" s="1"/>
  <c r="F1790" i="12"/>
  <c r="F1791" i="12" s="1"/>
  <c r="F1793" i="12"/>
  <c r="F1794" i="12" s="1"/>
  <c r="F1796" i="12"/>
  <c r="F1797" i="12"/>
  <c r="F1800" i="12"/>
  <c r="F1801" i="12"/>
  <c r="F1804" i="12"/>
  <c r="F1805" i="12"/>
  <c r="F1806" i="12"/>
  <c r="F1807" i="12"/>
  <c r="F1808" i="12"/>
  <c r="F1811" i="12"/>
  <c r="F1812" i="12"/>
  <c r="F1813" i="12"/>
  <c r="F1814" i="12"/>
  <c r="F1817" i="12"/>
  <c r="F1818" i="12" s="1"/>
  <c r="F1820" i="12"/>
  <c r="F1821" i="12" s="1"/>
  <c r="F1823" i="12"/>
  <c r="F1824" i="12" s="1"/>
  <c r="F1826" i="12"/>
  <c r="F1827" i="12" s="1"/>
  <c r="F1829" i="12"/>
  <c r="F1830" i="12" s="1"/>
  <c r="F1832" i="12"/>
  <c r="F1833" i="12" s="1"/>
  <c r="F1835" i="12"/>
  <c r="F1836" i="12" s="1"/>
  <c r="F1838" i="12"/>
  <c r="F1839" i="12"/>
  <c r="F1840" i="12"/>
  <c r="F1841" i="12"/>
  <c r="F1844" i="12"/>
  <c r="F1845" i="12" s="1"/>
  <c r="F1847" i="12"/>
  <c r="F1848" i="12"/>
  <c r="F1849" i="12"/>
  <c r="F1850" i="12"/>
  <c r="F1851" i="12"/>
  <c r="F1852" i="12"/>
  <c r="F1853" i="12"/>
  <c r="F1856" i="12"/>
  <c r="F1857" i="12"/>
  <c r="F1858" i="12"/>
  <c r="F1861" i="12"/>
  <c r="F1862" i="12"/>
  <c r="F1863" i="12"/>
  <c r="F1866" i="12"/>
  <c r="F1867" i="12"/>
  <c r="F1870" i="12"/>
  <c r="F1871" i="12" s="1"/>
  <c r="F1873" i="12"/>
  <c r="F1874" i="12" s="1"/>
  <c r="F1876" i="12"/>
  <c r="F1877" i="12"/>
  <c r="F1878" i="12"/>
  <c r="F1879" i="12"/>
  <c r="F1880" i="12"/>
  <c r="F1883" i="12"/>
  <c r="F1884" i="12" s="1"/>
  <c r="F1886" i="12"/>
  <c r="F1887" i="12" s="1"/>
  <c r="F1889" i="12"/>
  <c r="F1890" i="12" s="1"/>
  <c r="F1892" i="12"/>
  <c r="F1893" i="12" s="1"/>
  <c r="F1895" i="12"/>
  <c r="F1896" i="12" s="1"/>
  <c r="F1898" i="12"/>
  <c r="F1899" i="12" s="1"/>
  <c r="F1901" i="12"/>
  <c r="F1902" i="12"/>
  <c r="F1905" i="12"/>
  <c r="F1906" i="12"/>
  <c r="F1909" i="12"/>
  <c r="F1910" i="12"/>
  <c r="F1911" i="12"/>
  <c r="F1914" i="12"/>
  <c r="F1915" i="12"/>
  <c r="F1918" i="12"/>
  <c r="F1919" i="12"/>
  <c r="F1920" i="12"/>
  <c r="F1923" i="12"/>
  <c r="F1924" i="12" s="1"/>
  <c r="F1926" i="12"/>
  <c r="F1927" i="12" s="1"/>
  <c r="F1929" i="12"/>
  <c r="F1930" i="12" s="1"/>
  <c r="F1932" i="12"/>
  <c r="F1933" i="12" s="1"/>
  <c r="F1935" i="12"/>
  <c r="F1936" i="12"/>
  <c r="F1937" i="12"/>
  <c r="F1940" i="12"/>
  <c r="F1941" i="12" s="1"/>
  <c r="F1943" i="12"/>
  <c r="F1944" i="12" s="1"/>
  <c r="F1946" i="12"/>
  <c r="F1947" i="12" s="1"/>
  <c r="F1949" i="12"/>
  <c r="F1950" i="12"/>
  <c r="F1953" i="12"/>
  <c r="F1954" i="12"/>
  <c r="F1957" i="12"/>
  <c r="F1958" i="12" s="1"/>
  <c r="F1960" i="12"/>
  <c r="F1961" i="12" s="1"/>
  <c r="F1963" i="12"/>
  <c r="F1964" i="12" s="1"/>
  <c r="F1966" i="12"/>
  <c r="F1967" i="12"/>
  <c r="F1970" i="12"/>
  <c r="F1971" i="12" s="1"/>
  <c r="F1973" i="12"/>
  <c r="F1974" i="12"/>
  <c r="F1975" i="12"/>
  <c r="F1978" i="12"/>
  <c r="F1979" i="12" s="1"/>
  <c r="F1981" i="12"/>
  <c r="F1982" i="12" s="1"/>
  <c r="F1984" i="12"/>
  <c r="F1985" i="12" s="1"/>
  <c r="F1987" i="12"/>
  <c r="F1988" i="12" s="1"/>
  <c r="F1990" i="12"/>
  <c r="F1991" i="12" s="1"/>
  <c r="F1993" i="12"/>
  <c r="F1995" i="12" s="1"/>
  <c r="F6" i="13"/>
  <c r="F7" i="13" s="1"/>
  <c r="F9" i="13"/>
  <c r="F10" i="13" s="1"/>
  <c r="F12" i="13"/>
  <c r="F13" i="13" s="1"/>
  <c r="F15" i="13"/>
  <c r="F16" i="13"/>
  <c r="F19" i="13"/>
  <c r="F20" i="13"/>
  <c r="F21" i="13"/>
  <c r="F22" i="13"/>
  <c r="F25" i="13"/>
  <c r="F26" i="13"/>
  <c r="F29" i="13"/>
  <c r="F30" i="13" s="1"/>
  <c r="F32" i="13"/>
  <c r="F33" i="13" s="1"/>
  <c r="F35" i="13"/>
  <c r="F36" i="13" s="1"/>
  <c r="F38" i="13"/>
  <c r="F39" i="13"/>
  <c r="F42" i="13"/>
  <c r="F43" i="13" s="1"/>
  <c r="F45" i="13"/>
  <c r="F46" i="13" s="1"/>
  <c r="F48" i="13"/>
  <c r="F49" i="13" s="1"/>
  <c r="F51" i="13"/>
  <c r="F52" i="13" s="1"/>
  <c r="F54" i="13"/>
  <c r="F55" i="13"/>
  <c r="F58" i="13"/>
  <c r="F59" i="13" s="1"/>
  <c r="F61" i="13"/>
  <c r="F62" i="13" s="1"/>
  <c r="F64" i="13"/>
  <c r="F65" i="13" s="1"/>
  <c r="F67" i="13"/>
  <c r="F68" i="13" s="1"/>
  <c r="F70" i="13"/>
  <c r="F71" i="13" s="1"/>
  <c r="F73" i="13"/>
  <c r="F74" i="13" s="1"/>
  <c r="F76" i="13"/>
  <c r="F77" i="13" s="1"/>
  <c r="F79" i="13"/>
  <c r="F80" i="13" s="1"/>
  <c r="F82" i="13"/>
  <c r="F83" i="13" s="1"/>
  <c r="F85" i="13"/>
  <c r="F86" i="13"/>
  <c r="F87" i="13"/>
  <c r="F88" i="13"/>
  <c r="F89" i="13"/>
  <c r="F92" i="13"/>
  <c r="F93" i="13" s="1"/>
  <c r="F95" i="13"/>
  <c r="F96" i="13" s="1"/>
  <c r="F98" i="13"/>
  <c r="F99" i="13" s="1"/>
  <c r="F101" i="13"/>
  <c r="F102" i="13"/>
  <c r="F103" i="13"/>
  <c r="F104" i="13"/>
  <c r="F107" i="13"/>
  <c r="F108" i="13"/>
  <c r="F109" i="13"/>
  <c r="F110" i="13"/>
  <c r="F113" i="13"/>
  <c r="F114" i="13"/>
  <c r="F117" i="13"/>
  <c r="F118" i="13"/>
  <c r="F121" i="13"/>
  <c r="F122" i="13" s="1"/>
  <c r="F124" i="13"/>
  <c r="F125" i="13" s="1"/>
  <c r="F127" i="13"/>
  <c r="F128" i="13"/>
  <c r="F134" i="13"/>
  <c r="F135" i="13" s="1"/>
  <c r="F137" i="13"/>
  <c r="F138" i="13" s="1"/>
  <c r="F140" i="13"/>
  <c r="F141" i="13" s="1"/>
  <c r="F143" i="13"/>
  <c r="F144" i="13"/>
  <c r="F145" i="13"/>
  <c r="F146" i="13"/>
  <c r="F147" i="13"/>
  <c r="F148" i="13"/>
  <c r="F149" i="13"/>
  <c r="F151" i="13"/>
  <c r="F152" i="13"/>
  <c r="F153" i="13"/>
  <c r="F154" i="13"/>
  <c r="F157" i="13"/>
  <c r="F158" i="13" s="1"/>
  <c r="F160" i="13"/>
  <c r="F161" i="13" s="1"/>
  <c r="F163" i="13"/>
  <c r="F164" i="13" s="1"/>
  <c r="F166" i="13"/>
  <c r="F167" i="13" s="1"/>
  <c r="F169" i="13"/>
  <c r="F170" i="13"/>
  <c r="F173" i="13"/>
  <c r="F174" i="13"/>
  <c r="F175" i="13"/>
  <c r="F178" i="13"/>
  <c r="F179" i="13"/>
  <c r="F182" i="13"/>
  <c r="F183" i="13" s="1"/>
  <c r="F185" i="13"/>
  <c r="F186" i="13" s="1"/>
  <c r="F188" i="13"/>
  <c r="F189" i="13"/>
  <c r="F190" i="13"/>
  <c r="F193" i="13"/>
  <c r="F194" i="13" s="1"/>
  <c r="F196" i="13"/>
  <c r="F197" i="13"/>
  <c r="F198" i="13"/>
  <c r="F199" i="13"/>
  <c r="F202" i="13"/>
  <c r="F203" i="13" s="1"/>
  <c r="F205" i="13"/>
  <c r="F206" i="13" s="1"/>
  <c r="F208" i="13"/>
  <c r="F209" i="13"/>
  <c r="F212" i="13"/>
  <c r="F213" i="13" s="1"/>
  <c r="F215" i="13"/>
  <c r="F216" i="13"/>
  <c r="F219" i="13"/>
  <c r="F220" i="13" s="1"/>
  <c r="F222" i="13"/>
  <c r="F223" i="13" s="1"/>
  <c r="F225" i="13"/>
  <c r="F226" i="13"/>
  <c r="F227" i="13"/>
  <c r="F230" i="13"/>
  <c r="F231" i="13" s="1"/>
  <c r="F233" i="13"/>
  <c r="F234" i="13" s="1"/>
  <c r="F236" i="13"/>
  <c r="F237" i="13"/>
  <c r="F238" i="13"/>
  <c r="F241" i="13"/>
  <c r="F242" i="13" s="1"/>
  <c r="F244" i="13"/>
  <c r="F245" i="13" s="1"/>
  <c r="F247" i="13"/>
  <c r="F248" i="13" s="1"/>
  <c r="F250" i="13"/>
  <c r="F251" i="13"/>
  <c r="F252" i="13"/>
  <c r="F253" i="13"/>
  <c r="F254" i="13"/>
  <c r="F257" i="13"/>
  <c r="F258" i="13"/>
  <c r="F259" i="13"/>
  <c r="F260" i="13"/>
  <c r="F261" i="13"/>
  <c r="F262" i="13"/>
  <c r="F263" i="13"/>
  <c r="F266" i="13"/>
  <c r="F267" i="13" s="1"/>
  <c r="F269" i="13"/>
  <c r="F270" i="13" s="1"/>
  <c r="F272" i="13"/>
  <c r="F273" i="13" s="1"/>
  <c r="F275" i="13"/>
  <c r="F276" i="13"/>
  <c r="F279" i="13"/>
  <c r="F280" i="13" s="1"/>
  <c r="F282" i="13"/>
  <c r="F283" i="13"/>
  <c r="F286" i="13"/>
  <c r="F287" i="13"/>
  <c r="F288" i="13"/>
  <c r="F289" i="13"/>
  <c r="F290" i="13"/>
  <c r="F293" i="13"/>
  <c r="F294" i="13" s="1"/>
  <c r="F296" i="13"/>
  <c r="F297" i="13" s="1"/>
  <c r="F299" i="13"/>
  <c r="F300" i="13" s="1"/>
  <c r="F302" i="13"/>
  <c r="F303" i="13" s="1"/>
  <c r="F305" i="13"/>
  <c r="F306" i="13" s="1"/>
  <c r="F308" i="13"/>
  <c r="F309" i="13" s="1"/>
  <c r="F311" i="13"/>
  <c r="F312" i="13" s="1"/>
  <c r="F314" i="13"/>
  <c r="F315" i="13" s="1"/>
  <c r="F317" i="13"/>
  <c r="F318" i="13"/>
  <c r="F319" i="13"/>
  <c r="F320" i="13"/>
  <c r="F323" i="13"/>
  <c r="F324" i="13" s="1"/>
  <c r="F326" i="13"/>
  <c r="F327" i="13"/>
  <c r="F328" i="13"/>
  <c r="F329" i="13"/>
  <c r="F332" i="13"/>
  <c r="F333" i="13"/>
  <c r="F334" i="13"/>
  <c r="F335" i="13"/>
  <c r="F338" i="13"/>
  <c r="F339" i="13"/>
  <c r="F340" i="13"/>
  <c r="F341" i="13"/>
  <c r="F344" i="13"/>
  <c r="F345" i="13"/>
  <c r="F346" i="13"/>
  <c r="F347" i="13"/>
  <c r="F350" i="13"/>
  <c r="F351" i="13"/>
  <c r="F352" i="13"/>
  <c r="F353" i="13"/>
  <c r="F356" i="13"/>
  <c r="F357" i="13" s="1"/>
  <c r="F359" i="13"/>
  <c r="F360" i="13" s="1"/>
  <c r="F362" i="13"/>
  <c r="F363" i="13" s="1"/>
  <c r="F365" i="13"/>
  <c r="F366" i="13" s="1"/>
  <c r="F368" i="13"/>
  <c r="F369" i="13"/>
  <c r="F372" i="13"/>
  <c r="F373" i="13"/>
  <c r="F374" i="13"/>
  <c r="F375" i="13"/>
  <c r="F378" i="13"/>
  <c r="F379" i="13"/>
  <c r="F380" i="13"/>
  <c r="F381" i="13"/>
  <c r="F384" i="13"/>
  <c r="F385" i="13"/>
  <c r="F388" i="13"/>
  <c r="F389" i="13"/>
  <c r="F390" i="13"/>
  <c r="F391" i="13"/>
  <c r="F394" i="13"/>
  <c r="F395" i="13" s="1"/>
  <c r="F397" i="13"/>
  <c r="F398" i="13"/>
  <c r="F399" i="13"/>
  <c r="F402" i="13"/>
  <c r="F403" i="13"/>
  <c r="F406" i="13"/>
  <c r="F407" i="13" s="1"/>
  <c r="F409" i="13"/>
  <c r="F410" i="13" s="1"/>
  <c r="F412" i="13"/>
  <c r="F413" i="13" s="1"/>
  <c r="F415" i="13"/>
  <c r="F416" i="13" s="1"/>
  <c r="F418" i="13"/>
  <c r="F419" i="13" s="1"/>
  <c r="F421" i="13"/>
  <c r="F422" i="13"/>
  <c r="F425" i="13"/>
  <c r="F426" i="13" s="1"/>
  <c r="F428" i="13"/>
  <c r="F429" i="13" s="1"/>
  <c r="F431" i="13"/>
  <c r="F432" i="13" s="1"/>
  <c r="F434" i="13"/>
  <c r="F435" i="13" s="1"/>
  <c r="F437" i="13"/>
  <c r="F438" i="13"/>
  <c r="F441" i="13"/>
  <c r="F442" i="13"/>
  <c r="F443" i="13"/>
  <c r="F446" i="13"/>
  <c r="F447" i="13"/>
  <c r="F450" i="13"/>
  <c r="F451" i="13"/>
  <c r="F452" i="13"/>
  <c r="F455" i="13"/>
  <c r="F456" i="13"/>
  <c r="F457" i="13"/>
  <c r="F460" i="13"/>
  <c r="F462" i="13" s="1"/>
  <c r="F461" i="13"/>
  <c r="F464" i="13"/>
  <c r="F465" i="13"/>
  <c r="F466" i="13"/>
  <c r="F469" i="13"/>
  <c r="F470" i="13"/>
  <c r="F471" i="13"/>
  <c r="F472" i="13"/>
  <c r="F473" i="13"/>
  <c r="F476" i="13"/>
  <c r="F477" i="13" s="1"/>
  <c r="F479" i="13"/>
  <c r="F480" i="13" s="1"/>
  <c r="F482" i="13"/>
  <c r="F483" i="13" s="1"/>
  <c r="F485" i="13"/>
  <c r="F486" i="13" s="1"/>
  <c r="F488" i="13"/>
  <c r="F489" i="13" s="1"/>
  <c r="F491" i="13"/>
  <c r="F492" i="13" s="1"/>
  <c r="F494" i="13"/>
  <c r="F495" i="13" s="1"/>
  <c r="F497" i="13"/>
  <c r="F498" i="13"/>
  <c r="F499" i="13"/>
  <c r="F500" i="13"/>
  <c r="F501" i="13"/>
  <c r="F504" i="13"/>
  <c r="F505" i="13" s="1"/>
  <c r="F507" i="13"/>
  <c r="F508" i="13" s="1"/>
  <c r="F510" i="13"/>
  <c r="F511" i="13" s="1"/>
  <c r="F513" i="13"/>
  <c r="F514" i="13" s="1"/>
  <c r="F516" i="13"/>
  <c r="F517" i="13"/>
  <c r="F520" i="13"/>
  <c r="F521" i="13" s="1"/>
  <c r="F523" i="13"/>
  <c r="F524" i="13" s="1"/>
  <c r="F526" i="13"/>
  <c r="F527" i="13" s="1"/>
  <c r="F529" i="13"/>
  <c r="F530" i="13" s="1"/>
  <c r="F532" i="13"/>
  <c r="F533" i="13" s="1"/>
  <c r="F535" i="13"/>
  <c r="F536" i="13" s="1"/>
  <c r="F538" i="13"/>
  <c r="F539" i="13" s="1"/>
  <c r="F541" i="13"/>
  <c r="F542" i="13" s="1"/>
  <c r="F544" i="13"/>
  <c r="F545" i="13" s="1"/>
  <c r="F547" i="13"/>
  <c r="F548" i="13" s="1"/>
  <c r="F550" i="13"/>
  <c r="F551" i="13" s="1"/>
  <c r="F553" i="13"/>
  <c r="F554" i="13"/>
  <c r="F555" i="13"/>
  <c r="F556" i="13"/>
  <c r="F559" i="13"/>
  <c r="F560" i="13"/>
  <c r="F563" i="13"/>
  <c r="F564" i="13" s="1"/>
  <c r="F566" i="13"/>
  <c r="F567" i="13" s="1"/>
  <c r="F569" i="13"/>
  <c r="F570" i="13" s="1"/>
  <c r="F572" i="13"/>
  <c r="F573" i="13" s="1"/>
  <c r="F575" i="13"/>
  <c r="F576" i="13" s="1"/>
  <c r="F578" i="13"/>
  <c r="F579" i="13" s="1"/>
  <c r="F581" i="13"/>
  <c r="F582" i="13"/>
  <c r="F585" i="13"/>
  <c r="F586" i="13" s="1"/>
  <c r="F588" i="13"/>
  <c r="F589" i="13" s="1"/>
  <c r="F591" i="13"/>
  <c r="F592" i="13" s="1"/>
  <c r="F594" i="13"/>
  <c r="F596" i="13" s="1"/>
  <c r="F595" i="13"/>
  <c r="F598" i="13"/>
  <c r="F599" i="13" s="1"/>
  <c r="F601" i="13"/>
  <c r="F602" i="13" s="1"/>
  <c r="F604" i="13"/>
  <c r="F605" i="13" s="1"/>
  <c r="F607" i="13"/>
  <c r="F608" i="13" s="1"/>
  <c r="F610" i="13"/>
  <c r="F611" i="13"/>
  <c r="F612" i="13"/>
  <c r="F613" i="13"/>
  <c r="F616" i="13"/>
  <c r="F617" i="13"/>
  <c r="F618" i="13"/>
  <c r="F619" i="13"/>
  <c r="F622" i="13"/>
  <c r="F623" i="13"/>
  <c r="F624" i="13"/>
  <c r="F625" i="13"/>
  <c r="F626" i="13"/>
  <c r="F629" i="13"/>
  <c r="F630" i="13"/>
  <c r="F631" i="13"/>
  <c r="F634" i="13"/>
  <c r="F635" i="13" s="1"/>
  <c r="F637" i="13"/>
  <c r="F638" i="13" s="1"/>
  <c r="F640" i="13"/>
  <c r="F641" i="13"/>
  <c r="F642" i="13"/>
  <c r="F645" i="13"/>
  <c r="F646" i="13" s="1"/>
  <c r="F648" i="13"/>
  <c r="F649" i="13" s="1"/>
  <c r="F651" i="13"/>
  <c r="F652" i="13" s="1"/>
  <c r="F654" i="13"/>
  <c r="F655" i="13"/>
  <c r="F656" i="13"/>
  <c r="F657" i="13"/>
  <c r="F660" i="13"/>
  <c r="F661" i="13" s="1"/>
  <c r="F663" i="13"/>
  <c r="F664" i="13" s="1"/>
  <c r="F666" i="13"/>
  <c r="F667" i="13" s="1"/>
  <c r="F669" i="13"/>
  <c r="F670" i="13" s="1"/>
  <c r="F672" i="13"/>
  <c r="F673" i="13" s="1"/>
  <c r="F675" i="13"/>
  <c r="F676" i="13" s="1"/>
  <c r="F678" i="13"/>
  <c r="F679" i="13"/>
  <c r="F680" i="13"/>
  <c r="F683" i="13"/>
  <c r="F684" i="13" s="1"/>
  <c r="F686" i="13"/>
  <c r="F687" i="13" s="1"/>
  <c r="F689" i="13"/>
  <c r="F690" i="13"/>
  <c r="F691" i="13"/>
  <c r="F692" i="13"/>
  <c r="F695" i="13"/>
  <c r="F696" i="13" s="1"/>
  <c r="F698" i="13"/>
  <c r="F699" i="13"/>
  <c r="F700" i="13"/>
  <c r="F703" i="13"/>
  <c r="F704" i="13" s="1"/>
  <c r="F706" i="13"/>
  <c r="F707" i="13" s="1"/>
  <c r="F709" i="13"/>
  <c r="F710" i="13" s="1"/>
  <c r="F712" i="13"/>
  <c r="F713" i="13" s="1"/>
  <c r="F715" i="13"/>
  <c r="F716" i="13" s="1"/>
  <c r="F718" i="13"/>
  <c r="F719" i="13" s="1"/>
  <c r="F721" i="13"/>
  <c r="F722" i="13"/>
  <c r="F723" i="13"/>
  <c r="F726" i="13"/>
  <c r="F727" i="13" s="1"/>
  <c r="F729" i="13"/>
  <c r="F730" i="13"/>
  <c r="F733" i="13"/>
  <c r="F734" i="13"/>
  <c r="F735" i="13"/>
  <c r="F736" i="13"/>
  <c r="F737" i="13"/>
  <c r="F738" i="13"/>
  <c r="F741" i="13"/>
  <c r="F742" i="13"/>
  <c r="F745" i="13"/>
  <c r="F746" i="13" s="1"/>
  <c r="F748" i="13"/>
  <c r="F749" i="13" s="1"/>
  <c r="F751" i="13"/>
  <c r="F752" i="13" s="1"/>
  <c r="F754" i="13"/>
  <c r="F755" i="13"/>
  <c r="F756" i="13"/>
  <c r="F757" i="13"/>
  <c r="F758" i="13"/>
  <c r="F761" i="13"/>
  <c r="F762" i="13"/>
  <c r="F763" i="13"/>
  <c r="F764" i="13"/>
  <c r="F767" i="13"/>
  <c r="F768" i="13"/>
  <c r="F769" i="13"/>
  <c r="F770" i="13"/>
  <c r="F773" i="13"/>
  <c r="F774" i="13" s="1"/>
  <c r="F776" i="13"/>
  <c r="F777" i="13" s="1"/>
  <c r="F779" i="13"/>
  <c r="F780" i="13"/>
  <c r="F783" i="13"/>
  <c r="F784" i="13"/>
  <c r="F787" i="13"/>
  <c r="F788" i="13" s="1"/>
  <c r="F790" i="13"/>
  <c r="F791" i="13" s="1"/>
  <c r="F793" i="13"/>
  <c r="F794" i="13" s="1"/>
  <c r="F796" i="13"/>
  <c r="F797" i="13" s="1"/>
  <c r="F799" i="13"/>
  <c r="F800" i="13"/>
  <c r="F801" i="13"/>
  <c r="F802" i="13"/>
  <c r="F805" i="13"/>
  <c r="F806" i="13"/>
  <c r="F809" i="13"/>
  <c r="F810" i="13" s="1"/>
  <c r="F812" i="13"/>
  <c r="F813" i="13"/>
  <c r="F816" i="13"/>
  <c r="F817" i="13"/>
  <c r="F818" i="13"/>
  <c r="F819" i="13"/>
  <c r="F820" i="13"/>
  <c r="F823" i="13"/>
  <c r="F824" i="13"/>
  <c r="F825" i="13"/>
  <c r="F828" i="13"/>
  <c r="F829" i="13" s="1"/>
  <c r="F831" i="13"/>
  <c r="F832" i="13" s="1"/>
  <c r="F834" i="13"/>
  <c r="F835" i="13" s="1"/>
  <c r="F837" i="13"/>
  <c r="F838" i="13" s="1"/>
  <c r="F840" i="13"/>
  <c r="F841" i="13"/>
  <c r="F842" i="13"/>
  <c r="F845" i="13"/>
  <c r="F846" i="13" s="1"/>
  <c r="F848" i="13"/>
  <c r="F849" i="13" s="1"/>
  <c r="F851" i="13"/>
  <c r="F852" i="13"/>
  <c r="F855" i="13"/>
  <c r="F856" i="13" s="1"/>
  <c r="F858" i="13"/>
  <c r="F859" i="13"/>
  <c r="F860" i="13"/>
  <c r="F861" i="13"/>
  <c r="F864" i="13"/>
  <c r="F865" i="13" s="1"/>
  <c r="F867" i="13"/>
  <c r="F868" i="13"/>
  <c r="F871" i="13"/>
  <c r="F872" i="13"/>
  <c r="F873" i="13"/>
  <c r="F876" i="13"/>
  <c r="F877" i="13" s="1"/>
  <c r="F879" i="13"/>
  <c r="F880" i="13" s="1"/>
  <c r="F882" i="13"/>
  <c r="F883" i="13" s="1"/>
  <c r="F885" i="13"/>
  <c r="F886" i="13" s="1"/>
  <c r="F888" i="13"/>
  <c r="F889" i="13" s="1"/>
  <c r="F891" i="13"/>
  <c r="F892" i="13"/>
  <c r="F895" i="13"/>
  <c r="F896" i="13"/>
  <c r="F899" i="13"/>
  <c r="F900" i="13"/>
  <c r="F903" i="13"/>
  <c r="F904" i="13" s="1"/>
  <c r="F906" i="13"/>
  <c r="F907" i="13"/>
  <c r="F910" i="13"/>
  <c r="F911" i="13"/>
  <c r="F912" i="13"/>
  <c r="F913" i="13"/>
  <c r="F914" i="13"/>
  <c r="F915" i="13"/>
  <c r="F916" i="13"/>
  <c r="F917" i="13"/>
  <c r="F920" i="13"/>
  <c r="F921" i="13" s="1"/>
  <c r="F923" i="13"/>
  <c r="F924" i="13"/>
  <c r="F925" i="13"/>
  <c r="F926" i="13"/>
  <c r="F929" i="13"/>
  <c r="F930" i="13" s="1"/>
  <c r="F932" i="13"/>
  <c r="F933" i="13" s="1"/>
  <c r="F935" i="13"/>
  <c r="F936" i="13"/>
  <c r="F937" i="13"/>
  <c r="F938" i="13"/>
  <c r="F939" i="13"/>
  <c r="F942" i="13"/>
  <c r="F943" i="13"/>
  <c r="F944" i="13"/>
  <c r="F947" i="13"/>
  <c r="F948" i="13" s="1"/>
  <c r="F950" i="13"/>
  <c r="F951" i="13" s="1"/>
  <c r="F953" i="13"/>
  <c r="F954" i="13" s="1"/>
  <c r="F956" i="13"/>
  <c r="F957" i="13"/>
  <c r="F958" i="13"/>
  <c r="F959" i="13"/>
  <c r="F960" i="13"/>
  <c r="F961" i="13"/>
  <c r="F964" i="13"/>
  <c r="F965" i="13"/>
  <c r="F966" i="13"/>
  <c r="F969" i="13"/>
  <c r="F970" i="13" s="1"/>
  <c r="F972" i="13"/>
  <c r="F973" i="13" s="1"/>
  <c r="F975" i="13"/>
  <c r="F976" i="13" s="1"/>
  <c r="F978" i="13"/>
  <c r="F979" i="13" s="1"/>
  <c r="F981" i="13"/>
  <c r="F982" i="13" s="1"/>
  <c r="F984" i="13"/>
  <c r="F985" i="13" s="1"/>
  <c r="F987" i="13"/>
  <c r="F988" i="13"/>
  <c r="F989" i="13"/>
  <c r="F990" i="13"/>
  <c r="F993" i="13"/>
  <c r="F994" i="13"/>
  <c r="F998" i="13"/>
  <c r="F999" i="13"/>
  <c r="F1000" i="13"/>
  <c r="F1003" i="13"/>
  <c r="F1004" i="13" s="1"/>
  <c r="F1006" i="13"/>
  <c r="F1007" i="13"/>
  <c r="F1010" i="13"/>
  <c r="F1011" i="13"/>
  <c r="F1014" i="13"/>
  <c r="F1015" i="13" s="1"/>
  <c r="F1017" i="13"/>
  <c r="F1019" i="13" s="1"/>
  <c r="F1018" i="13"/>
  <c r="F1021" i="13"/>
  <c r="F1022" i="13" s="1"/>
  <c r="F1024" i="13"/>
  <c r="F1025" i="13" s="1"/>
  <c r="F1027" i="13"/>
  <c r="F1028" i="13" s="1"/>
  <c r="F1030" i="13"/>
  <c r="F1031" i="13"/>
  <c r="F1032" i="13"/>
  <c r="F1033" i="13"/>
  <c r="F1036" i="13"/>
  <c r="F1037" i="13"/>
  <c r="F1038" i="13"/>
  <c r="F1039" i="13"/>
  <c r="F1040" i="13"/>
  <c r="F1043" i="13"/>
  <c r="F1044" i="13"/>
  <c r="F1045" i="13"/>
  <c r="F1048" i="13"/>
  <c r="F1049" i="13" s="1"/>
  <c r="F1051" i="13"/>
  <c r="F1052" i="13" s="1"/>
  <c r="F1054" i="13"/>
  <c r="F1055" i="13"/>
  <c r="F1056" i="13"/>
  <c r="F1059" i="13"/>
  <c r="F1060" i="13" s="1"/>
  <c r="F1062" i="13"/>
  <c r="F1063" i="13" s="1"/>
  <c r="F1065" i="13"/>
  <c r="F1066" i="13"/>
  <c r="F1069" i="13"/>
  <c r="F1070" i="13" s="1"/>
  <c r="F1072" i="13"/>
  <c r="F1073" i="13" s="1"/>
  <c r="F1075" i="13"/>
  <c r="F1076" i="13" s="1"/>
  <c r="F1078" i="13"/>
  <c r="F1079" i="13" s="1"/>
  <c r="F1081" i="13"/>
  <c r="F1082" i="13" s="1"/>
  <c r="F1084" i="13"/>
  <c r="F1085" i="13"/>
  <c r="F1088" i="13"/>
  <c r="F1089" i="13" s="1"/>
  <c r="F1091" i="13"/>
  <c r="F1092" i="13" s="1"/>
  <c r="F1094" i="13"/>
  <c r="F1095" i="13" s="1"/>
  <c r="F1097" i="13"/>
  <c r="F1098" i="13"/>
  <c r="F1099" i="13"/>
  <c r="F1100" i="13"/>
  <c r="F1103" i="13"/>
  <c r="F1104" i="13" s="1"/>
  <c r="F1106" i="13"/>
  <c r="F1107" i="13" s="1"/>
  <c r="F1109" i="13"/>
  <c r="F1110" i="13" s="1"/>
  <c r="F1112" i="13"/>
  <c r="F1113" i="13" s="1"/>
  <c r="F1115" i="13"/>
  <c r="F1116" i="13" s="1"/>
  <c r="F1118" i="13"/>
  <c r="F1119" i="13" s="1"/>
  <c r="F1121" i="13"/>
  <c r="F1122" i="13"/>
  <c r="F1125" i="13"/>
  <c r="F1126" i="13" s="1"/>
  <c r="F1128" i="13"/>
  <c r="F1129" i="13" s="1"/>
  <c r="F1131" i="13"/>
  <c r="F1132" i="13"/>
  <c r="F1133" i="13"/>
  <c r="F1136" i="13"/>
  <c r="F1137" i="13" s="1"/>
  <c r="F1139" i="13"/>
  <c r="F1140" i="13"/>
  <c r="F1143" i="13"/>
  <c r="F1144" i="13" s="1"/>
  <c r="F1146" i="13"/>
  <c r="F1147" i="13" s="1"/>
  <c r="F1149" i="13"/>
  <c r="F1150" i="13" s="1"/>
  <c r="F1152" i="13"/>
  <c r="F1153" i="13" s="1"/>
  <c r="F1155" i="13"/>
  <c r="F1156" i="13" s="1"/>
  <c r="F1158" i="13"/>
  <c r="F1159" i="13" s="1"/>
  <c r="F1161" i="13"/>
  <c r="F1162" i="13"/>
  <c r="F1165" i="13"/>
  <c r="F1166" i="13" s="1"/>
  <c r="F1168" i="13"/>
  <c r="F1169" i="13" s="1"/>
  <c r="F1171" i="13"/>
  <c r="F1172" i="13"/>
  <c r="F1175" i="13"/>
  <c r="F1176" i="13" s="1"/>
  <c r="F1178" i="13"/>
  <c r="F1179" i="13" s="1"/>
  <c r="F1181" i="13"/>
  <c r="F1182" i="13" s="1"/>
  <c r="F1184" i="13"/>
  <c r="F1185" i="13"/>
  <c r="F1186" i="13"/>
  <c r="F1187" i="13"/>
  <c r="F1190" i="13"/>
  <c r="F1191" i="13" s="1"/>
  <c r="F1193" i="13"/>
  <c r="F1194" i="13" s="1"/>
  <c r="F1196" i="13"/>
  <c r="F1197" i="13"/>
  <c r="F1200" i="13"/>
  <c r="F1201" i="13"/>
  <c r="F1202" i="13"/>
  <c r="F1205" i="13"/>
  <c r="F1206" i="13"/>
  <c r="F1209" i="13"/>
  <c r="F1210" i="13" s="1"/>
  <c r="F1212" i="13"/>
  <c r="F1213" i="13" s="1"/>
  <c r="F1215" i="13"/>
  <c r="F1216" i="13" s="1"/>
  <c r="F1218" i="13"/>
  <c r="F1219" i="13"/>
  <c r="F1222" i="13"/>
  <c r="F1223" i="13" s="1"/>
  <c r="F1225" i="13"/>
  <c r="F1226" i="13" s="1"/>
  <c r="F1228" i="13"/>
  <c r="F1229" i="13" s="1"/>
  <c r="F1231" i="13"/>
  <c r="F1232" i="13"/>
  <c r="F1233" i="13"/>
  <c r="F1236" i="13"/>
  <c r="F1237" i="13" s="1"/>
  <c r="F1239" i="13"/>
  <c r="F1240" i="13"/>
  <c r="F1243" i="13"/>
  <c r="F1244" i="13"/>
  <c r="F1245" i="13"/>
  <c r="F1246" i="13"/>
  <c r="F1249" i="13"/>
  <c r="F1250" i="13" s="1"/>
  <c r="F1252" i="13"/>
  <c r="F1253" i="13"/>
  <c r="F1256" i="13"/>
  <c r="F1257" i="13"/>
  <c r="F1258" i="13"/>
  <c r="F1259" i="13"/>
  <c r="F1262" i="13"/>
  <c r="F1263" i="13"/>
  <c r="F1264" i="13"/>
  <c r="F1267" i="13"/>
  <c r="F1268" i="13"/>
  <c r="F1269" i="13"/>
  <c r="F1270" i="13"/>
  <c r="F1273" i="13"/>
  <c r="F1274" i="13"/>
  <c r="F1275" i="13"/>
  <c r="F1276" i="13"/>
  <c r="F1279" i="13"/>
  <c r="F1280" i="13"/>
  <c r="F1281" i="13"/>
  <c r="F1282" i="13"/>
  <c r="F1283" i="13"/>
  <c r="F1284" i="13"/>
  <c r="F1287" i="13"/>
  <c r="F1288" i="13"/>
  <c r="F1289" i="13"/>
  <c r="F1292" i="13"/>
  <c r="F1293" i="13" s="1"/>
  <c r="F1295" i="13"/>
  <c r="F1296" i="13"/>
  <c r="F1297" i="13"/>
  <c r="F1298" i="13"/>
  <c r="F1299" i="13"/>
  <c r="F1302" i="13"/>
  <c r="F1303" i="13"/>
  <c r="F1304" i="13"/>
  <c r="F1307" i="13"/>
  <c r="F1308" i="13" s="1"/>
  <c r="F1310" i="13"/>
  <c r="F1311" i="13" s="1"/>
  <c r="F1313" i="13"/>
  <c r="F1314" i="13" s="1"/>
  <c r="F1316" i="13"/>
  <c r="F1317" i="13" s="1"/>
  <c r="F1319" i="13"/>
  <c r="F1320" i="13" s="1"/>
  <c r="F1322" i="13"/>
  <c r="F1323" i="13" s="1"/>
  <c r="F1325" i="13"/>
  <c r="F1326" i="13"/>
  <c r="F1329" i="13"/>
  <c r="F1330" i="13"/>
  <c r="F1331" i="13"/>
  <c r="F1332" i="13"/>
  <c r="F1333" i="13"/>
  <c r="F1334" i="13"/>
  <c r="F1337" i="13"/>
  <c r="F1338" i="13"/>
  <c r="F1341" i="13"/>
  <c r="F1342" i="13"/>
  <c r="F1343" i="13"/>
  <c r="F1344" i="13"/>
  <c r="F1347" i="13"/>
  <c r="F1348" i="13" s="1"/>
  <c r="F1350" i="13"/>
  <c r="F1351" i="13"/>
  <c r="F1352" i="13"/>
  <c r="F1353" i="13"/>
  <c r="F1356" i="13"/>
  <c r="F1357" i="13" s="1"/>
  <c r="F1359" i="13"/>
  <c r="F1360" i="13"/>
  <c r="F1361" i="13"/>
  <c r="F1364" i="13"/>
  <c r="F1365" i="13" s="1"/>
  <c r="F1367" i="13"/>
  <c r="F1368" i="13" s="1"/>
  <c r="F1370" i="13"/>
  <c r="F1371" i="13" s="1"/>
  <c r="F1373" i="13"/>
  <c r="F1374" i="13"/>
  <c r="F1377" i="13"/>
  <c r="F1378" i="13" s="1"/>
  <c r="F1380" i="13"/>
  <c r="F1381" i="13"/>
  <c r="F1382" i="13"/>
  <c r="F1385" i="13"/>
  <c r="F1386" i="13" s="1"/>
  <c r="F1388" i="13"/>
  <c r="F1389" i="13" s="1"/>
  <c r="F1391" i="13"/>
  <c r="F1392" i="13" s="1"/>
  <c r="F1394" i="13"/>
  <c r="F1395" i="13"/>
  <c r="F1398" i="13"/>
  <c r="F1399" i="13"/>
  <c r="F1402" i="13"/>
  <c r="F1403" i="13"/>
  <c r="F1404" i="13"/>
  <c r="F1407" i="13"/>
  <c r="F1408" i="13" s="1"/>
  <c r="F1410" i="13"/>
  <c r="F1411" i="13" s="1"/>
  <c r="F1413" i="13"/>
  <c r="F1414" i="13" s="1"/>
  <c r="F1416" i="13"/>
  <c r="F1417" i="13" s="1"/>
  <c r="F1419" i="13"/>
  <c r="F1420" i="13"/>
  <c r="F1423" i="13"/>
  <c r="F1424" i="13" s="1"/>
  <c r="F1426" i="13"/>
  <c r="F1427" i="13"/>
  <c r="F1428" i="13"/>
  <c r="F1429" i="13"/>
  <c r="F1430" i="13"/>
  <c r="F1431" i="13"/>
  <c r="F1432" i="13"/>
  <c r="F1433" i="13"/>
  <c r="F1436" i="13"/>
  <c r="F1437" i="13"/>
  <c r="F1438" i="13"/>
  <c r="F1439" i="13"/>
  <c r="F1442" i="13"/>
  <c r="F1443" i="13"/>
  <c r="F1446" i="13"/>
  <c r="F1447" i="13" s="1"/>
  <c r="F1449" i="13"/>
  <c r="F1450" i="13"/>
  <c r="F1453" i="13"/>
  <c r="F1454" i="13" s="1"/>
  <c r="F1456" i="13"/>
  <c r="F1457" i="13" s="1"/>
  <c r="F1459" i="13"/>
  <c r="F1460" i="13"/>
  <c r="F1461" i="13"/>
  <c r="F1462" i="13"/>
  <c r="F1465" i="13"/>
  <c r="F1466" i="13" s="1"/>
  <c r="F1468" i="13"/>
  <c r="F1469" i="13" s="1"/>
  <c r="F1471" i="13"/>
  <c r="F1472" i="13"/>
  <c r="F1475" i="13"/>
  <c r="F1476" i="13"/>
  <c r="F1477" i="13"/>
  <c r="F1478" i="13"/>
  <c r="F1481" i="13"/>
  <c r="F1482" i="13" s="1"/>
  <c r="F1484" i="13"/>
  <c r="F1485" i="13" s="1"/>
  <c r="F1487" i="13"/>
  <c r="F1488" i="13" s="1"/>
  <c r="F1490" i="13"/>
  <c r="F1491" i="13" s="1"/>
  <c r="F1493" i="13"/>
  <c r="F1494" i="13" s="1"/>
  <c r="F1496" i="13"/>
  <c r="F1497" i="13"/>
  <c r="F1498" i="13"/>
  <c r="F1499" i="13"/>
  <c r="F1502" i="13"/>
  <c r="F1503" i="13"/>
  <c r="F1506" i="13"/>
  <c r="F1507" i="13" s="1"/>
  <c r="F1509" i="13"/>
  <c r="F1510" i="13" s="1"/>
  <c r="F1512" i="13"/>
  <c r="F1513" i="13" s="1"/>
  <c r="F1515" i="13"/>
  <c r="F1516" i="13" s="1"/>
  <c r="F1518" i="13"/>
  <c r="F1519" i="13" s="1"/>
  <c r="F1521" i="13"/>
  <c r="F1522" i="13" s="1"/>
  <c r="F1524" i="13"/>
  <c r="F1525" i="13" s="1"/>
  <c r="F1527" i="13"/>
  <c r="F1528" i="13" s="1"/>
  <c r="F1530" i="13"/>
  <c r="F1531" i="13" s="1"/>
  <c r="F1533" i="13"/>
  <c r="F1534" i="13"/>
  <c r="F1535" i="13"/>
  <c r="F1536" i="13"/>
  <c r="F1539" i="13"/>
  <c r="F1540" i="13" s="1"/>
  <c r="F1542" i="13"/>
  <c r="F1543" i="13" s="1"/>
  <c r="F1545" i="13"/>
  <c r="F1546" i="13" s="1"/>
  <c r="F1548" i="13"/>
  <c r="F1549" i="13"/>
  <c r="F1552" i="13"/>
  <c r="F1553" i="13" s="1"/>
  <c r="F1555" i="13"/>
  <c r="F1556" i="13" s="1"/>
  <c r="F1558" i="13"/>
  <c r="F1559" i="13"/>
  <c r="F1560" i="13"/>
  <c r="F1563" i="13"/>
  <c r="F1564" i="13"/>
  <c r="F1567" i="13"/>
  <c r="F1568" i="13"/>
  <c r="F1571" i="13"/>
  <c r="F1572" i="13"/>
  <c r="F1573" i="13"/>
  <c r="F1576" i="13"/>
  <c r="F1577" i="13"/>
  <c r="F1578" i="13"/>
  <c r="F1581" i="13"/>
  <c r="F1582" i="13" s="1"/>
  <c r="F1584" i="13"/>
  <c r="F1585" i="13"/>
  <c r="F1588" i="13"/>
  <c r="F1589" i="13" s="1"/>
  <c r="F1591" i="13"/>
  <c r="F1592" i="13" s="1"/>
  <c r="F1594" i="13"/>
  <c r="F1595" i="13"/>
  <c r="F1598" i="13"/>
  <c r="F1599" i="13" s="1"/>
  <c r="F1601" i="13"/>
  <c r="F1602" i="13" s="1"/>
  <c r="F1604" i="13"/>
  <c r="F1605" i="13"/>
  <c r="F1606" i="13"/>
  <c r="F1607" i="13"/>
  <c r="F1610" i="13"/>
  <c r="F1611" i="13"/>
  <c r="F1612" i="13"/>
  <c r="F1613" i="13"/>
  <c r="F1616" i="13"/>
  <c r="F1617" i="13"/>
  <c r="F1618" i="13"/>
  <c r="F1619" i="13"/>
  <c r="F1622" i="13"/>
  <c r="F1623" i="13" s="1"/>
  <c r="F1625" i="13"/>
  <c r="F1626" i="13" s="1"/>
  <c r="F1628" i="13"/>
  <c r="F1629" i="13" s="1"/>
  <c r="F1631" i="13"/>
  <c r="F1632" i="13" s="1"/>
  <c r="F1634" i="13"/>
  <c r="F1635" i="13"/>
  <c r="F1636" i="13"/>
  <c r="F1637" i="13"/>
  <c r="F1640" i="13"/>
  <c r="F1641" i="13" s="1"/>
  <c r="F1643" i="13"/>
  <c r="F1644" i="13" s="1"/>
  <c r="F1646" i="13"/>
  <c r="F1647" i="13" s="1"/>
  <c r="F1649" i="13"/>
  <c r="F1650" i="13" s="1"/>
  <c r="F1652" i="13"/>
  <c r="F1653" i="13" s="1"/>
  <c r="F1655" i="13"/>
  <c r="F1656" i="13"/>
  <c r="F1659" i="13"/>
  <c r="F1660" i="13" s="1"/>
  <c r="F1662" i="13"/>
  <c r="F1663" i="13" s="1"/>
  <c r="F1665" i="13"/>
  <c r="F1666" i="13" s="1"/>
  <c r="F1668" i="13"/>
  <c r="F1669" i="13" s="1"/>
  <c r="F1671" i="13"/>
  <c r="F1672" i="13" s="1"/>
  <c r="F1674" i="13"/>
  <c r="F1675" i="13" s="1"/>
  <c r="F1677" i="13"/>
  <c r="F1678" i="13"/>
  <c r="F1681" i="13"/>
  <c r="F1682" i="13"/>
  <c r="F1685" i="13"/>
  <c r="F1686" i="13"/>
  <c r="F1687" i="13"/>
  <c r="F1688" i="13"/>
  <c r="F1691" i="13"/>
  <c r="F1692" i="13"/>
  <c r="F1695" i="13"/>
  <c r="F1696" i="13" s="1"/>
  <c r="F1698" i="13"/>
  <c r="F1699" i="13" s="1"/>
  <c r="F1701" i="13"/>
  <c r="F1702" i="13" s="1"/>
  <c r="F1704" i="13"/>
  <c r="F1705" i="13" s="1"/>
  <c r="F1707" i="13"/>
  <c r="F1708" i="13"/>
  <c r="F1711" i="13"/>
  <c r="F1712" i="13" s="1"/>
  <c r="F1714" i="13"/>
  <c r="F1715" i="13"/>
  <c r="F1718" i="13"/>
  <c r="F1719" i="13"/>
  <c r="F1720" i="13"/>
  <c r="F1723" i="13"/>
  <c r="F1724" i="13"/>
  <c r="F1725" i="13"/>
  <c r="F1726" i="13"/>
  <c r="F1729" i="13"/>
  <c r="F1730" i="13" s="1"/>
  <c r="F1732" i="13"/>
  <c r="F1733" i="13" s="1"/>
  <c r="F1735" i="13"/>
  <c r="F1736" i="13" s="1"/>
  <c r="F1738" i="13"/>
  <c r="F1739" i="13" s="1"/>
  <c r="F1741" i="13"/>
  <c r="F1742" i="13"/>
  <c r="F1745" i="13"/>
  <c r="F1746" i="13"/>
  <c r="F1747" i="13"/>
  <c r="F1748" i="13"/>
  <c r="F1751" i="13"/>
  <c r="F1752" i="13"/>
  <c r="F1753" i="13"/>
  <c r="F1754" i="13"/>
  <c r="F1755" i="13"/>
  <c r="F1756" i="13"/>
  <c r="F1759" i="13"/>
  <c r="F1760" i="13" s="1"/>
  <c r="F1762" i="13"/>
  <c r="F1763" i="13" s="1"/>
  <c r="F1765" i="13"/>
  <c r="F1766" i="13"/>
  <c r="F1769" i="13"/>
  <c r="F1770" i="13" s="1"/>
  <c r="F1772" i="13"/>
  <c r="F1773" i="13"/>
  <c r="F1774" i="13"/>
  <c r="F1777" i="13"/>
  <c r="F1778" i="13" s="1"/>
  <c r="F1780" i="13"/>
  <c r="F1781" i="13" s="1"/>
  <c r="F1783" i="13"/>
  <c r="F1784" i="13" s="1"/>
  <c r="F1786" i="13"/>
  <c r="F1787" i="13" s="1"/>
  <c r="F1789" i="13"/>
  <c r="F1790" i="13" s="1"/>
  <c r="F1792" i="13"/>
  <c r="F1793" i="13" s="1"/>
  <c r="F1795" i="13"/>
  <c r="F1796" i="13" s="1"/>
  <c r="F1798" i="13"/>
  <c r="F1799" i="13" s="1"/>
  <c r="F1801" i="13"/>
  <c r="F1802" i="13"/>
  <c r="F1805" i="13"/>
  <c r="F1806" i="13" s="1"/>
  <c r="F1808" i="13"/>
  <c r="F1809" i="13"/>
  <c r="F1810" i="13"/>
  <c r="F1813" i="13"/>
  <c r="F1814" i="13" s="1"/>
  <c r="F1816" i="13"/>
  <c r="F1817" i="13"/>
  <c r="F1818" i="13"/>
  <c r="F1819" i="13"/>
  <c r="F1820" i="13"/>
  <c r="F1821" i="13"/>
  <c r="F1824" i="13"/>
  <c r="F1825" i="13"/>
  <c r="F1826" i="13"/>
  <c r="F1827" i="13"/>
  <c r="F1830" i="13"/>
  <c r="F1831" i="13" s="1"/>
  <c r="F1833" i="13"/>
  <c r="F1834" i="13" s="1"/>
  <c r="F1836" i="13"/>
  <c r="F1837" i="13" s="1"/>
  <c r="F1839" i="13"/>
  <c r="F1840" i="13" s="1"/>
  <c r="F1842" i="13"/>
  <c r="F1843" i="13"/>
  <c r="F1844" i="13"/>
  <c r="F1847" i="13"/>
  <c r="F1848" i="13"/>
  <c r="F1851" i="13"/>
  <c r="F1852" i="13" s="1"/>
  <c r="F1854" i="13"/>
  <c r="F1855" i="13" s="1"/>
  <c r="F1857" i="13"/>
  <c r="F1858" i="13"/>
  <c r="F1859" i="13"/>
  <c r="F1862" i="13"/>
  <c r="F1863" i="13" s="1"/>
  <c r="F1865" i="13"/>
  <c r="F1866" i="13" s="1"/>
  <c r="F1868" i="13"/>
  <c r="F1869" i="13" s="1"/>
  <c r="F1871" i="13"/>
  <c r="F1872" i="13" s="1"/>
  <c r="F1874" i="13"/>
  <c r="F1875" i="13" s="1"/>
  <c r="F1877" i="13"/>
  <c r="F1878" i="13" s="1"/>
  <c r="F1880" i="13"/>
  <c r="F1881" i="13"/>
  <c r="F1882" i="13"/>
  <c r="F1883" i="13"/>
  <c r="F1886" i="13"/>
  <c r="F1887" i="13"/>
  <c r="F1890" i="13"/>
  <c r="F1891" i="13"/>
  <c r="F1892" i="13"/>
  <c r="F1893" i="13"/>
  <c r="F1894" i="13"/>
  <c r="F1895" i="13"/>
  <c r="F1898" i="13"/>
  <c r="F1899" i="13"/>
  <c r="F1902" i="13"/>
  <c r="F1903" i="13"/>
  <c r="F1904" i="13"/>
  <c r="F1905" i="13"/>
  <c r="F1908" i="13"/>
  <c r="F1909" i="13" s="1"/>
  <c r="F1911" i="13"/>
  <c r="F1912" i="13" s="1"/>
  <c r="F1914" i="13"/>
  <c r="F1915" i="13" s="1"/>
  <c r="F1917" i="13"/>
  <c r="F1918" i="13" s="1"/>
  <c r="F1920" i="13"/>
  <c r="F1921" i="13" s="1"/>
  <c r="F1923" i="13"/>
  <c r="F1924" i="13"/>
  <c r="F1927" i="13"/>
  <c r="F1928" i="13" s="1"/>
  <c r="F1930" i="13"/>
  <c r="F1931" i="13" s="1"/>
  <c r="F1933" i="13"/>
  <c r="F1934" i="13" s="1"/>
  <c r="F1936" i="13"/>
  <c r="F1937" i="13"/>
  <c r="F1938" i="13"/>
  <c r="F1939" i="13"/>
  <c r="F1940" i="13"/>
  <c r="F1943" i="13"/>
  <c r="F1944" i="13"/>
  <c r="F1947" i="13"/>
  <c r="F1948" i="13" s="1"/>
  <c r="F1950" i="13"/>
  <c r="F1951" i="13" s="1"/>
  <c r="F1953" i="13"/>
  <c r="F1954" i="13" s="1"/>
  <c r="F1956" i="13"/>
  <c r="F1957" i="13"/>
  <c r="F1960" i="13"/>
  <c r="F1961" i="13"/>
  <c r="F1962" i="13"/>
  <c r="F1963" i="13"/>
  <c r="F1966" i="13"/>
  <c r="F1967" i="13" s="1"/>
  <c r="F1969" i="13"/>
  <c r="F1970" i="13" s="1"/>
  <c r="F1972" i="13"/>
  <c r="F1974" i="13" s="1"/>
  <c r="F1973" i="13"/>
  <c r="F1976" i="13"/>
  <c r="F1977" i="13" s="1"/>
  <c r="F1979" i="13"/>
  <c r="F1980" i="13" s="1"/>
  <c r="F1982" i="13"/>
  <c r="F1983" i="13" s="1"/>
  <c r="F1985" i="13"/>
  <c r="F1986" i="13" s="1"/>
  <c r="F1988" i="13"/>
  <c r="F1989" i="13" s="1"/>
  <c r="F1991" i="13"/>
  <c r="F1992" i="13" s="1"/>
  <c r="F1994" i="13"/>
  <c r="F1995" i="13" s="1"/>
  <c r="F1997" i="13"/>
  <c r="F1998" i="13"/>
  <c r="F2001" i="13"/>
  <c r="F2002" i="13"/>
  <c r="F2003" i="13"/>
  <c r="F2004" i="13"/>
  <c r="F2007" i="13"/>
  <c r="F2008" i="13" s="1"/>
  <c r="F2010" i="13"/>
  <c r="F2011" i="13" s="1"/>
  <c r="F2013" i="13"/>
  <c r="F2014" i="13"/>
  <c r="F2015" i="13"/>
  <c r="F2016" i="13"/>
  <c r="F2019" i="13"/>
  <c r="F2020" i="13"/>
  <c r="F2021" i="13"/>
  <c r="F2022" i="13"/>
  <c r="F2023" i="13"/>
  <c r="F2024" i="13"/>
  <c r="F2027" i="13"/>
  <c r="F2028" i="13" s="1"/>
  <c r="F2030" i="13"/>
  <c r="F2031" i="13" s="1"/>
  <c r="F2033" i="13"/>
  <c r="F2034" i="13" s="1"/>
  <c r="F2036" i="13"/>
  <c r="F2037" i="13" s="1"/>
  <c r="F2039" i="13"/>
  <c r="F2040" i="13" s="1"/>
  <c r="F2042" i="13"/>
  <c r="F2043" i="13" s="1"/>
  <c r="F2045" i="13"/>
  <c r="F2046" i="13"/>
  <c r="F2049" i="13"/>
  <c r="F2050" i="13" s="1"/>
  <c r="F2052" i="13"/>
  <c r="F2053" i="13"/>
  <c r="F2062" i="13"/>
  <c r="F2063" i="13"/>
  <c r="F2066" i="13"/>
  <c r="F2067" i="13" s="1"/>
  <c r="F2069" i="13"/>
  <c r="F2070" i="13" s="1"/>
  <c r="F2072" i="13"/>
  <c r="F2073" i="13" s="1"/>
  <c r="F2075" i="13"/>
  <c r="F2076" i="13" s="1"/>
  <c r="F2078" i="13"/>
  <c r="F2079" i="13"/>
  <c r="F2082" i="13"/>
  <c r="F2083" i="13" s="1"/>
  <c r="F2085" i="13"/>
  <c r="F2086" i="13"/>
  <c r="F2089" i="13"/>
  <c r="F2090" i="13"/>
  <c r="F2093" i="13"/>
  <c r="F2094" i="13" s="1"/>
  <c r="F2096" i="13"/>
  <c r="F2097" i="13" s="1"/>
  <c r="F2099" i="13"/>
  <c r="F2100" i="13" s="1"/>
  <c r="F2102" i="13"/>
  <c r="F2103" i="13"/>
  <c r="F2106" i="13"/>
  <c r="F2107" i="13" s="1"/>
  <c r="F2109" i="13"/>
  <c r="F2110" i="13"/>
  <c r="F2111" i="13"/>
  <c r="F2114" i="13"/>
  <c r="F2115" i="13" s="1"/>
  <c r="F2117" i="13"/>
  <c r="F2118" i="13" s="1"/>
  <c r="F2120" i="13"/>
  <c r="F2121" i="13" s="1"/>
  <c r="F2123" i="13"/>
  <c r="F2124" i="13"/>
  <c r="F2125" i="13"/>
  <c r="F2128" i="13"/>
  <c r="F2129" i="13"/>
  <c r="F2130" i="13"/>
  <c r="F2131" i="13"/>
  <c r="F6" i="14"/>
  <c r="F7" i="14" s="1"/>
  <c r="F9" i="14"/>
  <c r="F10" i="14" s="1"/>
  <c r="F12" i="14"/>
  <c r="F13" i="14" s="1"/>
  <c r="F15" i="14"/>
  <c r="F16" i="14" s="1"/>
  <c r="F18" i="14"/>
  <c r="F19" i="14" s="1"/>
  <c r="F21" i="14"/>
  <c r="F22" i="14"/>
  <c r="F25" i="14"/>
  <c r="F26" i="14" s="1"/>
  <c r="F28" i="14"/>
  <c r="F29" i="14"/>
  <c r="F32" i="14"/>
  <c r="F33" i="14" s="1"/>
  <c r="F35" i="14"/>
  <c r="F36" i="14"/>
  <c r="F37" i="14"/>
  <c r="F38" i="14"/>
  <c r="F41" i="14"/>
  <c r="F42" i="14"/>
  <c r="F45" i="14"/>
  <c r="F46" i="14"/>
  <c r="F47" i="14"/>
  <c r="F48" i="14"/>
  <c r="F51" i="14"/>
  <c r="F52" i="14"/>
  <c r="F53" i="14"/>
  <c r="F54" i="14"/>
  <c r="F55" i="14"/>
  <c r="F56" i="14"/>
  <c r="F59" i="14"/>
  <c r="F60" i="14" s="1"/>
  <c r="F62" i="14"/>
  <c r="F63" i="14"/>
  <c r="F64" i="14"/>
  <c r="F65" i="14"/>
  <c r="F68" i="14"/>
  <c r="F69" i="14" s="1"/>
  <c r="F71" i="14"/>
  <c r="F72" i="14" s="1"/>
  <c r="F74" i="14"/>
  <c r="F75" i="14" s="1"/>
  <c r="F77" i="14"/>
  <c r="F78" i="14" s="1"/>
  <c r="F80" i="14"/>
  <c r="F81" i="14" s="1"/>
  <c r="F83" i="14"/>
  <c r="F84" i="14"/>
  <c r="F85" i="14"/>
  <c r="F86" i="14"/>
  <c r="F89" i="14"/>
  <c r="F90" i="14" s="1"/>
  <c r="F92" i="14"/>
  <c r="F93" i="14" s="1"/>
  <c r="F95" i="14"/>
  <c r="F96" i="14"/>
  <c r="F97" i="14"/>
  <c r="F98" i="14"/>
  <c r="F101" i="14"/>
  <c r="F102" i="14"/>
  <c r="F105" i="14"/>
  <c r="F106" i="14" s="1"/>
  <c r="F108" i="14"/>
  <c r="F109" i="14" s="1"/>
  <c r="F111" i="14"/>
  <c r="F112" i="14" s="1"/>
  <c r="F114" i="14"/>
  <c r="F115" i="14" s="1"/>
  <c r="F117" i="14"/>
  <c r="F118" i="14" s="1"/>
  <c r="F120" i="14"/>
  <c r="F121" i="14" s="1"/>
  <c r="F123" i="14"/>
  <c r="F124" i="14"/>
  <c r="F127" i="14"/>
  <c r="F128" i="14" s="1"/>
  <c r="F130" i="14"/>
  <c r="F131" i="14" s="1"/>
  <c r="F133" i="14"/>
  <c r="F134" i="14"/>
  <c r="F137" i="14"/>
  <c r="F138" i="14"/>
  <c r="F141" i="14"/>
  <c r="F142" i="14"/>
  <c r="F145" i="14"/>
  <c r="F146" i="14" s="1"/>
  <c r="F148" i="14"/>
  <c r="F149" i="14" s="1"/>
  <c r="F151" i="14"/>
  <c r="F152" i="14" s="1"/>
  <c r="F154" i="14"/>
  <c r="F155" i="14"/>
  <c r="F156" i="14"/>
  <c r="F157" i="14"/>
  <c r="F158" i="14"/>
  <c r="F159" i="14"/>
  <c r="F162" i="14"/>
  <c r="F163" i="14"/>
  <c r="F164" i="14"/>
  <c r="F167" i="14"/>
  <c r="F168" i="14"/>
  <c r="F169" i="14"/>
  <c r="F170" i="14"/>
  <c r="F171" i="14"/>
  <c r="F172" i="14"/>
  <c r="F173" i="14"/>
  <c r="F174" i="14"/>
  <c r="F175" i="14"/>
  <c r="F178" i="14"/>
  <c r="F179" i="14"/>
  <c r="F180" i="14"/>
  <c r="F183" i="14"/>
  <c r="F184" i="14" s="1"/>
  <c r="F186" i="14"/>
  <c r="F187" i="14"/>
  <c r="F188" i="14"/>
  <c r="F191" i="14"/>
  <c r="F192" i="14" s="1"/>
  <c r="F194" i="14"/>
  <c r="F195" i="14" s="1"/>
  <c r="F197" i="14"/>
  <c r="F198" i="14" s="1"/>
  <c r="F200" i="14"/>
  <c r="F201" i="14"/>
  <c r="F202" i="14"/>
  <c r="F205" i="14"/>
  <c r="F206" i="14"/>
  <c r="F209" i="14"/>
  <c r="F210" i="14" s="1"/>
  <c r="F212" i="14"/>
  <c r="F213" i="14"/>
  <c r="F214" i="14"/>
  <c r="F215" i="14"/>
  <c r="F218" i="14"/>
  <c r="F219" i="14"/>
  <c r="F220" i="14"/>
  <c r="F221" i="14"/>
  <c r="F224" i="14"/>
  <c r="F225" i="14"/>
  <c r="F226" i="14"/>
  <c r="F229" i="14"/>
  <c r="F230" i="14" s="1"/>
  <c r="F232" i="14"/>
  <c r="F233" i="14" s="1"/>
  <c r="F235" i="14"/>
  <c r="F236" i="14" s="1"/>
  <c r="F238" i="14"/>
  <c r="F239" i="14"/>
  <c r="F240" i="14"/>
  <c r="F243" i="14"/>
  <c r="F244" i="14"/>
  <c r="F245" i="14"/>
  <c r="F248" i="14"/>
  <c r="F249" i="14" s="1"/>
  <c r="F251" i="14"/>
  <c r="F252" i="14"/>
  <c r="F255" i="14"/>
  <c r="F256" i="14" s="1"/>
  <c r="F258" i="14"/>
  <c r="F259" i="14" s="1"/>
  <c r="F261" i="14"/>
  <c r="F262" i="14"/>
  <c r="F263" i="14"/>
  <c r="F264" i="14"/>
  <c r="F265" i="14"/>
  <c r="F268" i="14"/>
  <c r="F269" i="14"/>
  <c r="F272" i="14"/>
  <c r="F273" i="14"/>
  <c r="F276" i="14"/>
  <c r="F277" i="14" s="1"/>
  <c r="F279" i="14"/>
  <c r="F280" i="14" s="1"/>
  <c r="F282" i="14"/>
  <c r="F283" i="14"/>
  <c r="F286" i="14"/>
  <c r="F287" i="14" s="1"/>
  <c r="F289" i="14"/>
  <c r="F290" i="14"/>
  <c r="F293" i="14"/>
  <c r="F294" i="14" s="1"/>
  <c r="F296" i="14"/>
  <c r="F297" i="14" s="1"/>
  <c r="F299" i="14"/>
  <c r="F300" i="14"/>
  <c r="F301" i="14"/>
  <c r="F302" i="14"/>
  <c r="F305" i="14"/>
  <c r="F306" i="14" s="1"/>
  <c r="F308" i="14"/>
  <c r="F309" i="14"/>
  <c r="F312" i="14"/>
  <c r="F313" i="14"/>
  <c r="F314" i="14"/>
  <c r="F315" i="14"/>
  <c r="F318" i="14"/>
  <c r="F319" i="14" s="1"/>
  <c r="F321" i="14"/>
  <c r="F322" i="14" s="1"/>
  <c r="F324" i="14"/>
  <c r="F325" i="14"/>
  <c r="F328" i="14"/>
  <c r="F329" i="14" s="1"/>
  <c r="F331" i="14"/>
  <c r="F332" i="14" s="1"/>
  <c r="F334" i="14"/>
  <c r="F335" i="14" s="1"/>
  <c r="F337" i="14"/>
  <c r="F338" i="14" s="1"/>
  <c r="F340" i="14"/>
  <c r="F341" i="14" s="1"/>
  <c r="F343" i="14"/>
  <c r="F344" i="14" s="1"/>
  <c r="F346" i="14"/>
  <c r="F347" i="14" s="1"/>
  <c r="F349" i="14"/>
  <c r="F350" i="14" s="1"/>
  <c r="F352" i="14"/>
  <c r="F353" i="14" s="1"/>
  <c r="F355" i="14"/>
  <c r="F356" i="14"/>
  <c r="F359" i="14"/>
  <c r="F360" i="14"/>
  <c r="F361" i="14"/>
  <c r="F362" i="14"/>
  <c r="F365" i="14"/>
  <c r="F366" i="14"/>
  <c r="F367" i="14"/>
  <c r="F368" i="14"/>
  <c r="F369" i="14"/>
  <c r="F370" i="14"/>
  <c r="F373" i="14"/>
  <c r="F374" i="14"/>
  <c r="F377" i="14"/>
  <c r="F378" i="14" s="1"/>
  <c r="F380" i="14"/>
  <c r="F381" i="14" s="1"/>
  <c r="F383" i="14"/>
  <c r="F384" i="14" s="1"/>
  <c r="F386" i="14"/>
  <c r="F387" i="14" s="1"/>
  <c r="F389" i="14"/>
  <c r="F390" i="14"/>
  <c r="F393" i="14"/>
  <c r="F394" i="14"/>
  <c r="F397" i="14"/>
  <c r="F398" i="14" s="1"/>
  <c r="F400" i="14"/>
  <c r="F401" i="14" s="1"/>
  <c r="F403" i="14"/>
  <c r="F404" i="14" s="1"/>
  <c r="F406" i="14"/>
  <c r="F407" i="14" s="1"/>
  <c r="F409" i="14"/>
  <c r="F410" i="14" s="1"/>
  <c r="F412" i="14"/>
  <c r="F413" i="14" s="1"/>
  <c r="F415" i="14"/>
  <c r="F416" i="14" s="1"/>
  <c r="F418" i="14"/>
  <c r="F419" i="14" s="1"/>
  <c r="F421" i="14"/>
  <c r="F422" i="14" s="1"/>
  <c r="F424" i="14"/>
  <c r="F425" i="14" s="1"/>
  <c r="F427" i="14"/>
  <c r="F428" i="14"/>
  <c r="F431" i="14"/>
  <c r="F432" i="14" s="1"/>
  <c r="F434" i="14"/>
  <c r="F435" i="14" s="1"/>
  <c r="F437" i="14"/>
  <c r="F438" i="14"/>
  <c r="F441" i="14"/>
  <c r="F442" i="14" s="1"/>
  <c r="F444" i="14"/>
  <c r="F445" i="14"/>
  <c r="F448" i="14"/>
  <c r="F449" i="14"/>
  <c r="F455" i="14"/>
  <c r="F456" i="14" s="1"/>
  <c r="F458" i="14"/>
  <c r="F459" i="14" s="1"/>
  <c r="F461" i="14"/>
  <c r="F462" i="14"/>
  <c r="F463" i="14"/>
  <c r="F466" i="14"/>
  <c r="F467" i="14" s="1"/>
  <c r="F469" i="14"/>
  <c r="F470" i="14" s="1"/>
  <c r="F472" i="14"/>
  <c r="F473" i="14"/>
  <c r="F474" i="14"/>
  <c r="F475" i="14"/>
  <c r="F478" i="14"/>
  <c r="F479" i="14"/>
  <c r="F480" i="14"/>
  <c r="F483" i="14"/>
  <c r="F484" i="14"/>
  <c r="F485" i="14"/>
  <c r="F489" i="14"/>
  <c r="F490" i="14" s="1"/>
  <c r="F492" i="14"/>
  <c r="F493" i="14"/>
  <c r="F494" i="14"/>
  <c r="F497" i="14"/>
  <c r="F499" i="14"/>
  <c r="F500" i="14"/>
  <c r="F501" i="14"/>
  <c r="F506" i="14"/>
  <c r="F507" i="14" s="1"/>
  <c r="F509" i="14"/>
  <c r="F510" i="14" s="1"/>
  <c r="F512" i="14"/>
  <c r="F513" i="14" s="1"/>
  <c r="F515" i="14"/>
  <c r="F516" i="14" s="1"/>
  <c r="F518" i="14"/>
  <c r="F519" i="14" s="1"/>
  <c r="F521" i="14"/>
  <c r="F522" i="14"/>
  <c r="F525" i="14"/>
  <c r="F526" i="14" s="1"/>
  <c r="F528" i="14"/>
  <c r="F529" i="14" s="1"/>
  <c r="F531" i="14"/>
  <c r="F532" i="14"/>
  <c r="F535" i="14"/>
  <c r="F536" i="14"/>
  <c r="F537" i="14"/>
  <c r="F538" i="14"/>
  <c r="F541" i="14"/>
  <c r="F542" i="14" s="1"/>
  <c r="F544" i="14"/>
  <c r="F545" i="14" s="1"/>
  <c r="F547" i="14"/>
  <c r="F548" i="14" s="1"/>
  <c r="F550" i="14"/>
  <c r="F551" i="14" s="1"/>
  <c r="F553" i="14"/>
  <c r="F554" i="14" s="1"/>
  <c r="F556" i="14"/>
  <c r="F557" i="14" s="1"/>
  <c r="F559" i="14"/>
  <c r="F560" i="14" s="1"/>
  <c r="F562" i="14"/>
  <c r="F563" i="14" s="1"/>
  <c r="F565" i="14"/>
  <c r="F566" i="14" s="1"/>
  <c r="F568" i="14"/>
  <c r="F569" i="14"/>
  <c r="F570" i="14"/>
  <c r="F571" i="14"/>
  <c r="F572" i="14"/>
  <c r="F573" i="14"/>
  <c r="F574" i="14"/>
  <c r="F575" i="14"/>
  <c r="F578" i="14"/>
  <c r="F579" i="14" s="1"/>
  <c r="F581" i="14"/>
  <c r="F582" i="14"/>
  <c r="F585" i="14"/>
  <c r="F586" i="14"/>
  <c r="F587" i="14"/>
  <c r="F588" i="14"/>
  <c r="F591" i="14"/>
  <c r="F592" i="14"/>
  <c r="F593" i="14"/>
  <c r="F594" i="14"/>
  <c r="F597" i="14"/>
  <c r="F598" i="14"/>
  <c r="F599" i="14"/>
  <c r="F602" i="14"/>
  <c r="F603" i="14"/>
  <c r="F606" i="14"/>
  <c r="F607" i="14" s="1"/>
  <c r="F609" i="14"/>
  <c r="F610" i="14" s="1"/>
  <c r="F612" i="14"/>
  <c r="F613" i="14" s="1"/>
  <c r="F615" i="14"/>
  <c r="F616" i="14" s="1"/>
  <c r="F618" i="14"/>
  <c r="F619" i="14"/>
  <c r="F620" i="14"/>
  <c r="F623" i="14"/>
  <c r="F624" i="14" s="1"/>
  <c r="F626" i="14"/>
  <c r="F627" i="14"/>
  <c r="F628" i="14"/>
  <c r="F629" i="14"/>
  <c r="F630" i="14"/>
  <c r="F631" i="14"/>
  <c r="F634" i="14"/>
  <c r="F635" i="14" s="1"/>
  <c r="F637" i="14"/>
  <c r="F638" i="14" s="1"/>
  <c r="F640" i="14"/>
  <c r="F641" i="14" s="1"/>
  <c r="F643" i="14"/>
  <c r="F644" i="14" s="1"/>
  <c r="F646" i="14"/>
  <c r="F647" i="14" s="1"/>
  <c r="F649" i="14"/>
  <c r="F650" i="14" s="1"/>
  <c r="F652" i="14"/>
  <c r="F653" i="14" s="1"/>
  <c r="F655" i="14"/>
  <c r="F656" i="14"/>
  <c r="F657" i="14"/>
  <c r="F658" i="14"/>
  <c r="F659" i="14"/>
  <c r="F662" i="14"/>
  <c r="F663" i="14"/>
  <c r="F666" i="14"/>
  <c r="F667" i="14"/>
  <c r="F668" i="14"/>
  <c r="F671" i="14"/>
  <c r="F672" i="14"/>
  <c r="F675" i="14"/>
  <c r="F676" i="14"/>
  <c r="F677" i="14"/>
  <c r="F678" i="14"/>
  <c r="F681" i="14"/>
  <c r="F682" i="14"/>
  <c r="F685" i="14"/>
  <c r="F686" i="14" s="1"/>
  <c r="F688" i="14"/>
  <c r="F689" i="14" s="1"/>
  <c r="F691" i="14"/>
  <c r="F692" i="14" s="1"/>
  <c r="F694" i="14"/>
  <c r="F695" i="14" s="1"/>
  <c r="F697" i="14"/>
  <c r="F698" i="14" s="1"/>
  <c r="F700" i="14"/>
  <c r="F701" i="14" s="1"/>
  <c r="F703" i="14"/>
  <c r="F704" i="14"/>
  <c r="F707" i="14"/>
  <c r="F708" i="14" s="1"/>
  <c r="F710" i="14"/>
  <c r="F711" i="14"/>
  <c r="F712" i="14"/>
  <c r="F713" i="14"/>
  <c r="F716" i="14"/>
  <c r="F717" i="14" s="1"/>
  <c r="F719" i="14"/>
  <c r="F720" i="14" s="1"/>
  <c r="F722" i="14"/>
  <c r="F723" i="14" s="1"/>
  <c r="F725" i="14"/>
  <c r="F726" i="14"/>
  <c r="F729" i="14"/>
  <c r="F730" i="14"/>
  <c r="F731" i="14"/>
  <c r="F732" i="14"/>
  <c r="F735" i="14"/>
  <c r="F736" i="14" s="1"/>
  <c r="F738" i="14"/>
  <c r="F739" i="14"/>
  <c r="F740" i="14"/>
  <c r="F743" i="14"/>
  <c r="F744" i="14"/>
  <c r="F745" i="14"/>
  <c r="F746" i="14"/>
  <c r="F749" i="14"/>
  <c r="F750" i="14" s="1"/>
  <c r="F752" i="14"/>
  <c r="F753" i="14" s="1"/>
  <c r="F755" i="14"/>
  <c r="F756" i="14" s="1"/>
  <c r="F758" i="14"/>
  <c r="F759" i="14"/>
  <c r="F762" i="14"/>
  <c r="F763" i="14" s="1"/>
  <c r="F765" i="14"/>
  <c r="F766" i="14"/>
  <c r="F767" i="14"/>
  <c r="F770" i="14"/>
  <c r="F771" i="14" s="1"/>
  <c r="F773" i="14"/>
  <c r="F774" i="14"/>
  <c r="F775" i="14"/>
  <c r="F778" i="14"/>
  <c r="F779" i="14"/>
  <c r="F780" i="14"/>
  <c r="F781" i="14"/>
  <c r="F784" i="14"/>
  <c r="F785" i="14" s="1"/>
  <c r="F787" i="14"/>
  <c r="F788" i="14"/>
  <c r="F791" i="14"/>
  <c r="F792" i="14" s="1"/>
  <c r="F794" i="14"/>
  <c r="F795" i="14" s="1"/>
  <c r="F797" i="14"/>
  <c r="F798" i="14" s="1"/>
  <c r="F800" i="14"/>
  <c r="F801" i="14" s="1"/>
  <c r="F803" i="14"/>
  <c r="F804" i="14"/>
  <c r="F807" i="14"/>
  <c r="F808" i="14"/>
  <c r="F811" i="14"/>
  <c r="F812" i="14"/>
  <c r="F815" i="14"/>
  <c r="F816" i="14" s="1"/>
  <c r="F818" i="14"/>
  <c r="F819" i="14" s="1"/>
  <c r="F821" i="14"/>
  <c r="F822" i="14" s="1"/>
  <c r="F824" i="14"/>
  <c r="F825" i="14" s="1"/>
  <c r="F827" i="14"/>
  <c r="F828" i="14" s="1"/>
  <c r="F830" i="14"/>
  <c r="F831" i="14"/>
  <c r="F834" i="14"/>
  <c r="F835" i="14" s="1"/>
  <c r="F837" i="14"/>
  <c r="F838" i="14" s="1"/>
  <c r="F840" i="14"/>
  <c r="F841" i="14" s="1"/>
  <c r="F843" i="14"/>
  <c r="F844" i="14" s="1"/>
  <c r="F846" i="14"/>
  <c r="F847" i="14" s="1"/>
  <c r="F849" i="14"/>
  <c r="F850" i="14"/>
  <c r="F853" i="14"/>
  <c r="F854" i="14" s="1"/>
  <c r="F856" i="14"/>
  <c r="F857" i="14"/>
  <c r="F858" i="14"/>
  <c r="F859" i="14"/>
  <c r="F860" i="14"/>
  <c r="F861" i="14"/>
  <c r="F864" i="14"/>
  <c r="F865" i="14" s="1"/>
  <c r="F867" i="14"/>
  <c r="F868" i="14" s="1"/>
  <c r="F870" i="14"/>
  <c r="F871" i="14" s="1"/>
  <c r="F873" i="14"/>
  <c r="F874" i="14" s="1"/>
  <c r="F876" i="14"/>
  <c r="F877" i="14" s="1"/>
  <c r="F879" i="14"/>
  <c r="F880" i="14" s="1"/>
  <c r="F882" i="14"/>
  <c r="F883" i="14" s="1"/>
  <c r="F885" i="14"/>
  <c r="F886" i="14" s="1"/>
  <c r="F888" i="14"/>
  <c r="F889" i="14"/>
  <c r="F890" i="14"/>
  <c r="F891" i="14"/>
  <c r="F894" i="14"/>
  <c r="F895" i="14"/>
  <c r="F896" i="14"/>
  <c r="F899" i="14"/>
  <c r="F900" i="14"/>
  <c r="F901" i="14"/>
  <c r="F902" i="14"/>
  <c r="F903" i="14"/>
  <c r="F906" i="14"/>
  <c r="F907" i="14"/>
  <c r="F908" i="14"/>
  <c r="F909" i="14"/>
  <c r="F910" i="14"/>
  <c r="F911" i="14"/>
  <c r="F914" i="14"/>
  <c r="F915" i="14" s="1"/>
  <c r="F928" i="14"/>
  <c r="F929" i="14"/>
  <c r="F932" i="14"/>
  <c r="F933" i="14" s="1"/>
  <c r="F935" i="14"/>
  <c r="F936" i="14"/>
  <c r="F939" i="14"/>
  <c r="F940" i="14"/>
  <c r="F943" i="14"/>
  <c r="F944" i="14"/>
  <c r="F947" i="14"/>
  <c r="F948" i="14" s="1"/>
  <c r="F950" i="14"/>
  <c r="F951" i="14"/>
  <c r="F952" i="14"/>
  <c r="F955" i="14"/>
  <c r="F956" i="14" s="1"/>
  <c r="F958" i="14"/>
  <c r="F959" i="14" s="1"/>
  <c r="F961" i="14"/>
  <c r="F962" i="14" s="1"/>
  <c r="F964" i="14"/>
  <c r="F965" i="14" s="1"/>
  <c r="F967" i="14"/>
  <c r="F968" i="14" s="1"/>
  <c r="F970" i="14"/>
  <c r="F971" i="14" s="1"/>
  <c r="F973" i="14"/>
  <c r="F974" i="14" s="1"/>
  <c r="F976" i="14"/>
  <c r="F977" i="14" s="1"/>
  <c r="F979" i="14"/>
  <c r="F980" i="14" s="1"/>
  <c r="F982" i="14"/>
  <c r="F983" i="14" s="1"/>
  <c r="F985" i="14"/>
  <c r="F986" i="14" s="1"/>
  <c r="F988" i="14"/>
  <c r="F989" i="14" s="1"/>
  <c r="F991" i="14"/>
  <c r="F992" i="14" s="1"/>
  <c r="F994" i="14"/>
  <c r="F995" i="14" s="1"/>
  <c r="F997" i="14"/>
  <c r="F998" i="14"/>
  <c r="F999" i="14"/>
  <c r="F1002" i="14"/>
  <c r="F1003" i="14"/>
  <c r="F1006" i="14"/>
  <c r="F1007" i="14" s="1"/>
  <c r="F1009" i="14"/>
  <c r="F1010" i="14"/>
  <c r="F1011" i="14"/>
  <c r="F1014" i="14"/>
  <c r="F1015" i="14" s="1"/>
  <c r="F1017" i="14"/>
  <c r="F1018" i="14"/>
  <c r="F1019" i="14"/>
  <c r="F1020" i="14"/>
  <c r="F1023" i="14"/>
  <c r="F1024" i="14" s="1"/>
  <c r="F1026" i="14"/>
  <c r="F1027" i="14"/>
  <c r="F1028" i="14"/>
  <c r="F1029" i="14"/>
  <c r="F1030" i="14"/>
  <c r="F1031" i="14"/>
  <c r="F1032" i="14"/>
  <c r="F1033" i="14"/>
  <c r="F1036" i="14"/>
  <c r="F1037" i="14"/>
  <c r="F1038" i="14"/>
  <c r="F1039" i="14"/>
  <c r="F1040" i="14"/>
  <c r="F1041" i="14"/>
  <c r="F1044" i="14"/>
  <c r="F1045" i="14"/>
  <c r="F1046" i="14"/>
  <c r="F1047" i="14"/>
  <c r="F1048" i="14"/>
  <c r="F1049" i="14"/>
  <c r="F1052" i="14"/>
  <c r="F1053" i="14" s="1"/>
  <c r="F1055" i="14"/>
  <c r="F1056" i="14" s="1"/>
  <c r="F1058" i="14"/>
  <c r="F1059" i="14" s="1"/>
  <c r="F1061" i="14"/>
  <c r="F1062" i="14" s="1"/>
  <c r="F1064" i="14"/>
  <c r="F1065" i="14" s="1"/>
  <c r="F1067" i="14"/>
  <c r="F1068" i="14" s="1"/>
  <c r="F1070" i="14"/>
  <c r="F1071" i="14" s="1"/>
  <c r="F1073" i="14"/>
  <c r="F1074" i="14" s="1"/>
  <c r="F1076" i="14"/>
  <c r="F1077" i="14" s="1"/>
  <c r="F1079" i="14"/>
  <c r="F1080" i="14" s="1"/>
  <c r="F1082" i="14"/>
  <c r="F1083" i="14" s="1"/>
  <c r="F1085" i="14"/>
  <c r="F1086" i="14"/>
  <c r="F1087" i="14"/>
  <c r="F1088" i="14"/>
  <c r="F1091" i="14"/>
  <c r="F1092" i="14" s="1"/>
  <c r="F1094" i="14"/>
  <c r="F1095" i="14"/>
  <c r="F1096" i="14"/>
  <c r="F1099" i="14"/>
  <c r="F1100" i="14"/>
  <c r="F1103" i="14"/>
  <c r="F1104" i="14"/>
  <c r="F1105" i="14"/>
  <c r="F1106" i="14"/>
  <c r="F1107" i="14"/>
  <c r="F1108" i="14"/>
  <c r="F1109" i="14"/>
  <c r="F1110" i="14"/>
  <c r="F1111" i="14"/>
  <c r="F1114" i="14"/>
  <c r="F1115" i="14" s="1"/>
  <c r="F1117" i="14"/>
  <c r="F1118" i="14" s="1"/>
  <c r="F1120" i="14"/>
  <c r="F1121" i="14" s="1"/>
  <c r="F1123" i="14"/>
  <c r="F1124" i="14" s="1"/>
  <c r="F1126" i="14"/>
  <c r="F1127" i="14" s="1"/>
  <c r="F1129" i="14"/>
  <c r="F1130" i="14" s="1"/>
  <c r="F1132" i="14"/>
  <c r="F1133" i="14"/>
  <c r="F1136" i="14"/>
  <c r="F1137" i="14" s="1"/>
  <c r="F1139" i="14"/>
  <c r="F1140" i="14"/>
  <c r="F1141" i="14"/>
  <c r="F1144" i="14"/>
  <c r="F1145" i="14"/>
  <c r="F1148" i="14"/>
  <c r="F1149" i="14"/>
  <c r="F1150" i="14"/>
  <c r="F1153" i="14"/>
  <c r="F1154" i="14" s="1"/>
  <c r="F1156" i="14"/>
  <c r="F1157" i="14"/>
  <c r="F1160" i="14"/>
  <c r="F1161" i="14" s="1"/>
  <c r="F1163" i="14"/>
  <c r="F1164" i="14" s="1"/>
  <c r="F1166" i="14"/>
  <c r="F1167" i="14" s="1"/>
  <c r="F1169" i="14"/>
  <c r="F1170" i="14" s="1"/>
  <c r="F1172" i="14"/>
  <c r="F1173" i="14" s="1"/>
  <c r="F1175" i="14"/>
  <c r="F1176" i="14" s="1"/>
  <c r="F1178" i="14"/>
  <c r="F1179" i="14"/>
  <c r="F1182" i="14"/>
  <c r="F1183" i="14"/>
  <c r="F1186" i="14"/>
  <c r="F1187" i="14" s="1"/>
  <c r="F1189" i="14"/>
  <c r="F1190" i="14"/>
  <c r="F1191" i="14"/>
  <c r="F1194" i="14"/>
  <c r="F1195" i="14"/>
  <c r="F1196" i="14"/>
  <c r="F1197" i="14"/>
  <c r="F1198" i="14"/>
  <c r="F1201" i="14"/>
  <c r="F1202" i="14" s="1"/>
  <c r="F1204" i="14"/>
  <c r="F1205" i="14"/>
  <c r="F1206" i="14"/>
  <c r="F1209" i="14"/>
  <c r="F1210" i="14"/>
  <c r="F1211" i="14"/>
  <c r="F1212" i="14"/>
  <c r="F1213" i="14"/>
  <c r="F1216" i="14"/>
  <c r="F1217" i="14"/>
  <c r="F1218" i="14"/>
  <c r="F1219" i="14"/>
  <c r="F1222" i="14"/>
  <c r="F1223" i="14"/>
  <c r="F1226" i="14"/>
  <c r="F1227" i="14"/>
  <c r="F1228" i="14"/>
  <c r="F1229" i="14"/>
  <c r="F1232" i="14"/>
  <c r="F1233" i="14" s="1"/>
  <c r="F1235" i="14"/>
  <c r="F1236" i="14"/>
  <c r="F1237" i="14"/>
  <c r="F1238" i="14"/>
  <c r="F1239" i="14"/>
  <c r="F1240" i="14"/>
  <c r="F1243" i="14"/>
  <c r="F1244" i="14"/>
  <c r="F1245" i="14"/>
  <c r="F1246" i="14"/>
  <c r="F1247" i="14"/>
  <c r="F1248" i="14"/>
  <c r="F1251" i="14"/>
  <c r="F1252" i="14" s="1"/>
  <c r="F1254" i="14"/>
  <c r="F1255" i="14" s="1"/>
  <c r="F1257" i="14"/>
  <c r="F1258" i="14" s="1"/>
  <c r="F1260" i="14"/>
  <c r="F1261" i="14" s="1"/>
  <c r="F1263" i="14"/>
  <c r="F1264" i="14"/>
  <c r="F1267" i="14"/>
  <c r="F1268" i="14" s="1"/>
  <c r="F1270" i="14"/>
  <c r="F1271" i="14" s="1"/>
  <c r="F1273" i="14"/>
  <c r="F1274" i="14"/>
  <c r="F1277" i="14"/>
  <c r="F1278" i="14" s="1"/>
  <c r="F1280" i="14"/>
  <c r="F1281" i="14" s="1"/>
  <c r="F1283" i="14"/>
  <c r="F1284" i="14" s="1"/>
  <c r="F1286" i="14"/>
  <c r="F1287" i="14" s="1"/>
  <c r="F1289" i="14"/>
  <c r="F1290" i="14" s="1"/>
  <c r="F1292" i="14"/>
  <c r="F1293" i="14" s="1"/>
  <c r="F1295" i="14"/>
  <c r="F1296" i="14" s="1"/>
  <c r="F1298" i="14"/>
  <c r="F1299" i="14"/>
  <c r="F1302" i="14"/>
  <c r="F1303" i="14" s="1"/>
  <c r="F1305" i="14"/>
  <c r="F1306" i="14"/>
  <c r="F1307" i="14"/>
  <c r="F1310" i="14"/>
  <c r="F1311" i="14" s="1"/>
  <c r="F1313" i="14"/>
  <c r="F1314" i="14" s="1"/>
  <c r="F1316" i="14"/>
  <c r="F1317" i="14" s="1"/>
  <c r="F1319" i="14"/>
  <c r="F1320" i="14" s="1"/>
  <c r="F1322" i="14"/>
  <c r="F1323" i="14" s="1"/>
  <c r="F1325" i="14"/>
  <c r="F1326" i="14"/>
  <c r="F1327" i="14"/>
  <c r="F1328" i="14"/>
  <c r="F1331" i="14"/>
  <c r="F1332" i="14"/>
  <c r="F1335" i="14"/>
  <c r="F1336" i="14" s="1"/>
  <c r="F1338" i="14"/>
  <c r="F1339" i="14" s="1"/>
  <c r="F1341" i="14"/>
  <c r="F1342" i="14" s="1"/>
  <c r="F1344" i="14"/>
  <c r="F1345" i="14"/>
  <c r="F1346" i="14"/>
  <c r="F1349" i="14"/>
  <c r="F1350" i="14"/>
  <c r="F1353" i="14"/>
  <c r="F1354" i="14"/>
  <c r="F1357" i="14"/>
  <c r="F1358" i="14" s="1"/>
  <c r="F1360" i="14"/>
  <c r="F1361" i="14" s="1"/>
  <c r="F1363" i="14"/>
  <c r="F1364" i="14" s="1"/>
  <c r="F1366" i="14"/>
  <c r="F1367" i="14" s="1"/>
  <c r="F1369" i="14"/>
  <c r="F1370" i="14" s="1"/>
  <c r="F1372" i="14"/>
  <c r="F1373" i="14" s="1"/>
  <c r="F1375" i="14"/>
  <c r="F1376" i="14" s="1"/>
  <c r="F1378" i="14"/>
  <c r="F1379" i="14" s="1"/>
  <c r="F1381" i="14"/>
  <c r="F1382" i="14"/>
  <c r="F1383" i="14"/>
  <c r="F1386" i="14"/>
  <c r="F1387" i="14"/>
  <c r="F1388" i="14"/>
  <c r="F1389" i="14"/>
  <c r="F1390" i="14"/>
  <c r="F1393" i="14"/>
  <c r="F1394" i="14"/>
  <c r="F1395" i="14"/>
  <c r="F1396" i="14"/>
  <c r="F1397" i="14"/>
  <c r="F1400" i="14"/>
  <c r="F1401" i="14"/>
  <c r="F1402" i="14"/>
  <c r="F1403" i="14"/>
  <c r="F1404" i="14"/>
  <c r="F1405" i="14"/>
  <c r="F1408" i="14"/>
  <c r="F1409" i="14"/>
  <c r="F1412" i="14"/>
  <c r="F1413" i="14" s="1"/>
  <c r="F1415" i="14"/>
  <c r="F1416" i="14" s="1"/>
  <c r="F1418" i="14"/>
  <c r="F1419" i="14" s="1"/>
  <c r="F1421" i="14"/>
  <c r="F1422" i="14" s="1"/>
  <c r="F1424" i="14"/>
  <c r="F1425" i="14" s="1"/>
  <c r="F1427" i="14"/>
  <c r="F1428" i="14" s="1"/>
  <c r="F1430" i="14"/>
  <c r="F1431" i="14"/>
  <c r="F1434" i="14"/>
  <c r="F1435" i="14" s="1"/>
  <c r="F1437" i="14"/>
  <c r="F1438" i="14" s="1"/>
  <c r="F1440" i="14"/>
  <c r="F1441" i="14"/>
  <c r="F1444" i="14"/>
  <c r="F1445" i="14" s="1"/>
  <c r="F1447" i="14"/>
  <c r="F1448" i="14" s="1"/>
  <c r="F1450" i="14"/>
  <c r="F1451" i="14"/>
  <c r="F1452" i="14"/>
  <c r="F1453" i="14"/>
  <c r="F1454" i="14"/>
  <c r="F1457" i="14"/>
  <c r="F1458" i="14"/>
  <c r="F1459" i="14"/>
  <c r="F1462" i="14"/>
  <c r="F1463" i="14" s="1"/>
  <c r="F1465" i="14"/>
  <c r="F1466" i="14" s="1"/>
  <c r="F1468" i="14"/>
  <c r="F1469" i="14"/>
  <c r="F1472" i="14"/>
  <c r="F1473" i="14"/>
  <c r="F1476" i="14"/>
  <c r="F1477" i="14" s="1"/>
  <c r="F1479" i="14"/>
  <c r="F1480" i="14"/>
  <c r="F1483" i="14"/>
  <c r="F1484" i="14" s="1"/>
  <c r="F1486" i="14"/>
  <c r="F1487" i="14"/>
  <c r="F1488" i="14"/>
  <c r="F1491" i="14"/>
  <c r="F1492" i="14" s="1"/>
  <c r="F1494" i="14"/>
  <c r="F1495" i="14"/>
  <c r="F1496" i="14"/>
  <c r="F1497" i="14"/>
  <c r="F1498" i="14"/>
  <c r="F1499" i="14"/>
  <c r="F1502" i="14"/>
  <c r="F1503" i="14"/>
  <c r="F1504" i="14"/>
  <c r="F1505" i="14"/>
  <c r="F1506" i="14"/>
  <c r="F1507" i="14"/>
  <c r="F1508" i="14"/>
  <c r="F1509" i="14"/>
  <c r="F1512" i="14"/>
  <c r="F1513" i="14"/>
  <c r="F1514" i="14"/>
  <c r="F1517" i="14"/>
  <c r="F1518" i="14" s="1"/>
  <c r="F1520" i="14"/>
  <c r="F1521" i="14" s="1"/>
  <c r="F1523" i="14"/>
  <c r="F1524" i="14" s="1"/>
  <c r="F1526" i="14"/>
  <c r="F1527" i="14" s="1"/>
  <c r="F1529" i="14"/>
  <c r="F1530" i="14" s="1"/>
  <c r="F1532" i="14"/>
  <c r="F1533" i="14" s="1"/>
  <c r="F1535" i="14"/>
  <c r="F1536" i="14"/>
  <c r="F1539" i="14"/>
  <c r="F1540" i="14" s="1"/>
  <c r="F1542" i="14"/>
  <c r="F1543" i="14" s="1"/>
  <c r="F1545" i="14"/>
  <c r="F1546" i="14" s="1"/>
  <c r="F1548" i="14"/>
  <c r="F1549" i="14" s="1"/>
  <c r="F1551" i="14"/>
  <c r="F1552" i="14" s="1"/>
  <c r="F1554" i="14"/>
  <c r="F1555" i="14" s="1"/>
  <c r="F1557" i="14"/>
  <c r="F1558" i="14" s="1"/>
  <c r="F1560" i="14"/>
  <c r="F1561" i="14" s="1"/>
  <c r="F1563" i="14"/>
  <c r="F1564" i="14"/>
  <c r="F1567" i="14"/>
  <c r="F1568" i="14" s="1"/>
  <c r="F1570" i="14"/>
  <c r="F1571" i="14"/>
  <c r="F1574" i="14"/>
  <c r="F1575" i="14"/>
  <c r="F1576" i="14"/>
  <c r="F1577" i="14"/>
  <c r="F1578" i="14"/>
  <c r="F1581" i="14"/>
  <c r="F1582" i="14"/>
  <c r="F1583" i="14"/>
  <c r="F1584" i="14"/>
  <c r="F1587" i="14"/>
  <c r="F1588" i="14" s="1"/>
  <c r="F1590" i="14"/>
  <c r="F1591" i="14"/>
  <c r="F1592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9" i="14"/>
  <c r="F1610" i="14" s="1"/>
  <c r="F1612" i="14"/>
  <c r="F1613" i="14" s="1"/>
  <c r="F1615" i="14"/>
  <c r="F1616" i="14" s="1"/>
  <c r="F1618" i="14"/>
  <c r="F1619" i="14" s="1"/>
  <c r="F1621" i="14"/>
  <c r="F1622" i="14" s="1"/>
  <c r="F1624" i="14"/>
  <c r="F1625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42" i="14"/>
  <c r="F1643" i="14"/>
  <c r="F1644" i="14"/>
  <c r="F1647" i="14"/>
  <c r="F1648" i="14" s="1"/>
  <c r="F1650" i="14"/>
  <c r="F1651" i="14" s="1"/>
  <c r="F1653" i="14"/>
  <c r="F1654" i="14" s="1"/>
  <c r="F1656" i="14"/>
  <c r="F1657" i="14" s="1"/>
  <c r="F1659" i="14"/>
  <c r="F1660" i="14" s="1"/>
  <c r="F1662" i="14"/>
  <c r="F1663" i="14"/>
  <c r="F1666" i="14"/>
  <c r="F1667" i="14" s="1"/>
  <c r="F1669" i="14"/>
  <c r="F1670" i="14" s="1"/>
  <c r="F1672" i="14"/>
  <c r="F1673" i="14" s="1"/>
  <c r="F1675" i="14"/>
  <c r="F1676" i="14"/>
  <c r="F1677" i="14"/>
  <c r="F1678" i="14"/>
  <c r="F1681" i="14"/>
  <c r="F1682" i="14" s="1"/>
  <c r="F1684" i="14"/>
  <c r="F1685" i="14" s="1"/>
  <c r="F1687" i="14"/>
  <c r="F1688" i="14"/>
  <c r="F1689" i="14"/>
  <c r="F1690" i="14"/>
  <c r="F1693" i="14"/>
  <c r="F1694" i="14"/>
  <c r="F1695" i="14"/>
  <c r="F1698" i="14"/>
  <c r="F1699" i="14"/>
  <c r="F1700" i="14"/>
  <c r="F1701" i="14"/>
  <c r="F1702" i="14"/>
  <c r="F1705" i="14"/>
  <c r="F1706" i="14" s="1"/>
  <c r="F1708" i="14"/>
  <c r="F1709" i="14" s="1"/>
  <c r="F1711" i="14"/>
  <c r="F1712" i="14" s="1"/>
  <c r="F1714" i="14"/>
  <c r="F1715" i="14" s="1"/>
  <c r="F1717" i="14"/>
  <c r="F1718" i="14"/>
  <c r="F1721" i="14"/>
  <c r="F1722" i="14" s="1"/>
  <c r="F1724" i="14"/>
  <c r="F1725" i="14"/>
  <c r="F1726" i="14"/>
  <c r="F1729" i="14"/>
  <c r="F1730" i="14"/>
  <c r="F1733" i="14"/>
  <c r="F1734" i="14" s="1"/>
  <c r="F1736" i="14"/>
  <c r="F1737" i="14"/>
  <c r="F1738" i="14"/>
  <c r="F1741" i="14"/>
  <c r="F1742" i="14" s="1"/>
  <c r="F1744" i="14"/>
  <c r="F1745" i="14"/>
  <c r="F1746" i="14"/>
  <c r="F1749" i="14"/>
  <c r="F1750" i="14" s="1"/>
  <c r="F1752" i="14"/>
  <c r="F1753" i="14" s="1"/>
  <c r="F1755" i="14"/>
  <c r="F1756" i="14" s="1"/>
  <c r="F1758" i="14"/>
  <c r="F1759" i="14" s="1"/>
  <c r="F1761" i="14"/>
  <c r="F1762" i="14" s="1"/>
  <c r="F1764" i="14"/>
  <c r="F1765" i="14" s="1"/>
  <c r="F1767" i="14"/>
  <c r="F1768" i="14" s="1"/>
  <c r="F1770" i="14"/>
  <c r="F1771" i="14"/>
  <c r="F1772" i="14"/>
  <c r="F1773" i="14"/>
  <c r="F1776" i="14"/>
  <c r="F1777" i="14"/>
  <c r="F1778" i="14"/>
  <c r="F1779" i="14"/>
  <c r="F1782" i="14"/>
  <c r="F1783" i="14"/>
  <c r="F1784" i="14"/>
  <c r="F1785" i="14"/>
  <c r="F1786" i="14"/>
  <c r="F1787" i="14"/>
  <c r="F1790" i="14"/>
  <c r="F1791" i="14"/>
  <c r="F1792" i="14"/>
  <c r="F1795" i="14"/>
  <c r="F1796" i="14" s="1"/>
  <c r="F1798" i="14"/>
  <c r="F1799" i="14" s="1"/>
  <c r="F1801" i="14"/>
  <c r="F1802" i="14"/>
  <c r="F1803" i="14"/>
  <c r="F1804" i="14"/>
  <c r="F6" i="15"/>
  <c r="F7" i="15" s="1"/>
  <c r="F9" i="15"/>
  <c r="F10" i="15" s="1"/>
  <c r="F12" i="15"/>
  <c r="F13" i="15" s="1"/>
  <c r="F15" i="15"/>
  <c r="F16" i="15"/>
  <c r="F17" i="15"/>
  <c r="F20" i="15"/>
  <c r="F21" i="15" s="1"/>
  <c r="F23" i="15"/>
  <c r="F24" i="15"/>
  <c r="F25" i="15"/>
  <c r="F28" i="15"/>
  <c r="F29" i="15"/>
  <c r="F30" i="15"/>
  <c r="F31" i="15"/>
  <c r="F32" i="15"/>
  <c r="F33" i="15"/>
  <c r="F36" i="15"/>
  <c r="F37" i="15"/>
  <c r="F38" i="15"/>
  <c r="F39" i="15"/>
  <c r="F40" i="15"/>
  <c r="F43" i="15"/>
  <c r="F44" i="15" s="1"/>
  <c r="F46" i="15"/>
  <c r="F47" i="15"/>
  <c r="F50" i="15"/>
  <c r="F51" i="15" s="1"/>
  <c r="F53" i="15"/>
  <c r="F54" i="15" s="1"/>
  <c r="F56" i="15"/>
  <c r="F57" i="15" s="1"/>
  <c r="F59" i="15"/>
  <c r="F60" i="15" s="1"/>
  <c r="F62" i="15"/>
  <c r="F63" i="15" s="1"/>
  <c r="F65" i="15"/>
  <c r="F66" i="15" s="1"/>
  <c r="F68" i="15"/>
  <c r="F69" i="15" s="1"/>
  <c r="F71" i="15"/>
  <c r="F72" i="15" s="1"/>
  <c r="F74" i="15"/>
  <c r="F75" i="15" s="1"/>
  <c r="F77" i="15"/>
  <c r="F78" i="15" s="1"/>
  <c r="F80" i="15"/>
  <c r="F81" i="15" s="1"/>
  <c r="F83" i="15"/>
  <c r="F85" i="15" s="1"/>
  <c r="F84" i="15"/>
  <c r="F87" i="15"/>
  <c r="F88" i="15" s="1"/>
  <c r="F90" i="15"/>
  <c r="F91" i="15" s="1"/>
  <c r="F93" i="15"/>
  <c r="F94" i="15" s="1"/>
  <c r="F96" i="15"/>
  <c r="F97" i="15" s="1"/>
  <c r="F99" i="15"/>
  <c r="F100" i="15" s="1"/>
  <c r="F102" i="15"/>
  <c r="F104" i="15" s="1"/>
  <c r="F103" i="15"/>
  <c r="F106" i="15"/>
  <c r="F107" i="15"/>
  <c r="F108" i="15"/>
  <c r="F109" i="15"/>
  <c r="F110" i="15"/>
  <c r="F113" i="15"/>
  <c r="F114" i="15"/>
  <c r="F117" i="15"/>
  <c r="F118" i="15" s="1"/>
  <c r="F120" i="15"/>
  <c r="F121" i="15" s="1"/>
  <c r="F123" i="15"/>
  <c r="F124" i="15" s="1"/>
  <c r="F126" i="15"/>
  <c r="F127" i="15" s="1"/>
  <c r="F129" i="15"/>
  <c r="F130" i="15"/>
  <c r="F131" i="15"/>
  <c r="F132" i="15"/>
  <c r="F133" i="15"/>
  <c r="F144" i="15"/>
  <c r="F145" i="15"/>
  <c r="F146" i="15"/>
  <c r="F149" i="15"/>
  <c r="F150" i="15"/>
  <c r="F151" i="15"/>
  <c r="F154" i="15"/>
  <c r="F155" i="15" s="1"/>
  <c r="F157" i="15"/>
  <c r="F158" i="15" s="1"/>
  <c r="F160" i="15"/>
  <c r="F161" i="15" s="1"/>
  <c r="F163" i="15"/>
  <c r="F164" i="15" s="1"/>
  <c r="F166" i="15"/>
  <c r="F167" i="15" s="1"/>
  <c r="F169" i="15"/>
  <c r="F170" i="15" s="1"/>
  <c r="F172" i="15"/>
  <c r="F173" i="15"/>
  <c r="F176" i="15"/>
  <c r="F178" i="15" s="1"/>
  <c r="F177" i="15"/>
  <c r="F180" i="15"/>
  <c r="F181" i="15" s="1"/>
  <c r="F183" i="15"/>
  <c r="F184" i="15" s="1"/>
  <c r="F186" i="15"/>
  <c r="F187" i="15" s="1"/>
  <c r="F189" i="15"/>
  <c r="F192" i="15"/>
  <c r="F193" i="15"/>
  <c r="F196" i="15"/>
  <c r="F199" i="15"/>
  <c r="F202" i="15"/>
  <c r="F205" i="15"/>
  <c r="F206" i="15"/>
  <c r="F207" i="15"/>
  <c r="F208" i="15"/>
  <c r="F211" i="15"/>
  <c r="F214" i="15"/>
  <c r="F215" i="15"/>
  <c r="F216" i="15"/>
  <c r="F217" i="15"/>
  <c r="F220" i="15"/>
  <c r="F221" i="15"/>
  <c r="F222" i="15"/>
  <c r="F223" i="15"/>
  <c r="F226" i="15"/>
  <c r="F227" i="15"/>
  <c r="F230" i="15"/>
  <c r="F233" i="15"/>
  <c r="F234" i="15"/>
  <c r="F235" i="15"/>
  <c r="F238" i="15"/>
  <c r="F239" i="15"/>
  <c r="F242" i="15"/>
  <c r="F245" i="15"/>
  <c r="F246" i="15"/>
  <c r="F247" i="15"/>
  <c r="F250" i="15"/>
  <c r="F251" i="15"/>
  <c r="F252" i="15"/>
  <c r="F253" i="15"/>
  <c r="F254" i="15"/>
  <c r="F256" i="15" s="1"/>
  <c r="F255" i="15"/>
  <c r="F258" i="15"/>
  <c r="F259" i="15"/>
  <c r="F260" i="15"/>
  <c r="F263" i="15"/>
  <c r="F266" i="15"/>
  <c r="F269" i="15"/>
  <c r="F272" i="15"/>
  <c r="F275" i="15"/>
  <c r="F278" i="15"/>
  <c r="F279" i="15"/>
  <c r="F280" i="15"/>
  <c r="F283" i="15"/>
  <c r="F284" i="15"/>
  <c r="F285" i="15"/>
  <c r="F286" i="15"/>
  <c r="F289" i="15"/>
  <c r="F292" i="15"/>
  <c r="F293" i="15"/>
  <c r="F294" i="15"/>
  <c r="F297" i="15"/>
  <c r="F300" i="15"/>
  <c r="F303" i="15"/>
  <c r="F304" i="15"/>
  <c r="F305" i="15"/>
  <c r="F308" i="15"/>
  <c r="F309" i="15"/>
  <c r="F312" i="15"/>
  <c r="F315" i="15"/>
  <c r="F318" i="15"/>
  <c r="F321" i="15"/>
  <c r="F324" i="15"/>
  <c r="F327" i="15"/>
  <c r="F330" i="15"/>
  <c r="F333" i="15"/>
  <c r="F336" i="15"/>
  <c r="F337" i="15"/>
  <c r="F338" i="15"/>
  <c r="F341" i="15"/>
  <c r="F344" i="15"/>
  <c r="F347" i="15"/>
  <c r="F350" i="15"/>
  <c r="F351" i="15"/>
  <c r="F352" i="15"/>
  <c r="F353" i="15"/>
  <c r="F354" i="15"/>
  <c r="F355" i="15"/>
  <c r="F356" i="15"/>
  <c r="F359" i="15"/>
  <c r="F360" i="15"/>
  <c r="F361" i="15"/>
  <c r="F362" i="15"/>
  <c r="F365" i="15"/>
  <c r="F368" i="15"/>
  <c r="F371" i="15"/>
  <c r="F374" i="15"/>
  <c r="F375" i="15"/>
  <c r="F378" i="15"/>
  <c r="F379" i="15"/>
  <c r="F380" i="15"/>
  <c r="F381" i="15"/>
  <c r="F384" i="15"/>
  <c r="F387" i="15"/>
  <c r="F388" i="15"/>
  <c r="F391" i="15"/>
  <c r="F392" i="15"/>
  <c r="F393" i="15"/>
  <c r="F396" i="15"/>
  <c r="F399" i="15"/>
  <c r="F400" i="15"/>
  <c r="F401" i="15"/>
  <c r="F402" i="15"/>
  <c r="F403" i="15"/>
  <c r="F406" i="15"/>
  <c r="F407" i="15"/>
  <c r="F410" i="15"/>
  <c r="F413" i="15"/>
  <c r="F416" i="15"/>
  <c r="F417" i="15"/>
  <c r="F418" i="15"/>
  <c r="F419" i="15"/>
  <c r="F422" i="15"/>
  <c r="F423" i="15"/>
  <c r="F424" i="15"/>
  <c r="F425" i="15"/>
  <c r="F426" i="15"/>
  <c r="F429" i="15"/>
  <c r="F432" i="15"/>
  <c r="F435" i="15"/>
  <c r="F443" i="15" s="1"/>
  <c r="F436" i="15"/>
  <c r="F437" i="15"/>
  <c r="F438" i="15"/>
  <c r="F439" i="15"/>
  <c r="F440" i="15"/>
  <c r="F441" i="15"/>
  <c r="F442" i="15"/>
  <c r="F445" i="15"/>
  <c r="F446" i="15"/>
  <c r="F447" i="15"/>
  <c r="F448" i="15"/>
  <c r="F449" i="15"/>
  <c r="F450" i="15"/>
  <c r="F451" i="15"/>
  <c r="F452" i="15"/>
  <c r="F453" i="15"/>
  <c r="F456" i="15"/>
  <c r="F457" i="15"/>
  <c r="F458" i="15"/>
  <c r="F461" i="15"/>
  <c r="F464" i="15"/>
  <c r="F467" i="15"/>
  <c r="F470" i="15"/>
  <c r="F473" i="15"/>
  <c r="F474" i="15"/>
  <c r="F477" i="15"/>
  <c r="F478" i="15"/>
  <c r="F481" i="15"/>
  <c r="F484" i="15"/>
  <c r="F487" i="15"/>
  <c r="F490" i="15"/>
  <c r="F493" i="15"/>
  <c r="F496" i="15"/>
  <c r="F499" i="15"/>
  <c r="F502" i="15"/>
  <c r="F505" i="15"/>
  <c r="F508" i="15"/>
  <c r="F509" i="15"/>
  <c r="F512" i="15"/>
  <c r="F513" i="15"/>
  <c r="F516" i="15"/>
  <c r="F519" i="15"/>
  <c r="F520" i="15"/>
  <c r="F521" i="15"/>
  <c r="F524" i="15"/>
  <c r="F527" i="15"/>
  <c r="F528" i="15"/>
  <c r="F529" i="15"/>
  <c r="F530" i="15"/>
  <c r="F531" i="15"/>
  <c r="F534" i="15"/>
  <c r="F537" i="15"/>
  <c r="F540" i="15"/>
  <c r="F543" i="15"/>
  <c r="F544" i="15"/>
  <c r="F547" i="15"/>
  <c r="F550" i="15"/>
  <c r="F553" i="15"/>
  <c r="F556" i="15"/>
  <c r="F559" i="15"/>
  <c r="F562" i="15"/>
  <c r="F563" i="15"/>
  <c r="F564" i="15"/>
  <c r="F565" i="15"/>
  <c r="F566" i="15"/>
  <c r="F569" i="15"/>
  <c r="F572" i="15"/>
  <c r="F573" i="15"/>
  <c r="F576" i="15"/>
  <c r="F577" i="15"/>
  <c r="F578" i="15"/>
  <c r="F579" i="15"/>
  <c r="F580" i="15"/>
  <c r="F583" i="15"/>
  <c r="F584" i="15"/>
  <c r="F585" i="15"/>
  <c r="F586" i="15"/>
  <c r="F587" i="15"/>
  <c r="F590" i="15"/>
  <c r="F593" i="15"/>
  <c r="F596" i="15"/>
  <c r="F599" i="15"/>
  <c r="F600" i="15" s="1"/>
  <c r="F602" i="15"/>
  <c r="F605" i="15"/>
  <c r="F608" i="15"/>
  <c r="F611" i="15"/>
  <c r="F614" i="15"/>
  <c r="F617" i="15"/>
  <c r="F620" i="15"/>
  <c r="F623" i="15"/>
  <c r="F626" i="15"/>
  <c r="F629" i="15"/>
  <c r="F630" i="15"/>
  <c r="F633" i="15"/>
  <c r="F634" i="15"/>
  <c r="F635" i="15"/>
  <c r="F636" i="15"/>
  <c r="F639" i="15"/>
  <c r="F642" i="15"/>
  <c r="F643" i="15"/>
  <c r="F646" i="15"/>
  <c r="F647" i="15"/>
  <c r="F648" i="15"/>
  <c r="F649" i="15"/>
  <c r="F650" i="15"/>
  <c r="F651" i="15"/>
  <c r="F652" i="15"/>
  <c r="F653" i="15"/>
  <c r="F654" i="15"/>
  <c r="F655" i="15"/>
  <c r="F658" i="15"/>
  <c r="F659" i="15"/>
  <c r="F660" i="15"/>
  <c r="F661" i="15"/>
  <c r="F662" i="15"/>
  <c r="F663" i="15"/>
  <c r="F666" i="15"/>
  <c r="F667" i="15"/>
  <c r="F670" i="15"/>
  <c r="F673" i="15"/>
  <c r="F674" i="15"/>
  <c r="F677" i="15"/>
  <c r="F680" i="15"/>
  <c r="F683" i="15"/>
  <c r="F686" i="15"/>
  <c r="F689" i="15"/>
  <c r="F690" i="15"/>
  <c r="F693" i="15"/>
  <c r="F694" i="15"/>
  <c r="F695" i="15"/>
  <c r="F696" i="15"/>
  <c r="F697" i="15"/>
  <c r="F698" i="15"/>
  <c r="F701" i="15"/>
  <c r="F704" i="15"/>
  <c r="F707" i="15"/>
  <c r="F708" i="15"/>
  <c r="F711" i="15"/>
  <c r="F714" i="15"/>
  <c r="F717" i="15"/>
  <c r="F720" i="15"/>
  <c r="F721" i="15"/>
  <c r="F724" i="15"/>
  <c r="F727" i="15"/>
  <c r="F728" i="15"/>
  <c r="F729" i="15"/>
  <c r="F732" i="15"/>
  <c r="F735" i="15"/>
  <c r="F738" i="15"/>
  <c r="F741" i="15"/>
  <c r="F744" i="15"/>
  <c r="F745" i="15"/>
  <c r="F748" i="15"/>
  <c r="F751" i="15"/>
  <c r="F754" i="15"/>
  <c r="F755" i="15"/>
  <c r="F756" i="15"/>
  <c r="F757" i="15"/>
  <c r="F758" i="15"/>
  <c r="F759" i="15"/>
  <c r="F762" i="15"/>
  <c r="F763" i="15"/>
  <c r="F764" i="15"/>
  <c r="F767" i="15"/>
  <c r="F768" i="15"/>
  <c r="F771" i="15"/>
  <c r="F774" i="15"/>
  <c r="F777" i="15"/>
  <c r="F780" i="15"/>
  <c r="F783" i="15"/>
  <c r="F786" i="15"/>
  <c r="F787" i="15"/>
  <c r="F790" i="15"/>
  <c r="F791" i="15"/>
  <c r="F792" i="15"/>
  <c r="F793" i="15"/>
  <c r="F796" i="15"/>
  <c r="F797" i="15"/>
  <c r="F800" i="15"/>
  <c r="F801" i="15"/>
  <c r="F802" i="15"/>
  <c r="F805" i="15"/>
  <c r="F806" i="15"/>
  <c r="F807" i="15"/>
  <c r="F808" i="15"/>
  <c r="F809" i="15"/>
  <c r="F810" i="15"/>
  <c r="F813" i="15"/>
  <c r="F814" i="15"/>
  <c r="F817" i="15"/>
  <c r="F820" i="15"/>
  <c r="F823" i="15"/>
  <c r="F824" i="15"/>
  <c r="F825" i="15"/>
  <c r="F826" i="15"/>
  <c r="F829" i="15"/>
  <c r="F832" i="15"/>
  <c r="F835" i="15"/>
  <c r="F836" i="15"/>
  <c r="F837" i="15"/>
  <c r="F838" i="15"/>
  <c r="F841" i="15"/>
  <c r="F844" i="15"/>
  <c r="F845" i="15"/>
  <c r="F846" i="15"/>
  <c r="F849" i="15"/>
  <c r="F852" i="15"/>
  <c r="F855" i="15"/>
  <c r="F858" i="15"/>
  <c r="F861" i="15"/>
  <c r="F864" i="15"/>
  <c r="F867" i="15"/>
  <c r="F870" i="15"/>
  <c r="F873" i="15"/>
  <c r="F876" i="15"/>
  <c r="F879" i="15"/>
  <c r="F882" i="15"/>
  <c r="F885" i="15"/>
  <c r="F888" i="15"/>
  <c r="F891" i="15"/>
  <c r="F892" i="15"/>
  <c r="F895" i="15"/>
  <c r="F898" i="15"/>
  <c r="F901" i="15"/>
  <c r="F904" i="15"/>
  <c r="F905" i="15"/>
  <c r="F906" i="15"/>
  <c r="F907" i="15"/>
  <c r="F908" i="15"/>
  <c r="F909" i="15"/>
  <c r="F910" i="15"/>
  <c r="F913" i="15"/>
  <c r="F914" i="15"/>
  <c r="F915" i="15"/>
  <c r="F916" i="15"/>
  <c r="F917" i="15"/>
  <c r="F920" i="15"/>
  <c r="F923" i="15"/>
  <c r="F926" i="15"/>
  <c r="F929" i="15"/>
  <c r="F932" i="15"/>
  <c r="F933" i="15"/>
  <c r="F934" i="15"/>
  <c r="F935" i="15"/>
  <c r="F938" i="15"/>
  <c r="F941" i="15"/>
  <c r="F944" i="15"/>
  <c r="F945" i="15"/>
  <c r="F946" i="15"/>
  <c r="F949" i="15"/>
  <c r="F950" i="15"/>
  <c r="F951" i="15"/>
  <c r="F952" i="15"/>
  <c r="F955" i="15"/>
  <c r="F956" i="15"/>
  <c r="F959" i="15"/>
  <c r="F962" i="15"/>
  <c r="F965" i="15"/>
  <c r="F966" i="15"/>
  <c r="F969" i="15"/>
  <c r="F972" i="15"/>
  <c r="F973" i="15"/>
  <c r="F976" i="15"/>
  <c r="F979" i="15"/>
  <c r="F980" i="15"/>
  <c r="F983" i="15"/>
  <c r="F986" i="15"/>
  <c r="F989" i="15"/>
  <c r="F990" i="15"/>
  <c r="F991" i="15"/>
  <c r="F992" i="15"/>
  <c r="F993" i="15"/>
  <c r="F994" i="15"/>
  <c r="F997" i="15"/>
  <c r="F1000" i="15"/>
  <c r="F1003" i="15"/>
  <c r="F1004" i="15"/>
  <c r="F1005" i="15"/>
  <c r="F1008" i="15"/>
  <c r="F1011" i="15"/>
  <c r="F1012" i="15"/>
  <c r="F1013" i="15"/>
  <c r="F1016" i="15"/>
  <c r="F1017" i="15"/>
  <c r="F1018" i="15"/>
  <c r="F1019" i="15"/>
  <c r="F1020" i="15"/>
  <c r="F1023" i="15"/>
  <c r="F1026" i="15"/>
  <c r="F1027" i="15"/>
  <c r="F1030" i="15"/>
  <c r="F1033" i="15"/>
  <c r="F1034" i="15" s="1"/>
  <c r="F1036" i="15"/>
  <c r="F1039" i="15"/>
  <c r="F1040" i="15"/>
  <c r="F1043" i="15"/>
  <c r="F1046" i="15"/>
  <c r="F1049" i="15"/>
  <c r="F1052" i="15"/>
  <c r="F1055" i="15"/>
  <c r="F1058" i="15"/>
  <c r="F1059" i="15"/>
  <c r="F1062" i="15"/>
  <c r="F1065" i="15"/>
  <c r="F1066" i="15"/>
  <c r="F1067" i="15"/>
  <c r="F1068" i="15"/>
  <c r="F1071" i="15"/>
  <c r="F1074" i="15"/>
  <c r="F1075" i="15"/>
  <c r="F1076" i="15"/>
  <c r="F1077" i="15"/>
  <c r="F1080" i="15"/>
  <c r="F1081" i="15"/>
  <c r="F1082" i="15"/>
  <c r="F1083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1541" i="15"/>
  <c r="F1542" i="15"/>
  <c r="F1543" i="15"/>
  <c r="F1544" i="15"/>
  <c r="F1545" i="15"/>
  <c r="F1546" i="15"/>
  <c r="F1547" i="15"/>
  <c r="F1548" i="15"/>
  <c r="F1549" i="15"/>
  <c r="F1550" i="15"/>
  <c r="F1551" i="15"/>
  <c r="F1552" i="15"/>
  <c r="F1553" i="15"/>
  <c r="F1554" i="15"/>
  <c r="F1555" i="15"/>
  <c r="F1556" i="15"/>
  <c r="F1557" i="15"/>
  <c r="F1558" i="15"/>
  <c r="F1559" i="15"/>
  <c r="F1560" i="15"/>
  <c r="F1561" i="15"/>
  <c r="F1562" i="15"/>
  <c r="F1563" i="15"/>
  <c r="F1564" i="15"/>
  <c r="F1565" i="15"/>
  <c r="F1566" i="15"/>
  <c r="F1567" i="15"/>
  <c r="F1568" i="15"/>
  <c r="F1569" i="15"/>
  <c r="F1570" i="15"/>
  <c r="F1571" i="15"/>
  <c r="F1572" i="15"/>
  <c r="F1573" i="15"/>
  <c r="F1574" i="15"/>
  <c r="F1575" i="15"/>
  <c r="F1576" i="15"/>
  <c r="F1577" i="15"/>
  <c r="F1578" i="15"/>
  <c r="F1579" i="15"/>
  <c r="F1580" i="15"/>
  <c r="F1581" i="15"/>
  <c r="F1582" i="15"/>
  <c r="F1583" i="15"/>
  <c r="F1584" i="15"/>
  <c r="F1585" i="15"/>
  <c r="F1586" i="15"/>
  <c r="F1587" i="15"/>
  <c r="F1588" i="15"/>
  <c r="F1589" i="15"/>
  <c r="F1590" i="15"/>
  <c r="F1591" i="15"/>
  <c r="F1592" i="15"/>
  <c r="F1593" i="15"/>
  <c r="F1594" i="15"/>
  <c r="F1595" i="15"/>
  <c r="F1596" i="15"/>
  <c r="F1597" i="15"/>
  <c r="F1598" i="15"/>
  <c r="F1599" i="15"/>
  <c r="F1600" i="15"/>
  <c r="F1601" i="15"/>
  <c r="F1602" i="15"/>
  <c r="F1603" i="15"/>
  <c r="F1604" i="15"/>
  <c r="F1605" i="15"/>
  <c r="F1606" i="15"/>
  <c r="F1607" i="15"/>
  <c r="F1608" i="15"/>
  <c r="F1609" i="15"/>
  <c r="F1610" i="15"/>
  <c r="F1611" i="15"/>
  <c r="F1612" i="15"/>
  <c r="F1613" i="15"/>
  <c r="F1614" i="15"/>
  <c r="F1615" i="15"/>
  <c r="F1616" i="15"/>
  <c r="F1617" i="15"/>
  <c r="F1618" i="15"/>
  <c r="F1619" i="15"/>
  <c r="F1620" i="15"/>
  <c r="F1621" i="15"/>
  <c r="F1622" i="15"/>
  <c r="F1623" i="15"/>
  <c r="F1624" i="15"/>
  <c r="F1625" i="15"/>
  <c r="F1626" i="15"/>
  <c r="F1627" i="15"/>
  <c r="F1628" i="15"/>
  <c r="F1629" i="15"/>
  <c r="F1630" i="15"/>
  <c r="F1631" i="15"/>
  <c r="F1632" i="15"/>
  <c r="F1633" i="15"/>
  <c r="F1634" i="15"/>
  <c r="F1635" i="15"/>
  <c r="F1636" i="15"/>
  <c r="F1637" i="15"/>
  <c r="F1638" i="15"/>
  <c r="F1639" i="15"/>
  <c r="F1640" i="15"/>
  <c r="F1641" i="15"/>
  <c r="F1642" i="15"/>
  <c r="F1643" i="15"/>
  <c r="F1644" i="15"/>
  <c r="F1645" i="15"/>
  <c r="F1646" i="15"/>
  <c r="F1647" i="15"/>
  <c r="F1648" i="15"/>
  <c r="F1649" i="15"/>
  <c r="F1650" i="15"/>
  <c r="F1651" i="15"/>
  <c r="F1652" i="15"/>
  <c r="F1653" i="15"/>
  <c r="F1654" i="15"/>
  <c r="F1655" i="15"/>
  <c r="F1656" i="15"/>
  <c r="F1657" i="15"/>
  <c r="F1658" i="15"/>
  <c r="F1659" i="15"/>
  <c r="F1660" i="15"/>
  <c r="F1661" i="15"/>
  <c r="F1662" i="15"/>
  <c r="F1663" i="15"/>
  <c r="F1664" i="15"/>
  <c r="F1665" i="15"/>
  <c r="F1666" i="15"/>
  <c r="F1667" i="15"/>
  <c r="F1668" i="15"/>
  <c r="F1669" i="15"/>
  <c r="F1670" i="15"/>
  <c r="F1671" i="15"/>
  <c r="F1672" i="15"/>
  <c r="F1673" i="15"/>
  <c r="F1674" i="15"/>
  <c r="F1675" i="15"/>
  <c r="F1676" i="15"/>
  <c r="F1677" i="15"/>
  <c r="F1678" i="15"/>
  <c r="F1679" i="15"/>
  <c r="F1680" i="15"/>
  <c r="F1681" i="15"/>
  <c r="F1682" i="15"/>
  <c r="F1683" i="15"/>
  <c r="F1684" i="15"/>
  <c r="F1685" i="15"/>
  <c r="F1686" i="15"/>
  <c r="F1687" i="15"/>
  <c r="F1688" i="15"/>
  <c r="F1689" i="15"/>
  <c r="F1690" i="15"/>
  <c r="F1691" i="15"/>
  <c r="F1692" i="15"/>
  <c r="F1693" i="15"/>
  <c r="F1694" i="15"/>
  <c r="F1695" i="15"/>
  <c r="F1696" i="15"/>
  <c r="F1697" i="15"/>
  <c r="F1698" i="15"/>
  <c r="F1699" i="15"/>
  <c r="F1700" i="15"/>
  <c r="F1701" i="15"/>
  <c r="F1702" i="15"/>
  <c r="F1703" i="15"/>
  <c r="F1704" i="15"/>
  <c r="F1705" i="15"/>
  <c r="F1706" i="15"/>
  <c r="F1707" i="15"/>
  <c r="F1708" i="15"/>
  <c r="F1709" i="15"/>
  <c r="F1710" i="15"/>
  <c r="F1711" i="15"/>
  <c r="F1712" i="15"/>
  <c r="F1713" i="15"/>
  <c r="F1714" i="15"/>
  <c r="F1715" i="15"/>
  <c r="F1716" i="15"/>
  <c r="F1717" i="15"/>
  <c r="F1718" i="15"/>
  <c r="F1719" i="15"/>
  <c r="F1720" i="15"/>
  <c r="F1721" i="15"/>
  <c r="F1722" i="15"/>
  <c r="F1723" i="15"/>
  <c r="F1724" i="15"/>
  <c r="F1725" i="15"/>
  <c r="F1726" i="15"/>
  <c r="F1727" i="15"/>
  <c r="F1728" i="15"/>
  <c r="F1729" i="15"/>
  <c r="F1730" i="15"/>
  <c r="F1731" i="15"/>
  <c r="F1732" i="15"/>
  <c r="F1733" i="15"/>
  <c r="F1734" i="15"/>
  <c r="F1735" i="15"/>
  <c r="F1736" i="15"/>
  <c r="F1737" i="15"/>
  <c r="F1738" i="15"/>
  <c r="F1739" i="15"/>
  <c r="F1740" i="15"/>
  <c r="F1741" i="15"/>
  <c r="F1742" i="15"/>
  <c r="F1743" i="15"/>
  <c r="F1744" i="15"/>
  <c r="F1745" i="15"/>
  <c r="F1746" i="15"/>
  <c r="F1747" i="15"/>
  <c r="F1748" i="15"/>
  <c r="F1749" i="15"/>
  <c r="F1750" i="15"/>
  <c r="F1751" i="15"/>
  <c r="F1752" i="15"/>
  <c r="F1753" i="15"/>
  <c r="F1754" i="15"/>
  <c r="F1755" i="15"/>
  <c r="F1756" i="15"/>
  <c r="F1757" i="15"/>
  <c r="F1758" i="15"/>
  <c r="F1759" i="15"/>
  <c r="F1760" i="15"/>
  <c r="F1761" i="15"/>
  <c r="F1762" i="15"/>
  <c r="F1763" i="15"/>
  <c r="F1764" i="15"/>
  <c r="F1765" i="15"/>
  <c r="F1766" i="15"/>
  <c r="F1767" i="15"/>
  <c r="F1768" i="15"/>
  <c r="F1769" i="15"/>
  <c r="F1770" i="15"/>
  <c r="F1771" i="15"/>
  <c r="F1772" i="15"/>
  <c r="F1773" i="15"/>
  <c r="F1774" i="15"/>
  <c r="F1775" i="15"/>
  <c r="F1776" i="15"/>
  <c r="F1777" i="15"/>
  <c r="F1778" i="15"/>
  <c r="F1779" i="15"/>
  <c r="F1780" i="15"/>
  <c r="F1781" i="15"/>
  <c r="F1782" i="15"/>
  <c r="F1783" i="15"/>
  <c r="F1784" i="15"/>
  <c r="F1785" i="15"/>
  <c r="F1786" i="15"/>
  <c r="F1787" i="15"/>
  <c r="F1788" i="15"/>
  <c r="F1789" i="15"/>
  <c r="F1790" i="15"/>
  <c r="F1791" i="15"/>
  <c r="F1792" i="15"/>
  <c r="F1793" i="15"/>
  <c r="F1794" i="15"/>
  <c r="F1795" i="15"/>
  <c r="F1796" i="15"/>
  <c r="F1797" i="15"/>
  <c r="F1798" i="15"/>
  <c r="F1799" i="15"/>
  <c r="F1800" i="15"/>
  <c r="F1801" i="15"/>
  <c r="F1802" i="15"/>
  <c r="F1803" i="15"/>
  <c r="F1804" i="15"/>
  <c r="F1805" i="15"/>
  <c r="F1806" i="15"/>
  <c r="F1807" i="15"/>
  <c r="F1808" i="15"/>
  <c r="F1809" i="15"/>
  <c r="F1810" i="15"/>
  <c r="F1811" i="15"/>
  <c r="F1812" i="15"/>
  <c r="F1813" i="15"/>
  <c r="F1814" i="15"/>
  <c r="F1815" i="15"/>
  <c r="F1816" i="15"/>
  <c r="F1817" i="15"/>
  <c r="F1818" i="15"/>
  <c r="F1819" i="15"/>
  <c r="F1820" i="15"/>
  <c r="F1821" i="15"/>
  <c r="F1822" i="15"/>
  <c r="F1823" i="15"/>
  <c r="F1824" i="15"/>
  <c r="F1825" i="15"/>
  <c r="F1826" i="15"/>
  <c r="F1827" i="15"/>
  <c r="F1828" i="15"/>
  <c r="F1829" i="15"/>
  <c r="F1830" i="15"/>
  <c r="F1831" i="15"/>
  <c r="F1832" i="15"/>
  <c r="F1833" i="15"/>
  <c r="F1834" i="15"/>
  <c r="F1835" i="15"/>
  <c r="F1836" i="15"/>
  <c r="F1837" i="15"/>
  <c r="F1838" i="15"/>
  <c r="F1839" i="15"/>
  <c r="F1840" i="15"/>
  <c r="F1841" i="15"/>
  <c r="F1842" i="15"/>
  <c r="F1843" i="15"/>
  <c r="F1844" i="15"/>
  <c r="F1845" i="15"/>
  <c r="F1846" i="15"/>
  <c r="F1847" i="15"/>
  <c r="F1848" i="15"/>
  <c r="F1849" i="15"/>
  <c r="F1850" i="15"/>
  <c r="F1851" i="15"/>
  <c r="F1852" i="15"/>
  <c r="F1853" i="15"/>
  <c r="F1854" i="15"/>
  <c r="F1855" i="15"/>
  <c r="F1856" i="15"/>
  <c r="F1857" i="15"/>
  <c r="F1858" i="15"/>
  <c r="F1859" i="15"/>
  <c r="F1860" i="15"/>
  <c r="F1861" i="15"/>
  <c r="F1862" i="15"/>
  <c r="F1863" i="15"/>
  <c r="F1864" i="15"/>
  <c r="F1865" i="15"/>
  <c r="F1866" i="15"/>
  <c r="F1867" i="15"/>
  <c r="F1868" i="15"/>
  <c r="F1869" i="15"/>
  <c r="F1870" i="15"/>
  <c r="F1871" i="15"/>
  <c r="F1872" i="15"/>
  <c r="F1873" i="15"/>
  <c r="F1874" i="15"/>
  <c r="F1875" i="15"/>
  <c r="F1876" i="15"/>
  <c r="F1877" i="15"/>
  <c r="F1878" i="15"/>
  <c r="F1879" i="15"/>
  <c r="F1880" i="15"/>
  <c r="F1881" i="15"/>
  <c r="F1882" i="15"/>
  <c r="F1883" i="15"/>
  <c r="F1884" i="15"/>
  <c r="F1885" i="15"/>
  <c r="F1886" i="15"/>
  <c r="F1887" i="15"/>
  <c r="F1888" i="15"/>
  <c r="F1889" i="15"/>
  <c r="F1890" i="15"/>
  <c r="F1891" i="15"/>
  <c r="F1892" i="15"/>
  <c r="F1893" i="15"/>
  <c r="F1894" i="15"/>
  <c r="F1895" i="15"/>
  <c r="F1896" i="15"/>
  <c r="F1897" i="15"/>
  <c r="F1898" i="15"/>
  <c r="F1899" i="15"/>
  <c r="F1900" i="15"/>
  <c r="F1901" i="15"/>
  <c r="F1902" i="15"/>
  <c r="F1903" i="15"/>
  <c r="F1904" i="15"/>
  <c r="F1905" i="15"/>
  <c r="F1906" i="15"/>
  <c r="F1907" i="15"/>
  <c r="F1908" i="15"/>
  <c r="F1909" i="15"/>
  <c r="F1910" i="15"/>
  <c r="F1911" i="15"/>
  <c r="F1912" i="15"/>
  <c r="F1913" i="15"/>
  <c r="F1914" i="15"/>
  <c r="F1915" i="15"/>
  <c r="F1916" i="15"/>
  <c r="F1917" i="15"/>
  <c r="F1918" i="15"/>
  <c r="F1919" i="15"/>
  <c r="F1920" i="15"/>
  <c r="F1921" i="15"/>
  <c r="F1922" i="15"/>
  <c r="F1923" i="15"/>
  <c r="F1924" i="15"/>
  <c r="F1925" i="15"/>
  <c r="F1926" i="15"/>
  <c r="F1927" i="15"/>
  <c r="F1928" i="15"/>
  <c r="F1929" i="15"/>
  <c r="F1930" i="15"/>
  <c r="F1931" i="15"/>
  <c r="F1932" i="15"/>
  <c r="F1933" i="15"/>
  <c r="F1934" i="15"/>
  <c r="F1935" i="15"/>
  <c r="F1936" i="15"/>
  <c r="F1937" i="15"/>
  <c r="F1938" i="15"/>
  <c r="F1939" i="15"/>
  <c r="F1940" i="15"/>
  <c r="F1941" i="15"/>
  <c r="F1942" i="15"/>
  <c r="F1943" i="15"/>
  <c r="F1944" i="15"/>
  <c r="F1945" i="15"/>
  <c r="F1946" i="15"/>
  <c r="F1947" i="15"/>
  <c r="F1948" i="15"/>
  <c r="F1949" i="15"/>
  <c r="F1950" i="15"/>
  <c r="F1951" i="15"/>
  <c r="F1952" i="15"/>
  <c r="F1953" i="15"/>
  <c r="F1954" i="15"/>
  <c r="F1955" i="15"/>
  <c r="F1956" i="15"/>
  <c r="F1957" i="15"/>
  <c r="F1958" i="15"/>
  <c r="F1959" i="15"/>
  <c r="F1960" i="15"/>
  <c r="F1961" i="15"/>
  <c r="F1962" i="15"/>
  <c r="F1963" i="15"/>
  <c r="F1964" i="15"/>
  <c r="F1965" i="15"/>
  <c r="F1966" i="15"/>
  <c r="F1967" i="15"/>
  <c r="F1968" i="15"/>
  <c r="F1969" i="15"/>
  <c r="F1970" i="15"/>
  <c r="F1971" i="15"/>
  <c r="F1972" i="15"/>
  <c r="F1973" i="15"/>
  <c r="F1974" i="15"/>
  <c r="F1975" i="15"/>
  <c r="F1976" i="15"/>
  <c r="F1977" i="15"/>
  <c r="F1978" i="15"/>
  <c r="F1979" i="15"/>
  <c r="F1980" i="15"/>
  <c r="F1981" i="15"/>
  <c r="F1982" i="15"/>
  <c r="F1983" i="15"/>
  <c r="F1984" i="15"/>
  <c r="F1985" i="15"/>
  <c r="F1986" i="15"/>
  <c r="F1987" i="15"/>
  <c r="F1988" i="15"/>
  <c r="F1989" i="15"/>
  <c r="F1990" i="15"/>
  <c r="F1991" i="15"/>
  <c r="F1992" i="15"/>
  <c r="F1993" i="15"/>
  <c r="F1994" i="15"/>
  <c r="F1995" i="15"/>
  <c r="F1996" i="15"/>
  <c r="F1997" i="15"/>
  <c r="F1998" i="15"/>
  <c r="F1999" i="15"/>
  <c r="F2000" i="15"/>
  <c r="F2001" i="15"/>
  <c r="F2002" i="15"/>
  <c r="F2003" i="15"/>
  <c r="F2004" i="15"/>
  <c r="F2005" i="15"/>
  <c r="F2006" i="15"/>
  <c r="F2007" i="15"/>
  <c r="F2008" i="15"/>
  <c r="F2009" i="15"/>
  <c r="F2010" i="15"/>
  <c r="F2011" i="15"/>
  <c r="F2012" i="15"/>
  <c r="F2013" i="15"/>
  <c r="F2014" i="15"/>
  <c r="F2015" i="15"/>
  <c r="F2016" i="15"/>
  <c r="F2017" i="15"/>
  <c r="F2018" i="15"/>
  <c r="F2019" i="15"/>
  <c r="F2020" i="15"/>
  <c r="F2021" i="15"/>
  <c r="F2022" i="15"/>
  <c r="F2023" i="15"/>
  <c r="F2024" i="15"/>
  <c r="F2025" i="15"/>
  <c r="F2026" i="15"/>
  <c r="F2027" i="15"/>
  <c r="F2028" i="15"/>
  <c r="F2029" i="15"/>
  <c r="F2030" i="15"/>
  <c r="F2031" i="15"/>
  <c r="F2032" i="15"/>
  <c r="F2033" i="15"/>
  <c r="F2034" i="15"/>
  <c r="F2035" i="15"/>
  <c r="F2036" i="15"/>
  <c r="F2037" i="15"/>
  <c r="F2038" i="15"/>
  <c r="F2039" i="15"/>
  <c r="F2040" i="15"/>
  <c r="F2041" i="15"/>
  <c r="F2042" i="15"/>
  <c r="F2043" i="15"/>
  <c r="F2044" i="15"/>
  <c r="F2045" i="15"/>
  <c r="F2046" i="15"/>
  <c r="F2047" i="15"/>
  <c r="F357" i="14" l="1"/>
  <c r="F429" i="14"/>
  <c r="F1398" i="14"/>
  <c r="F669" i="14"/>
  <c r="F621" i="14"/>
  <c r="F1384" i="14"/>
  <c r="F1329" i="14"/>
  <c r="F1308" i="14"/>
  <c r="F1265" i="14"/>
  <c r="F945" i="14"/>
  <c r="F266" i="14"/>
  <c r="F246" i="14"/>
  <c r="F143" i="14"/>
  <c r="F125" i="14"/>
  <c r="F43" i="14"/>
  <c r="F1300" i="14"/>
  <c r="F1351" i="14"/>
  <c r="F1333" i="14"/>
  <c r="F1275" i="14"/>
  <c r="F1780" i="14"/>
  <c r="F1727" i="14"/>
  <c r="F1537" i="14"/>
  <c r="F1460" i="14"/>
  <c r="F1241" i="14"/>
  <c r="F1214" i="14"/>
  <c r="F862" i="14"/>
  <c r="F782" i="14"/>
  <c r="F664" i="14"/>
  <c r="F103" i="14"/>
  <c r="F705" i="14"/>
  <c r="F683" i="14"/>
  <c r="F1224" i="14"/>
  <c r="F1626" i="14"/>
  <c r="F1664" i="14"/>
  <c r="F1481" i="14"/>
  <c r="F1101" i="14"/>
  <c r="F1012" i="14"/>
  <c r="F1696" i="14"/>
  <c r="F1347" i="14"/>
  <c r="F1184" i="14"/>
  <c r="F1719" i="14"/>
  <c r="F1572" i="14"/>
  <c r="F1470" i="14"/>
  <c r="F851" i="14"/>
  <c r="F809" i="14"/>
  <c r="F789" i="14"/>
  <c r="F727" i="14"/>
  <c r="F1774" i="14"/>
  <c r="F1192" i="14"/>
  <c r="F1432" i="14"/>
  <c r="F1050" i="14"/>
  <c r="F1805" i="14"/>
  <c r="F1679" i="14"/>
  <c r="F1739" i="14"/>
  <c r="F1639" i="14"/>
  <c r="F1691" i="14"/>
  <c r="F1788" i="14"/>
  <c r="F1703" i="14"/>
  <c r="F1607" i="14"/>
  <c r="F1731" i="14"/>
  <c r="F1793" i="14"/>
  <c r="F1747" i="14"/>
  <c r="F1565" i="14"/>
  <c r="F1645" i="14"/>
  <c r="F1593" i="14"/>
  <c r="F1500" i="14"/>
  <c r="F1146" i="14"/>
  <c r="F427" i="15"/>
  <c r="F34" i="15"/>
  <c r="F18" i="15"/>
  <c r="F174" i="15"/>
  <c r="F152" i="15"/>
  <c r="F111" i="15"/>
  <c r="F115" i="15"/>
  <c r="F41" i="15"/>
  <c r="F134" i="15"/>
  <c r="F26" i="15"/>
  <c r="F48" i="15"/>
  <c r="F147" i="15"/>
  <c r="F1474" i="14"/>
  <c r="F1355" i="14"/>
  <c r="F1249" i="14"/>
  <c r="F1142" i="14"/>
  <c r="F1021" i="14"/>
  <c r="F941" i="14"/>
  <c r="F892" i="14"/>
  <c r="F832" i="14"/>
  <c r="F760" i="14"/>
  <c r="F714" i="14"/>
  <c r="F632" i="14"/>
  <c r="F439" i="14"/>
  <c r="F395" i="14"/>
  <c r="F375" i="14"/>
  <c r="F291" i="14"/>
  <c r="F139" i="14"/>
  <c r="F87" i="14"/>
  <c r="F23" i="14"/>
  <c r="F1199" i="14"/>
  <c r="F733" i="14"/>
  <c r="F1489" i="14"/>
  <c r="F1406" i="14"/>
  <c r="F1220" i="14"/>
  <c r="F1207" i="14"/>
  <c r="F904" i="14"/>
  <c r="F776" i="14"/>
  <c r="F673" i="14"/>
  <c r="F1579" i="14"/>
  <c r="F1180" i="14"/>
  <c r="F813" i="14"/>
  <c r="F1585" i="14"/>
  <c r="F1112" i="14"/>
  <c r="F1000" i="14"/>
  <c r="F937" i="14"/>
  <c r="F741" i="14"/>
  <c r="F1097" i="14"/>
  <c r="F1004" i="14"/>
  <c r="F747" i="14"/>
  <c r="F1455" i="14"/>
  <c r="F1410" i="14"/>
  <c r="F1391" i="14"/>
  <c r="F1230" i="14"/>
  <c r="F1151" i="14"/>
  <c r="F1134" i="14"/>
  <c r="F1042" i="14"/>
  <c r="F1034" i="14"/>
  <c r="F953" i="14"/>
  <c r="F805" i="14"/>
  <c r="F660" i="14"/>
  <c r="F523" i="14"/>
  <c r="F1442" i="14"/>
  <c r="F1089" i="14"/>
  <c r="F912" i="14"/>
  <c r="F897" i="14"/>
  <c r="F1515" i="14"/>
  <c r="F1158" i="14"/>
  <c r="F679" i="14"/>
  <c r="F930" i="14"/>
  <c r="F768" i="14"/>
  <c r="F30" i="14"/>
  <c r="F1510" i="14"/>
  <c r="F481" i="14"/>
  <c r="F371" i="14"/>
  <c r="F583" i="14"/>
  <c r="F533" i="14"/>
  <c r="F495" i="14"/>
  <c r="F464" i="14"/>
  <c r="F326" i="14"/>
  <c r="F310" i="14"/>
  <c r="F274" i="14"/>
  <c r="F227" i="14"/>
  <c r="F216" i="14"/>
  <c r="F181" i="14"/>
  <c r="F176" i="14"/>
  <c r="F595" i="14"/>
  <c r="F270" i="14"/>
  <c r="F241" i="14"/>
  <c r="F66" i="14"/>
  <c r="F604" i="14"/>
  <c r="F476" i="14"/>
  <c r="F391" i="14"/>
  <c r="F363" i="14"/>
  <c r="F253" i="14"/>
  <c r="F207" i="14"/>
  <c r="F135" i="14"/>
  <c r="F99" i="14"/>
  <c r="F39" i="14"/>
  <c r="F487" i="14"/>
  <c r="F450" i="14"/>
  <c r="F284" i="14"/>
  <c r="F222" i="14"/>
  <c r="F189" i="14"/>
  <c r="F165" i="14"/>
  <c r="F504" i="14"/>
  <c r="F303" i="14"/>
  <c r="F160" i="14"/>
  <c r="F49" i="14"/>
  <c r="F600" i="14"/>
  <c r="F589" i="14"/>
  <c r="F539" i="14"/>
  <c r="F446" i="14"/>
  <c r="F316" i="14"/>
  <c r="F203" i="14"/>
  <c r="F576" i="14"/>
  <c r="F57" i="14"/>
  <c r="F448" i="13"/>
  <c r="F1339" i="13"/>
  <c r="F1067" i="13"/>
  <c r="F2091" i="13"/>
  <c r="F40" i="13"/>
  <c r="F1327" i="13"/>
  <c r="F681" i="13"/>
  <c r="F2126" i="13"/>
  <c r="F1849" i="13"/>
  <c r="F1241" i="13"/>
  <c r="F967" i="13"/>
  <c r="F2087" i="13"/>
  <c r="F2080" i="13"/>
  <c r="F2132" i="13"/>
  <c r="F2112" i="13"/>
  <c r="F180" i="13"/>
  <c r="F277" i="13"/>
  <c r="F2104" i="13"/>
  <c r="F2064" i="13"/>
  <c r="F1900" i="13"/>
  <c r="F897" i="13"/>
  <c r="F2025" i="13"/>
  <c r="F1683" i="13"/>
  <c r="F1451" i="13"/>
  <c r="F862" i="13"/>
  <c r="F382" i="13"/>
  <c r="F291" i="13"/>
  <c r="F1693" i="13"/>
  <c r="F1679" i="13"/>
  <c r="F1163" i="13"/>
  <c r="F1141" i="13"/>
  <c r="F1123" i="13"/>
  <c r="F908" i="13"/>
  <c r="F404" i="13"/>
  <c r="F284" i="13"/>
  <c r="F1803" i="13"/>
  <c r="F1285" i="13"/>
  <c r="F1271" i="13"/>
  <c r="F918" i="13"/>
  <c r="F843" i="13"/>
  <c r="F643" i="13"/>
  <c r="F1657" i="13"/>
  <c r="F386" i="13"/>
  <c r="F1596" i="13"/>
  <c r="F17" i="13"/>
  <c r="F439" i="13"/>
  <c r="F1945" i="13"/>
  <c r="F1421" i="13"/>
  <c r="F1999" i="13"/>
  <c r="F1925" i="13"/>
  <c r="F1743" i="13"/>
  <c r="F1709" i="13"/>
  <c r="F1569" i="13"/>
  <c r="F400" i="13"/>
  <c r="F129" i="13"/>
  <c r="F1504" i="13"/>
  <c r="F2054" i="13"/>
  <c r="F1822" i="13"/>
  <c r="F1716" i="13"/>
  <c r="F1561" i="13"/>
  <c r="F1405" i="13"/>
  <c r="F1354" i="13"/>
  <c r="F1254" i="13"/>
  <c r="F1220" i="13"/>
  <c r="F1203" i="13"/>
  <c r="F1188" i="13"/>
  <c r="F1086" i="13"/>
  <c r="F1001" i="13"/>
  <c r="F940" i="13"/>
  <c r="F893" i="13"/>
  <c r="F874" i="13"/>
  <c r="F807" i="13"/>
  <c r="F743" i="13"/>
  <c r="F731" i="13"/>
  <c r="F557" i="13"/>
  <c r="F171" i="13"/>
  <c r="F155" i="13"/>
  <c r="F119" i="13"/>
  <c r="F27" i="13"/>
  <c r="F627" i="13"/>
  <c r="F392" i="13"/>
  <c r="F336" i="13"/>
  <c r="F239" i="13"/>
  <c r="F1964" i="13"/>
  <c r="F1884" i="13"/>
  <c r="F1845" i="13"/>
  <c r="F1828" i="13"/>
  <c r="F1775" i="13"/>
  <c r="F1638" i="13"/>
  <c r="F1620" i="13"/>
  <c r="F1608" i="13"/>
  <c r="F1586" i="13"/>
  <c r="F1500" i="13"/>
  <c r="F1444" i="13"/>
  <c r="F1400" i="13"/>
  <c r="F1383" i="13"/>
  <c r="F1265" i="13"/>
  <c r="F1198" i="13"/>
  <c r="F1034" i="13"/>
  <c r="F1012" i="13"/>
  <c r="F995" i="13"/>
  <c r="F869" i="13"/>
  <c r="F853" i="13"/>
  <c r="F785" i="13"/>
  <c r="F771" i="13"/>
  <c r="F693" i="13"/>
  <c r="F458" i="13"/>
  <c r="F423" i="13"/>
  <c r="F321" i="13"/>
  <c r="F217" i="13"/>
  <c r="F115" i="13"/>
  <c r="F105" i="13"/>
  <c r="F90" i="13"/>
  <c r="F1749" i="13"/>
  <c r="F1046" i="13"/>
  <c r="F348" i="13"/>
  <c r="F2017" i="13"/>
  <c r="F1860" i="13"/>
  <c r="F1727" i="13"/>
  <c r="F1537" i="13"/>
  <c r="F1463" i="13"/>
  <c r="F1362" i="13"/>
  <c r="F1277" i="13"/>
  <c r="F1234" i="13"/>
  <c r="F1101" i="13"/>
  <c r="F945" i="13"/>
  <c r="F821" i="13"/>
  <c r="F759" i="13"/>
  <c r="F376" i="13"/>
  <c r="F255" i="13"/>
  <c r="F200" i="13"/>
  <c r="F1574" i="13"/>
  <c r="F1290" i="13"/>
  <c r="F1958" i="13"/>
  <c r="F1906" i="13"/>
  <c r="F1896" i="13"/>
  <c r="F1811" i="13"/>
  <c r="F1550" i="13"/>
  <c r="F1396" i="13"/>
  <c r="F1057" i="13"/>
  <c r="F1008" i="13"/>
  <c r="F901" i="13"/>
  <c r="F803" i="13"/>
  <c r="F781" i="13"/>
  <c r="F724" i="13"/>
  <c r="F632" i="13"/>
  <c r="F583" i="13"/>
  <c r="F561" i="13"/>
  <c r="F23" i="13"/>
  <c r="F2005" i="13"/>
  <c r="F1767" i="13"/>
  <c r="F1757" i="13"/>
  <c r="F1689" i="13"/>
  <c r="F1565" i="13"/>
  <c r="F1473" i="13"/>
  <c r="F1375" i="13"/>
  <c r="F1345" i="13"/>
  <c r="F1335" i="13"/>
  <c r="F1300" i="13"/>
  <c r="F1247" i="13"/>
  <c r="F1207" i="13"/>
  <c r="F1173" i="13"/>
  <c r="F1134" i="13"/>
  <c r="F962" i="13"/>
  <c r="F814" i="13"/>
  <c r="F701" i="13"/>
  <c r="F620" i="13"/>
  <c r="F518" i="13"/>
  <c r="F453" i="13"/>
  <c r="F370" i="13"/>
  <c r="F342" i="13"/>
  <c r="F330" i="13"/>
  <c r="F210" i="13"/>
  <c r="F56" i="13"/>
  <c r="F658" i="13"/>
  <c r="F1941" i="13"/>
  <c r="F1888" i="13"/>
  <c r="F1721" i="13"/>
  <c r="F1614" i="13"/>
  <c r="F1579" i="13"/>
  <c r="F1440" i="13"/>
  <c r="F1434" i="13"/>
  <c r="F1260" i="13"/>
  <c r="F1041" i="13"/>
  <c r="F991" i="13"/>
  <c r="F927" i="13"/>
  <c r="F826" i="13"/>
  <c r="F765" i="13"/>
  <c r="F739" i="13"/>
  <c r="F502" i="13"/>
  <c r="F264" i="13"/>
  <c r="F228" i="13"/>
  <c r="F191" i="13"/>
  <c r="F176" i="13"/>
  <c r="F111" i="13"/>
  <c r="F2047" i="13"/>
  <c r="F1479" i="13"/>
  <c r="F614" i="13"/>
  <c r="F467" i="13"/>
  <c r="F474" i="13"/>
  <c r="F444" i="13"/>
  <c r="F354" i="13"/>
  <c r="F1968" i="12"/>
  <c r="F1802" i="12"/>
  <c r="F1747" i="12"/>
  <c r="F1976" i="12"/>
  <c r="F1955" i="12"/>
  <c r="F1903" i="12"/>
  <c r="F1916" i="12"/>
  <c r="F1881" i="12"/>
  <c r="F1868" i="12"/>
  <c r="F1842" i="12"/>
  <c r="F1951" i="12"/>
  <c r="F1912" i="12"/>
  <c r="F1815" i="12"/>
  <c r="F1779" i="12"/>
  <c r="F1715" i="12"/>
  <c r="F1859" i="12"/>
  <c r="F1798" i="12"/>
  <c r="F1907" i="12"/>
  <c r="F1921" i="12"/>
  <c r="F1938" i="12"/>
  <c r="F1864" i="12"/>
  <c r="F1809" i="12"/>
  <c r="F1763" i="12"/>
  <c r="F1854" i="12"/>
  <c r="F1103" i="12"/>
  <c r="F317" i="12"/>
  <c r="F1696" i="12"/>
  <c r="F1011" i="12"/>
  <c r="F690" i="12"/>
  <c r="F1037" i="12"/>
  <c r="F1544" i="12"/>
  <c r="F1526" i="12"/>
  <c r="F512" i="12"/>
  <c r="F1680" i="12"/>
  <c r="F1340" i="12"/>
  <c r="F1205" i="12"/>
  <c r="F1174" i="12"/>
  <c r="F937" i="12"/>
  <c r="F888" i="12"/>
  <c r="F874" i="12"/>
  <c r="F854" i="12"/>
  <c r="F716" i="12"/>
  <c r="F249" i="12"/>
  <c r="F1643" i="12"/>
  <c r="F1449" i="12"/>
  <c r="F801" i="12"/>
  <c r="F578" i="12"/>
  <c r="F668" i="12"/>
  <c r="F1522" i="12"/>
  <c r="F568" i="12"/>
  <c r="F549" i="12"/>
  <c r="F1658" i="12"/>
  <c r="F1505" i="12"/>
  <c r="F122" i="12"/>
  <c r="F1664" i="12"/>
  <c r="F1548" i="12"/>
  <c r="F1357" i="12"/>
  <c r="F1228" i="12"/>
  <c r="F1061" i="12"/>
  <c r="F1041" i="12"/>
  <c r="F1021" i="12"/>
  <c r="F49" i="12"/>
  <c r="F480" i="12"/>
  <c r="F1617" i="12"/>
  <c r="F1594" i="12"/>
  <c r="F1559" i="12"/>
  <c r="F1463" i="12"/>
  <c r="F1435" i="12"/>
  <c r="F1423" i="12"/>
  <c r="F1368" i="12"/>
  <c r="F1540" i="12"/>
  <c r="F541" i="12"/>
  <c r="F256" i="12"/>
  <c r="F111" i="12"/>
  <c r="F26" i="12"/>
  <c r="F1575" i="12"/>
  <c r="F1552" i="12"/>
  <c r="F1518" i="12"/>
  <c r="F1379" i="12"/>
  <c r="F1332" i="12"/>
  <c r="F1162" i="12"/>
  <c r="F1093" i="12"/>
  <c r="F1079" i="12"/>
  <c r="F861" i="12"/>
  <c r="F843" i="12"/>
  <c r="F752" i="12"/>
  <c r="F1364" i="12"/>
  <c r="F409" i="12"/>
  <c r="F184" i="12"/>
  <c r="F8" i="12"/>
  <c r="F1613" i="12"/>
  <c r="F1585" i="12"/>
  <c r="F1467" i="12"/>
  <c r="F1418" i="12"/>
  <c r="F1347" i="12"/>
  <c r="F829" i="12"/>
  <c r="F1443" i="12"/>
  <c r="F1430" i="12"/>
  <c r="F1607" i="12"/>
  <c r="F1579" i="12"/>
  <c r="F1373" i="12"/>
  <c r="F1244" i="12"/>
  <c r="F905" i="12"/>
  <c r="F733" i="12"/>
  <c r="F282" i="12"/>
  <c r="F897" i="12"/>
  <c r="F349" i="12"/>
  <c r="F505" i="12"/>
  <c r="F1158" i="12"/>
  <c r="F1065" i="12"/>
  <c r="F1218" i="12"/>
  <c r="F1236" i="12"/>
  <c r="F1309" i="12"/>
  <c r="F1249" i="12"/>
  <c r="F1045" i="12"/>
  <c r="F1194" i="12"/>
  <c r="F1266" i="12"/>
  <c r="F517" i="12"/>
  <c r="F1135" i="12"/>
  <c r="F697" i="12"/>
  <c r="F35" i="12"/>
  <c r="F1075" i="12"/>
  <c r="F656" i="12"/>
  <c r="F118" i="12"/>
  <c r="F1089" i="12"/>
  <c r="F994" i="12"/>
  <c r="F963" i="12"/>
  <c r="F922" i="12"/>
  <c r="F816" i="12"/>
  <c r="F781" i="12"/>
  <c r="F745" i="12"/>
  <c r="F636" i="12"/>
  <c r="F614" i="12"/>
  <c r="F528" i="12"/>
  <c r="F494" i="12"/>
  <c r="F1070" i="12"/>
  <c r="F980" i="12"/>
  <c r="F756" i="12"/>
  <c r="F562" i="12"/>
  <c r="F1183" i="12"/>
  <c r="F946" i="12"/>
  <c r="F219" i="12"/>
  <c r="F812" i="12"/>
  <c r="F720" i="12"/>
  <c r="F596" i="12"/>
  <c r="F1112" i="12"/>
  <c r="F1004" i="12"/>
  <c r="F958" i="12"/>
  <c r="F893" i="12"/>
  <c r="F739" i="12"/>
  <c r="F459" i="12"/>
  <c r="F1130" i="12"/>
  <c r="F839" i="12"/>
  <c r="F987" i="12"/>
  <c r="F606" i="12"/>
  <c r="F796" i="12"/>
  <c r="F474" i="12"/>
  <c r="F414" i="12"/>
  <c r="F333" i="12"/>
  <c r="F260" i="12"/>
  <c r="F191" i="12"/>
  <c r="F84" i="12"/>
  <c r="F62" i="12"/>
  <c r="F13" i="12"/>
  <c r="F297" i="12"/>
  <c r="F393" i="12"/>
  <c r="F129" i="12"/>
  <c r="F100" i="12"/>
  <c r="F45" i="12"/>
  <c r="F328" i="12"/>
  <c r="F275" i="12"/>
  <c r="F196" i="12"/>
  <c r="F422" i="12"/>
  <c r="F304" i="12"/>
  <c r="F137" i="12"/>
  <c r="F92" i="12"/>
  <c r="F153" i="12"/>
  <c r="F384" i="12"/>
  <c r="F88" i="12"/>
  <c r="F432" i="12"/>
  <c r="F1967" i="11"/>
  <c r="F1950" i="11"/>
  <c r="F1946" i="11"/>
  <c r="F1872" i="11"/>
  <c r="F1928" i="11"/>
  <c r="F1924" i="11"/>
  <c r="F1958" i="11"/>
  <c r="F1942" i="11"/>
  <c r="F1934" i="11"/>
  <c r="F1889" i="11"/>
  <c r="F1963" i="11"/>
  <c r="F1902" i="11"/>
  <c r="F1893" i="11"/>
  <c r="F1783" i="11"/>
  <c r="F1821" i="11"/>
  <c r="F1853" i="11"/>
  <c r="F1849" i="11"/>
  <c r="F1845" i="11"/>
  <c r="F1790" i="11"/>
  <c r="F1841" i="11"/>
  <c r="F1408" i="11"/>
  <c r="F439" i="11"/>
  <c r="F1760" i="11"/>
  <c r="F1798" i="11"/>
  <c r="F1771" i="11"/>
  <c r="F1766" i="11"/>
  <c r="F1666" i="11"/>
  <c r="F524" i="11"/>
  <c r="F118" i="11"/>
  <c r="F84" i="11"/>
  <c r="F97" i="11"/>
  <c r="F1752" i="11"/>
  <c r="F1248" i="11"/>
  <c r="F1310" i="11"/>
  <c r="F1732" i="11"/>
  <c r="F1728" i="11"/>
  <c r="F825" i="11"/>
  <c r="F1724" i="11"/>
  <c r="F1314" i="11"/>
  <c r="F1443" i="11"/>
  <c r="F1583" i="11"/>
  <c r="F1044" i="11"/>
  <c r="F967" i="11"/>
  <c r="F1404" i="11"/>
  <c r="F1413" i="11"/>
  <c r="F1479" i="11"/>
  <c r="F1696" i="11"/>
  <c r="F1376" i="11"/>
  <c r="F803" i="11"/>
  <c r="F1670" i="11"/>
  <c r="F1579" i="11"/>
  <c r="F1529" i="11"/>
  <c r="F1508" i="11"/>
  <c r="F1475" i="11"/>
  <c r="F1353" i="11"/>
  <c r="F1290" i="11"/>
  <c r="F1640" i="11"/>
  <c r="F1621" i="11"/>
  <c r="F1593" i="11"/>
  <c r="F1561" i="11"/>
  <c r="F1540" i="11"/>
  <c r="F1489" i="11"/>
  <c r="F1420" i="11"/>
  <c r="F1363" i="11"/>
  <c r="F1575" i="11"/>
  <c r="F1468" i="11"/>
  <c r="F1297" i="11"/>
  <c r="F1220" i="11"/>
  <c r="F1255" i="11"/>
  <c r="F1426" i="11"/>
  <c r="F1274" i="11"/>
  <c r="F1214" i="11"/>
  <c r="F1503" i="11"/>
  <c r="F1359" i="11"/>
  <c r="F1337" i="11"/>
  <c r="F1323" i="11"/>
  <c r="F391" i="11"/>
  <c r="F379" i="11"/>
  <c r="F272" i="11"/>
  <c r="F1161" i="11"/>
  <c r="F309" i="11"/>
  <c r="F23" i="11"/>
  <c r="F1125" i="11"/>
  <c r="F71" i="11"/>
  <c r="F844" i="11"/>
  <c r="F447" i="11"/>
  <c r="F463" i="11"/>
  <c r="F829" i="11"/>
  <c r="F562" i="11"/>
  <c r="F490" i="11"/>
  <c r="F167" i="11"/>
  <c r="F1034" i="11"/>
  <c r="F1050" i="11"/>
  <c r="F64" i="11"/>
  <c r="F786" i="11"/>
  <c r="F637" i="11"/>
  <c r="F417" i="11"/>
  <c r="F890" i="11"/>
  <c r="F149" i="11"/>
  <c r="F1113" i="11"/>
  <c r="F372" i="11"/>
  <c r="F558" i="11"/>
  <c r="F676" i="11"/>
  <c r="F934" i="11"/>
  <c r="F1194" i="11"/>
  <c r="F633" i="11"/>
  <c r="F553" i="11"/>
  <c r="F395" i="11"/>
  <c r="F232" i="11"/>
  <c r="F404" i="11"/>
  <c r="F1170" i="11"/>
  <c r="F1154" i="11"/>
  <c r="F1134" i="11"/>
  <c r="F1075" i="11"/>
  <c r="F1059" i="11"/>
  <c r="F929" i="11"/>
  <c r="F685" i="11"/>
  <c r="F534" i="11"/>
  <c r="F502" i="11"/>
  <c r="F478" i="11"/>
  <c r="F357" i="11"/>
  <c r="F387" i="11" a="1"/>
  <c r="F387" i="11" s="1"/>
  <c r="F1165" i="11"/>
  <c r="F1129" i="11"/>
  <c r="F1119" i="11"/>
  <c r="F993" i="11"/>
  <c r="F917" i="11"/>
  <c r="F836" i="11"/>
  <c r="F781" i="11"/>
  <c r="F680" i="11"/>
  <c r="F672" i="11"/>
  <c r="F566" i="11"/>
  <c r="F156" i="11"/>
  <c r="F945" i="11"/>
  <c r="F938" i="11"/>
  <c r="F715" i="11"/>
  <c r="F352" i="11"/>
  <c r="F194" i="11"/>
  <c r="F655" i="11"/>
  <c r="F1107" i="11"/>
  <c r="F974" i="11"/>
  <c r="F752" i="11"/>
  <c r="F530" i="11"/>
  <c r="F496" i="11"/>
  <c r="F485" i="11"/>
  <c r="F368" i="11"/>
  <c r="F623" i="11"/>
  <c r="F1096" i="11"/>
  <c r="F616" i="11"/>
  <c r="F925" i="11"/>
  <c r="F709" i="11"/>
  <c r="F173" i="11"/>
  <c r="F228" i="11"/>
  <c r="F305" i="11"/>
  <c r="F188" i="11"/>
  <c r="F160" i="11"/>
  <c r="F128" i="11"/>
  <c r="F108" i="11"/>
  <c r="F319" i="11"/>
  <c r="F214" i="11"/>
  <c r="F32" i="11"/>
  <c r="F142" i="11"/>
  <c r="F326" i="11"/>
  <c r="F295" i="11"/>
  <c r="F103" i="11"/>
  <c r="F132" i="11"/>
  <c r="F2070" i="10"/>
  <c r="F2066" i="10"/>
  <c r="F2013" i="10"/>
  <c r="F2009" i="10"/>
  <c r="F1967" i="10"/>
  <c r="F1951" i="10"/>
  <c r="F1933" i="10"/>
  <c r="F1806" i="10"/>
  <c r="F1762" i="10"/>
  <c r="F2133" i="10"/>
  <c r="F2123" i="10"/>
  <c r="F2081" i="10"/>
  <c r="F1972" i="10"/>
  <c r="F1956" i="10"/>
  <c r="F1947" i="10"/>
  <c r="F1885" i="10"/>
  <c r="F1790" i="10"/>
  <c r="F1774" i="10"/>
  <c r="F2112" i="10"/>
  <c r="F2107" i="10"/>
  <c r="F2103" i="10"/>
  <c r="F2096" i="10"/>
  <c r="F2091" i="10"/>
  <c r="F2059" i="10"/>
  <c r="F2020" i="10"/>
  <c r="F2005" i="10"/>
  <c r="F1979" i="10"/>
  <c r="F1963" i="10"/>
  <c r="F1941" i="10"/>
  <c r="F1917" i="10"/>
  <c r="F1879" i="10"/>
  <c r="F1844" i="10"/>
  <c r="F1836" i="10"/>
  <c r="F1832" i="10"/>
  <c r="F1810" i="10"/>
  <c r="F1799" i="10"/>
  <c r="F1794" i="10"/>
  <c r="F1755" i="10"/>
  <c r="F1742" i="10"/>
  <c r="F1737" i="10"/>
  <c r="F1714" i="10"/>
  <c r="F1694" i="10"/>
  <c r="F1672" i="10"/>
  <c r="F1634" i="10"/>
  <c r="F1603" i="10"/>
  <c r="F1558" i="10"/>
  <c r="F1524" i="10"/>
  <c r="F1419" i="10"/>
  <c r="F1342" i="10"/>
  <c r="F1336" i="10"/>
  <c r="F1330" i="10"/>
  <c r="F1294" i="10"/>
  <c r="F1284" i="10"/>
  <c r="F1256" i="10"/>
  <c r="F1246" i="10"/>
  <c r="F1242" i="10"/>
  <c r="F1238" i="10"/>
  <c r="F1234" i="10"/>
  <c r="F1180" i="10"/>
  <c r="F1384" i="10"/>
  <c r="F1205" i="10"/>
  <c r="F1569" i="10"/>
  <c r="F1424" i="10"/>
  <c r="F1360" i="10"/>
  <c r="F1290" i="10"/>
  <c r="F1267" i="10"/>
  <c r="F1252" i="10"/>
  <c r="F1701" i="10"/>
  <c r="F1668" i="10"/>
  <c r="F1660" i="10"/>
  <c r="F1627" i="10"/>
  <c r="F1623" i="10"/>
  <c r="F1619" i="10"/>
  <c r="F1594" i="10"/>
  <c r="F1589" i="10"/>
  <c r="F1574" i="10"/>
  <c r="F1551" i="10"/>
  <c r="F1532" i="10"/>
  <c r="F1514" i="10"/>
  <c r="F1497" i="10"/>
  <c r="F1485" i="10"/>
  <c r="F1460" i="10"/>
  <c r="F1434" i="10"/>
  <c r="F1391" i="10"/>
  <c r="F1354" i="10"/>
  <c r="F1311" i="10"/>
  <c r="F1271" i="10"/>
  <c r="F1221" i="10"/>
  <c r="F1189" i="10"/>
  <c r="F1164" i="10"/>
  <c r="F1151" i="10"/>
  <c r="F1159" i="10"/>
  <c r="F1145" i="10"/>
  <c r="F1141" i="10"/>
  <c r="F939" i="10"/>
  <c r="F779" i="10"/>
  <c r="F747" i="10"/>
  <c r="F342" i="10"/>
  <c r="F335" i="10"/>
  <c r="F324" i="10"/>
  <c r="F292" i="10"/>
  <c r="F1131" i="10"/>
  <c r="F975" i="10"/>
  <c r="F965" i="10"/>
  <c r="F700" i="10"/>
  <c r="F682" i="10"/>
  <c r="F645" i="10"/>
  <c r="F591" i="10"/>
  <c r="F503" i="10"/>
  <c r="F499" i="10"/>
  <c r="F1089" i="10"/>
  <c r="F808" i="10"/>
  <c r="F743" i="10"/>
  <c r="F739" i="10"/>
  <c r="F552" i="10"/>
  <c r="F629" i="10"/>
  <c r="F481" i="10"/>
  <c r="F1116" i="10"/>
  <c r="F1079" i="10"/>
  <c r="F1072" i="10"/>
  <c r="F1067" i="10"/>
  <c r="F1061" i="10"/>
  <c r="F1050" i="10"/>
  <c r="F1016" i="10"/>
  <c r="F1005" i="10"/>
  <c r="F1001" i="10"/>
  <c r="F983" i="10"/>
  <c r="F884" i="10"/>
  <c r="F877" i="10"/>
  <c r="F865" i="10"/>
  <c r="F834" i="10"/>
  <c r="F798" i="10"/>
  <c r="F735" i="10"/>
  <c r="F708" i="10"/>
  <c r="F669" i="10"/>
  <c r="F663" i="10"/>
  <c r="F658" i="10"/>
  <c r="F641" i="10"/>
  <c r="F636" i="10"/>
  <c r="F622" i="10"/>
  <c r="F557" i="10"/>
  <c r="F548" i="10"/>
  <c r="F535" i="10"/>
  <c r="F520" i="10"/>
  <c r="F510" i="10"/>
  <c r="F489" i="10"/>
  <c r="F391" i="10"/>
  <c r="F384" i="10"/>
  <c r="F248" i="10"/>
  <c r="F1054" i="10"/>
  <c r="F1024" i="10"/>
  <c r="F988" i="10"/>
  <c r="F961" i="10"/>
  <c r="F905" i="10"/>
  <c r="F888" i="10"/>
  <c r="F855" i="10"/>
  <c r="F815" i="10"/>
  <c r="F791" i="10"/>
  <c r="F784" i="10"/>
  <c r="F769" i="10"/>
  <c r="F713" i="10"/>
  <c r="F687" i="10"/>
  <c r="F569" i="10"/>
  <c r="F563" i="10"/>
  <c r="F539" i="10"/>
  <c r="F530" i="10"/>
  <c r="F408" i="10"/>
  <c r="F403" i="10"/>
  <c r="F378" i="10"/>
  <c r="F349" i="10"/>
  <c r="F229" i="10"/>
  <c r="F220" i="10"/>
  <c r="F176" i="10"/>
  <c r="F317" i="10"/>
  <c r="F309" i="10"/>
  <c r="F299" i="10"/>
  <c r="F270" i="10"/>
  <c r="F256" i="10"/>
  <c r="F200" i="10"/>
  <c r="F196" i="10"/>
  <c r="F192" i="10"/>
  <c r="F171" i="10"/>
  <c r="F141" i="10"/>
  <c r="F87" i="10"/>
  <c r="F154" i="10"/>
  <c r="F146" i="10"/>
  <c r="F122" i="10"/>
  <c r="F83" i="10"/>
  <c r="F164" i="10"/>
  <c r="F158" i="10"/>
  <c r="F159" i="10" s="1"/>
  <c r="F102" i="10"/>
  <c r="F95" i="10"/>
  <c r="F62" i="10"/>
  <c r="F58" i="10"/>
  <c r="F47" i="10"/>
  <c r="F38" i="10"/>
  <c r="F1726" i="9"/>
  <c r="XFD1725" i="9"/>
  <c r="F1905" i="9"/>
  <c r="F1933" i="9"/>
  <c r="F1879" i="9"/>
  <c r="F1806" i="9"/>
  <c r="F1857" i="9"/>
  <c r="F1845" i="9"/>
  <c r="F1890" i="9"/>
  <c r="F1853" i="9"/>
  <c r="F1819" i="9"/>
  <c r="F1839" i="9"/>
  <c r="F1919" i="9"/>
  <c r="F1849" i="9"/>
  <c r="F1863" i="9"/>
  <c r="F1898" i="9"/>
  <c r="F1773" i="9"/>
  <c r="F1730" i="9"/>
  <c r="F1761" i="9"/>
  <c r="F1766" i="9"/>
  <c r="F1742" i="9"/>
  <c r="F1737" i="9"/>
  <c r="F1668" i="9"/>
  <c r="F1664" i="9"/>
  <c r="F1660" i="9"/>
  <c r="F1650" i="9"/>
  <c r="F1524" i="9"/>
  <c r="F1397" i="9"/>
  <c r="F925" i="9"/>
  <c r="F887" i="9"/>
  <c r="F713" i="9"/>
  <c r="F448" i="9"/>
  <c r="F342" i="9"/>
  <c r="F256" i="9"/>
  <c r="F206" i="9"/>
  <c r="F174" i="9"/>
  <c r="F1747" i="9"/>
  <c r="F1710" i="9"/>
  <c r="F1696" i="9"/>
  <c r="F1646" i="9"/>
  <c r="F1617" i="9"/>
  <c r="F1607" i="9"/>
  <c r="F1602" i="9"/>
  <c r="F1596" i="9"/>
  <c r="F1587" i="9"/>
  <c r="F1520" i="9"/>
  <c r="F1514" i="9"/>
  <c r="F1714" i="9"/>
  <c r="F1691" i="9"/>
  <c r="F1634" i="9"/>
  <c r="F1612" i="9"/>
  <c r="F1567" i="9"/>
  <c r="F1557" i="9"/>
  <c r="F1551" i="9"/>
  <c r="F1547" i="9"/>
  <c r="F1543" i="9"/>
  <c r="F1486" i="9"/>
  <c r="F1424" i="9"/>
  <c r="F1467" i="9"/>
  <c r="F1090" i="9"/>
  <c r="F1436" i="9"/>
  <c r="F831" i="9"/>
  <c r="F701" i="9"/>
  <c r="F1428" i="9"/>
  <c r="F1444" i="9"/>
  <c r="F1461" i="9"/>
  <c r="F1191" i="9"/>
  <c r="F1162" i="9"/>
  <c r="F1148" i="9"/>
  <c r="F861" i="9"/>
  <c r="F544" i="9"/>
  <c r="F510" i="9"/>
  <c r="F496" i="9"/>
  <c r="F225" i="9"/>
  <c r="F665" i="9"/>
  <c r="F146" i="9"/>
  <c r="F1227" i="9"/>
  <c r="F815" i="9"/>
  <c r="F352" i="9"/>
  <c r="F232" i="9"/>
  <c r="F26" i="9"/>
  <c r="F1401" i="9"/>
  <c r="F1023" i="9"/>
  <c r="F42" i="9"/>
  <c r="F1254" i="9"/>
  <c r="F312" i="9"/>
  <c r="F1006" i="9"/>
  <c r="F649" i="9"/>
  <c r="F793" i="9"/>
  <c r="F130" i="9"/>
  <c r="F468" i="9"/>
  <c r="F274" i="9"/>
  <c r="F260" i="9"/>
  <c r="F1243" i="9"/>
  <c r="F930" i="9"/>
  <c r="F453" i="9"/>
  <c r="F210" i="9"/>
  <c r="F10" i="9"/>
  <c r="F1291" i="9"/>
  <c r="F1211" i="9"/>
  <c r="F1166" i="9"/>
  <c r="F1048" i="9"/>
  <c r="F775" i="9"/>
  <c r="F486" i="9"/>
  <c r="F1365" i="9"/>
  <c r="F1349" i="9"/>
  <c r="F1206" i="9"/>
  <c r="F1036" i="9"/>
  <c r="F906" i="9"/>
  <c r="F850" i="9"/>
  <c r="F737" i="9"/>
  <c r="F688" i="9"/>
  <c r="F632" i="9"/>
  <c r="F618" i="9"/>
  <c r="F561" i="9"/>
  <c r="F482" i="9"/>
  <c r="F437" i="9"/>
  <c r="F415" i="9"/>
  <c r="F327" i="9"/>
  <c r="F243" i="9"/>
  <c r="F112" i="9"/>
  <c r="F98" i="9"/>
  <c r="F983" i="9"/>
  <c r="F744" i="9"/>
  <c r="F554" i="9"/>
  <c r="F397" i="9"/>
  <c r="F1247" i="9"/>
  <c r="F52" i="9"/>
  <c r="F1316" i="9"/>
  <c r="F1262" i="9"/>
  <c r="F1173" i="9"/>
  <c r="F1118" i="9"/>
  <c r="F1055" i="9"/>
  <c r="F1044" i="9"/>
  <c r="F1011" i="9"/>
  <c r="F902" i="9"/>
  <c r="F855" i="9"/>
  <c r="F726" i="9"/>
  <c r="F692" i="9"/>
  <c r="F622" i="9"/>
  <c r="F490" i="9"/>
  <c r="F472" i="9"/>
  <c r="F441" i="9"/>
  <c r="F405" i="9"/>
  <c r="F338" i="9"/>
  <c r="F319" i="9"/>
  <c r="F279" i="9"/>
  <c r="F252" i="9"/>
  <c r="F191" i="9"/>
  <c r="F167" i="9"/>
  <c r="F1068" i="9"/>
  <c r="F697" i="9"/>
  <c r="F591" i="9"/>
  <c r="F360" i="9"/>
  <c r="F77" i="9"/>
  <c r="F1216" i="9"/>
  <c r="F841" i="9"/>
  <c r="F709" i="9"/>
  <c r="F220" i="9"/>
  <c r="F1355" i="9"/>
  <c r="F1196" i="9"/>
  <c r="F1157" i="9"/>
  <c r="F976" i="9"/>
  <c r="F866" i="9"/>
  <c r="F705" i="9"/>
  <c r="F580" i="9"/>
  <c r="F517" i="9"/>
  <c r="F267" i="9"/>
  <c r="F199" i="9"/>
  <c r="F151" i="9"/>
  <c r="F117" i="9"/>
  <c r="F104" i="9"/>
  <c r="F1234" i="9"/>
  <c r="F965" i="9"/>
  <c r="F767" i="9"/>
  <c r="F239" i="9"/>
  <c r="F1369" i="9"/>
  <c r="F780" i="9"/>
  <c r="F682" i="9"/>
  <c r="F93" i="9"/>
  <c r="F1134" i="9"/>
  <c r="F586" i="9"/>
  <c r="F550" i="9"/>
  <c r="F502" i="9"/>
  <c r="F401" i="9"/>
  <c r="F1030" i="9"/>
  <c r="F642" i="9"/>
  <c r="F431" i="9"/>
  <c r="F323" i="9"/>
  <c r="F157" i="9"/>
  <c r="F567" i="9"/>
  <c r="F140" i="9"/>
  <c r="F1223" i="9"/>
  <c r="F1179" i="9"/>
  <c r="F1086" i="9"/>
  <c r="F1062" i="9"/>
  <c r="F876" i="9"/>
  <c r="F571" i="9"/>
  <c r="F535" i="9"/>
  <c r="F367" i="9"/>
  <c r="F85" i="9"/>
  <c r="F1344" i="9"/>
  <c r="F871" i="9"/>
  <c r="F730" i="9"/>
  <c r="F626" i="9"/>
  <c r="F883" i="9"/>
  <c r="F539" i="9"/>
  <c r="F1001" i="4"/>
  <c r="F933" i="4"/>
  <c r="F585" i="4"/>
  <c r="F1005" i="4"/>
  <c r="F903" i="4"/>
  <c r="F718" i="4"/>
  <c r="F955" i="4"/>
  <c r="F408" i="4"/>
  <c r="F446" i="4"/>
  <c r="F304" i="4"/>
  <c r="F427" i="4"/>
  <c r="F640" i="4"/>
  <c r="F701" i="4"/>
  <c r="F804" i="4"/>
  <c r="F395" i="4"/>
  <c r="F757" i="4"/>
  <c r="F604" i="4"/>
  <c r="F742" i="4"/>
  <c r="F612" i="4"/>
  <c r="F544" i="4"/>
  <c r="F510" i="4"/>
  <c r="F450" i="4"/>
  <c r="F898" i="4"/>
  <c r="F695" i="4"/>
  <c r="F997" i="4"/>
  <c r="F825" i="4"/>
  <c r="F929" i="4"/>
  <c r="F439" i="4"/>
  <c r="F608" i="4"/>
  <c r="F462" i="4"/>
  <c r="F938" i="4"/>
  <c r="F879" i="4"/>
  <c r="F860" i="4"/>
  <c r="F838" i="4"/>
  <c r="F820" i="4"/>
  <c r="F432" i="4"/>
  <c r="F964" i="4"/>
  <c r="F556" i="4"/>
  <c r="F506" i="4"/>
  <c r="F458" i="4"/>
  <c r="F919" i="4"/>
  <c r="F763" i="4"/>
  <c r="F746" i="4"/>
  <c r="F618" i="4"/>
  <c r="F566" i="4"/>
  <c r="F515" i="4"/>
  <c r="F486" i="4"/>
  <c r="F454" i="4"/>
  <c r="F960" i="4"/>
  <c r="F871" i="4"/>
  <c r="F816" i="4"/>
  <c r="F600" i="4"/>
  <c r="F525" i="4"/>
  <c r="F887" i="4"/>
  <c r="F727" i="4"/>
  <c r="F500" i="4"/>
  <c r="F404" i="4"/>
  <c r="F894" i="4"/>
  <c r="F777" i="4"/>
  <c r="F691" i="4"/>
  <c r="F581" i="4"/>
  <c r="F908" i="4"/>
  <c r="F722" i="4"/>
  <c r="F592" i="4"/>
  <c r="F925" i="4"/>
  <c r="F738" i="4"/>
  <c r="F521" i="4"/>
  <c r="F494" i="4"/>
  <c r="F750" i="4"/>
  <c r="F473" i="4"/>
  <c r="F190" i="4"/>
  <c r="F350" i="4"/>
  <c r="F334" i="4"/>
  <c r="F280" i="4" a="1"/>
  <c r="F280" i="4" s="1"/>
  <c r="F325" i="4"/>
  <c r="F19" i="4"/>
  <c r="F296" i="4"/>
  <c r="F273" i="4"/>
  <c r="F255" i="4"/>
  <c r="F220" i="4"/>
  <c r="F126" i="4"/>
  <c r="F340" i="4"/>
  <c r="F310" i="4"/>
  <c r="F292" i="4"/>
  <c r="F268" i="4"/>
  <c r="F329" i="4"/>
  <c r="F288" i="4"/>
  <c r="F242" i="4"/>
  <c r="F142" i="4"/>
  <c r="F249" i="4"/>
  <c r="F136" i="4"/>
  <c r="F315" i="4"/>
  <c r="F300" i="4"/>
  <c r="F152" i="4"/>
  <c r="F113" i="4"/>
  <c r="F162" i="4"/>
  <c r="F180" i="4"/>
  <c r="F106" i="4"/>
  <c r="F92" i="4"/>
  <c r="F71" i="4"/>
  <c r="F57" i="4"/>
  <c r="F215" i="4"/>
  <c r="F121" i="4"/>
  <c r="F96" i="4"/>
  <c r="F46" i="4"/>
  <c r="F15" i="4"/>
  <c r="F1697" i="3"/>
  <c r="F1467" i="3"/>
  <c r="F1427" i="3"/>
  <c r="F1040" i="3"/>
  <c r="F1022" i="3"/>
  <c r="F861" i="3"/>
  <c r="F715" i="3"/>
  <c r="F474" i="3"/>
  <c r="F48" i="3"/>
  <c r="F50" i="4"/>
  <c r="F1372" i="3"/>
  <c r="F1522" i="3"/>
  <c r="F1518" i="3"/>
  <c r="F1514" i="3"/>
  <c r="F1390" i="3"/>
  <c r="F1380" i="3"/>
  <c r="F1588" i="3"/>
  <c r="F1569" i="3"/>
  <c r="F1565" i="3"/>
  <c r="F1555" i="3"/>
  <c r="F1538" i="3"/>
  <c r="F1501" i="3"/>
  <c r="F1491" i="3"/>
  <c r="F1433" i="3"/>
  <c r="F1417" i="3"/>
  <c r="F1400" i="3"/>
  <c r="F1360" i="3"/>
  <c r="F1345" i="3"/>
  <c r="F1312" i="3"/>
  <c r="F1271" i="3"/>
  <c r="F1583" i="3"/>
  <c r="F1578" i="3"/>
  <c r="F1530" i="3"/>
  <c r="F1487" i="3"/>
  <c r="F1476" i="3"/>
  <c r="F1411" i="3"/>
  <c r="F1395" i="3"/>
  <c r="F1376" i="3"/>
  <c r="F1364" i="3"/>
  <c r="F1326" i="3"/>
  <c r="F1279" i="3"/>
  <c r="F1672" i="3"/>
  <c r="F1680" i="3"/>
  <c r="F1662" i="3"/>
  <c r="F1693" i="3"/>
  <c r="F1686" i="3"/>
  <c r="F1630" i="3"/>
  <c r="F1619" i="3"/>
  <c r="F1266" i="3"/>
  <c r="F1253" i="3"/>
  <c r="F1249" i="3"/>
  <c r="F1230" i="3"/>
  <c r="F1225" i="3"/>
  <c r="F1221" i="3"/>
  <c r="F1217" i="3"/>
  <c r="F910" i="3"/>
  <c r="F1262" i="3"/>
  <c r="F1209" i="3"/>
  <c r="F1123" i="3"/>
  <c r="F1057" i="3"/>
  <c r="F967" i="3"/>
  <c r="F823" i="3"/>
  <c r="F813" i="3"/>
  <c r="F613" i="3"/>
  <c r="F609" i="3"/>
  <c r="F581" i="3"/>
  <c r="F397" i="3"/>
  <c r="F393" i="3"/>
  <c r="F389" i="3"/>
  <c r="F359" i="3"/>
  <c r="F309" i="3"/>
  <c r="F297" i="3"/>
  <c r="F265" i="3"/>
  <c r="F1175" i="3"/>
  <c r="F1145" i="3"/>
  <c r="F1134" i="3"/>
  <c r="F1119" i="3"/>
  <c r="F1072" i="3"/>
  <c r="F1014" i="3"/>
  <c r="F993" i="3"/>
  <c r="F986" i="3"/>
  <c r="F979" i="3"/>
  <c r="F929" i="3"/>
  <c r="F921" i="3"/>
  <c r="F870" i="3"/>
  <c r="F849" i="3"/>
  <c r="F844" i="3"/>
  <c r="F769" i="3"/>
  <c r="F726" i="3"/>
  <c r="F692" i="3"/>
  <c r="F677" i="3"/>
  <c r="F628" i="3"/>
  <c r="F621" i="3"/>
  <c r="F481" i="3"/>
  <c r="F436" i="3"/>
  <c r="F420" i="3"/>
  <c r="F379" i="3"/>
  <c r="F355" i="3"/>
  <c r="F347" i="3"/>
  <c r="F328" i="3"/>
  <c r="F305" i="3"/>
  <c r="F293" i="3"/>
  <c r="F217" i="3"/>
  <c r="F212" i="3"/>
  <c r="F132" i="3"/>
  <c r="F126" i="3"/>
  <c r="F77" i="3"/>
  <c r="F15" i="3"/>
  <c r="F1200" i="3"/>
  <c r="F1182" i="3"/>
  <c r="F1171" i="3"/>
  <c r="F1097" i="3"/>
  <c r="F1082" i="3"/>
  <c r="F1068" i="3"/>
  <c r="F1063" i="3"/>
  <c r="F1047" i="3"/>
  <c r="F1030" i="3"/>
  <c r="F972" i="3"/>
  <c r="F951" i="3"/>
  <c r="F885" i="3"/>
  <c r="F837" i="3"/>
  <c r="F828" i="3"/>
  <c r="F794" i="3"/>
  <c r="F777" i="3"/>
  <c r="F761" i="3"/>
  <c r="F757" i="3"/>
  <c r="F745" i="3"/>
  <c r="F738" i="3"/>
  <c r="F652" i="3"/>
  <c r="F599" i="3"/>
  <c r="F507" i="3"/>
  <c r="F490" i="3"/>
  <c r="F460" i="3"/>
  <c r="F416" i="3"/>
  <c r="F408" i="3"/>
  <c r="F403" i="3"/>
  <c r="F365" i="3"/>
  <c r="F339" i="3"/>
  <c r="F270" i="3"/>
  <c r="F261" i="3"/>
  <c r="F248" i="3"/>
  <c r="F241" i="3"/>
  <c r="F227" i="3"/>
  <c r="F223" i="3"/>
  <c r="F190" i="3"/>
  <c r="F178" i="3"/>
  <c r="F165" i="3"/>
  <c r="F140" i="3"/>
  <c r="F119" i="3"/>
  <c r="F88" i="3"/>
  <c r="F83" i="3"/>
  <c r="F72" i="3"/>
  <c r="F44" i="3"/>
  <c r="F27" i="3"/>
  <c r="F23" i="3"/>
  <c r="F19" i="3"/>
  <c r="F585" i="3"/>
  <c r="F558" i="3"/>
  <c r="F554" i="3"/>
  <c r="F545" i="3"/>
  <c r="F521" i="3"/>
  <c r="F576" i="3"/>
  <c r="F570" i="3"/>
  <c r="F531" i="3"/>
  <c r="F67" i="3"/>
  <c r="F447" i="2"/>
  <c r="F1589" i="2"/>
  <c r="F1585" i="2"/>
  <c r="F1543" i="2"/>
  <c r="F1493" i="2"/>
  <c r="F1489" i="2"/>
  <c r="F1445" i="2"/>
  <c r="F1441" i="2"/>
  <c r="F1437" i="2"/>
  <c r="F1381" i="2"/>
  <c r="F1377" i="2"/>
  <c r="F1291" i="2"/>
  <c r="F1273" i="2"/>
  <c r="F1139" i="2"/>
  <c r="F1117" i="2"/>
  <c r="F1095" i="2"/>
  <c r="F1091" i="2"/>
  <c r="F1059" i="2"/>
  <c r="F1035" i="2"/>
  <c r="F997" i="2"/>
  <c r="F913" i="2"/>
  <c r="F909" i="2"/>
  <c r="F899" i="2"/>
  <c r="F872" i="2"/>
  <c r="F853" i="2"/>
  <c r="F771" i="2"/>
  <c r="F705" i="2"/>
  <c r="F641" i="2"/>
  <c r="F516" i="2"/>
  <c r="F221" i="2"/>
  <c r="F1688" i="2"/>
  <c r="F1624" i="2"/>
  <c r="F1485" i="2"/>
  <c r="F1604" i="2"/>
  <c r="F1548" i="2"/>
  <c r="F1539" i="2"/>
  <c r="F1518" i="2"/>
  <c r="F1510" i="2"/>
  <c r="F1328" i="2"/>
  <c r="F1317" i="2"/>
  <c r="F1309" i="2"/>
  <c r="F1287" i="2"/>
  <c r="F1239" i="2"/>
  <c r="F1230" i="2"/>
  <c r="F1196" i="2"/>
  <c r="F1154" i="2"/>
  <c r="F1132" i="2"/>
  <c r="F1122" i="2"/>
  <c r="F1113" i="2"/>
  <c r="F1101" i="2"/>
  <c r="F1074" i="2"/>
  <c r="F1064" i="2"/>
  <c r="F1012" i="2"/>
  <c r="F1002" i="2"/>
  <c r="F981" i="2"/>
  <c r="F938" i="2"/>
  <c r="F895" i="2"/>
  <c r="F764" i="2"/>
  <c r="F712" i="2"/>
  <c r="F690" i="2"/>
  <c r="F648" i="2"/>
  <c r="F1696" i="2"/>
  <c r="F1692" i="2"/>
  <c r="F1669" i="2"/>
  <c r="F1647" i="2"/>
  <c r="F1631" i="2"/>
  <c r="F1611" i="2"/>
  <c r="F1599" i="2"/>
  <c r="F1572" i="2"/>
  <c r="F1562" i="2"/>
  <c r="F1552" i="2"/>
  <c r="F1505" i="2"/>
  <c r="F1500" i="2"/>
  <c r="F1295" i="2"/>
  <c r="F1269" i="2"/>
  <c r="F1264" i="2"/>
  <c r="F1260" i="2"/>
  <c r="F1252" i="2"/>
  <c r="F1246" i="2"/>
  <c r="F1182" i="2"/>
  <c r="F1178" i="2"/>
  <c r="F1149" i="2"/>
  <c r="F1078" i="2"/>
  <c r="F1052" i="2"/>
  <c r="F1048" i="2"/>
  <c r="F1016" i="2"/>
  <c r="F1007" i="2"/>
  <c r="F990" i="2"/>
  <c r="F927" i="2"/>
  <c r="F849" i="2"/>
  <c r="F832" i="2"/>
  <c r="F816" i="2"/>
  <c r="F810" i="2"/>
  <c r="F800" i="2"/>
  <c r="F796" i="2"/>
  <c r="F784" i="2"/>
  <c r="F750" i="2"/>
  <c r="F731" i="2"/>
  <c r="F726" i="2"/>
  <c r="F716" i="2"/>
  <c r="F701" i="2"/>
  <c r="F676" i="2"/>
  <c r="F665" i="2"/>
  <c r="F660" i="2"/>
  <c r="F653" i="2"/>
  <c r="F622" i="2"/>
  <c r="F266" i="2"/>
  <c r="F202" i="2"/>
  <c r="F198" i="2"/>
  <c r="F1718" i="2"/>
  <c r="F1454" i="2"/>
  <c r="F1433" i="2"/>
  <c r="F1404" i="2"/>
  <c r="F1396" i="2"/>
  <c r="F1390" i="2"/>
  <c r="F1654" i="2"/>
  <c r="F1665" i="2"/>
  <c r="F975" i="2"/>
  <c r="F838" i="2"/>
  <c r="F569" i="2"/>
  <c r="F594" i="2"/>
  <c r="F565" i="2"/>
  <c r="F556" i="2"/>
  <c r="F552" i="2"/>
  <c r="F545" i="2"/>
  <c r="F535" i="2"/>
  <c r="F541" i="2"/>
  <c r="F531" i="2"/>
  <c r="F509" i="2"/>
  <c r="F495" i="2"/>
  <c r="F491" i="2"/>
  <c r="F478" i="2"/>
  <c r="F393" i="2"/>
  <c r="F375" i="2"/>
  <c r="F363" i="2"/>
  <c r="F275" i="2"/>
  <c r="F262" i="2"/>
  <c r="F217" i="2"/>
  <c r="F211" i="2"/>
  <c r="F185" i="2"/>
  <c r="F140" i="2"/>
  <c r="F55" i="2"/>
  <c r="F470" i="2"/>
  <c r="F410" i="2"/>
  <c r="F401" i="2"/>
  <c r="F385" i="2"/>
  <c r="F353" i="2"/>
  <c r="F348" i="2"/>
  <c r="F324" i="2"/>
  <c r="F307" i="2"/>
  <c r="F289" i="2"/>
  <c r="F239" i="2"/>
  <c r="F230" i="2"/>
  <c r="F170" i="2"/>
  <c r="F154" i="2"/>
  <c r="F144" i="2"/>
  <c r="F126" i="2"/>
  <c r="F110" i="2"/>
  <c r="F102" i="2"/>
  <c r="F95" i="2"/>
  <c r="F74" i="2"/>
  <c r="F62" i="2"/>
  <c r="F39" i="2"/>
  <c r="F68" i="2"/>
  <c r="F2078" i="1"/>
  <c r="F2062" i="1"/>
  <c r="F2042" i="1"/>
  <c r="F2012" i="1"/>
  <c r="F1957" i="1"/>
  <c r="F1923" i="1"/>
  <c r="F1871" i="1"/>
  <c r="F1637" i="1"/>
  <c r="F1557" i="1"/>
  <c r="F1491" i="1"/>
  <c r="F1413" i="1"/>
  <c r="F2074" i="1"/>
  <c r="F2049" i="1"/>
  <c r="F1980" i="1"/>
  <c r="F1953" i="1"/>
  <c r="F1937" i="1"/>
  <c r="F1877" i="1"/>
  <c r="F1783" i="1"/>
  <c r="F1699" i="1"/>
  <c r="F1609" i="1"/>
  <c r="F1487" i="1"/>
  <c r="F1447" i="1"/>
  <c r="F2090" i="1"/>
  <c r="F2069" i="1"/>
  <c r="F2029" i="1"/>
  <c r="F1993" i="1"/>
  <c r="F1928" i="1"/>
  <c r="F1858" i="1"/>
  <c r="F1846" i="1"/>
  <c r="F1841" i="1"/>
  <c r="F1743" i="1"/>
  <c r="F1710" i="1"/>
  <c r="F1633" i="1"/>
  <c r="F1578" i="1"/>
  <c r="F1528" i="1"/>
  <c r="F1508" i="1"/>
  <c r="F1503" i="1"/>
  <c r="F1419" i="1"/>
  <c r="F1947" i="1"/>
  <c r="F1851" i="1"/>
  <c r="F1835" i="1"/>
  <c r="F1826" i="1"/>
  <c r="F1822" i="1"/>
  <c r="F1812" i="1"/>
  <c r="F1796" i="1"/>
  <c r="F1728" i="1"/>
  <c r="F1695" i="1"/>
  <c r="F1690" i="1"/>
  <c r="F1672" i="1"/>
  <c r="F1666" i="1"/>
  <c r="F1656" i="1"/>
  <c r="F1650" i="1"/>
  <c r="F1627" i="1"/>
  <c r="F1622" i="1"/>
  <c r="F1602" i="1"/>
  <c r="F1598" i="1"/>
  <c r="F1582" i="1"/>
  <c r="F1550" i="1"/>
  <c r="F1540" i="1"/>
  <c r="F1474" i="1"/>
  <c r="F1470" i="1"/>
  <c r="F1466" i="1"/>
  <c r="F1462" i="1"/>
  <c r="F1406" i="1"/>
  <c r="F1351" i="1"/>
  <c r="F1317" i="1"/>
  <c r="F1192" i="1"/>
  <c r="F1154" i="1"/>
  <c r="F1144" i="1"/>
  <c r="F1116" i="1"/>
  <c r="F1106" i="1"/>
  <c r="F832" i="1"/>
  <c r="F1307" i="1"/>
  <c r="F1239" i="1"/>
  <c r="F1182" i="1"/>
  <c r="F1384" i="1"/>
  <c r="F1366" i="1"/>
  <c r="F1358" i="1"/>
  <c r="F1376" i="1"/>
  <c r="F1229" i="1"/>
  <c r="F1224" i="1"/>
  <c r="F1208" i="1"/>
  <c r="F1203" i="1"/>
  <c r="F1188" i="1"/>
  <c r="F1135" i="1"/>
  <c r="F1122" i="1"/>
  <c r="F1112" i="1"/>
  <c r="F1220" i="1"/>
  <c r="F1175" i="1"/>
  <c r="F1169" i="1"/>
  <c r="F1161" i="1"/>
  <c r="F1140" i="1"/>
  <c r="F1099" i="1"/>
  <c r="F1095" i="1"/>
  <c r="F1053" i="1"/>
  <c r="F872" i="1"/>
  <c r="F914" i="1"/>
  <c r="F910" i="1"/>
  <c r="F897" i="1"/>
  <c r="F877" i="1"/>
  <c r="F861" i="1"/>
  <c r="F828" i="1"/>
  <c r="F741" i="1"/>
  <c r="F730" i="1"/>
  <c r="F901" i="1"/>
  <c r="F883" i="1"/>
  <c r="F865" i="1"/>
  <c r="F845" i="1"/>
  <c r="F841" i="1"/>
  <c r="F807" i="1"/>
  <c r="F797" i="1"/>
  <c r="F781" i="1"/>
  <c r="F765" i="1"/>
  <c r="F753" i="1"/>
  <c r="F749" i="1"/>
  <c r="F745" i="1"/>
  <c r="F721" i="1"/>
  <c r="F1006" i="1"/>
  <c r="F996" i="1"/>
  <c r="F962" i="1"/>
  <c r="F952" i="1"/>
  <c r="F936" i="1"/>
  <c r="F1049" i="1"/>
  <c r="F1011" i="1"/>
  <c r="F973" i="1"/>
  <c r="F968" i="1"/>
  <c r="F958" i="1"/>
  <c r="F980" i="1"/>
  <c r="F576" i="1"/>
  <c r="F542" i="1"/>
  <c r="F524" i="1"/>
  <c r="F408" i="1"/>
  <c r="F347" i="1"/>
  <c r="F343" i="1"/>
  <c r="F339" i="1"/>
  <c r="F283" i="1"/>
  <c r="F227" i="1"/>
  <c r="F115" i="1"/>
  <c r="F111" i="1"/>
  <c r="F45" i="1"/>
  <c r="F12" i="1"/>
  <c r="F531" i="1"/>
  <c r="F496" i="1"/>
  <c r="F470" i="1"/>
  <c r="F404" i="1"/>
  <c r="F383" i="1"/>
  <c r="F371" i="1"/>
  <c r="F300" i="1"/>
  <c r="F267" i="1"/>
  <c r="F250" i="1"/>
  <c r="F148" i="1"/>
  <c r="F63" i="1"/>
  <c r="F665" i="1"/>
  <c r="F638" i="1"/>
  <c r="F634" i="1"/>
  <c r="F630" i="1"/>
  <c r="F626" i="1"/>
  <c r="F618" i="1"/>
  <c r="F599" i="1"/>
  <c r="F557" i="1"/>
  <c r="F550" i="1"/>
  <c r="F535" i="1"/>
  <c r="F520" i="1"/>
  <c r="F512" i="1"/>
  <c r="F508" i="1"/>
  <c r="F460" i="1"/>
  <c r="F453" i="1"/>
  <c r="F430" i="1"/>
  <c r="F426" i="1"/>
  <c r="F417" i="1"/>
  <c r="F412" i="1"/>
  <c r="F390" i="1"/>
  <c r="F365" i="1"/>
  <c r="F360" i="1"/>
  <c r="F354" i="1"/>
  <c r="F326" i="1"/>
  <c r="F316" i="1"/>
  <c r="F290" i="1"/>
  <c r="F261" i="1"/>
  <c r="F256" i="1"/>
  <c r="F242" i="1"/>
  <c r="F214" i="1"/>
  <c r="F208" i="1"/>
  <c r="F200" i="1"/>
  <c r="F177" i="1"/>
  <c r="F170" i="1"/>
  <c r="F163" i="1"/>
  <c r="F158" i="1"/>
  <c r="F141" i="1"/>
  <c r="F128" i="1"/>
  <c r="F122" i="1"/>
  <c r="F95" i="1"/>
  <c r="F82" i="1"/>
  <c r="F53" i="1"/>
  <c r="F41" i="1"/>
  <c r="F34" i="1"/>
  <c r="F658" i="1"/>
  <c r="F707" i="1"/>
  <c r="J13" i="16"/>
  <c r="C13" i="16"/>
  <c r="D13" i="16"/>
  <c r="E13" i="16"/>
  <c r="F13" i="16"/>
  <c r="H13" i="16"/>
  <c r="I13" i="16"/>
  <c r="F17" i="16" l="1"/>
  <c r="F3" i="15"/>
  <c r="F4" i="15" s="1"/>
  <c r="G2049" i="15" l="1"/>
  <c r="F3" i="14" l="1"/>
  <c r="F4" i="14" s="1"/>
  <c r="G1808" i="14" s="1"/>
  <c r="F3" i="13" l="1"/>
  <c r="F4" i="13" s="1"/>
  <c r="F3" i="12" l="1"/>
  <c r="F4" i="12" s="1"/>
  <c r="G2014" i="12" s="1"/>
  <c r="F3" i="11" l="1"/>
  <c r="F4" i="11" s="1"/>
  <c r="F3" i="10" l="1"/>
  <c r="F4" i="10" s="1"/>
  <c r="F3" i="9" l="1"/>
  <c r="F4" i="9" s="1"/>
  <c r="G2226" i="9" s="1"/>
  <c r="F3" i="4" l="1"/>
  <c r="F10" i="4" s="1"/>
  <c r="F3" i="3" l="1"/>
  <c r="F4" i="3" s="1"/>
  <c r="F3" i="2" l="1"/>
  <c r="F4" i="2" s="1"/>
  <c r="G1881" i="2" s="1"/>
  <c r="F3" i="1" l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<sst xmlns="http://schemas.openxmlformats.org/spreadsheetml/2006/main" count="17608" uniqueCount="1244">
  <si>
    <t>VENTA DE HUEVO PEDRO JOSE FERNANDEZ ZAMURIA</t>
  </si>
  <si>
    <t xml:space="preserve">Nombre  del Vendedor </t>
  </si>
  <si>
    <t>Fecha</t>
  </si>
  <si>
    <t>Cantidad</t>
  </si>
  <si>
    <t>Calidad</t>
  </si>
  <si>
    <t>Precio de Compra</t>
  </si>
  <si>
    <t>Total</t>
  </si>
  <si>
    <t>Clientes Varios</t>
  </si>
  <si>
    <t>Cajillas de Huevos Extra Rojo</t>
  </si>
  <si>
    <t xml:space="preserve">Unidad de Huevos Quebrados </t>
  </si>
  <si>
    <t>Jessica Mondragon</t>
  </si>
  <si>
    <t>Cajillas de Huevos Mediano Blanco</t>
  </si>
  <si>
    <t>Cajillas de Huevos Mediano Rojo</t>
  </si>
  <si>
    <t>Cajillas de Huevos Grande Rojo</t>
  </si>
  <si>
    <t>Cajillas de Huevos Grande Blanco</t>
  </si>
  <si>
    <t>Daniel</t>
  </si>
  <si>
    <t xml:space="preserve">Cajillas de Huevos Cascado Grande </t>
  </si>
  <si>
    <t>Cintia</t>
  </si>
  <si>
    <t xml:space="preserve">Xiomara </t>
  </si>
  <si>
    <t>San Juan</t>
  </si>
  <si>
    <t>Chamorro</t>
  </si>
  <si>
    <t>Chilo</t>
  </si>
  <si>
    <t>Cajillas de Huevos Pequeño Rojo</t>
  </si>
  <si>
    <t>Katherine</t>
  </si>
  <si>
    <t>Cajillas de HuevoS Mediano Rojo</t>
  </si>
  <si>
    <t>Arelis</t>
  </si>
  <si>
    <t>Venta Nueva</t>
  </si>
  <si>
    <t>Casandra</t>
  </si>
  <si>
    <t>Henry</t>
  </si>
  <si>
    <t>Clientes Varios Bodega</t>
  </si>
  <si>
    <t>Cajillas de Huevos Grande Blanco RZP</t>
  </si>
  <si>
    <t>Cajillas de Huevos Grande Rojo Nestor</t>
  </si>
  <si>
    <t>Ismael Alvarez</t>
  </si>
  <si>
    <t xml:space="preserve">Isaac Novoa </t>
  </si>
  <si>
    <t>Panaderia 2 Alngelitos</t>
  </si>
  <si>
    <t xml:space="preserve">Cajillas de Huevis Cascado Grande </t>
  </si>
  <si>
    <t>Cajillas de Huevos Cascado Grande</t>
  </si>
  <si>
    <t>Verdi</t>
  </si>
  <si>
    <t>Eduardo</t>
  </si>
  <si>
    <t xml:space="preserve">Arelis </t>
  </si>
  <si>
    <t>Frank</t>
  </si>
  <si>
    <t>Silvio</t>
  </si>
  <si>
    <t>Jose</t>
  </si>
  <si>
    <t>Guillermo</t>
  </si>
  <si>
    <t>Carlos</t>
  </si>
  <si>
    <t>Amanda</t>
  </si>
  <si>
    <t>Jose Padilla</t>
  </si>
  <si>
    <t>Reynaldo</t>
  </si>
  <si>
    <t>Walter Nindiri</t>
  </si>
  <si>
    <t>Cajillas de Huevos Extra Blanco</t>
  </si>
  <si>
    <t>Cajillas de Huevos Pequeño Blanco</t>
  </si>
  <si>
    <t>Henry Mendez</t>
  </si>
  <si>
    <t xml:space="preserve">Antonieta </t>
  </si>
  <si>
    <t>Ruta Carazo</t>
  </si>
  <si>
    <t>Cajillas de Huevos Grande Rojo PN</t>
  </si>
  <si>
    <t xml:space="preserve">Cajillas de Huevos Grande Rojo Juan </t>
  </si>
  <si>
    <t>Panaderia 2 Angelitos</t>
  </si>
  <si>
    <t>Xochilth</t>
  </si>
  <si>
    <t>Danilo</t>
  </si>
  <si>
    <t>Norlan</t>
  </si>
  <si>
    <t>Ana</t>
  </si>
  <si>
    <t>Rafael Caton</t>
  </si>
  <si>
    <t>Cuate</t>
  </si>
  <si>
    <t>Cajillas de Huevos Piwi Rojo</t>
  </si>
  <si>
    <t>Mariela</t>
  </si>
  <si>
    <t>Yeinner Hernandez</t>
  </si>
  <si>
    <t>Bayardo</t>
  </si>
  <si>
    <t>Pamela</t>
  </si>
  <si>
    <t>Venigna</t>
  </si>
  <si>
    <t>Alba</t>
  </si>
  <si>
    <t>Vicki</t>
  </si>
  <si>
    <t>Sirias</t>
  </si>
  <si>
    <t>Allan Alfaro</t>
  </si>
  <si>
    <t>Ys Academy Baseboll</t>
  </si>
  <si>
    <t>Cajillas de Huevos Extra Rojo Ismael</t>
  </si>
  <si>
    <t>Cajillas de Huevos Extra Rojo Juan</t>
  </si>
  <si>
    <t>Walter Gonzalez</t>
  </si>
  <si>
    <t>Cajillas de Huevos Extra Rojo Ariel</t>
  </si>
  <si>
    <t>Cajillas de Huevos Quebrado</t>
  </si>
  <si>
    <t>Edel</t>
  </si>
  <si>
    <t>Carmen</t>
  </si>
  <si>
    <t>Xiomara</t>
  </si>
  <si>
    <t>Cajillsa de Huevos Grande Blanco</t>
  </si>
  <si>
    <t>Noel</t>
  </si>
  <si>
    <t>Willian Gato</t>
  </si>
  <si>
    <t xml:space="preserve">Carlos </t>
  </si>
  <si>
    <t>Cajillas  de Huevos Grande Blanco</t>
  </si>
  <si>
    <t>Nestor Fernandez</t>
  </si>
  <si>
    <t>Pulperia Lola</t>
  </si>
  <si>
    <t>Olkin Conto</t>
  </si>
  <si>
    <t>Ligia Campos</t>
  </si>
  <si>
    <t>Cajillas de Huevos Quebrados</t>
  </si>
  <si>
    <t>Alejandro Cuate</t>
  </si>
  <si>
    <t>Cjaillas de Huevos Grande Blanco</t>
  </si>
  <si>
    <t>Hector Paiz</t>
  </si>
  <si>
    <t>Profesor</t>
  </si>
  <si>
    <t>Cajillsa de Huevos Mediano Blanco</t>
  </si>
  <si>
    <t xml:space="preserve">Duogas </t>
  </si>
  <si>
    <t>Cajillas de Huevos Cascado</t>
  </si>
  <si>
    <t>Cajillas de Huevps Mediano Blanco</t>
  </si>
  <si>
    <t>Doña Lucia</t>
  </si>
  <si>
    <t xml:space="preserve">Clientes Varios Bodega </t>
  </si>
  <si>
    <t>Erlinda</t>
  </si>
  <si>
    <t>C.D.I</t>
  </si>
  <si>
    <t>Cajillas de Huevos Casxcado Grande</t>
  </si>
  <si>
    <t>Yeril</t>
  </si>
  <si>
    <t>Roberto</t>
  </si>
  <si>
    <t>Junior</t>
  </si>
  <si>
    <t>Isaac Novoa</t>
  </si>
  <si>
    <t xml:space="preserve">Policia Nacional </t>
  </si>
  <si>
    <t>Unidad de Huevos Quebrados</t>
  </si>
  <si>
    <t xml:space="preserve">Ana </t>
  </si>
  <si>
    <t xml:space="preserve">Auxiliadora </t>
  </si>
  <si>
    <t>Mario</t>
  </si>
  <si>
    <t>Vicky</t>
  </si>
  <si>
    <t>Olga</t>
  </si>
  <si>
    <t>Duoglas</t>
  </si>
  <si>
    <t>Puentecito</t>
  </si>
  <si>
    <t>Monja</t>
  </si>
  <si>
    <t>Javier</t>
  </si>
  <si>
    <t>Xolchilth</t>
  </si>
  <si>
    <t xml:space="preserve">Cajillas de Huevos Grande Blanco </t>
  </si>
  <si>
    <t>Cajillas de Huevos Extra Jpstin</t>
  </si>
  <si>
    <t xml:space="preserve">Javier </t>
  </si>
  <si>
    <t>Cajilla de Huevos Grande Rojo</t>
  </si>
  <si>
    <t>Cajillas de Huevos Pequeño Roijo</t>
  </si>
  <si>
    <t>Oscar</t>
  </si>
  <si>
    <t>Norlan Caton</t>
  </si>
  <si>
    <t>Patricia</t>
  </si>
  <si>
    <t xml:space="preserve">Pananderia 2 Angelitos </t>
  </si>
  <si>
    <t xml:space="preserve">Silvio </t>
  </si>
  <si>
    <t>Wilian</t>
  </si>
  <si>
    <t>Jose Padilla0</t>
  </si>
  <si>
    <t>Ticos</t>
  </si>
  <si>
    <t>Cajillas de HuevoS Extra Rojo</t>
  </si>
  <si>
    <t xml:space="preserve">Cajillas de Huevos Grande Rojo Bonificacion </t>
  </si>
  <si>
    <t>Cipriano</t>
  </si>
  <si>
    <t>Cajillas de Huevos Cascado Blanco</t>
  </si>
  <si>
    <t xml:space="preserve">Jose Padilla </t>
  </si>
  <si>
    <t>Cajillas de Huevos Grande Rojo Julio V.</t>
  </si>
  <si>
    <t>Yessica Mondragon</t>
  </si>
  <si>
    <t>Velky</t>
  </si>
  <si>
    <t xml:space="preserve">Panaderia 2 Angelitos </t>
  </si>
  <si>
    <t>Marlon</t>
  </si>
  <si>
    <t>Cajillas de Huevos Grande Blancop</t>
  </si>
  <si>
    <t>Angel</t>
  </si>
  <si>
    <t>Hector</t>
  </si>
  <si>
    <t>Ys academy Beisboll</t>
  </si>
  <si>
    <t>Xochil</t>
  </si>
  <si>
    <t>Cajilllas de Huevos Pequeño Rojo</t>
  </si>
  <si>
    <t xml:space="preserve">Walter </t>
  </si>
  <si>
    <t>Auxiliadora</t>
  </si>
  <si>
    <t xml:space="preserve">Policia </t>
  </si>
  <si>
    <t xml:space="preserve">Walter Muñoz </t>
  </si>
  <si>
    <t>Cajillas de Huevos Extra Rojo Cesar</t>
  </si>
  <si>
    <t xml:space="preserve">Lucia </t>
  </si>
  <si>
    <t xml:space="preserve">Willian </t>
  </si>
  <si>
    <t>Lino</t>
  </si>
  <si>
    <t>Cajills de Huevos Grande Rojo</t>
  </si>
  <si>
    <t xml:space="preserve">Ticos </t>
  </si>
  <si>
    <t>Ana Vega</t>
  </si>
  <si>
    <t>Cajillas de Huevos Grande Rojo Cipriano</t>
  </si>
  <si>
    <t>Cajillas de Huevos Grande Rojo Marlon</t>
  </si>
  <si>
    <t>Policia Nacional</t>
  </si>
  <si>
    <t>Chan Gay</t>
  </si>
  <si>
    <t>Cajilas de Huevos Grande Rojo</t>
  </si>
  <si>
    <t xml:space="preserve">Cajillas de Huevos Mediano Blanco </t>
  </si>
  <si>
    <t>Distribuidora Lola</t>
  </si>
  <si>
    <t>Cajillas de Huevos Grande Rojo Ismael</t>
  </si>
  <si>
    <t>Cajillas de Huevos Grande Rojo Policia N.</t>
  </si>
  <si>
    <t xml:space="preserve">Cajillas de Huevos Quebrados </t>
  </si>
  <si>
    <t>Cajillas de Huevos Grande Rojo Policia Nacional</t>
  </si>
  <si>
    <t>Cajillas de Huevos Grande Blanco0</t>
  </si>
  <si>
    <t>Cajillas de HuevOS Grande Blanco</t>
  </si>
  <si>
    <t>Walter Muñoz</t>
  </si>
  <si>
    <t>Petrona</t>
  </si>
  <si>
    <t xml:space="preserve">Mariela </t>
  </si>
  <si>
    <t xml:space="preserve">Henry Mendez </t>
  </si>
  <si>
    <t xml:space="preserve">Clientes Varios Bodega       </t>
  </si>
  <si>
    <t>Cajillas de Huevos Grande Rojo Julio Vasconselo</t>
  </si>
  <si>
    <t>Clientes Varios Managua</t>
  </si>
  <si>
    <t xml:space="preserve">Clientes Varios </t>
  </si>
  <si>
    <t>Pananderia 2 Angelitos</t>
  </si>
  <si>
    <t>Varios</t>
  </si>
  <si>
    <t>Victor</t>
  </si>
  <si>
    <t>Cajillas de Huevos Grnade Rojo</t>
  </si>
  <si>
    <t>Puentecito1</t>
  </si>
  <si>
    <t>Cajillas de Huevos Grand Blanco</t>
  </si>
  <si>
    <t>Cajillas de Huevos Grande Rojo Franklin</t>
  </si>
  <si>
    <t>Cajillas de nHuevos Extra Rojo Nestor</t>
  </si>
  <si>
    <t>Leydy</t>
  </si>
  <si>
    <t>Edwin Calero</t>
  </si>
  <si>
    <t>Cajillas de Huevos Extra Rojo Frank</t>
  </si>
  <si>
    <t>Cajillas de Huevis Mediano Rojo</t>
  </si>
  <si>
    <t>Deiris Baltodano</t>
  </si>
  <si>
    <t xml:space="preserve">Yessica Mondragon </t>
  </si>
  <si>
    <t>Cajillas de Huevis Mediano Blanco</t>
  </si>
  <si>
    <t xml:space="preserve">TOTAL </t>
  </si>
  <si>
    <t xml:space="preserve">Luis </t>
  </si>
  <si>
    <t>.</t>
  </si>
  <si>
    <t>Belcky</t>
  </si>
  <si>
    <t xml:space="preserve">Pamela </t>
  </si>
  <si>
    <t>Clientes vVarios</t>
  </si>
  <si>
    <t>Comedor</t>
  </si>
  <si>
    <t>Cajillas de Huevos Mediano Blancoi</t>
  </si>
  <si>
    <t xml:space="preserve">Doña Lucia </t>
  </si>
  <si>
    <t>Policia Nacional Capitan</t>
  </si>
  <si>
    <t xml:space="preserve">Cajillas de Huevos Grande Rojo Venigna </t>
  </si>
  <si>
    <t xml:space="preserve">Cajillas de Huevos Grande Rojo Policia </t>
  </si>
  <si>
    <t>Cajillas deHuevos PequeñO Rojo</t>
  </si>
  <si>
    <t>Mariela Larios</t>
  </si>
  <si>
    <t xml:space="preserve">Alba </t>
  </si>
  <si>
    <t>Panaderia</t>
  </si>
  <si>
    <t xml:space="preserve">Cajillas de Huevos Casxcado Grande </t>
  </si>
  <si>
    <t>Cajillas de Huevosn Mediano Blanco</t>
  </si>
  <si>
    <t xml:space="preserve">Xochilth </t>
  </si>
  <si>
    <t>Walter Nindir</t>
  </si>
  <si>
    <t xml:space="preserve">Cajillas de Huevos Extra Rojo </t>
  </si>
  <si>
    <t>Ys Academy Beisboll</t>
  </si>
  <si>
    <t>Cajillas de Huevos Extra Rojo Yeris</t>
  </si>
  <si>
    <t>Cajillas de Huevos Extra Rojo Rogelia</t>
  </si>
  <si>
    <t xml:space="preserve">San Juan </t>
  </si>
  <si>
    <t>Cajillas d Huevos Grande Rojo</t>
  </si>
  <si>
    <t>Cajillas de Huevos Grande Balnco</t>
  </si>
  <si>
    <t>Cajillas de Huevos Grande Blanco Rogelia</t>
  </si>
  <si>
    <t>Cajillas de Huevos Extra Rojo Chepe</t>
  </si>
  <si>
    <t>Nestor Gonzalez</t>
  </si>
  <si>
    <t>Walter Torrez</t>
  </si>
  <si>
    <t>Cajillas de Huevos Grande Rojo PNDiria</t>
  </si>
  <si>
    <t>Unidad de Huevos Quebrado</t>
  </si>
  <si>
    <t>Sra Managua</t>
  </si>
  <si>
    <t>Gato</t>
  </si>
  <si>
    <t>Paublo</t>
  </si>
  <si>
    <t xml:space="preserve">Ismael Alvarez </t>
  </si>
  <si>
    <t>Doña Vicky</t>
  </si>
  <si>
    <t>Policia Nacional Diriomo</t>
  </si>
  <si>
    <t>Belkis</t>
  </si>
  <si>
    <t>Cajillas de Huevos Grande Blanco Regalia</t>
  </si>
  <si>
    <t>Cajillas de Huevos Grande Blancp</t>
  </si>
  <si>
    <t>Alllan Alfaro</t>
  </si>
  <si>
    <t>Cajillas de Huevos Extra Rojo Freddy</t>
  </si>
  <si>
    <t>Cajillas d Huevos Grande Rojo Julio V.</t>
  </si>
  <si>
    <t>Cajillas de Huevis Grande Rojo</t>
  </si>
  <si>
    <t>Cajillas de Huevois Grande Blanco</t>
  </si>
  <si>
    <t>Duoglas Collolar</t>
  </si>
  <si>
    <t xml:space="preserve">Venta Nueva </t>
  </si>
  <si>
    <t>Cajillas den Huevos Grande Rojo</t>
  </si>
  <si>
    <t>Allan</t>
  </si>
  <si>
    <t>Antonieta</t>
  </si>
  <si>
    <t>Cajillas de Huevos Extra Rojo RZ</t>
  </si>
  <si>
    <t>Cajillas de Huevos Grande Rojo PND</t>
  </si>
  <si>
    <t>Gato Willian</t>
  </si>
  <si>
    <t xml:space="preserve">Amanda </t>
  </si>
  <si>
    <t xml:space="preserve">Jose </t>
  </si>
  <si>
    <t>Cajillas de Huevos Grande Rojo C.D.I</t>
  </si>
  <si>
    <t xml:space="preserve">Cuate </t>
  </si>
  <si>
    <t>Cajillas de Huevos Mediano Blancp</t>
  </si>
  <si>
    <t>Cajilals de Huevos Pequeño Rojo</t>
  </si>
  <si>
    <t>Cajillas de Huevos Mediano</t>
  </si>
  <si>
    <t xml:space="preserve">Duoglas </t>
  </si>
  <si>
    <t>Don Carlos</t>
  </si>
  <si>
    <t>Don Lino</t>
  </si>
  <si>
    <t xml:space="preserve">Guillermo </t>
  </si>
  <si>
    <t>Cajillas de Huevos Grnde Blanco</t>
  </si>
  <si>
    <t>Cajillas de Huevos Grande Rojo Juaquin</t>
  </si>
  <si>
    <t>Cajillas de Huevos Extra Rojo Alvaro</t>
  </si>
  <si>
    <t>Mariela Campos</t>
  </si>
  <si>
    <t>Cajillas de Huevos Mediano  Rojo</t>
  </si>
  <si>
    <t>Yc Academy Beisboll</t>
  </si>
  <si>
    <t>Cajillas de Huevos Grande Rojo Erlinda</t>
  </si>
  <si>
    <t>Dos Angelitos</t>
  </si>
  <si>
    <t xml:space="preserve">Daniel </t>
  </si>
  <si>
    <t>Doña Carmen</t>
  </si>
  <si>
    <t>Manuel</t>
  </si>
  <si>
    <t>CajIllas de Huevos Grande Blanco</t>
  </si>
  <si>
    <t xml:space="preserve">Cajillas de Huevos Cascado </t>
  </si>
  <si>
    <t>Don Danilo</t>
  </si>
  <si>
    <t>Danny</t>
  </si>
  <si>
    <t>Venta Nueva 0</t>
  </si>
  <si>
    <t>Sra. Managua</t>
  </si>
  <si>
    <t>Comedor Genesis</t>
  </si>
  <si>
    <t xml:space="preserve">Unidada de Huevos Quebrados </t>
  </si>
  <si>
    <t>Cliente Varios</t>
  </si>
  <si>
    <t>Jose Alvarez</t>
  </si>
  <si>
    <t>Pablo Jose</t>
  </si>
  <si>
    <t>Cajillas den Huevos Mediano Blanco</t>
  </si>
  <si>
    <t xml:space="preserve">Cajillas de Huevos Extra </t>
  </si>
  <si>
    <t>Cajillas de Huevos Cascado Rojo</t>
  </si>
  <si>
    <t>Capitan Yeffry</t>
  </si>
  <si>
    <t>Cajillas de Huevos Grande Rojoi</t>
  </si>
  <si>
    <t>Ruta Diriomo</t>
  </si>
  <si>
    <t>YS Academy Beisboll</t>
  </si>
  <si>
    <t>Hector Paz</t>
  </si>
  <si>
    <t xml:space="preserve">Cajillas de Huevos Grande Rojo Ismael </t>
  </si>
  <si>
    <t>TOTAL</t>
  </si>
  <si>
    <t>Clientes San Juan</t>
  </si>
  <si>
    <t>Cajillas de Huevos Grande Rojo Chepe</t>
  </si>
  <si>
    <t>Cajillas de Huevos Extra Rojo Julio Vasconselo</t>
  </si>
  <si>
    <t>Blanca</t>
  </si>
  <si>
    <t>Willian Gatoi</t>
  </si>
  <si>
    <t xml:space="preserve">Walter Gonzalez </t>
  </si>
  <si>
    <t>Maria Eugenia</t>
  </si>
  <si>
    <t xml:space="preserve">Cajillas de Huevos Mediano Rojo </t>
  </si>
  <si>
    <t>Cajillas de Huevos Extra Rojo German</t>
  </si>
  <si>
    <t xml:space="preserve">Cajillas de Huevos Grande Rojo </t>
  </si>
  <si>
    <t>Walter Gonzales</t>
  </si>
  <si>
    <t>Donald</t>
  </si>
  <si>
    <t>Leydi</t>
  </si>
  <si>
    <t>Cajillas de Hievos Mediano Blanco</t>
  </si>
  <si>
    <t>Dos Aangelitos</t>
  </si>
  <si>
    <t>Frente al Pali</t>
  </si>
  <si>
    <t>Nestos Gonzalez</t>
  </si>
  <si>
    <t>Maria Esteli</t>
  </si>
  <si>
    <t xml:space="preserve">Ana Vega </t>
  </si>
  <si>
    <t>Cajillas de Huevis Quebrados</t>
  </si>
  <si>
    <t>Clientes Variosb</t>
  </si>
  <si>
    <t>Pulpera Lola</t>
  </si>
  <si>
    <t xml:space="preserve">Venigna </t>
  </si>
  <si>
    <t>Cajillas de Huevos Grande Rojo Bonificacion</t>
  </si>
  <si>
    <t>Carlos Acevedo</t>
  </si>
  <si>
    <t>Duoglas Nidiri</t>
  </si>
  <si>
    <t>Panaderia 2 Algelitos</t>
  </si>
  <si>
    <t xml:space="preserve">Ruth </t>
  </si>
  <si>
    <t>Cajillas de Huevos Grane Rojo</t>
  </si>
  <si>
    <t xml:space="preserve">Cajillas de Huevos Quebrado </t>
  </si>
  <si>
    <t xml:space="preserve">Yeris </t>
  </si>
  <si>
    <t>Cajillas de Huevos Medianon Blanco</t>
  </si>
  <si>
    <t>Cajillas de Huevos Grande Rojo Ismael Alvarez</t>
  </si>
  <si>
    <t>Cajillas ed Huevos Pequeño Blanco</t>
  </si>
  <si>
    <t>Daniela Fernandez</t>
  </si>
  <si>
    <t>Duoglas Nindiri</t>
  </si>
  <si>
    <t>Cajillas de Huevos Grande Rojo Regalo PN</t>
  </si>
  <si>
    <t>Cajillas de Huevos Extra Rojo Dn Freddy</t>
  </si>
  <si>
    <t>Cajillas de Huevos Grande Rojo Jostin</t>
  </si>
  <si>
    <t xml:space="preserve">Dos Angelitos </t>
  </si>
  <si>
    <t>Yeris</t>
  </si>
  <si>
    <t>Tomas</t>
  </si>
  <si>
    <t>Cajillas de Huevis Extra Rojo</t>
  </si>
  <si>
    <t>Cajillas de Hevos Grande Rojo</t>
  </si>
  <si>
    <t xml:space="preserve">Cajillas de Huevos Extra Rojo Celia </t>
  </si>
  <si>
    <t>Cajillas de Hiuevos Extra Rojo</t>
  </si>
  <si>
    <t>Irene Flores</t>
  </si>
  <si>
    <t>Cajillas de Huevos Grande Blanco RZ.P</t>
  </si>
  <si>
    <t>Ruth</t>
  </si>
  <si>
    <t>Maryuri Ruiz</t>
  </si>
  <si>
    <t>Separadores</t>
  </si>
  <si>
    <t>Cajillas de Huevos Grande Rojo Esteli</t>
  </si>
  <si>
    <t>Cajillas de Huevos Extra Rojo Esteli</t>
  </si>
  <si>
    <t>Cajillas de Huevos Péqueño Rojo</t>
  </si>
  <si>
    <t xml:space="preserve">Olkin </t>
  </si>
  <si>
    <t>Doña Petrona</t>
  </si>
  <si>
    <t>Cajillas de Huevos Extra Rojo Pelon</t>
  </si>
  <si>
    <t xml:space="preserve">Panaderia 2 angelitos </t>
  </si>
  <si>
    <t>Clientes Varios ( Bodega )</t>
  </si>
  <si>
    <t>Lesbia</t>
  </si>
  <si>
    <t>Cajillaa de Huevos Grande Blanco</t>
  </si>
  <si>
    <t>Cajillas de Huevos Pequeño</t>
  </si>
  <si>
    <t>Guillan Cheve</t>
  </si>
  <si>
    <t>Cajillasn de Huevos Mediano Blanco</t>
  </si>
  <si>
    <t>Cajillas de Huevos Quebrados Rojo</t>
  </si>
  <si>
    <t>Cajillas de HuevOS Extra Rojo</t>
  </si>
  <si>
    <t>Cajillas de Huevos Grande Rojo Justin</t>
  </si>
  <si>
    <t>Carlos San Juan</t>
  </si>
  <si>
    <t>Larisa</t>
  </si>
  <si>
    <t>Cajillas de Huevis Extra Blanco</t>
  </si>
  <si>
    <t>Jhonson</t>
  </si>
  <si>
    <t xml:space="preserve">Cintia </t>
  </si>
  <si>
    <t>Xochith</t>
  </si>
  <si>
    <t xml:space="preserve">Ervin </t>
  </si>
  <si>
    <t>Guillermo Gonzalez</t>
  </si>
  <si>
    <t>Carlos Baltodano</t>
  </si>
  <si>
    <t>Guadalupe</t>
  </si>
  <si>
    <t xml:space="preserve">Policia Nacional Capitan </t>
  </si>
  <si>
    <t>Cajillas de Huevos Grande Ropjo</t>
  </si>
  <si>
    <t>Cajillas de Huevos Pequeño Blancp</t>
  </si>
  <si>
    <t>Cajillas de Huevos Mediano Blanco+}</t>
  </si>
  <si>
    <t>Cjaillas de Huevos Grande Rojo</t>
  </si>
  <si>
    <t>Cajllas de Huevos Grande Blanco</t>
  </si>
  <si>
    <t>Cajillas de Huevos PequeÑO Rojo</t>
  </si>
  <si>
    <t>Cajillas de Huevos Grand erojo</t>
  </si>
  <si>
    <t>Cajillas de Huevos Grande Roijo</t>
  </si>
  <si>
    <t>Carniceria Gonzalez</t>
  </si>
  <si>
    <t>Ervin</t>
  </si>
  <si>
    <t>Martha Padilla</t>
  </si>
  <si>
    <t>Caijllas de Huevos Grande Blanco</t>
  </si>
  <si>
    <t>Chan Carlos</t>
  </si>
  <si>
    <t>Alba Urbina</t>
  </si>
  <si>
    <t>Cajillas de Huevps Grande Blanco</t>
  </si>
  <si>
    <t>Cajillas de Huevos Blanco</t>
  </si>
  <si>
    <t>Jader</t>
  </si>
  <si>
    <t>Cajillas DE Huevos Grande Blanco</t>
  </si>
  <si>
    <t>Ismael</t>
  </si>
  <si>
    <t>Cajillas de Huevos Grande Roio</t>
  </si>
  <si>
    <t>Cajillas de HuevoS Extra Blanco</t>
  </si>
  <si>
    <t>Cajillas de uevos Grande Blanco</t>
  </si>
  <si>
    <t>Cajillas d Huevos Extra Rojo</t>
  </si>
  <si>
    <t>Cajillas de Huevos Grande Raojo</t>
  </si>
  <si>
    <t>Cajillas de Huevois Grand Blanco</t>
  </si>
  <si>
    <t xml:space="preserve">Dos Angelitoss </t>
  </si>
  <si>
    <t>Cajillas de Huevos Cascado de Reposicion</t>
  </si>
  <si>
    <t>Ana Urbina</t>
  </si>
  <si>
    <t>Cajillas de Jhuevos Grande Rojo</t>
  </si>
  <si>
    <t>Tania</t>
  </si>
  <si>
    <t>Cajllas de Huevos Grande Rojo</t>
  </si>
  <si>
    <t xml:space="preserve">Roberto </t>
  </si>
  <si>
    <t>Cajillas de Huevps Pequeños Rojo</t>
  </si>
  <si>
    <t>Rosa</t>
  </si>
  <si>
    <t>Xocilth</t>
  </si>
  <si>
    <t>Cajillas de Huegvos Mediano Rojo</t>
  </si>
  <si>
    <t>Cajillas nde Huevos Pequeño Rojo</t>
  </si>
  <si>
    <t>Caute</t>
  </si>
  <si>
    <t>Cajillas de Huevos Mediaano Rojo</t>
  </si>
  <si>
    <t xml:space="preserve">Cajilllas de Huevos Grand Rojo Bonificacion </t>
  </si>
  <si>
    <t>Roger Yllesca</t>
  </si>
  <si>
    <t>Clientesb Varios Bodega</t>
  </si>
  <si>
    <t>Cajillas de Huevos Grand Rojo Juan</t>
  </si>
  <si>
    <t xml:space="preserve">Cajillas de Huevos Mediano </t>
  </si>
  <si>
    <t>Cajillas de Huevos Medeiano Rojo</t>
  </si>
  <si>
    <t>Puencetito</t>
  </si>
  <si>
    <t>Chela</t>
  </si>
  <si>
    <t>Chay Gay</t>
  </si>
  <si>
    <t xml:space="preserve">Casandra </t>
  </si>
  <si>
    <t>Cajillas de Huevos Grande rojo</t>
  </si>
  <si>
    <t>Darling</t>
  </si>
  <si>
    <t>Cajillas e Huevos Pequeño Rojo</t>
  </si>
  <si>
    <t>Cajillas de HuevOS Grande Rojo</t>
  </si>
  <si>
    <t>Cajillas de Huevosb Pequeños Rojo</t>
  </si>
  <si>
    <t>Nathasha</t>
  </si>
  <si>
    <t>Xcohilth</t>
  </si>
  <si>
    <t>Cajillas de Huveos Mediano Rojo</t>
  </si>
  <si>
    <t>Cajillas de Huievos Grande Rojo</t>
  </si>
  <si>
    <t>Xioamara</t>
  </si>
  <si>
    <t>Cajillas de Huevos Graned Rojo</t>
  </si>
  <si>
    <t>Unidad de Huevos Grande Rojo Bonificacion</t>
  </si>
  <si>
    <t>Dora</t>
  </si>
  <si>
    <t>Cajillsa de Huevos Pequeño Rojo</t>
  </si>
  <si>
    <t>Cajillas de Huevos Grande Blanco Clase C</t>
  </si>
  <si>
    <t>Cajillas de Huevos Grande Blanco Clase B</t>
  </si>
  <si>
    <t>Unidad de Huevos Cascado</t>
  </si>
  <si>
    <t xml:space="preserve">Alba Urbina </t>
  </si>
  <si>
    <t>Caillas de Huevos Cascado</t>
  </si>
  <si>
    <t>Cajillas de Huevos Grande Blanco Bonificacion</t>
  </si>
  <si>
    <t>Ticay</t>
  </si>
  <si>
    <t xml:space="preserve">Cajillas de Huevos Grande Rojo Bonoficacion </t>
  </si>
  <si>
    <t xml:space="preserve">Roger Yllesca </t>
  </si>
  <si>
    <t>Comedor Campos</t>
  </si>
  <si>
    <t xml:space="preserve">Frank </t>
  </si>
  <si>
    <t>Cajillas de Huevos Grande Banco</t>
  </si>
  <si>
    <t>Capital Yefry</t>
  </si>
  <si>
    <t>Cajillas de Huevos Grand Rojo</t>
  </si>
  <si>
    <t>Cajillas de Huevps Grande Blancoi</t>
  </si>
  <si>
    <t>Cajillas de Huevos GranDE Rojo</t>
  </si>
  <si>
    <t>Cajillas de Huevos Grande Rojo Monisa</t>
  </si>
  <si>
    <t>Maryuri Ruioz</t>
  </si>
  <si>
    <t>Clientes Varios Diriomo</t>
  </si>
  <si>
    <t>Marvin</t>
  </si>
  <si>
    <t>Nestor Fernandezz</t>
  </si>
  <si>
    <t>Israel Alvarez</t>
  </si>
  <si>
    <t>Cajillas de Huevos MedianO Rojo</t>
  </si>
  <si>
    <t>Unidades de Huevos Grande Rojo Bonificacion</t>
  </si>
  <si>
    <t>zx</t>
  </si>
  <si>
    <t>&lt;</t>
  </si>
  <si>
    <t>Cajillas de Huevis Grande Rojo Bonificacion</t>
  </si>
  <si>
    <t>Cajillas de Huevoos Grande Rojo</t>
  </si>
  <si>
    <t>Cajillas de Huevos Pequeños Rojo</t>
  </si>
  <si>
    <t>Cajillas de Huevos Grande Blanco RZ</t>
  </si>
  <si>
    <t>Cajillas de Huevos Extra Blanco RZ</t>
  </si>
  <si>
    <t>Nimer Lacayo</t>
  </si>
  <si>
    <t>Nestor F.</t>
  </si>
  <si>
    <t>Velkis</t>
  </si>
  <si>
    <t>Sochilth</t>
  </si>
  <si>
    <t xml:space="preserve">Rosa </t>
  </si>
  <si>
    <t>Cajillas De Huevos Grande Rojo</t>
  </si>
  <si>
    <t>Cajillas de Huevos Extra Rojo Duoglas Collolar</t>
  </si>
  <si>
    <t>Cajillas de Huevos Mediiano Rojo</t>
  </si>
  <si>
    <t xml:space="preserve">Cajillas de Huevos Grande </t>
  </si>
  <si>
    <t>Cajillas de Huevos Grande</t>
  </si>
  <si>
    <t>Cajillas de Huevos nPequeño Rojo</t>
  </si>
  <si>
    <t xml:space="preserve">Cajillas de Huevos Cascacdo </t>
  </si>
  <si>
    <t>Cajillas de Huevs Grande Rojo</t>
  </si>
  <si>
    <t>Julio Balladares</t>
  </si>
  <si>
    <t>Chamnorro</t>
  </si>
  <si>
    <t>Natasha</t>
  </si>
  <si>
    <t>Cajillas ed Huevos Grande Rojo</t>
  </si>
  <si>
    <t>Amgel</t>
  </si>
  <si>
    <t>Marvin Salamanca</t>
  </si>
  <si>
    <t>Cajillas de Huevos Fisurado</t>
  </si>
  <si>
    <t>Sofia</t>
  </si>
  <si>
    <t>Cajillas DE Huevos Grande Rojo</t>
  </si>
  <si>
    <t xml:space="preserve">Cajillas de Huevos Pequeño Blanco </t>
  </si>
  <si>
    <t>Deyri Baltodano</t>
  </si>
  <si>
    <t>Gabriel Sotelo</t>
  </si>
  <si>
    <t>Cajillas de Huevos Extra Rojo Gerald</t>
  </si>
  <si>
    <t xml:space="preserve">Dora </t>
  </si>
  <si>
    <t>Clientes Varios BodegA</t>
  </si>
  <si>
    <t>Cajillasd de Huevos Cascado</t>
  </si>
  <si>
    <t>Cajillas de Huevos Medaino Blanco Cambio</t>
  </si>
  <si>
    <t>Cajillas de Huevos Grande Blanco Cambio</t>
  </si>
  <si>
    <t>Cajillas de Huevos Grande Rojo Cambio</t>
  </si>
  <si>
    <t>Clientes Varios Negro</t>
  </si>
  <si>
    <t xml:space="preserve">Cajillas de Huevos Grande Rojo Cipriano </t>
  </si>
  <si>
    <t xml:space="preserve">Petrona </t>
  </si>
  <si>
    <t>Panaderia 10 de Mayo</t>
  </si>
  <si>
    <t xml:space="preserve">Caute </t>
  </si>
  <si>
    <t xml:space="preserve">Cajillas de Huevos Grande Rojo Bonificiacion </t>
  </si>
  <si>
    <t>Cajillas de Huevs Cascado</t>
  </si>
  <si>
    <t xml:space="preserve">Cajillas de Huevis Pequeño Rojo Nestor </t>
  </si>
  <si>
    <t xml:space="preserve">Marvin Salamanca </t>
  </si>
  <si>
    <t>Cajillas de Huevos GrandE Rojo</t>
  </si>
  <si>
    <t xml:space="preserve">Ursula </t>
  </si>
  <si>
    <t>Unidad de Huevos Grande Rojo</t>
  </si>
  <si>
    <t>Cajillas de Huevos Grande Rojo Juan</t>
  </si>
  <si>
    <t>Cajillas de Huevos Grande Rojo Policia Diriomo</t>
  </si>
  <si>
    <t>Cajillas de Huevos Grande Rojo PN Regalo</t>
  </si>
  <si>
    <t>Angelitos</t>
  </si>
  <si>
    <t xml:space="preserve">Maria Auxiliadora </t>
  </si>
  <si>
    <t>Andrea</t>
  </si>
  <si>
    <t>Cajills de Huevos Pequeño Blanco</t>
  </si>
  <si>
    <t>Unidad de Huevos Extra Reojo</t>
  </si>
  <si>
    <t>Cajillas de Huevos Extra ROJO</t>
  </si>
  <si>
    <t>Cajillas de Huevps Extra Blanco</t>
  </si>
  <si>
    <t>Yessica Mongragon</t>
  </si>
  <si>
    <t>Cajillas de Huevos Grande Fisurado</t>
  </si>
  <si>
    <t>Cajillas de Huevos Garnde Blanco</t>
  </si>
  <si>
    <t>Cajillas de Huevos Grande ROJO</t>
  </si>
  <si>
    <t>Julio</t>
  </si>
  <si>
    <t>Unidad de Huevos QUEBRADOS</t>
  </si>
  <si>
    <t>Cajillas de Huevos Grande Rojo ISMAEL</t>
  </si>
  <si>
    <t>Cajillas de Huevos GRANDE Rojo</t>
  </si>
  <si>
    <t>pamela</t>
  </si>
  <si>
    <t>Velki</t>
  </si>
  <si>
    <t>Johnson</t>
  </si>
  <si>
    <t>Daarling</t>
  </si>
  <si>
    <t>Ligia Ca,pos</t>
  </si>
  <si>
    <t>Cajillas de Huevos Grande Blanco rogelia</t>
  </si>
  <si>
    <t>Ruta Manolo</t>
  </si>
  <si>
    <t>Cajillas de Huevps Extra Rojo</t>
  </si>
  <si>
    <t xml:space="preserve">Maria Talavera </t>
  </si>
  <si>
    <t>Auxilaidora</t>
  </si>
  <si>
    <t>Lucia Delgado</t>
  </si>
  <si>
    <t>Cajillas denHuevos Piwi</t>
  </si>
  <si>
    <t>Dos ANGELITOS</t>
  </si>
  <si>
    <t>Cajillas de Huevps Grande Rojo</t>
  </si>
  <si>
    <t>Cajillas de Huevps Cascado</t>
  </si>
  <si>
    <t xml:space="preserve">Pulperia </t>
  </si>
  <si>
    <t>Olkin</t>
  </si>
  <si>
    <t>Doña Alba</t>
  </si>
  <si>
    <t>Cajillas de Huevps Pequeño Blanco</t>
  </si>
  <si>
    <t>Xichil</t>
  </si>
  <si>
    <t>Jose Ñamendy</t>
  </si>
  <si>
    <t xml:space="preserve">Angelitos </t>
  </si>
  <si>
    <t>Cajills de Huevos Pequeño Rojo</t>
  </si>
  <si>
    <t>Alan Morales</t>
  </si>
  <si>
    <t>Camilo Sequeira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</si>
  <si>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</si>
  <si>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Gato Willian </t>
  </si>
  <si>
    <t xml:space="preserve">Xiola </t>
  </si>
  <si>
    <t>Cajillas de HuevoS Mediano Blanco</t>
  </si>
  <si>
    <t>Academia</t>
  </si>
  <si>
    <t>Cajillas de Hjuevos Quebrados</t>
  </si>
  <si>
    <t>Cajillas e Huevos Extra Rojo</t>
  </si>
  <si>
    <t>Cajillas de Huevos Cascdo</t>
  </si>
  <si>
    <t>Cajillas de Huevos Grande Pet</t>
  </si>
  <si>
    <t>Cajillas de HuevoS Grande Blanco</t>
  </si>
  <si>
    <t>Cajillas de Huveos Grande Balnco</t>
  </si>
  <si>
    <t>Cajillas de HuevosMediano Blanco</t>
  </si>
  <si>
    <t>Cajillas de Huevos Piwi Blanco</t>
  </si>
  <si>
    <t>Cajillas de Huevos Piwi</t>
  </si>
  <si>
    <t>Cajillas de Huevos Grande Rojo Bonificiacion</t>
  </si>
  <si>
    <t>Cajillas de Huevos Grande Rojo Camilo</t>
  </si>
  <si>
    <t>Cajillas de Huevos Mediano Rojo Ismael</t>
  </si>
  <si>
    <t>Dolores</t>
  </si>
  <si>
    <t>Cajillas de Huevos Grande Cambio</t>
  </si>
  <si>
    <t>Cientes Varios Bodega</t>
  </si>
  <si>
    <t>Cajillas de huevos Grande Rojo</t>
  </si>
  <si>
    <t xml:space="preserve">Benigna </t>
  </si>
  <si>
    <t>Cajillsa de Huevos Grande Rojo</t>
  </si>
  <si>
    <t>Unidad de Huevps Quebrados</t>
  </si>
  <si>
    <t xml:space="preserve">IsmaEL Alvarez </t>
  </si>
  <si>
    <t>Cajillas de Huevps Pequeño Rojo</t>
  </si>
  <si>
    <t xml:space="preserve">Camilo Sequeira </t>
  </si>
  <si>
    <t xml:space="preserve">Clientes Variosb </t>
  </si>
  <si>
    <t>Walter gonzalen</t>
  </si>
  <si>
    <t>Cajillas dew Huevos Pequeño Blanco</t>
  </si>
  <si>
    <t>Casa de Las Cajetas</t>
  </si>
  <si>
    <t>Cajillas de Huevps Grande Rojo Bonificacion</t>
  </si>
  <si>
    <t xml:space="preserve">Sofia </t>
  </si>
  <si>
    <t xml:space="preserve"> </t>
  </si>
  <si>
    <t xml:space="preserve"> fg</t>
  </si>
  <si>
    <t xml:space="preserve">Cajillas de Huevos Pequeño </t>
  </si>
  <si>
    <t>Axiliadora</t>
  </si>
  <si>
    <t xml:space="preserve">Viejita </t>
  </si>
  <si>
    <t>Cajillas de Huevos Extra Rojo0</t>
  </si>
  <si>
    <t>Don Cipriano</t>
  </si>
  <si>
    <t>Cajillasd e Huevos Grande Rojo Ismael</t>
  </si>
  <si>
    <t>Cajillas de Huevos Grande Rojo Bonoficacion</t>
  </si>
  <si>
    <t>Cajillas de Huevos Mediano ROJO</t>
  </si>
  <si>
    <t>Cajillas de Huevos  Mediano Rojo</t>
  </si>
  <si>
    <t xml:space="preserve">Cajillas de Huevos Grande Rojo Nestor </t>
  </si>
  <si>
    <t xml:space="preserve">Dos ANGELITOS </t>
  </si>
  <si>
    <t>Cajillas de Huevos Grande Rojo Gerald</t>
  </si>
  <si>
    <t xml:space="preserve">Nathasha </t>
  </si>
  <si>
    <t>Cajillas e Huevos Grande Blanco</t>
  </si>
  <si>
    <t>Cajillas de Huevos Pequeño ROjo</t>
  </si>
  <si>
    <t>Cajillas de Huevos Grande  Rojo Ismael</t>
  </si>
  <si>
    <t>Cajillas de HuevOS Pequeño Blanco</t>
  </si>
  <si>
    <t>Cajillas de Huevos Extra Blanco 20 unidades</t>
  </si>
  <si>
    <t xml:space="preserve">Cajillas de Huevos Grane Rojo Ismael </t>
  </si>
  <si>
    <t>Dilan</t>
  </si>
  <si>
    <t xml:space="preserve">Auxilaidora </t>
  </si>
  <si>
    <t xml:space="preserve">Pulperia Lola </t>
  </si>
  <si>
    <t xml:space="preserve">Andrea </t>
  </si>
  <si>
    <t xml:space="preserve">Martha </t>
  </si>
  <si>
    <t>Cajillas de nHuevos Extra Blanco</t>
  </si>
  <si>
    <t>Cajillas de Huevos Grande Blancoi</t>
  </si>
  <si>
    <t>Cajillas ed Huevos Grande Blanco</t>
  </si>
  <si>
    <t>Cajillas de Huevos Grande Blanco Sellado</t>
  </si>
  <si>
    <t>Cajillas ed Huevos Pequeño Blanco Sellado</t>
  </si>
  <si>
    <t>Cajillas de nHuevos Grande Blanco</t>
  </si>
  <si>
    <t>Cajillas de Huevos Granmde Rojo</t>
  </si>
  <si>
    <t xml:space="preserve">Cajillas de Huevos Extra Blanco 20 Unidad </t>
  </si>
  <si>
    <t xml:space="preserve">Henry </t>
  </si>
  <si>
    <t>Cajillas ed Huevos Extra Rojo Juan</t>
  </si>
  <si>
    <t>Norlan nCaton</t>
  </si>
  <si>
    <t>Cajillas de Huevos Gramde Rojo</t>
  </si>
  <si>
    <t>Cajillas ed Huevos Cascado</t>
  </si>
  <si>
    <t>Cajillas e Huevos Grande Rojo</t>
  </si>
  <si>
    <t xml:space="preserve">Xochil </t>
  </si>
  <si>
    <t>Cajillas de  Huevos Mediano Rojo</t>
  </si>
  <si>
    <t xml:space="preserve">Angel </t>
  </si>
  <si>
    <t>Walter Nidiri</t>
  </si>
  <si>
    <t>Cajillas de Huevos Extra  Rojo</t>
  </si>
  <si>
    <t>RafAEL Caton</t>
  </si>
  <si>
    <t>Walter</t>
  </si>
  <si>
    <t>Cuba</t>
  </si>
  <si>
    <t>Cajillas de Huevos Medieno Blanco</t>
  </si>
  <si>
    <t>Cajillas de Hueevos Grande Rojo</t>
  </si>
  <si>
    <t>Cajillas de Cascado</t>
  </si>
  <si>
    <t>Ruta Mamolo</t>
  </si>
  <si>
    <t>Cajillas de Huevs Mediano Rojo</t>
  </si>
  <si>
    <t>Cajillas de Huevos Extra Rojo Victor</t>
  </si>
  <si>
    <t>Cajillas de Huevos Grande Rojo Victor</t>
  </si>
  <si>
    <t>Cajillas ed Huevos Pequeño Rojo</t>
  </si>
  <si>
    <t xml:space="preserve">Matilde </t>
  </si>
  <si>
    <t>Cajillas de Huevo Quebrados</t>
  </si>
  <si>
    <t>Cajillas de Huevos Meidano Rojo</t>
  </si>
  <si>
    <t>Cajillas de Huevops Pequeño Rojo</t>
  </si>
  <si>
    <t>Cajilñlas deHuevps Pequeño Blanco</t>
  </si>
  <si>
    <t>Caraceño</t>
  </si>
  <si>
    <t>Cajillas de Huevos MediaNO Rojo</t>
  </si>
  <si>
    <t>Clientes Varios Masesa</t>
  </si>
  <si>
    <t>Cajillas de Huevos Grande BLanco</t>
  </si>
  <si>
    <t>Cajillas deHuevos Grande Rojo</t>
  </si>
  <si>
    <t>Cajillas de Huevos Derrame</t>
  </si>
  <si>
    <t>Cajillas de Huevos Extrav Rojo</t>
  </si>
  <si>
    <t xml:space="preserve">Comedor Genesis </t>
  </si>
  <si>
    <t>Cinthia</t>
  </si>
  <si>
    <t>Angelitps</t>
  </si>
  <si>
    <t>El gato Willian</t>
  </si>
  <si>
    <t>Barios</t>
  </si>
  <si>
    <t>Cajillas de Huevo Grande Rojo</t>
  </si>
  <si>
    <t>Gaby</t>
  </si>
  <si>
    <t xml:space="preserve">Cajillas de Huevos  Grande Blanco </t>
  </si>
  <si>
    <t>Xajillas de Huevos Mediano Rojo</t>
  </si>
  <si>
    <t>Cajillas  de Huevos Grande Rojo</t>
  </si>
  <si>
    <t>Henry  Mendez</t>
  </si>
  <si>
    <t xml:space="preserve">Clientes Varios bodega </t>
  </si>
  <si>
    <t>Cajillas de Huevos Quebardos</t>
  </si>
  <si>
    <t>c.d.i</t>
  </si>
  <si>
    <t>Cajillas de HuevoS Pequeño Rojo</t>
  </si>
  <si>
    <t>Cajillas de Huevos Pequeño Rojo Bonficacion</t>
  </si>
  <si>
    <t>Katerine</t>
  </si>
  <si>
    <t>Gloria</t>
  </si>
  <si>
    <t>Chilo Tramo</t>
  </si>
  <si>
    <t xml:space="preserve">Cajillas de Huevos Extra ROJO Elieth </t>
  </si>
  <si>
    <t>Cajillas de Huevos eXtra Rojo</t>
  </si>
  <si>
    <t>Rafael</t>
  </si>
  <si>
    <t>Cajillas de Huevos Mediano Blancpo</t>
  </si>
  <si>
    <t>Pulepria Lola</t>
  </si>
  <si>
    <t>Cajillas de Huevos Grande Clase C</t>
  </si>
  <si>
    <t>Cajillas de Huevos Extra Rojo Duoglas</t>
  </si>
  <si>
    <t>Cajillas de Huevos Grande Rojo Doña Lucia</t>
  </si>
  <si>
    <t>Carlos Gomesz</t>
  </si>
  <si>
    <t>Cajillas d Huevos Pequeño Rojo</t>
  </si>
  <si>
    <t>Capitan Jeffry</t>
  </si>
  <si>
    <t>Cajillas de Huevos Grande Rojo Regalo</t>
  </si>
  <si>
    <t xml:space="preserve">Cajillas de Huevos Extra Rojo Wisin </t>
  </si>
  <si>
    <t>Cajillas de HUEVOS Mediano Blanco</t>
  </si>
  <si>
    <t>Viejita</t>
  </si>
  <si>
    <t>Cajillas de Huvos Cascado</t>
  </si>
  <si>
    <t>Cajillas de Huevos Granbde Rojo</t>
  </si>
  <si>
    <t>Chilo Trammo</t>
  </si>
  <si>
    <t>Caillas de Huevos Grande Blanco</t>
  </si>
  <si>
    <t>Cajillas de HUEVOS Grande Blanco</t>
  </si>
  <si>
    <t>Cajillas de Huevo Extra Rojo</t>
  </si>
  <si>
    <t>Cajillas de Huevos Grande Rojo Rogelia</t>
  </si>
  <si>
    <t>Cajillas de Huievos Extra Rojo</t>
  </si>
  <si>
    <t>Clientes VARIOS Bodega</t>
  </si>
  <si>
    <t>Jassom</t>
  </si>
  <si>
    <t>Cajillas de Hevos Extra Rojo</t>
  </si>
  <si>
    <t>Cajills de Huevos Cascado</t>
  </si>
  <si>
    <t>Cajillas de Huevos Gramde Blanco</t>
  </si>
  <si>
    <t>Cajillas de uevos Mediano Blanco</t>
  </si>
  <si>
    <t>Cajillas DE Huevos Mediano Blanco</t>
  </si>
  <si>
    <t>Cajillas ed Huevos Mediano Rojo</t>
  </si>
  <si>
    <t xml:space="preserve">Cajillas d Huevos Extra </t>
  </si>
  <si>
    <t>Cajillas de huevos Grande Blanco</t>
  </si>
  <si>
    <t>Cajillsa de Huevos Grande Rojo Gerald</t>
  </si>
  <si>
    <t xml:space="preserve">Cajillas de Huevos Extra Rojo Elieth </t>
  </si>
  <si>
    <t>Cajillas de Huevos Grande Rojoj Regalo</t>
  </si>
  <si>
    <t>Xoxhilth</t>
  </si>
  <si>
    <t>Luis</t>
  </si>
  <si>
    <t>Cajillas de Huevos Meidano Blanco</t>
  </si>
  <si>
    <t>Cajillas d Huevos Grande Blanco</t>
  </si>
  <si>
    <t>Cajillas de Hguevos Mediano Blanco</t>
  </si>
  <si>
    <t>Cajillas de Huevo Cascado</t>
  </si>
  <si>
    <t>Fabiola</t>
  </si>
  <si>
    <t>Guiilermo</t>
  </si>
  <si>
    <t xml:space="preserve">Mario </t>
  </si>
  <si>
    <t>Casa de las Cajetas</t>
  </si>
  <si>
    <t>Camilo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</si>
  <si>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</si>
  <si>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Distribuidora Franco</t>
  </si>
  <si>
    <t>Cajillas de Huevos Extra Rojo Monisa</t>
  </si>
  <si>
    <t>Angelito</t>
  </si>
  <si>
    <t>Cajillas de Huevos Pequeño ROJO</t>
  </si>
  <si>
    <t xml:space="preserve">Xochith </t>
  </si>
  <si>
    <t>Cajillas e Huevos Pequeño Blanco</t>
  </si>
  <si>
    <t xml:space="preserve">Cajillas DE Huevos Pequeño Rojo </t>
  </si>
  <si>
    <t>Cajillas de Huevos Grande Rojo Policia</t>
  </si>
  <si>
    <t>Guilermo</t>
  </si>
  <si>
    <t>Cajilllas de Huevos Extra Blanco</t>
  </si>
  <si>
    <t>c</t>
  </si>
  <si>
    <t xml:space="preserve">Cajillas de Huevos Extra Grande </t>
  </si>
  <si>
    <t xml:space="preserve">Victor </t>
  </si>
  <si>
    <t xml:space="preserve">Yagobet </t>
  </si>
  <si>
    <t>Clientes Varios Bodeg</t>
  </si>
  <si>
    <t>Cajillas de Huevos Cascado Reposicion</t>
  </si>
  <si>
    <t>Cajillas de Huevos Grande Rojo Granjero</t>
  </si>
  <si>
    <t>Cajillas de Huevos Extra Rpojo</t>
  </si>
  <si>
    <t>CAMILO</t>
  </si>
  <si>
    <t>Cajillas ed Huevos Mediano Blanco</t>
  </si>
  <si>
    <t>Cajillsa de Huevos Grande Blanco Devolucion Ruta Managua</t>
  </si>
  <si>
    <t xml:space="preserve">Panaderia Monica </t>
  </si>
  <si>
    <t>Pista La Feria</t>
  </si>
  <si>
    <t xml:space="preserve">Cajillas ed Huevos Grande Blanco </t>
  </si>
  <si>
    <t>Cajillas e Huevos Extra Rojo Fared</t>
  </si>
  <si>
    <t>Cajilalsde Huevos Grande Rojo Ismael</t>
  </si>
  <si>
    <t>Amparo</t>
  </si>
  <si>
    <t>C-D-I</t>
  </si>
  <si>
    <t>Cajillas de Huevo Grand Blanco</t>
  </si>
  <si>
    <t xml:space="preserve">Cajillas de Huevos Grande Blanco Rogelia </t>
  </si>
  <si>
    <t>Cajillas e Huevos Cascado</t>
  </si>
  <si>
    <t>Cajillsa de Huevos Mediano Rojo</t>
  </si>
  <si>
    <t xml:space="preserve">Don Jose </t>
  </si>
  <si>
    <t xml:space="preserve">La Feria </t>
  </si>
  <si>
    <t xml:space="preserve">Cajillas de HuevOS Mediano Blanco </t>
  </si>
  <si>
    <t>Cajillas de Huevs Pequeño Blanco</t>
  </si>
  <si>
    <t xml:space="preserve">Vicky </t>
  </si>
  <si>
    <t xml:space="preserve">Cajillas de Huevos Extra Rojo Juan </t>
  </si>
  <si>
    <t>Maria Tellez</t>
  </si>
  <si>
    <t>Cajillas d Huevos Extra Rojo Victor</t>
  </si>
  <si>
    <t>Cajillas de Huevos Grande Blanco135</t>
  </si>
  <si>
    <t xml:space="preserve">Cajillas de Huevos Pequeño Rojo </t>
  </si>
  <si>
    <t>Cajillas de Huevos bGrande Rojo</t>
  </si>
  <si>
    <t>Cajillas de Mediano Blanco</t>
  </si>
  <si>
    <t>Cajillas de Huevos Extra de Unidad de 20</t>
  </si>
  <si>
    <t>Cajillas de Huevos Mediano Rojo Javier</t>
  </si>
  <si>
    <t>Cajillas de Huevos Extra Rojo Marlon</t>
  </si>
  <si>
    <t>Academia Ys Beisboll</t>
  </si>
  <si>
    <t>Cajillas de HuevOS Extra Blanco</t>
  </si>
  <si>
    <t>Cajillas d Huevos Mediano Blanco</t>
  </si>
  <si>
    <t>Cajillas de Huevos Extra Rojo Germab</t>
  </si>
  <si>
    <t>Cajillas de Huevos Pequeño Blancos</t>
  </si>
  <si>
    <t>Cajillas de Grande Rojo</t>
  </si>
  <si>
    <t>Xochitl</t>
  </si>
  <si>
    <t xml:space="preserve">Katherine </t>
  </si>
  <si>
    <t>Caajillas de Huevos Grande Rojo</t>
  </si>
  <si>
    <t>Cajillas de Huevos Pequeños Blanco</t>
  </si>
  <si>
    <t>Allan ALFARO</t>
  </si>
  <si>
    <t>La Feria</t>
  </si>
  <si>
    <t>Cajillas de Huevos Medaiano Rojo</t>
  </si>
  <si>
    <t xml:space="preserve">Tola </t>
  </si>
  <si>
    <t>Cajillas de HUEVOS Grande Rojo</t>
  </si>
  <si>
    <t>Cajillas de Huevos GrANDE Blanco</t>
  </si>
  <si>
    <t xml:space="preserve">Martha Padilla </t>
  </si>
  <si>
    <t>Belky</t>
  </si>
  <si>
    <t>Cajillas de Huevos Grande Rojo Pelon</t>
  </si>
  <si>
    <t>Cajillas de Huevos  Quebrados</t>
  </si>
  <si>
    <t>Manolo Sandobal</t>
  </si>
  <si>
    <t>Cajillas de Huevos Grande Rojo Salon</t>
  </si>
  <si>
    <t>Doña Chilo</t>
  </si>
  <si>
    <t xml:space="preserve">Junior </t>
  </si>
  <si>
    <t>Clientesd Varios Bodega</t>
  </si>
  <si>
    <t>OlKin Conto</t>
  </si>
  <si>
    <t>Cajillas de Huevos Bandiado</t>
  </si>
  <si>
    <t>Distribuidora La Feria</t>
  </si>
  <si>
    <t>Cajillas de HUEVOS Pequeño Rojo</t>
  </si>
  <si>
    <t>Viejitas</t>
  </si>
  <si>
    <t>Cajillas de Huevos Bandeado</t>
  </si>
  <si>
    <t>Super</t>
  </si>
  <si>
    <t>Cajillas de Huevos Extra Blanco PF</t>
  </si>
  <si>
    <t>EdwIN Calero</t>
  </si>
  <si>
    <t>Cajillas de Huevos Extra Rojo Ellieth</t>
  </si>
  <si>
    <t>Clientes Varios Chon</t>
  </si>
  <si>
    <t>Cloientes Varios Bodega</t>
  </si>
  <si>
    <t>Cajillas de Huevos Grande Rojo Dñ Lucia</t>
  </si>
  <si>
    <t>Auxiliaodora</t>
  </si>
  <si>
    <t xml:space="preserve">Chilo </t>
  </si>
  <si>
    <t>Hector PAZ</t>
  </si>
  <si>
    <t>Salon Gloria</t>
  </si>
  <si>
    <t>Cajilals de Huevos Mediano Rojo</t>
  </si>
  <si>
    <t>Cajillas de Huevos Grande Artesanal Granja</t>
  </si>
  <si>
    <t>Cajilals de Huevos Grande Rojo Policia</t>
  </si>
  <si>
    <t>Cajillas de huevos Gramde Rojo</t>
  </si>
  <si>
    <t>Cajilals de Huevos Grande Rojo</t>
  </si>
  <si>
    <t>Cajillas de Huevos Pequeño Rojo0</t>
  </si>
  <si>
    <t>Dani</t>
  </si>
  <si>
    <t>Cajillas de Huevosa Grande Blanco</t>
  </si>
  <si>
    <t>Cajillas de Huevos Medino Blanco</t>
  </si>
  <si>
    <t xml:space="preserve">Super </t>
  </si>
  <si>
    <t>Marlon Solis</t>
  </si>
  <si>
    <t>Reyando</t>
  </si>
  <si>
    <t>Cajillas de Huevos Grande  Rojo</t>
  </si>
  <si>
    <t>Nestor</t>
  </si>
  <si>
    <t>Xochitlh</t>
  </si>
  <si>
    <t>Cajillas de Huevos Cascado0</t>
  </si>
  <si>
    <t xml:space="preserve">Angelito </t>
  </si>
  <si>
    <t>Carlitos</t>
  </si>
  <si>
    <t>Cajillas de Huevos Mediano Rojho</t>
  </si>
  <si>
    <t>Cajillas de Huevops Grande Rojo</t>
  </si>
  <si>
    <t>Hector  Paz</t>
  </si>
  <si>
    <t xml:space="preserve">Rafael Caton </t>
  </si>
  <si>
    <t>Cajillas de Huevos Extyra Rojo Ismael</t>
  </si>
  <si>
    <t>La feria</t>
  </si>
  <si>
    <t>Felicita</t>
  </si>
  <si>
    <t>Cajillas de Huevos Grande Rojo Zurdo</t>
  </si>
  <si>
    <t>Josefa Guevara</t>
  </si>
  <si>
    <t>Cajillas de Huevosn Cascado</t>
  </si>
  <si>
    <t>Clientes Nuevos</t>
  </si>
  <si>
    <t>Hector Tipitapa</t>
  </si>
  <si>
    <t>Cajillas de Huevos Grande Blno</t>
  </si>
  <si>
    <t>Clientes Vaqrios Bodega</t>
  </si>
  <si>
    <t>Cajillas de Huevos Grande Blancoo</t>
  </si>
  <si>
    <t>Cajillas de Huevosb Pequeño Rojo</t>
  </si>
  <si>
    <t>Cajillas de Huevos Extra bLanco</t>
  </si>
  <si>
    <t>Cajillas de Huevos Grande Rojo Policia Diria</t>
  </si>
  <si>
    <t>Cajillas de Huevos Grande Rojo Policia Nacional Diriomo</t>
  </si>
  <si>
    <t>Cajillas de Huevos Grande Reojo</t>
  </si>
  <si>
    <t>Auxliadora</t>
  </si>
  <si>
    <t>Cajillas d Huevps pequeño Rojo</t>
  </si>
  <si>
    <t>Veijita</t>
  </si>
  <si>
    <t>Cajillas d Huevos Mediano Rojo</t>
  </si>
  <si>
    <t xml:space="preserve">Josefa </t>
  </si>
  <si>
    <t>Cajillas de Huevos Gande Rojo</t>
  </si>
  <si>
    <t xml:space="preserve">Cliente Varios </t>
  </si>
  <si>
    <t>Clientes VARIOS</t>
  </si>
  <si>
    <t>Cajillas de Huevos Extra</t>
  </si>
  <si>
    <t>Cajillas de Huevs Extra Rojo</t>
  </si>
  <si>
    <t>Carlos Lopez</t>
  </si>
  <si>
    <t>Cha Gay</t>
  </si>
  <si>
    <t>Heydy</t>
  </si>
  <si>
    <t>Cajillas de Huevos Extra Rojo Fared</t>
  </si>
  <si>
    <t>Cajillas d Huevos Grande bLanco</t>
  </si>
  <si>
    <t>Cajillas de Huevos Grande nRojo</t>
  </si>
  <si>
    <t>Lila Sandoval</t>
  </si>
  <si>
    <t>Cajillas de Huevos Meiano Rojo</t>
  </si>
  <si>
    <t>Cajillas de Huevo Extra ROJO</t>
  </si>
  <si>
    <t>Clientes Varios # 02</t>
  </si>
  <si>
    <t>Cajilla de Huevos Grande Rfojo</t>
  </si>
  <si>
    <t>Cajillas de Huevos Grande ROPJO</t>
  </si>
  <si>
    <t xml:space="preserve">Ismael </t>
  </si>
  <si>
    <t>Cajills de Huevos Mediano Rojo</t>
  </si>
  <si>
    <t>198-8-25</t>
  </si>
  <si>
    <t>Cajillas de HuevOS Cascado</t>
  </si>
  <si>
    <t>Cajillas de Huevos Extra Blanco Unidad de 20</t>
  </si>
  <si>
    <t>Cajillas de Huevps Mediano Rojo</t>
  </si>
  <si>
    <t>Clientes Varios #2</t>
  </si>
  <si>
    <t>Cajillas de Huevs Mediano Blanco</t>
  </si>
  <si>
    <t>Cajillas DE Huevos Extra Rojo</t>
  </si>
  <si>
    <t>Isaacc Tola</t>
  </si>
  <si>
    <t>Cajillas de Huevops Mediano Rojo</t>
  </si>
  <si>
    <t xml:space="preserve">Cajillas de Huevo Grande Rojo Policia </t>
  </si>
  <si>
    <t xml:space="preserve">Walter Nindiri </t>
  </si>
  <si>
    <t>Cajillas de Huevos Meiano Blanco</t>
  </si>
  <si>
    <t>Cajillas de Huevos Pequeño Blano</t>
  </si>
  <si>
    <t>Cajillas de Huevops Extra Rojo</t>
  </si>
  <si>
    <t>Cajillas de Huevo Mediano Blanco</t>
  </si>
  <si>
    <t>Jose alvarado</t>
  </si>
  <si>
    <t>Jose Guevara</t>
  </si>
  <si>
    <t>Cajillsa de Huevos Extra ROJO</t>
  </si>
  <si>
    <t>Carlos Gomez</t>
  </si>
  <si>
    <t xml:space="preserve">Cajillas de Huevos Pequño </t>
  </si>
  <si>
    <t>Venogna</t>
  </si>
  <si>
    <t>Cajillas de HuevoS Pequeño Blanco</t>
  </si>
  <si>
    <t>Yesica ArDON</t>
  </si>
  <si>
    <t>Isaac Tola</t>
  </si>
  <si>
    <t>Nathaha</t>
  </si>
  <si>
    <t xml:space="preserve">Academia </t>
  </si>
  <si>
    <t xml:space="preserve">w </t>
  </si>
  <si>
    <t>Cajillas de Huevos  Grande Rojo</t>
  </si>
  <si>
    <t xml:space="preserve">Unidad de Huevos Extra Rojo </t>
  </si>
  <si>
    <t>Cajillas de Huevs Grande Blanco</t>
  </si>
  <si>
    <t>Cajillas de Huevos Grande Blanco Granjero</t>
  </si>
  <si>
    <t>Josefa</t>
  </si>
  <si>
    <t>Cajillas de Huevos Extra Blanco Geral</t>
  </si>
  <si>
    <t>Yessica Arcon</t>
  </si>
  <si>
    <t>Adolfo</t>
  </si>
  <si>
    <t>Cajillas de Hu8evos Grande Rojo</t>
  </si>
  <si>
    <t>Cajillas de Huevo Mediano Rojo</t>
  </si>
  <si>
    <t>Norlan caton</t>
  </si>
  <si>
    <t>Auxilidora</t>
  </si>
  <si>
    <t>Padilla</t>
  </si>
  <si>
    <t>Raul</t>
  </si>
  <si>
    <t>Yessica Ardon</t>
  </si>
  <si>
    <t>Cajillas de Huevos Pequeñpo Blanco</t>
  </si>
  <si>
    <t>Cesar</t>
  </si>
  <si>
    <t>Cajilla de Huevos Pequeño Rojo</t>
  </si>
  <si>
    <t>Erwin</t>
  </si>
  <si>
    <t>Academia Yc Beisboll</t>
  </si>
  <si>
    <t>Cajillas de Huegvosw Extra Rojo</t>
  </si>
  <si>
    <t>RafaEL Caton</t>
  </si>
  <si>
    <t>Capitan Jefrry</t>
  </si>
  <si>
    <t>Lorena</t>
  </si>
  <si>
    <t>Jorge</t>
  </si>
  <si>
    <t xml:space="preserve">Yessica Arcon </t>
  </si>
  <si>
    <t>Venta Nueva Guanacaste</t>
  </si>
  <si>
    <t xml:space="preserve">Jhonson </t>
  </si>
  <si>
    <t>Unidad de Huevos Extra Rojo</t>
  </si>
  <si>
    <t>Cajillas de Huevos Extra Rjo</t>
  </si>
  <si>
    <t>Leydu</t>
  </si>
  <si>
    <t>Cdi</t>
  </si>
  <si>
    <t>Rene Vasconselo</t>
  </si>
  <si>
    <t>Nporlan</t>
  </si>
  <si>
    <t>Cajillas de Huevpos Mediano Blanco</t>
  </si>
  <si>
    <t>Clientes Varios  Bodega</t>
  </si>
  <si>
    <t>Cajillas de Huevos Grande Rojo Capitan</t>
  </si>
  <si>
    <t>Cajillas de Huevos Casacdo</t>
  </si>
  <si>
    <t>DANIEL</t>
  </si>
  <si>
    <t>Cajillas d Huevos Grande Rjo</t>
  </si>
  <si>
    <t>Cajilas de Huevos Pequeño Blanco</t>
  </si>
  <si>
    <t>Bayrado</t>
  </si>
  <si>
    <t>Cajillas de Huevos PequeñobRojo</t>
  </si>
  <si>
    <t xml:space="preserve">Douglas </t>
  </si>
  <si>
    <t>Cajillas de Huevos nPequeño Blanco</t>
  </si>
  <si>
    <t>Cjillas de HuevOS Mediano Rojo</t>
  </si>
  <si>
    <t>Benigna</t>
  </si>
  <si>
    <t>Cajillas de Huevos Mediao Blanco</t>
  </si>
  <si>
    <t>Cajillas de Huevs Pequeño Rojo</t>
  </si>
  <si>
    <t>Enrique</t>
  </si>
  <si>
    <t xml:space="preserve">Velky </t>
  </si>
  <si>
    <t>Jesus Muñoz</t>
  </si>
  <si>
    <t xml:space="preserve">Bayardo </t>
  </si>
  <si>
    <t>Cajillas de Hjuevos Mediano Blanco</t>
  </si>
  <si>
    <t>Elena Gomez</t>
  </si>
  <si>
    <t>Cajillas  de Huevos Cascado</t>
  </si>
  <si>
    <t>Cajillas de Huevos Ghrande Rojo</t>
  </si>
  <si>
    <t xml:space="preserve">Fabiola </t>
  </si>
  <si>
    <t>Carlos Toker</t>
  </si>
  <si>
    <t xml:space="preserve">Jesus </t>
  </si>
  <si>
    <t>Jesus</t>
  </si>
  <si>
    <t>Cajillas de Huevos Quebado</t>
  </si>
  <si>
    <t>Cajillas de Huevos Grande Rojo Leo</t>
  </si>
  <si>
    <t>Cajillas de Huevos CascaDO</t>
  </si>
  <si>
    <t>Xochithl</t>
  </si>
  <si>
    <t>Cajillas de Huevgos Grande Rojo</t>
  </si>
  <si>
    <t xml:space="preserve">Salon Gloria </t>
  </si>
  <si>
    <t xml:space="preserve">Josefa Guevarra </t>
  </si>
  <si>
    <t>Cajillas de Huevgos Pequeño Rojo</t>
  </si>
  <si>
    <t>Cajillsa de Huevos Extra Blanco Rogelia</t>
  </si>
  <si>
    <t>cajillsa de Huevos Grande Blanco</t>
  </si>
  <si>
    <t>Cajillas de Huevos Extra Blanco Lester</t>
  </si>
  <si>
    <t>Cajillas de Huevos Extra Blanco0</t>
  </si>
  <si>
    <t>Cajillas de Huevos Mediano Rjo</t>
  </si>
  <si>
    <t>Angellito</t>
  </si>
  <si>
    <t xml:space="preserve">Laferia </t>
  </si>
  <si>
    <t>Yessi Arcon</t>
  </si>
  <si>
    <t xml:space="preserve">Carlos Acevedo </t>
  </si>
  <si>
    <t xml:space="preserve">Cajillas de Huevos Extra Rojo Duoglas </t>
  </si>
  <si>
    <t xml:space="preserve">Unidad de Huevos Quebrado </t>
  </si>
  <si>
    <t>Cajillas de Huevos Mediano Banco</t>
  </si>
  <si>
    <t xml:space="preserve">Norlan Caton </t>
  </si>
  <si>
    <t>Cajillas de Huevos Garnde Rojo</t>
  </si>
  <si>
    <t>Clientes Carios Bodega</t>
  </si>
  <si>
    <t>La Eskina del Mayoreo</t>
  </si>
  <si>
    <t>Cajillas de Huevos Grande Rojo Artesanal</t>
  </si>
  <si>
    <t>Cajillas de Huevos Grande Blanbco Artesanal</t>
  </si>
  <si>
    <t>Cajillas de Huevos Extra Blanco Tip Top</t>
  </si>
  <si>
    <t>Cajillas de Huevos Grande Blanco Tip Top</t>
  </si>
  <si>
    <t>Cajillas DE Huevos Mediano Blanco Tip Top</t>
  </si>
  <si>
    <t>Cajillas de Huevos Pequeño Rojo Tip Top</t>
  </si>
  <si>
    <t>Cajillas de Huevos Pequeño Blanco Tip Top</t>
  </si>
  <si>
    <t>Cajillas de Huewvos Mediano Rojo</t>
  </si>
  <si>
    <t>Allan Alvarez</t>
  </si>
  <si>
    <t>Cajillas de Huevos Mediano Rojo Artesanal</t>
  </si>
  <si>
    <t>Cajillas de Huevos Mediano Rojo Granjero</t>
  </si>
  <si>
    <t xml:space="preserve">Clientews Varios Bodega </t>
  </si>
  <si>
    <t>Cajillas ed Huevos Extra Rojo Camilo</t>
  </si>
  <si>
    <t>Cajillas de Huevos Extra rojo GeralD</t>
  </si>
  <si>
    <t>Cajillas de Huevos Grande Rojo Marlon Chofer</t>
  </si>
  <si>
    <t>La esquina Mayoreo</t>
  </si>
  <si>
    <t>Jaime</t>
  </si>
  <si>
    <t>Cajillas de Huevos Extra Rojjo</t>
  </si>
  <si>
    <t>Martha</t>
  </si>
  <si>
    <t xml:space="preserve"> Cajillas de Huevos Mediano Rojo</t>
  </si>
  <si>
    <t>Cajillas de Huevos Grand eRojo</t>
  </si>
  <si>
    <t>cajillas de Huevos Grande Rojo</t>
  </si>
  <si>
    <t>Cajillas de Huevos Extra Rojo Camilo</t>
  </si>
  <si>
    <t>Cajiilas de Huevos Extra Rojo</t>
  </si>
  <si>
    <t>Cajiilas de Huevos Grande Rojo</t>
  </si>
  <si>
    <t xml:space="preserve">Cajillas de HuevosGrande Blanco </t>
  </si>
  <si>
    <t>Cajillas de Huevos Extra Grande Rojo</t>
  </si>
  <si>
    <t>Diana Gonzalez / Allan Alfaro</t>
  </si>
  <si>
    <t xml:space="preserve">Clientesb Varios Bodega </t>
  </si>
  <si>
    <t>Cajillas de Huevos Extra Blanco RZP</t>
  </si>
  <si>
    <t xml:space="preserve">Cajillas de Huevos Grande Rojo Regalo </t>
  </si>
  <si>
    <t>ChilO</t>
  </si>
  <si>
    <t xml:space="preserve">Lorena </t>
  </si>
  <si>
    <t>Cajillas  de Huevos Pequeño Blanco</t>
  </si>
  <si>
    <t>Edwin</t>
  </si>
  <si>
    <t>IsmAEL Alvarez</t>
  </si>
  <si>
    <t>Miguel</t>
  </si>
  <si>
    <t>Cajillas de Huevos Extra Blanco Camilo</t>
  </si>
  <si>
    <t>Cajillas de Huevos Extra Blanco Tip TOP</t>
  </si>
  <si>
    <t>Cajillas de Huevos Grande Blanco TipTop</t>
  </si>
  <si>
    <t>Cajillas de Huevos Mediano Blanco Tip Top</t>
  </si>
  <si>
    <t>Pulperia</t>
  </si>
  <si>
    <t xml:space="preserve">Palmera </t>
  </si>
  <si>
    <t>Cajillas de Huevos  Mediano Blanco</t>
  </si>
  <si>
    <t>Cajillas de Huevos  Grande Blanco</t>
  </si>
  <si>
    <t xml:space="preserve">Cajillas de Huevos Extra Blanco Domingo </t>
  </si>
  <si>
    <t xml:space="preserve">Cajillas de Huevos Extra Rojo Rogelia </t>
  </si>
  <si>
    <t>Cajillas de HuevosCascado</t>
  </si>
  <si>
    <t>Danlilo</t>
  </si>
  <si>
    <t>Cajillas de Huevos Pequeñon Blanco</t>
  </si>
  <si>
    <t>Cajillas de Huevos Grande Blanco Victor</t>
  </si>
  <si>
    <t xml:space="preserve">Diana Gonzalez / Allan </t>
  </si>
  <si>
    <t>Unidad de Huevos Mediano Rojo</t>
  </si>
  <si>
    <t>Hector Páz</t>
  </si>
  <si>
    <t>Cajillas de Huevos Pequeño Rojo Gerald</t>
  </si>
  <si>
    <t>CajillaS DE Huevos Extra Rojo Duoglas Cyolar</t>
  </si>
  <si>
    <t>Danielo</t>
  </si>
  <si>
    <t>Diana/ Allan Alfaro</t>
  </si>
  <si>
    <t>Cajillas de Huevos Extr Rojo</t>
  </si>
  <si>
    <t>Cajillas de Huevps Extra Rojo Camilo</t>
  </si>
  <si>
    <t>Allan Morales</t>
  </si>
  <si>
    <t>Cajillas de Huevos Greande Rojo</t>
  </si>
  <si>
    <t>Don Ismael</t>
  </si>
  <si>
    <t>Cajillas de Huevos Gande Blanco</t>
  </si>
  <si>
    <t>Cajillas ed Huevos Extra Blanco Rogelia</t>
  </si>
  <si>
    <t xml:space="preserve">Cajillas de Huevos Grande Rojo Policia Diria </t>
  </si>
  <si>
    <t>Cajillas de Huevos Extra ROJO Pelon</t>
  </si>
  <si>
    <t>Cajillas de Huevos Grande Rojo Policia de Diriomo</t>
  </si>
  <si>
    <t>Cajillas de Huervos Extra Rojo</t>
  </si>
  <si>
    <t>CajillaS DE Huevos Grande Blanco</t>
  </si>
  <si>
    <t>Vickiy</t>
  </si>
  <si>
    <t>Violeta Gutierrez</t>
  </si>
  <si>
    <t xml:space="preserve">Profesor </t>
  </si>
  <si>
    <t>Cajillas de Huevos Extra Rojo Segundo</t>
  </si>
  <si>
    <t>CajillaS de Huevos Extra Rojo</t>
  </si>
  <si>
    <t xml:space="preserve">Axiliadora </t>
  </si>
  <si>
    <t>Cajillas de Huevos ´Pequeño Blanco</t>
  </si>
  <si>
    <t xml:space="preserve">Cajillas de Huevos Mediano Rojo Ismael </t>
  </si>
  <si>
    <t>Feria</t>
  </si>
  <si>
    <t xml:space="preserve">Diana Gonzalez </t>
  </si>
  <si>
    <t>Josue</t>
  </si>
  <si>
    <t>Cajillas de Huevois Mediano Blanco</t>
  </si>
  <si>
    <t>Cajillas de HuevoS Grande Rojo Policia Diria</t>
  </si>
  <si>
    <t>Caijllas de Huevos Grande Rojo</t>
  </si>
  <si>
    <t xml:space="preserve">Erlinda </t>
  </si>
  <si>
    <t>Cajillas de Huevos Grand Rojo+</t>
  </si>
  <si>
    <t>Cajillas de nHuevos Grande Rojo</t>
  </si>
  <si>
    <t>Cajillas denHuevos Extra Rojo</t>
  </si>
  <si>
    <t xml:space="preserve">Clienetes Varios Bodega </t>
  </si>
  <si>
    <t>Unidades de Huevos Extra Rojo</t>
  </si>
  <si>
    <t>Cajillas den Huevos Extra Rojo</t>
  </si>
  <si>
    <t>Cajillas de Huevos Pequeño Ropjo</t>
  </si>
  <si>
    <t>Cajillas de Huevos ExtrA Rojo</t>
  </si>
  <si>
    <t>Cajillas de Huevo Pequeño Rojo</t>
  </si>
  <si>
    <t>Clienetes Varios Bodega</t>
  </si>
  <si>
    <t>Ccajillas de Huevos Extra Rojo Camilo</t>
  </si>
  <si>
    <t xml:space="preserve">Natahasha </t>
  </si>
  <si>
    <t>Vanesa</t>
  </si>
  <si>
    <t>Cajillas d Huevos Grand Rojo</t>
  </si>
  <si>
    <t>Caijllas de Huevos Mediano Blanco</t>
  </si>
  <si>
    <t xml:space="preserve">Auxliadora </t>
  </si>
  <si>
    <t>Cajillas de Huevos Extra Rojo Ericka</t>
  </si>
  <si>
    <t>Yader</t>
  </si>
  <si>
    <t>Payo</t>
  </si>
  <si>
    <t>Cajillas de HuevosGrande Rojo</t>
  </si>
  <si>
    <t xml:space="preserve">Nestor </t>
  </si>
  <si>
    <t>Cajillas de Huevos Extra Rojo Julio</t>
  </si>
  <si>
    <t>Cajillas de Huevos Quebrados Julio</t>
  </si>
  <si>
    <t xml:space="preserve">Natasha </t>
  </si>
  <si>
    <t>Cajillas de Huev0os Extra Rojo</t>
  </si>
  <si>
    <t>Laferia</t>
  </si>
  <si>
    <t>Cajillas de Huevos Grande  Blanco</t>
  </si>
  <si>
    <t>Duoglas Pito</t>
  </si>
  <si>
    <t>Cajilla de Huevos Mediano Rojo</t>
  </si>
  <si>
    <t xml:space="preserve">Angelitoa </t>
  </si>
  <si>
    <t>Xoxhith</t>
  </si>
  <si>
    <t xml:space="preserve">Cajillas de Huevos Bandeado </t>
  </si>
  <si>
    <t>Cajillad de Huevos Grande Blanco</t>
  </si>
  <si>
    <t>Clientes Varios Chont.</t>
  </si>
  <si>
    <t>Cajillas de Huevos Grande Rjo</t>
  </si>
  <si>
    <t>Cajillas de Huevos MedianoBlanco</t>
  </si>
  <si>
    <t>Rafeal Caton</t>
  </si>
  <si>
    <t>Cajillas de Huevoa Grande Blanco</t>
  </si>
  <si>
    <t>Clientes Vraios Bodega</t>
  </si>
  <si>
    <t>Cajillas de Huevoa Extra Rojo</t>
  </si>
  <si>
    <t>Auxiladora</t>
  </si>
  <si>
    <t>ClientesVarios</t>
  </si>
  <si>
    <t>Cajillas de Huevos Grande Roji</t>
  </si>
  <si>
    <t xml:space="preserve">Verdi </t>
  </si>
  <si>
    <t>ANGELITOS</t>
  </si>
  <si>
    <t>Silvo</t>
  </si>
  <si>
    <t>Cajillas de Huevos Grande Blanvo</t>
  </si>
  <si>
    <t xml:space="preserve">Violeta </t>
  </si>
  <si>
    <t>Yeiiner Hernandez</t>
  </si>
  <si>
    <t>Cajillas ed Huevos Grande Rojo Policia Diria</t>
  </si>
  <si>
    <t>Cajillas de Huevos Grande Rojo Pilicia Diriomo</t>
  </si>
  <si>
    <t xml:space="preserve">Guadalupe </t>
  </si>
  <si>
    <t>Maria</t>
  </si>
  <si>
    <t>Cajillas de Huevos Grand eBlanco</t>
  </si>
  <si>
    <t>Cajillas de Huevos Poroso</t>
  </si>
  <si>
    <t>Cajillas de Huevos Sucio</t>
  </si>
  <si>
    <t>Yrinner Hernandez</t>
  </si>
  <si>
    <t xml:space="preserve"> Cajillas d Huevos Mediano Blanco</t>
  </si>
  <si>
    <t>Cajillas DE Huevos Mediano Rojo</t>
  </si>
  <si>
    <t xml:space="preserve">Norlan </t>
  </si>
  <si>
    <t>Cajillas d Huevosw Pequeño Blanco</t>
  </si>
  <si>
    <t>Cajillas de Huevos GRande Blanco</t>
  </si>
  <si>
    <t>Chan GAY</t>
  </si>
  <si>
    <t>Issac Tola</t>
  </si>
  <si>
    <t>Cajillas nde Huevos Mediano Rojo</t>
  </si>
  <si>
    <t>Cajillas de Huegvos Extra Rojo Camilo</t>
  </si>
  <si>
    <t xml:space="preserve">Cajillas de Huevos Grande Rojo Gerald </t>
  </si>
  <si>
    <t>Cajillas de Huevos Grande blanco</t>
  </si>
  <si>
    <t>Cajillas ed Huevos Extra Rojo</t>
  </si>
  <si>
    <t>Allan Gonzalez&lt;</t>
  </si>
  <si>
    <t>Cajillas de Huevos Peque Blanco</t>
  </si>
  <si>
    <t>Rafel Caton</t>
  </si>
  <si>
    <t>Pulkperia Lola</t>
  </si>
  <si>
    <t>Academia YS Beisboll</t>
  </si>
  <si>
    <t>Cajillas de Huevos Grande Blanco Juan</t>
  </si>
  <si>
    <t>C.D.E.</t>
  </si>
  <si>
    <t>Cajillas de Huevos Grande ROjo</t>
  </si>
  <si>
    <t>Edwin  Calero</t>
  </si>
  <si>
    <t>Cajillas e Huevos Mediano Rojo</t>
  </si>
  <si>
    <t>Cajillas de Huevos Mediano0 Blanco</t>
  </si>
  <si>
    <t>Walter Gonzale</t>
  </si>
  <si>
    <t>Cajillas de Huevos Extra Rojo Gerardo</t>
  </si>
  <si>
    <t>Cajillas de Huevos Extra Rojo Duoglas Pagadas</t>
  </si>
  <si>
    <t>Cajillas de Huevos Extra Rojo Duoglas Pendiente</t>
  </si>
  <si>
    <t>Caillas de Huevos Extra Blanco</t>
  </si>
  <si>
    <t>Cajillas de Huevos Grande Rojo Kenia</t>
  </si>
  <si>
    <t>Cajillas de Huevos Extyra Blanco Domingo</t>
  </si>
  <si>
    <t>Cajillas de Huevos Pequeño Rojo Juan</t>
  </si>
  <si>
    <t>Cajillas de Huevos MedianO Blanco</t>
  </si>
  <si>
    <t>Clientes Vario</t>
  </si>
  <si>
    <t xml:space="preserve">Fbiola </t>
  </si>
  <si>
    <t>Cajillas de Huevos Grande Roojo</t>
  </si>
  <si>
    <t>Cajillas de Huevos  Extra Rojo</t>
  </si>
  <si>
    <t>Cajillas de Huevcos Pequeño Rojo</t>
  </si>
  <si>
    <t xml:space="preserve">Cajillas de Huevos bGrande Rojo Cipriano </t>
  </si>
  <si>
    <t>Ovilio</t>
  </si>
  <si>
    <t>Cajillas de Huevos Grande Blanco Pablo</t>
  </si>
  <si>
    <t>Cajillasde Huevos Cascado</t>
  </si>
  <si>
    <t>Palmera</t>
  </si>
  <si>
    <t>Daiel</t>
  </si>
  <si>
    <t>Julior</t>
  </si>
  <si>
    <t>Carlosd</t>
  </si>
  <si>
    <t xml:space="preserve">Feria </t>
  </si>
  <si>
    <t>Cajillas de Huevos Sucio Blanco</t>
  </si>
  <si>
    <t>Cajilñlas de Huecos Cascado</t>
  </si>
  <si>
    <t>Cajills de Huevos Extra Blanco</t>
  </si>
  <si>
    <t>C.DI</t>
  </si>
  <si>
    <t>Cajillas de Huevos Extra Blanco Juan</t>
  </si>
  <si>
    <t>Cajillas de Huevos Extra Blanco Rogelia</t>
  </si>
  <si>
    <t>298-11-25</t>
  </si>
  <si>
    <t>Rafael Catonb</t>
  </si>
  <si>
    <t>Cajillas de Huevos Extra Rojo Carlos</t>
  </si>
  <si>
    <t>Cajillas de Huevos Etra Rojo Juan</t>
  </si>
  <si>
    <t>Cajillas d Huevos Cascado</t>
  </si>
  <si>
    <t>Xohithl</t>
  </si>
  <si>
    <t>Cajillas de Huevos Mediano Blanc</t>
  </si>
  <si>
    <t>Clientes Varios Managu</t>
  </si>
  <si>
    <t>Palmeras</t>
  </si>
  <si>
    <t xml:space="preserve">Cipriano </t>
  </si>
  <si>
    <t>Cajillas dee Huevos Grande Rojo</t>
  </si>
  <si>
    <t>Donal</t>
  </si>
  <si>
    <t>Cajillas de Huevos Extra Blanco Marlon 1</t>
  </si>
  <si>
    <t>Cajillas de Huevos ExtraRojo</t>
  </si>
  <si>
    <t>Puntecito</t>
  </si>
  <si>
    <t>Cajillas de Huevos Grande Blanco+</t>
  </si>
  <si>
    <t>Cajillas ed Huevios Mediano Blanco</t>
  </si>
  <si>
    <t>Cajillas de Huevoos Extra Blanco</t>
  </si>
  <si>
    <t>Gonzalez</t>
  </si>
  <si>
    <t xml:space="preserve">Casa de Las Cajetas </t>
  </si>
  <si>
    <t>Cajillas de Huevos de Extra Rojo</t>
  </si>
  <si>
    <t>Cajillsa de Huevos Extra Rojo</t>
  </si>
  <si>
    <t>Cajillas de HuevosPequeño Rojo</t>
  </si>
  <si>
    <t>Cajillas de nHuevos Grande Rojo Juaquin</t>
  </si>
  <si>
    <t>Cajillasde Huevos Pequeño Blanco</t>
  </si>
  <si>
    <t>Cajillas de Huevos Pequño Blanco</t>
  </si>
  <si>
    <t>Sub Comisionado Jeffry</t>
  </si>
  <si>
    <t xml:space="preserve">Cajillas de Huevos Gande Blanco </t>
  </si>
  <si>
    <t>Cajillas ed Huevos Granmde Blanco</t>
  </si>
  <si>
    <t>Cajillas de Huevos Graned Rojo Capitan</t>
  </si>
  <si>
    <t>Cajillas de HuevoS Extra Rojo Gerald</t>
  </si>
  <si>
    <t>Cajillas de Huevos Grand Rojo Gerald</t>
  </si>
  <si>
    <t>Auxiliaodra</t>
  </si>
  <si>
    <t>Cajillas de Huevos Grane Blanco</t>
  </si>
  <si>
    <t>Cajillas de HuevosExtra Rojo</t>
  </si>
  <si>
    <t>Cajillas de Huevs Grane Blanco</t>
  </si>
  <si>
    <t>Reparto</t>
  </si>
  <si>
    <t>Cajillas de Huevos Pqueño Blanco</t>
  </si>
  <si>
    <t>Cajillas de Huevos Extra Rojo marlon Chofer</t>
  </si>
  <si>
    <t>Cajillas den Huevos Extra Rjo</t>
  </si>
  <si>
    <t xml:space="preserve">Rosmery </t>
  </si>
  <si>
    <t>Cajillas de Huevos Mediano Rojo Gerald</t>
  </si>
  <si>
    <t>Cajillas de Huevos Extar Rojo</t>
  </si>
  <si>
    <t>Cajillas de HuevosMediano Rojo</t>
  </si>
  <si>
    <t>Puenecito</t>
  </si>
  <si>
    <t>Chamoro</t>
  </si>
  <si>
    <t>Cajillas de Huevos Pequeño bRojo</t>
  </si>
  <si>
    <t>Cajillas de Huevos Granmde Blanco</t>
  </si>
  <si>
    <t>Cajillas de Huevos bPequeño Rojo</t>
  </si>
  <si>
    <t>Cajillas d Huevos Pequeño Blanco</t>
  </si>
  <si>
    <t>Yessica Mondragonb</t>
  </si>
  <si>
    <t>Zenilda</t>
  </si>
  <si>
    <t xml:space="preserve">Allan Alfaro </t>
  </si>
  <si>
    <t>Catarina</t>
  </si>
  <si>
    <t>Vegiina</t>
  </si>
  <si>
    <t>Cajillas de Huevos Extra Rojoi</t>
  </si>
  <si>
    <t>Cajilklas de Huevos Extra Rojo rogela</t>
  </si>
  <si>
    <t>Nathsha</t>
  </si>
  <si>
    <t>Cajillas de Huevos Pequeño Balnco</t>
  </si>
  <si>
    <t>Cajillas de Huevis Grande Blanco</t>
  </si>
  <si>
    <t>PamelA</t>
  </si>
  <si>
    <t>Cajillas de Huevs Graned Rojo</t>
  </si>
  <si>
    <t>Cajillas de  Huevos Cascado</t>
  </si>
  <si>
    <t>Cajillas ed Huevos Extra Blanco</t>
  </si>
  <si>
    <t>Cajilllas de Huevosb Grande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</si>
</sst>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C$&quot;* #,##0.00_-;\-&quot;C$&quot;* #,##0.00_-;_-&quot;C$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/>
    <xf numFmtId="44" fontId="2" fillId="2" borderId="0" xfId="0" applyNumberFormat="1" applyFont="1" applyFill="1"/>
    <xf numFmtId="44" fontId="1" fillId="0" borderId="0" xfId="0" applyNumberFormat="1" applyFont="1"/>
    <xf numFmtId="0" fontId="0" fillId="0" borderId="0" xfId="0"/>
    <xf numFmtId="44" fontId="0" fillId="0" borderId="0" xfId="0" applyNumberFormat="1"/>
    <xf numFmtId="1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Font="1"/>
    <xf numFmtId="0" fontId="3" fillId="0" borderId="0" xfId="0" applyFont="1"/>
    <xf numFmtId="44" fontId="3" fillId="0" borderId="0" xfId="0" applyNumberFormat="1" applyFont="1"/>
    <xf numFmtId="0" fontId="3" fillId="0" borderId="0" xfId="0" applyFont="1" applyFill="1"/>
    <xf numFmtId="44" fontId="4" fillId="0" borderId="0" xfId="0" applyNumberFormat="1" applyFont="1" applyFill="1"/>
    <xf numFmtId="0" fontId="0" fillId="0" borderId="0" xfId="0" applyFill="1"/>
    <xf numFmtId="0" fontId="1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NumberFormat="1" applyAlignment="1">
      <alignment horizontal="center"/>
    </xf>
    <xf numFmtId="44" fontId="1" fillId="0" borderId="0" xfId="0" applyNumberFormat="1" applyFont="1" applyAlignment="1"/>
    <xf numFmtId="0" fontId="2" fillId="2" borderId="0" xfId="0" applyFont="1" applyFill="1"/>
    <xf numFmtId="44" fontId="1" fillId="2" borderId="0" xfId="0" applyNumberFormat="1" applyFont="1" applyFill="1"/>
    <xf numFmtId="12" fontId="0" fillId="0" borderId="0" xfId="0" applyNumberFormat="1"/>
    <xf numFmtId="44" fontId="5" fillId="0" borderId="0" xfId="0" applyNumberFormat="1" applyFont="1"/>
    <xf numFmtId="12" fontId="0" fillId="0" borderId="0" xfId="0" applyNumberFormat="1" applyAlignment="1"/>
    <xf numFmtId="14" fontId="0" fillId="2" borderId="0" xfId="0" applyNumberForma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4BDD-29BA-4AC9-A274-30E6442DF667}">
  <dimension ref="A1:G2095"/>
  <sheetViews>
    <sheetView topLeftCell="A2065" workbookViewId="0">
      <selection activeCell="G2095" sqref="G2095"/>
    </sheetView>
  </sheetViews>
  <sheetFormatPr baseColWidth="10" defaultColWidth="11.42578125" defaultRowHeight="15" x14ac:dyDescent="0.25"/>
  <cols>
    <col min="1" max="1" width="23.7109375" customWidth="1"/>
    <col min="3" max="3" width="11.42578125" style="5"/>
    <col min="4" max="4" width="43.5703125" bestFit="1" customWidth="1"/>
    <col min="5" max="5" width="18.140625" style="6" bestFit="1" customWidth="1"/>
    <col min="6" max="6" width="14.85546875" style="6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>
        <v>45658</v>
      </c>
      <c r="C3" s="5">
        <v>4</v>
      </c>
      <c r="D3" s="9" t="s">
        <v>8</v>
      </c>
      <c r="E3" s="10">
        <v>160</v>
      </c>
      <c r="F3" s="10">
        <f>+C3*E3</f>
        <v>640</v>
      </c>
    </row>
    <row r="4" spans="1:6" x14ac:dyDescent="0.25">
      <c r="A4" s="9"/>
      <c r="B4" s="9"/>
      <c r="C4" s="5">
        <v>9</v>
      </c>
      <c r="D4" s="9" t="s">
        <v>9</v>
      </c>
      <c r="E4" s="10">
        <v>3.3330000000000002</v>
      </c>
      <c r="F4" s="10">
        <f t="shared" ref="F4:F65" si="0">+C4*E4</f>
        <v>29.997</v>
      </c>
    </row>
    <row r="5" spans="1:6" x14ac:dyDescent="0.25">
      <c r="A5" s="9"/>
      <c r="B5" s="9"/>
      <c r="D5" s="9"/>
      <c r="E5" s="10"/>
      <c r="F5" s="8">
        <f>SUM(F3:F4)</f>
        <v>669.99699999999996</v>
      </c>
    </row>
    <row r="6" spans="1:6" x14ac:dyDescent="0.25">
      <c r="A6" s="9"/>
      <c r="B6" s="9"/>
      <c r="D6" s="9"/>
      <c r="E6" s="10"/>
      <c r="F6" s="10"/>
    </row>
    <row r="7" spans="1:6" x14ac:dyDescent="0.25">
      <c r="A7" s="9" t="s">
        <v>10</v>
      </c>
      <c r="B7" s="4">
        <v>45659</v>
      </c>
      <c r="C7" s="5">
        <v>100</v>
      </c>
      <c r="D7" s="9" t="s">
        <v>11</v>
      </c>
      <c r="E7" s="10">
        <v>135</v>
      </c>
      <c r="F7" s="10">
        <f t="shared" si="0"/>
        <v>13500</v>
      </c>
    </row>
    <row r="8" spans="1:6" x14ac:dyDescent="0.25">
      <c r="A8" s="9"/>
      <c r="B8" s="9"/>
      <c r="C8" s="5">
        <v>150</v>
      </c>
      <c r="D8" s="9" t="s">
        <v>12</v>
      </c>
      <c r="E8" s="10">
        <v>145</v>
      </c>
      <c r="F8" s="10">
        <f t="shared" si="0"/>
        <v>21750</v>
      </c>
    </row>
    <row r="9" spans="1:6" x14ac:dyDescent="0.25">
      <c r="A9" s="9"/>
      <c r="B9" s="9"/>
      <c r="C9" s="5">
        <v>200</v>
      </c>
      <c r="D9" s="9" t="s">
        <v>13</v>
      </c>
      <c r="E9" s="10">
        <v>155</v>
      </c>
      <c r="F9" s="10">
        <f t="shared" si="0"/>
        <v>31000</v>
      </c>
    </row>
    <row r="10" spans="1:6" x14ac:dyDescent="0.25">
      <c r="A10" s="9"/>
      <c r="B10" s="9"/>
      <c r="C10" s="5">
        <v>100</v>
      </c>
      <c r="D10" s="9" t="s">
        <v>14</v>
      </c>
      <c r="E10" s="10">
        <v>145</v>
      </c>
      <c r="F10" s="10">
        <f t="shared" si="0"/>
        <v>14500</v>
      </c>
    </row>
    <row r="11" spans="1:6" x14ac:dyDescent="0.25">
      <c r="A11" s="9"/>
      <c r="B11" s="9"/>
      <c r="C11" s="5">
        <v>50</v>
      </c>
      <c r="D11" s="9" t="s">
        <v>8</v>
      </c>
      <c r="E11" s="10">
        <v>160</v>
      </c>
      <c r="F11" s="10">
        <f t="shared" si="0"/>
        <v>8000</v>
      </c>
    </row>
    <row r="12" spans="1:6" x14ac:dyDescent="0.25">
      <c r="A12" s="9"/>
      <c r="B12" s="9"/>
      <c r="D12" s="9"/>
      <c r="E12" s="10"/>
      <c r="F12" s="8">
        <f>SUM(F7:F11)</f>
        <v>88750</v>
      </c>
    </row>
    <row r="13" spans="1:6" x14ac:dyDescent="0.25">
      <c r="A13" s="9"/>
      <c r="B13" s="9"/>
      <c r="D13" s="9"/>
      <c r="E13" s="10"/>
      <c r="F13" s="10"/>
    </row>
    <row r="14" spans="1:6" x14ac:dyDescent="0.25">
      <c r="A14" s="9" t="s">
        <v>15</v>
      </c>
      <c r="B14" s="4">
        <v>45659</v>
      </c>
      <c r="C14" s="5">
        <v>30</v>
      </c>
      <c r="D14" s="9" t="s">
        <v>16</v>
      </c>
      <c r="E14" s="10">
        <v>100</v>
      </c>
      <c r="F14" s="10">
        <f t="shared" si="0"/>
        <v>3000</v>
      </c>
    </row>
    <row r="15" spans="1:6" x14ac:dyDescent="0.25">
      <c r="A15" s="9"/>
      <c r="B15" s="9"/>
      <c r="D15" s="9"/>
      <c r="E15" s="10"/>
      <c r="F15" s="8">
        <f>SUM(F14)</f>
        <v>3000</v>
      </c>
    </row>
    <row r="16" spans="1:6" x14ac:dyDescent="0.25">
      <c r="A16" s="9"/>
      <c r="B16" s="9"/>
      <c r="D16" s="9"/>
      <c r="E16" s="10"/>
      <c r="F16" s="10"/>
    </row>
    <row r="17" spans="1:6" x14ac:dyDescent="0.25">
      <c r="A17" s="9" t="s">
        <v>17</v>
      </c>
      <c r="B17" s="4">
        <v>45659</v>
      </c>
      <c r="C17" s="5">
        <v>10</v>
      </c>
      <c r="D17" s="9" t="s">
        <v>13</v>
      </c>
      <c r="E17" s="10">
        <v>155</v>
      </c>
      <c r="F17" s="10">
        <f t="shared" si="0"/>
        <v>1550</v>
      </c>
    </row>
    <row r="18" spans="1:6" x14ac:dyDescent="0.25">
      <c r="A18" s="9"/>
      <c r="B18" s="9"/>
      <c r="D18" s="9"/>
      <c r="E18" s="10"/>
      <c r="F18" s="8">
        <f>SUM(F17)</f>
        <v>1550</v>
      </c>
    </row>
    <row r="19" spans="1:6" x14ac:dyDescent="0.25">
      <c r="A19" s="9"/>
      <c r="B19" s="9"/>
      <c r="D19" s="9"/>
      <c r="E19" s="10"/>
      <c r="F19" s="10"/>
    </row>
    <row r="20" spans="1:6" x14ac:dyDescent="0.25">
      <c r="A20" s="9" t="s">
        <v>18</v>
      </c>
      <c r="B20" s="4">
        <v>45659</v>
      </c>
      <c r="C20" s="5">
        <v>7</v>
      </c>
      <c r="D20" s="9" t="s">
        <v>13</v>
      </c>
      <c r="E20" s="10">
        <v>155</v>
      </c>
      <c r="F20" s="10">
        <f t="shared" si="0"/>
        <v>1085</v>
      </c>
    </row>
    <row r="21" spans="1:6" x14ac:dyDescent="0.25">
      <c r="A21" s="9"/>
      <c r="B21" s="9"/>
      <c r="D21" s="9"/>
      <c r="E21" s="10"/>
      <c r="F21" s="8">
        <f>SUM(F20)</f>
        <v>1085</v>
      </c>
    </row>
    <row r="22" spans="1:6" x14ac:dyDescent="0.25">
      <c r="A22" s="9"/>
      <c r="B22" s="9"/>
      <c r="D22" s="9"/>
      <c r="E22" s="10"/>
      <c r="F22" s="10"/>
    </row>
    <row r="23" spans="1:6" x14ac:dyDescent="0.25">
      <c r="A23" s="9" t="s">
        <v>19</v>
      </c>
      <c r="B23" s="4">
        <v>45659</v>
      </c>
      <c r="C23" s="5">
        <v>10</v>
      </c>
      <c r="D23" s="9" t="s">
        <v>13</v>
      </c>
      <c r="E23" s="10">
        <v>155</v>
      </c>
      <c r="F23" s="10">
        <f t="shared" si="0"/>
        <v>1550</v>
      </c>
    </row>
    <row r="24" spans="1:6" x14ac:dyDescent="0.25">
      <c r="A24" s="9"/>
      <c r="B24" s="9"/>
      <c r="D24" s="9"/>
      <c r="E24" s="10"/>
      <c r="F24" s="8">
        <f>SUM(F23)</f>
        <v>1550</v>
      </c>
    </row>
    <row r="25" spans="1:6" x14ac:dyDescent="0.25">
      <c r="A25" s="9"/>
      <c r="B25" s="9"/>
      <c r="D25" s="9"/>
      <c r="E25" s="10"/>
      <c r="F25" s="10"/>
    </row>
    <row r="26" spans="1:6" x14ac:dyDescent="0.25">
      <c r="A26" s="9" t="s">
        <v>20</v>
      </c>
      <c r="B26" s="4">
        <v>45659</v>
      </c>
      <c r="C26" s="5">
        <v>30</v>
      </c>
      <c r="D26" s="9" t="s">
        <v>13</v>
      </c>
      <c r="E26" s="10">
        <v>155</v>
      </c>
      <c r="F26" s="10">
        <f t="shared" si="0"/>
        <v>4650</v>
      </c>
    </row>
    <row r="27" spans="1:6" x14ac:dyDescent="0.25">
      <c r="A27" s="9"/>
      <c r="B27" s="9"/>
      <c r="D27" s="9"/>
      <c r="E27" s="10"/>
      <c r="F27" s="8">
        <f>SUM(F26)</f>
        <v>4650</v>
      </c>
    </row>
    <row r="28" spans="1:6" x14ac:dyDescent="0.25">
      <c r="A28" s="9"/>
      <c r="B28" s="9"/>
      <c r="D28" s="9"/>
      <c r="E28" s="10"/>
      <c r="F28" s="10"/>
    </row>
    <row r="29" spans="1:6" x14ac:dyDescent="0.25">
      <c r="A29" s="9" t="s">
        <v>21</v>
      </c>
      <c r="B29" s="4">
        <v>45659</v>
      </c>
      <c r="C29" s="5">
        <v>20</v>
      </c>
      <c r="D29" s="9" t="s">
        <v>22</v>
      </c>
      <c r="E29" s="10">
        <v>125</v>
      </c>
      <c r="F29" s="10">
        <f t="shared" si="0"/>
        <v>2500</v>
      </c>
    </row>
    <row r="30" spans="1:6" x14ac:dyDescent="0.25">
      <c r="A30" s="9"/>
      <c r="B30" s="9"/>
      <c r="D30" s="9"/>
      <c r="E30" s="10"/>
      <c r="F30" s="8">
        <f>SUM(F29)</f>
        <v>2500</v>
      </c>
    </row>
    <row r="31" spans="1:6" x14ac:dyDescent="0.25">
      <c r="A31" s="9"/>
      <c r="B31" s="9"/>
      <c r="D31" s="9"/>
      <c r="E31" s="10"/>
      <c r="F31" s="10"/>
    </row>
    <row r="32" spans="1:6" x14ac:dyDescent="0.25">
      <c r="A32" s="9" t="s">
        <v>23</v>
      </c>
      <c r="B32" s="4">
        <v>45659</v>
      </c>
      <c r="C32" s="5">
        <v>15</v>
      </c>
      <c r="D32" s="9" t="s">
        <v>22</v>
      </c>
      <c r="E32" s="10">
        <v>130</v>
      </c>
      <c r="F32" s="10">
        <f t="shared" si="0"/>
        <v>1950</v>
      </c>
    </row>
    <row r="33" spans="1:6" x14ac:dyDescent="0.25">
      <c r="A33" s="9"/>
      <c r="B33" s="9"/>
      <c r="C33" s="5">
        <v>10</v>
      </c>
      <c r="D33" s="9" t="s">
        <v>24</v>
      </c>
      <c r="E33" s="10">
        <v>145</v>
      </c>
      <c r="F33" s="10">
        <f t="shared" si="0"/>
        <v>1450</v>
      </c>
    </row>
    <row r="34" spans="1:6" x14ac:dyDescent="0.25">
      <c r="A34" s="9"/>
      <c r="B34" s="9"/>
      <c r="D34" s="9"/>
      <c r="E34" s="10"/>
      <c r="F34" s="8">
        <f>SUM(F32:F33)</f>
        <v>3400</v>
      </c>
    </row>
    <row r="35" spans="1:6" x14ac:dyDescent="0.25">
      <c r="A35" s="9"/>
      <c r="B35" s="9"/>
      <c r="D35" s="9"/>
      <c r="E35" s="10"/>
      <c r="F35" s="10"/>
    </row>
    <row r="36" spans="1:6" x14ac:dyDescent="0.25">
      <c r="A36" s="9" t="s">
        <v>25</v>
      </c>
      <c r="B36" s="4">
        <v>45659</v>
      </c>
      <c r="C36" s="5">
        <v>20</v>
      </c>
      <c r="D36" s="9" t="s">
        <v>22</v>
      </c>
      <c r="E36" s="10">
        <v>125</v>
      </c>
      <c r="F36" s="10">
        <f t="shared" si="0"/>
        <v>2500</v>
      </c>
    </row>
    <row r="37" spans="1:6" x14ac:dyDescent="0.25">
      <c r="A37" s="9"/>
      <c r="B37" s="9"/>
      <c r="D37" s="9"/>
      <c r="E37" s="10"/>
      <c r="F37" s="8">
        <f>SUM(F36)</f>
        <v>2500</v>
      </c>
    </row>
    <row r="38" spans="1:6" x14ac:dyDescent="0.25">
      <c r="A38" s="9"/>
      <c r="B38" s="9"/>
      <c r="D38" s="9"/>
      <c r="E38" s="10"/>
      <c r="F38" s="10"/>
    </row>
    <row r="39" spans="1:6" x14ac:dyDescent="0.25">
      <c r="A39" s="9" t="s">
        <v>26</v>
      </c>
      <c r="B39" s="4">
        <v>45659</v>
      </c>
      <c r="C39" s="5">
        <v>80</v>
      </c>
      <c r="D39" s="9" t="s">
        <v>13</v>
      </c>
      <c r="E39" s="10">
        <v>150</v>
      </c>
      <c r="F39" s="10">
        <f t="shared" si="0"/>
        <v>12000</v>
      </c>
    </row>
    <row r="40" spans="1:6" x14ac:dyDescent="0.25">
      <c r="A40" s="9"/>
      <c r="B40" s="9"/>
      <c r="C40" s="5">
        <v>15</v>
      </c>
      <c r="D40" s="9" t="s">
        <v>14</v>
      </c>
      <c r="E40" s="10">
        <v>135</v>
      </c>
      <c r="F40" s="10">
        <f t="shared" si="0"/>
        <v>2025</v>
      </c>
    </row>
    <row r="41" spans="1:6" x14ac:dyDescent="0.25">
      <c r="A41" s="9"/>
      <c r="B41" s="9"/>
      <c r="D41" s="9"/>
      <c r="E41" s="10"/>
      <c r="F41" s="8">
        <f>SUM(F39:F40)</f>
        <v>14025</v>
      </c>
    </row>
    <row r="42" spans="1:6" x14ac:dyDescent="0.25">
      <c r="A42" s="9"/>
      <c r="B42" s="9"/>
      <c r="D42" s="9"/>
      <c r="E42" s="10"/>
      <c r="F42" s="10"/>
    </row>
    <row r="43" spans="1:6" x14ac:dyDescent="0.25">
      <c r="A43" s="9" t="s">
        <v>27</v>
      </c>
      <c r="B43" s="4">
        <v>45659</v>
      </c>
      <c r="C43" s="5">
        <v>3</v>
      </c>
      <c r="D43" s="9" t="s">
        <v>13</v>
      </c>
      <c r="E43" s="10">
        <v>155</v>
      </c>
      <c r="F43" s="10">
        <f t="shared" si="0"/>
        <v>465</v>
      </c>
    </row>
    <row r="44" spans="1:6" x14ac:dyDescent="0.25">
      <c r="A44" s="9"/>
      <c r="B44" s="9"/>
      <c r="C44" s="5">
        <v>3</v>
      </c>
      <c r="D44" s="9" t="s">
        <v>12</v>
      </c>
      <c r="E44" s="10">
        <v>145</v>
      </c>
      <c r="F44" s="10">
        <f t="shared" si="0"/>
        <v>435</v>
      </c>
    </row>
    <row r="45" spans="1:6" x14ac:dyDescent="0.25">
      <c r="A45" s="9"/>
      <c r="B45" s="9"/>
      <c r="D45" s="9"/>
      <c r="E45" s="10"/>
      <c r="F45" s="8">
        <f>SUM(F43:F44)</f>
        <v>900</v>
      </c>
    </row>
    <row r="46" spans="1:6" x14ac:dyDescent="0.25">
      <c r="A46" s="9"/>
      <c r="B46" s="9"/>
      <c r="D46" s="9"/>
      <c r="E46" s="10"/>
      <c r="F46" s="10"/>
    </row>
    <row r="47" spans="1:6" x14ac:dyDescent="0.25">
      <c r="A47" s="9" t="s">
        <v>28</v>
      </c>
      <c r="B47" s="4">
        <v>45659</v>
      </c>
      <c r="C47" s="5">
        <v>200</v>
      </c>
      <c r="D47" s="9" t="s">
        <v>13</v>
      </c>
      <c r="E47" s="10">
        <v>140</v>
      </c>
      <c r="F47" s="10">
        <f t="shared" si="0"/>
        <v>28000</v>
      </c>
    </row>
    <row r="48" spans="1:6" x14ac:dyDescent="0.25">
      <c r="A48" s="9"/>
      <c r="B48" s="9"/>
      <c r="D48" s="9"/>
      <c r="E48" s="10"/>
      <c r="F48" s="8">
        <f>SUM(F47)</f>
        <v>28000</v>
      </c>
    </row>
    <row r="49" spans="1:6" x14ac:dyDescent="0.25">
      <c r="A49" s="9"/>
      <c r="B49" s="9"/>
      <c r="D49" s="9"/>
      <c r="E49" s="10"/>
      <c r="F49" s="10"/>
    </row>
    <row r="50" spans="1:6" x14ac:dyDescent="0.25">
      <c r="A50" s="9" t="s">
        <v>29</v>
      </c>
      <c r="B50" s="4">
        <v>45659</v>
      </c>
      <c r="C50" s="11">
        <v>0.5</v>
      </c>
      <c r="D50" s="9" t="s">
        <v>8</v>
      </c>
      <c r="E50" s="10">
        <v>170</v>
      </c>
      <c r="F50" s="10">
        <f t="shared" si="0"/>
        <v>85</v>
      </c>
    </row>
    <row r="51" spans="1:6" x14ac:dyDescent="0.25">
      <c r="A51" s="9"/>
      <c r="B51" s="9"/>
      <c r="C51" s="5">
        <v>5</v>
      </c>
      <c r="D51" s="9" t="s">
        <v>13</v>
      </c>
      <c r="E51" s="10">
        <v>160</v>
      </c>
      <c r="F51" s="10">
        <f t="shared" si="0"/>
        <v>800</v>
      </c>
    </row>
    <row r="52" spans="1:6" x14ac:dyDescent="0.25">
      <c r="A52" s="9"/>
      <c r="B52" s="9"/>
      <c r="C52" s="5">
        <v>3</v>
      </c>
      <c r="D52" s="9" t="s">
        <v>13</v>
      </c>
      <c r="E52" s="10">
        <v>160</v>
      </c>
      <c r="F52" s="10">
        <f t="shared" si="0"/>
        <v>480</v>
      </c>
    </row>
    <row r="53" spans="1:6" x14ac:dyDescent="0.25">
      <c r="A53" s="9"/>
      <c r="B53" s="9"/>
      <c r="D53" s="9"/>
      <c r="E53" s="10"/>
      <c r="F53" s="8">
        <f>SUM(F50:F52)</f>
        <v>1365</v>
      </c>
    </row>
    <row r="54" spans="1:6" x14ac:dyDescent="0.25">
      <c r="A54" s="9"/>
      <c r="B54" s="9"/>
      <c r="D54" s="9"/>
      <c r="E54" s="10"/>
      <c r="F54" s="10"/>
    </row>
    <row r="55" spans="1:6" x14ac:dyDescent="0.25">
      <c r="A55" s="9" t="s">
        <v>7</v>
      </c>
      <c r="B55" s="4">
        <v>45659</v>
      </c>
      <c r="C55" s="5">
        <v>1</v>
      </c>
      <c r="D55" s="9" t="s">
        <v>30</v>
      </c>
      <c r="E55" s="10">
        <v>140</v>
      </c>
      <c r="F55" s="10">
        <f t="shared" si="0"/>
        <v>140</v>
      </c>
    </row>
    <row r="56" spans="1:6" x14ac:dyDescent="0.25">
      <c r="A56" s="9"/>
      <c r="B56" s="9"/>
      <c r="C56" s="5">
        <v>2</v>
      </c>
      <c r="D56" s="9" t="s">
        <v>31</v>
      </c>
      <c r="E56" s="10">
        <v>160</v>
      </c>
      <c r="F56" s="10">
        <f t="shared" si="0"/>
        <v>320</v>
      </c>
    </row>
    <row r="57" spans="1:6" x14ac:dyDescent="0.25">
      <c r="A57" s="9"/>
      <c r="B57" s="9"/>
      <c r="C57" s="5">
        <v>3</v>
      </c>
      <c r="D57" s="9" t="s">
        <v>8</v>
      </c>
      <c r="E57" s="10">
        <v>170</v>
      </c>
      <c r="F57" s="10">
        <f t="shared" si="0"/>
        <v>510</v>
      </c>
    </row>
    <row r="58" spans="1:6" x14ac:dyDescent="0.25">
      <c r="A58" s="9"/>
      <c r="B58" s="9"/>
      <c r="C58" s="5">
        <v>1</v>
      </c>
      <c r="D58" s="9" t="s">
        <v>12</v>
      </c>
      <c r="E58" s="10">
        <v>150</v>
      </c>
      <c r="F58" s="10">
        <f t="shared" si="0"/>
        <v>150</v>
      </c>
    </row>
    <row r="59" spans="1:6" x14ac:dyDescent="0.25">
      <c r="A59" s="9"/>
      <c r="B59" s="9"/>
      <c r="C59" s="5">
        <v>2</v>
      </c>
      <c r="D59" s="9" t="s">
        <v>13</v>
      </c>
      <c r="E59" s="10">
        <v>160</v>
      </c>
      <c r="F59" s="10">
        <f t="shared" si="0"/>
        <v>320</v>
      </c>
    </row>
    <row r="60" spans="1:6" x14ac:dyDescent="0.25">
      <c r="A60" s="9"/>
      <c r="B60" s="9"/>
      <c r="C60" s="5">
        <v>2</v>
      </c>
      <c r="D60" s="9" t="s">
        <v>12</v>
      </c>
      <c r="E60" s="10">
        <v>150</v>
      </c>
      <c r="F60" s="10">
        <f t="shared" si="0"/>
        <v>300</v>
      </c>
    </row>
    <row r="61" spans="1:6" x14ac:dyDescent="0.25">
      <c r="A61" s="9"/>
      <c r="B61" s="9"/>
      <c r="C61" s="5">
        <v>1</v>
      </c>
      <c r="D61" s="9" t="s">
        <v>8</v>
      </c>
      <c r="E61" s="10">
        <v>170</v>
      </c>
      <c r="F61" s="10">
        <f t="shared" si="0"/>
        <v>170</v>
      </c>
    </row>
    <row r="62" spans="1:6" x14ac:dyDescent="0.25">
      <c r="A62" s="9"/>
      <c r="B62" s="9"/>
      <c r="C62" s="5">
        <v>1</v>
      </c>
      <c r="D62" s="9" t="s">
        <v>8</v>
      </c>
      <c r="E62" s="10">
        <v>170</v>
      </c>
      <c r="F62" s="10">
        <f t="shared" si="0"/>
        <v>170</v>
      </c>
    </row>
    <row r="63" spans="1:6" x14ac:dyDescent="0.25">
      <c r="A63" s="9"/>
      <c r="B63" s="9"/>
      <c r="D63" s="9"/>
      <c r="E63" s="10"/>
      <c r="F63" s="8">
        <f>SUM(F55:F62)</f>
        <v>2080</v>
      </c>
    </row>
    <row r="64" spans="1:6" x14ac:dyDescent="0.25">
      <c r="A64" s="9"/>
      <c r="B64" s="9"/>
      <c r="D64" s="9"/>
      <c r="E64" s="10"/>
      <c r="F64" s="10"/>
    </row>
    <row r="65" spans="1:6" x14ac:dyDescent="0.25">
      <c r="A65" s="9" t="s">
        <v>32</v>
      </c>
      <c r="B65" s="4">
        <v>45660</v>
      </c>
      <c r="C65" s="5">
        <v>30</v>
      </c>
      <c r="D65" s="9" t="s">
        <v>13</v>
      </c>
      <c r="E65" s="10">
        <v>150</v>
      </c>
      <c r="F65" s="10">
        <f t="shared" si="0"/>
        <v>4500</v>
      </c>
    </row>
    <row r="66" spans="1:6" x14ac:dyDescent="0.25">
      <c r="A66" s="9"/>
      <c r="B66" s="9"/>
      <c r="D66" s="9"/>
      <c r="E66" s="10"/>
      <c r="F66" s="8">
        <f>SUM(F65)</f>
        <v>4500</v>
      </c>
    </row>
    <row r="67" spans="1:6" x14ac:dyDescent="0.25">
      <c r="A67" s="9"/>
      <c r="B67" s="9"/>
      <c r="D67" s="9"/>
      <c r="E67" s="10"/>
      <c r="F67" s="10"/>
    </row>
    <row r="68" spans="1:6" x14ac:dyDescent="0.25">
      <c r="A68" s="9" t="s">
        <v>33</v>
      </c>
      <c r="B68" s="4">
        <v>45660</v>
      </c>
      <c r="C68" s="5">
        <v>100</v>
      </c>
      <c r="D68" s="9" t="s">
        <v>13</v>
      </c>
      <c r="E68" s="10">
        <v>140</v>
      </c>
      <c r="F68" s="10">
        <f t="shared" ref="F68:F130" si="1">+C68*E68</f>
        <v>14000</v>
      </c>
    </row>
    <row r="69" spans="1:6" x14ac:dyDescent="0.25">
      <c r="A69" s="9"/>
      <c r="B69" s="9"/>
      <c r="D69" s="9"/>
      <c r="E69" s="10"/>
      <c r="F69" s="8">
        <f>SUM(F68)</f>
        <v>14000</v>
      </c>
    </row>
    <row r="70" spans="1:6" x14ac:dyDescent="0.25">
      <c r="A70" s="9"/>
      <c r="B70" s="9"/>
      <c r="D70" s="9"/>
      <c r="E70" s="10"/>
      <c r="F70" s="10"/>
    </row>
    <row r="71" spans="1:6" x14ac:dyDescent="0.25">
      <c r="A71" s="9" t="s">
        <v>34</v>
      </c>
      <c r="B71" s="4">
        <v>45660</v>
      </c>
      <c r="C71" s="5">
        <v>10</v>
      </c>
      <c r="D71" s="9" t="s">
        <v>35</v>
      </c>
      <c r="E71" s="10">
        <v>105</v>
      </c>
      <c r="F71" s="10">
        <f t="shared" si="1"/>
        <v>1050</v>
      </c>
    </row>
    <row r="72" spans="1:6" x14ac:dyDescent="0.25">
      <c r="A72" s="9"/>
      <c r="B72" s="9"/>
      <c r="D72" s="9"/>
      <c r="E72" s="10"/>
      <c r="F72" s="8">
        <f>SUM(F71)</f>
        <v>1050</v>
      </c>
    </row>
    <row r="73" spans="1:6" x14ac:dyDescent="0.25">
      <c r="A73" s="9"/>
      <c r="B73" s="9"/>
      <c r="D73" s="9"/>
      <c r="E73" s="10"/>
      <c r="F73" s="10"/>
    </row>
    <row r="74" spans="1:6" x14ac:dyDescent="0.25">
      <c r="A74" s="9" t="s">
        <v>15</v>
      </c>
      <c r="B74" s="4">
        <v>45660</v>
      </c>
      <c r="C74" s="5">
        <v>50</v>
      </c>
      <c r="D74" s="9" t="s">
        <v>36</v>
      </c>
      <c r="E74" s="10">
        <v>100</v>
      </c>
      <c r="F74" s="10">
        <f t="shared" si="1"/>
        <v>5000</v>
      </c>
    </row>
    <row r="75" spans="1:6" x14ac:dyDescent="0.25">
      <c r="A75" s="9"/>
      <c r="B75" s="9"/>
      <c r="D75" s="9"/>
      <c r="E75" s="10"/>
      <c r="F75" s="8">
        <f>SUM(F74)</f>
        <v>5000</v>
      </c>
    </row>
    <row r="76" spans="1:6" x14ac:dyDescent="0.25">
      <c r="A76" s="9"/>
      <c r="B76" s="9"/>
      <c r="D76" s="9"/>
      <c r="E76" s="10"/>
      <c r="F76" s="10"/>
    </row>
    <row r="77" spans="1:6" x14ac:dyDescent="0.25">
      <c r="A77" s="9" t="s">
        <v>37</v>
      </c>
      <c r="B77" s="4">
        <v>45660</v>
      </c>
      <c r="C77" s="5">
        <v>15</v>
      </c>
      <c r="D77" s="9" t="s">
        <v>12</v>
      </c>
      <c r="E77" s="10">
        <v>145</v>
      </c>
      <c r="F77" s="10">
        <f t="shared" si="1"/>
        <v>2175</v>
      </c>
    </row>
    <row r="78" spans="1:6" x14ac:dyDescent="0.25">
      <c r="A78" s="9"/>
      <c r="B78" s="9"/>
      <c r="D78" s="9"/>
      <c r="E78" s="10"/>
      <c r="F78" s="8">
        <f>SUM(F77)</f>
        <v>2175</v>
      </c>
    </row>
    <row r="79" spans="1:6" x14ac:dyDescent="0.25">
      <c r="A79" s="9"/>
      <c r="B79" s="9"/>
      <c r="D79" s="9"/>
      <c r="E79" s="10"/>
      <c r="F79" s="10"/>
    </row>
    <row r="80" spans="1:6" x14ac:dyDescent="0.25">
      <c r="A80" s="9" t="s">
        <v>21</v>
      </c>
      <c r="B80" s="4">
        <v>45660</v>
      </c>
      <c r="C80" s="5">
        <v>20</v>
      </c>
      <c r="D80" s="9" t="s">
        <v>13</v>
      </c>
      <c r="E80" s="10">
        <v>150</v>
      </c>
      <c r="F80" s="10">
        <f t="shared" si="1"/>
        <v>3000</v>
      </c>
    </row>
    <row r="81" spans="1:6" x14ac:dyDescent="0.25">
      <c r="A81" s="9"/>
      <c r="B81" s="9"/>
      <c r="C81" s="5">
        <v>10</v>
      </c>
      <c r="D81" s="9" t="s">
        <v>12</v>
      </c>
      <c r="E81" s="10">
        <v>140</v>
      </c>
      <c r="F81" s="10">
        <f t="shared" si="1"/>
        <v>1400</v>
      </c>
    </row>
    <row r="82" spans="1:6" x14ac:dyDescent="0.25">
      <c r="A82" s="9"/>
      <c r="B82" s="9"/>
      <c r="D82" s="9"/>
      <c r="E82" s="10"/>
      <c r="F82" s="8">
        <f>SUM(F80:F81)</f>
        <v>4400</v>
      </c>
    </row>
    <row r="83" spans="1:6" x14ac:dyDescent="0.25">
      <c r="A83" s="9"/>
      <c r="B83" s="9"/>
      <c r="D83" s="9"/>
      <c r="E83" s="10"/>
      <c r="F83" s="10"/>
    </row>
    <row r="84" spans="1:6" x14ac:dyDescent="0.25">
      <c r="A84" s="9" t="s">
        <v>38</v>
      </c>
      <c r="B84" s="4">
        <v>45660</v>
      </c>
      <c r="C84" s="5">
        <v>10</v>
      </c>
      <c r="D84" s="9" t="s">
        <v>13</v>
      </c>
      <c r="E84" s="10">
        <v>155</v>
      </c>
      <c r="F84" s="10">
        <f t="shared" si="1"/>
        <v>1550</v>
      </c>
    </row>
    <row r="85" spans="1:6" x14ac:dyDescent="0.25">
      <c r="A85" s="9"/>
      <c r="B85" s="9"/>
      <c r="D85" s="9"/>
      <c r="E85" s="10"/>
      <c r="F85" s="8">
        <f>SUM(F84)</f>
        <v>1550</v>
      </c>
    </row>
    <row r="86" spans="1:6" x14ac:dyDescent="0.25">
      <c r="A86" s="9"/>
      <c r="B86" s="9"/>
      <c r="D86" s="9"/>
      <c r="E86" s="10"/>
      <c r="F86" s="10"/>
    </row>
    <row r="87" spans="1:6" x14ac:dyDescent="0.25">
      <c r="A87" s="9" t="s">
        <v>39</v>
      </c>
      <c r="B87" s="4">
        <v>45660</v>
      </c>
      <c r="C87" s="5">
        <v>10</v>
      </c>
      <c r="D87" s="9" t="s">
        <v>22</v>
      </c>
      <c r="E87" s="10">
        <v>125</v>
      </c>
      <c r="F87" s="10">
        <f t="shared" si="1"/>
        <v>1250</v>
      </c>
    </row>
    <row r="88" spans="1:6" x14ac:dyDescent="0.25">
      <c r="A88" s="9"/>
      <c r="B88" s="9"/>
      <c r="D88" s="9"/>
      <c r="E88" s="10"/>
      <c r="F88" s="8">
        <f>SUM(F87)</f>
        <v>1250</v>
      </c>
    </row>
    <row r="89" spans="1:6" x14ac:dyDescent="0.25">
      <c r="A89" s="9"/>
      <c r="B89" s="9"/>
      <c r="D89" s="9"/>
      <c r="E89" s="10"/>
      <c r="F89" s="10"/>
    </row>
    <row r="90" spans="1:6" x14ac:dyDescent="0.25">
      <c r="A90" s="9" t="s">
        <v>40</v>
      </c>
      <c r="B90" s="4">
        <v>45660</v>
      </c>
      <c r="C90" s="5">
        <v>10</v>
      </c>
      <c r="D90" s="9" t="s">
        <v>13</v>
      </c>
      <c r="E90" s="10">
        <v>150</v>
      </c>
      <c r="F90" s="10">
        <f t="shared" si="1"/>
        <v>1500</v>
      </c>
    </row>
    <row r="91" spans="1:6" x14ac:dyDescent="0.25">
      <c r="A91" s="9"/>
      <c r="B91" s="9"/>
      <c r="C91" s="5">
        <v>10</v>
      </c>
      <c r="D91" s="9" t="s">
        <v>14</v>
      </c>
      <c r="E91" s="10">
        <v>135</v>
      </c>
      <c r="F91" s="10">
        <f t="shared" si="1"/>
        <v>1350</v>
      </c>
    </row>
    <row r="92" spans="1:6" x14ac:dyDescent="0.25">
      <c r="A92" s="9"/>
      <c r="B92" s="9"/>
      <c r="C92" s="5">
        <v>10</v>
      </c>
      <c r="D92" s="9" t="s">
        <v>12</v>
      </c>
      <c r="E92" s="10">
        <v>135</v>
      </c>
      <c r="F92" s="10">
        <f t="shared" si="1"/>
        <v>1350</v>
      </c>
    </row>
    <row r="93" spans="1:6" x14ac:dyDescent="0.25">
      <c r="A93" s="9"/>
      <c r="B93" s="9"/>
      <c r="C93" s="5">
        <v>10</v>
      </c>
      <c r="D93" s="9" t="s">
        <v>11</v>
      </c>
      <c r="E93" s="10">
        <v>125</v>
      </c>
      <c r="F93" s="10">
        <f t="shared" si="1"/>
        <v>1250</v>
      </c>
    </row>
    <row r="94" spans="1:6" x14ac:dyDescent="0.25">
      <c r="A94" s="9"/>
      <c r="B94" s="9"/>
      <c r="C94" s="5">
        <v>5</v>
      </c>
      <c r="D94" s="9" t="s">
        <v>22</v>
      </c>
      <c r="E94" s="10">
        <v>125</v>
      </c>
      <c r="F94" s="10">
        <f t="shared" si="1"/>
        <v>625</v>
      </c>
    </row>
    <row r="95" spans="1:6" x14ac:dyDescent="0.25">
      <c r="A95" s="9"/>
      <c r="B95" s="9"/>
      <c r="D95" s="9"/>
      <c r="E95" s="10"/>
      <c r="F95" s="8">
        <f>SUM(F90:F94)</f>
        <v>6075</v>
      </c>
    </row>
    <row r="96" spans="1:6" x14ac:dyDescent="0.25">
      <c r="A96" s="9"/>
      <c r="B96" s="9"/>
      <c r="D96" s="9"/>
      <c r="E96" s="10"/>
      <c r="F96" s="10"/>
    </row>
    <row r="97" spans="1:6" x14ac:dyDescent="0.25">
      <c r="A97" s="9" t="s">
        <v>41</v>
      </c>
      <c r="B97" s="4">
        <v>45660</v>
      </c>
      <c r="C97" s="5">
        <v>40</v>
      </c>
      <c r="D97" s="9" t="s">
        <v>14</v>
      </c>
      <c r="E97" s="10">
        <v>140</v>
      </c>
      <c r="F97" s="10">
        <f t="shared" si="1"/>
        <v>5600</v>
      </c>
    </row>
    <row r="98" spans="1:6" x14ac:dyDescent="0.25">
      <c r="A98" s="9"/>
      <c r="B98" s="9"/>
      <c r="D98" s="9"/>
      <c r="E98" s="10"/>
      <c r="F98" s="8">
        <f>SUM(F97)</f>
        <v>5600</v>
      </c>
    </row>
    <row r="99" spans="1:6" x14ac:dyDescent="0.25">
      <c r="A99" s="9"/>
      <c r="B99" s="9"/>
      <c r="D99" s="9"/>
      <c r="E99" s="10"/>
      <c r="F99" s="10"/>
    </row>
    <row r="100" spans="1:6" x14ac:dyDescent="0.25">
      <c r="A100" s="9" t="s">
        <v>42</v>
      </c>
      <c r="B100" s="4">
        <v>45660</v>
      </c>
      <c r="C100" s="5">
        <v>10</v>
      </c>
      <c r="D100" s="9" t="s">
        <v>14</v>
      </c>
      <c r="E100" s="10">
        <v>140</v>
      </c>
      <c r="F100" s="10">
        <f t="shared" si="1"/>
        <v>1400</v>
      </c>
    </row>
    <row r="101" spans="1:6" x14ac:dyDescent="0.25">
      <c r="A101" s="9"/>
      <c r="B101" s="9"/>
      <c r="D101" s="9"/>
      <c r="E101" s="10"/>
      <c r="F101" s="8">
        <f>SUM(F100)</f>
        <v>1400</v>
      </c>
    </row>
    <row r="102" spans="1:6" x14ac:dyDescent="0.25">
      <c r="A102" s="9"/>
      <c r="B102" s="9"/>
      <c r="D102" s="9"/>
      <c r="E102" s="10"/>
      <c r="F102" s="10"/>
    </row>
    <row r="103" spans="1:6" x14ac:dyDescent="0.25">
      <c r="A103" s="9" t="s">
        <v>43</v>
      </c>
      <c r="B103" s="4">
        <v>45660</v>
      </c>
      <c r="C103" s="5">
        <v>20</v>
      </c>
      <c r="D103" s="9" t="s">
        <v>14</v>
      </c>
      <c r="E103" s="10">
        <v>140</v>
      </c>
      <c r="F103" s="10">
        <f t="shared" si="1"/>
        <v>2800</v>
      </c>
    </row>
    <row r="104" spans="1:6" x14ac:dyDescent="0.25">
      <c r="A104" s="9"/>
      <c r="B104" s="9"/>
      <c r="D104" s="9"/>
      <c r="E104" s="10"/>
      <c r="F104" s="8">
        <f>SUM(F103)</f>
        <v>2800</v>
      </c>
    </row>
    <row r="105" spans="1:6" x14ac:dyDescent="0.25">
      <c r="A105" s="9"/>
      <c r="B105" s="9"/>
      <c r="D105" s="9"/>
      <c r="E105" s="10"/>
      <c r="F105" s="10"/>
    </row>
    <row r="106" spans="1:6" x14ac:dyDescent="0.25">
      <c r="A106" s="9" t="s">
        <v>44</v>
      </c>
      <c r="B106" s="4">
        <v>45660</v>
      </c>
      <c r="C106" s="5">
        <v>80</v>
      </c>
      <c r="D106" s="9" t="s">
        <v>14</v>
      </c>
      <c r="E106" s="10">
        <v>140</v>
      </c>
      <c r="F106" s="10">
        <f t="shared" si="1"/>
        <v>11200</v>
      </c>
    </row>
    <row r="107" spans="1:6" x14ac:dyDescent="0.25">
      <c r="A107" s="9"/>
      <c r="B107" s="9"/>
      <c r="D107" s="9"/>
      <c r="E107" s="10"/>
      <c r="F107" s="8">
        <f>SUM(F106)</f>
        <v>11200</v>
      </c>
    </row>
    <row r="108" spans="1:6" x14ac:dyDescent="0.25">
      <c r="A108" s="9"/>
      <c r="B108" s="9"/>
      <c r="D108" s="9"/>
      <c r="E108" s="10"/>
      <c r="F108" s="10"/>
    </row>
    <row r="109" spans="1:6" x14ac:dyDescent="0.25">
      <c r="A109" s="9" t="s">
        <v>18</v>
      </c>
      <c r="B109" s="4">
        <v>45660</v>
      </c>
      <c r="C109" s="5">
        <v>20</v>
      </c>
      <c r="D109" s="9" t="s">
        <v>12</v>
      </c>
      <c r="E109" s="10">
        <v>145</v>
      </c>
      <c r="F109" s="10">
        <f t="shared" si="1"/>
        <v>2900</v>
      </c>
    </row>
    <row r="110" spans="1:6" x14ac:dyDescent="0.25">
      <c r="A110" s="9"/>
      <c r="B110" s="9"/>
      <c r="C110" s="5">
        <v>20</v>
      </c>
      <c r="D110" s="9" t="s">
        <v>11</v>
      </c>
      <c r="E110" s="10">
        <v>135</v>
      </c>
      <c r="F110" s="10">
        <f t="shared" si="1"/>
        <v>2700</v>
      </c>
    </row>
    <row r="111" spans="1:6" x14ac:dyDescent="0.25">
      <c r="A111" s="9"/>
      <c r="B111" s="9"/>
      <c r="D111" s="9"/>
      <c r="E111" s="10"/>
      <c r="F111" s="8">
        <f>SUM(F109:F110)</f>
        <v>5600</v>
      </c>
    </row>
    <row r="112" spans="1:6" x14ac:dyDescent="0.25">
      <c r="A112" s="9"/>
      <c r="B112" s="9"/>
      <c r="D112" s="9"/>
      <c r="E112" s="10"/>
      <c r="F112" s="10"/>
    </row>
    <row r="113" spans="1:6" x14ac:dyDescent="0.25">
      <c r="A113" s="9" t="s">
        <v>45</v>
      </c>
      <c r="B113" s="4">
        <v>45660</v>
      </c>
      <c r="C113" s="5">
        <v>2</v>
      </c>
      <c r="D113" s="9" t="s">
        <v>13</v>
      </c>
      <c r="E113" s="10">
        <v>150</v>
      </c>
      <c r="F113" s="10">
        <f t="shared" si="1"/>
        <v>300</v>
      </c>
    </row>
    <row r="114" spans="1:6" x14ac:dyDescent="0.25">
      <c r="A114" s="9"/>
      <c r="B114" s="9"/>
      <c r="C114" s="5">
        <v>1</v>
      </c>
      <c r="D114" s="9" t="s">
        <v>22</v>
      </c>
      <c r="E114" s="10">
        <v>120</v>
      </c>
      <c r="F114" s="10">
        <f t="shared" si="1"/>
        <v>120</v>
      </c>
    </row>
    <row r="115" spans="1:6" x14ac:dyDescent="0.25">
      <c r="A115" s="9"/>
      <c r="B115" s="9"/>
      <c r="D115" s="9"/>
      <c r="E115" s="10"/>
      <c r="F115" s="8">
        <f>SUM(F113:F114)</f>
        <v>420</v>
      </c>
    </row>
    <row r="116" spans="1:6" x14ac:dyDescent="0.25">
      <c r="A116" s="9"/>
      <c r="B116" s="9"/>
      <c r="D116" s="9"/>
      <c r="E116" s="10"/>
      <c r="F116" s="10"/>
    </row>
    <row r="117" spans="1:6" x14ac:dyDescent="0.25">
      <c r="A117" s="9" t="s">
        <v>46</v>
      </c>
      <c r="B117" s="4">
        <v>45660</v>
      </c>
      <c r="C117" s="5">
        <v>30</v>
      </c>
      <c r="D117" s="9" t="s">
        <v>14</v>
      </c>
      <c r="E117" s="10">
        <v>140</v>
      </c>
      <c r="F117" s="10">
        <f t="shared" si="1"/>
        <v>4200</v>
      </c>
    </row>
    <row r="118" spans="1:6" x14ac:dyDescent="0.25">
      <c r="A118" s="9"/>
      <c r="B118" s="9"/>
      <c r="D118" s="9"/>
      <c r="E118" s="10"/>
      <c r="F118" s="8">
        <f>SUM(F117)</f>
        <v>4200</v>
      </c>
    </row>
    <row r="119" spans="1:6" x14ac:dyDescent="0.25">
      <c r="A119" s="9"/>
      <c r="B119" s="9"/>
      <c r="D119" s="9"/>
      <c r="E119" s="10"/>
      <c r="F119" s="10"/>
    </row>
    <row r="120" spans="1:6" x14ac:dyDescent="0.25">
      <c r="A120" s="9" t="s">
        <v>47</v>
      </c>
      <c r="B120" s="4">
        <v>45660</v>
      </c>
      <c r="C120" s="5">
        <v>40</v>
      </c>
      <c r="D120" s="9" t="s">
        <v>14</v>
      </c>
      <c r="E120" s="10">
        <v>140</v>
      </c>
      <c r="F120" s="10">
        <f t="shared" si="1"/>
        <v>5600</v>
      </c>
    </row>
    <row r="121" spans="1:6" x14ac:dyDescent="0.25">
      <c r="A121" s="9"/>
      <c r="B121" s="9"/>
      <c r="C121" s="5">
        <v>19</v>
      </c>
      <c r="D121" s="9" t="s">
        <v>22</v>
      </c>
      <c r="E121" s="10">
        <v>125</v>
      </c>
      <c r="F121" s="10">
        <f t="shared" si="1"/>
        <v>2375</v>
      </c>
    </row>
    <row r="122" spans="1:6" x14ac:dyDescent="0.25">
      <c r="A122" s="9"/>
      <c r="B122" s="9"/>
      <c r="D122" s="9"/>
      <c r="E122" s="10"/>
      <c r="F122" s="8">
        <f>SUM(F120:F121)</f>
        <v>7975</v>
      </c>
    </row>
    <row r="123" spans="1:6" x14ac:dyDescent="0.25">
      <c r="A123" s="9"/>
      <c r="B123" s="9"/>
      <c r="D123" s="9"/>
      <c r="E123" s="10"/>
      <c r="F123" s="10"/>
    </row>
    <row r="124" spans="1:6" x14ac:dyDescent="0.25">
      <c r="A124" s="9" t="s">
        <v>48</v>
      </c>
      <c r="B124" s="4">
        <v>45660</v>
      </c>
      <c r="C124" s="5">
        <v>300</v>
      </c>
      <c r="D124" s="9" t="s">
        <v>14</v>
      </c>
      <c r="E124" s="10"/>
      <c r="F124" s="10">
        <f t="shared" si="1"/>
        <v>0</v>
      </c>
    </row>
    <row r="125" spans="1:6" x14ac:dyDescent="0.25">
      <c r="A125" s="9"/>
      <c r="B125" s="9"/>
      <c r="C125" s="5">
        <v>100</v>
      </c>
      <c r="D125" s="9" t="s">
        <v>49</v>
      </c>
      <c r="E125" s="10"/>
      <c r="F125" s="10">
        <f t="shared" si="1"/>
        <v>0</v>
      </c>
    </row>
    <row r="126" spans="1:6" x14ac:dyDescent="0.25">
      <c r="A126" s="9"/>
      <c r="B126" s="9"/>
      <c r="C126" s="5">
        <v>142</v>
      </c>
      <c r="D126" s="9" t="s">
        <v>11</v>
      </c>
      <c r="E126" s="10"/>
      <c r="F126" s="10">
        <f t="shared" si="1"/>
        <v>0</v>
      </c>
    </row>
    <row r="127" spans="1:6" x14ac:dyDescent="0.25">
      <c r="A127" s="9"/>
      <c r="B127" s="9"/>
      <c r="C127" s="5">
        <v>65</v>
      </c>
      <c r="D127" s="9" t="s">
        <v>50</v>
      </c>
      <c r="E127" s="10"/>
      <c r="F127" s="10">
        <f t="shared" si="1"/>
        <v>0</v>
      </c>
    </row>
    <row r="128" spans="1:6" x14ac:dyDescent="0.25">
      <c r="A128" s="9"/>
      <c r="B128" s="9"/>
      <c r="D128" s="9"/>
      <c r="E128" s="10"/>
      <c r="F128" s="8">
        <f>SUM(F124:F127)</f>
        <v>0</v>
      </c>
    </row>
    <row r="129" spans="1:6" x14ac:dyDescent="0.25">
      <c r="A129" s="9"/>
      <c r="B129" s="9"/>
      <c r="D129" s="9"/>
      <c r="E129" s="10"/>
      <c r="F129" s="10"/>
    </row>
    <row r="130" spans="1:6" x14ac:dyDescent="0.25">
      <c r="A130" s="9" t="s">
        <v>51</v>
      </c>
      <c r="B130" s="4">
        <v>45660</v>
      </c>
      <c r="C130" s="5">
        <v>84</v>
      </c>
      <c r="D130" s="9" t="s">
        <v>14</v>
      </c>
      <c r="E130" s="10"/>
      <c r="F130" s="10">
        <f t="shared" si="1"/>
        <v>0</v>
      </c>
    </row>
    <row r="131" spans="1:6" x14ac:dyDescent="0.25">
      <c r="A131" s="9"/>
      <c r="B131" s="9"/>
      <c r="D131" s="9"/>
      <c r="E131" s="10"/>
      <c r="F131" s="8">
        <f>SUM(F130)</f>
        <v>0</v>
      </c>
    </row>
    <row r="132" spans="1:6" x14ac:dyDescent="0.25">
      <c r="A132" s="9"/>
      <c r="B132" s="9"/>
      <c r="D132" s="9"/>
      <c r="E132" s="10"/>
      <c r="F132" s="10"/>
    </row>
    <row r="133" spans="1:6" x14ac:dyDescent="0.25">
      <c r="A133" s="9" t="s">
        <v>52</v>
      </c>
      <c r="B133" s="4">
        <v>45660</v>
      </c>
      <c r="C133" s="5">
        <v>100</v>
      </c>
      <c r="D133" s="9" t="s">
        <v>13</v>
      </c>
      <c r="E133" s="10">
        <v>150</v>
      </c>
      <c r="F133" s="10">
        <f t="shared" ref="F133:F194" si="2">+C133*E133</f>
        <v>15000</v>
      </c>
    </row>
    <row r="134" spans="1:6" x14ac:dyDescent="0.25">
      <c r="A134" s="9"/>
      <c r="B134" s="9"/>
      <c r="D134" s="9"/>
      <c r="E134" s="10"/>
      <c r="F134" s="8">
        <f>SUM(F133)</f>
        <v>15000</v>
      </c>
    </row>
    <row r="135" spans="1:6" x14ac:dyDescent="0.25">
      <c r="A135" s="9"/>
      <c r="B135" s="9"/>
      <c r="D135" s="9"/>
      <c r="E135" s="10"/>
      <c r="F135" s="10"/>
    </row>
    <row r="136" spans="1:6" x14ac:dyDescent="0.25">
      <c r="A136" s="9" t="s">
        <v>53</v>
      </c>
      <c r="B136" s="4">
        <v>45660</v>
      </c>
      <c r="C136" s="5">
        <v>7</v>
      </c>
      <c r="D136" s="9" t="s">
        <v>12</v>
      </c>
      <c r="E136" s="10">
        <v>150</v>
      </c>
      <c r="F136" s="10">
        <f t="shared" si="2"/>
        <v>1050</v>
      </c>
    </row>
    <row r="137" spans="1:6" x14ac:dyDescent="0.25">
      <c r="A137" s="9"/>
      <c r="B137" s="9"/>
      <c r="C137" s="5">
        <v>60</v>
      </c>
      <c r="D137" s="9" t="s">
        <v>13</v>
      </c>
      <c r="E137" s="10">
        <v>150</v>
      </c>
      <c r="F137" s="10">
        <f t="shared" si="2"/>
        <v>9000</v>
      </c>
    </row>
    <row r="138" spans="1:6" x14ac:dyDescent="0.25">
      <c r="A138" s="9"/>
      <c r="B138" s="9"/>
      <c r="C138" s="5">
        <v>20</v>
      </c>
      <c r="D138" s="9" t="s">
        <v>13</v>
      </c>
      <c r="E138" s="10">
        <v>155</v>
      </c>
      <c r="F138" s="10">
        <f t="shared" si="2"/>
        <v>3100</v>
      </c>
    </row>
    <row r="139" spans="1:6" x14ac:dyDescent="0.25">
      <c r="A139" s="9"/>
      <c r="B139" s="9"/>
      <c r="C139" s="5">
        <v>18</v>
      </c>
      <c r="D139" s="9" t="s">
        <v>8</v>
      </c>
      <c r="E139" s="10">
        <v>160</v>
      </c>
      <c r="F139" s="10">
        <f t="shared" si="2"/>
        <v>2880</v>
      </c>
    </row>
    <row r="140" spans="1:6" x14ac:dyDescent="0.25">
      <c r="A140" s="9"/>
      <c r="B140" s="9"/>
      <c r="C140" s="5">
        <v>1</v>
      </c>
      <c r="D140" s="9" t="s">
        <v>11</v>
      </c>
      <c r="E140" s="10">
        <v>140</v>
      </c>
      <c r="F140" s="10">
        <f t="shared" si="2"/>
        <v>140</v>
      </c>
    </row>
    <row r="141" spans="1:6" x14ac:dyDescent="0.25">
      <c r="A141" s="9"/>
      <c r="B141" s="9"/>
      <c r="D141" s="9"/>
      <c r="E141" s="10"/>
      <c r="F141" s="8">
        <f>SUM(F136:F140)</f>
        <v>16170</v>
      </c>
    </row>
    <row r="142" spans="1:6" x14ac:dyDescent="0.25">
      <c r="A142" s="9"/>
      <c r="B142" s="9"/>
      <c r="D142" s="9"/>
      <c r="E142" s="10"/>
      <c r="F142" s="10"/>
    </row>
    <row r="143" spans="1:6" x14ac:dyDescent="0.25">
      <c r="A143" s="9" t="s">
        <v>7</v>
      </c>
      <c r="B143" s="4">
        <v>45660</v>
      </c>
      <c r="C143" s="5">
        <v>2</v>
      </c>
      <c r="D143" s="9" t="s">
        <v>54</v>
      </c>
      <c r="E143" s="10">
        <v>140</v>
      </c>
      <c r="F143" s="10">
        <f t="shared" si="2"/>
        <v>280</v>
      </c>
    </row>
    <row r="144" spans="1:6" x14ac:dyDescent="0.25">
      <c r="A144" s="9"/>
      <c r="B144" s="9"/>
      <c r="C144" s="5">
        <v>5</v>
      </c>
      <c r="D144" s="9" t="s">
        <v>55</v>
      </c>
      <c r="E144" s="10">
        <v>150</v>
      </c>
      <c r="F144" s="10">
        <f t="shared" si="2"/>
        <v>750</v>
      </c>
    </row>
    <row r="145" spans="1:6" x14ac:dyDescent="0.25">
      <c r="A145" s="9"/>
      <c r="B145" s="9"/>
      <c r="C145" s="5">
        <v>2</v>
      </c>
      <c r="D145" s="9" t="s">
        <v>8</v>
      </c>
      <c r="E145" s="10">
        <v>170</v>
      </c>
      <c r="F145" s="10">
        <f t="shared" si="2"/>
        <v>340</v>
      </c>
    </row>
    <row r="146" spans="1:6" x14ac:dyDescent="0.25">
      <c r="A146" s="9"/>
      <c r="B146" s="9"/>
      <c r="C146" s="5">
        <v>4</v>
      </c>
      <c r="D146" s="9" t="s">
        <v>8</v>
      </c>
      <c r="E146" s="10">
        <v>170</v>
      </c>
      <c r="F146" s="10">
        <f t="shared" si="2"/>
        <v>680</v>
      </c>
    </row>
    <row r="147" spans="1:6" x14ac:dyDescent="0.25">
      <c r="A147" s="9"/>
      <c r="B147" s="9"/>
      <c r="C147" s="5">
        <v>1</v>
      </c>
      <c r="D147" s="9" t="s">
        <v>13</v>
      </c>
      <c r="E147" s="10">
        <v>160</v>
      </c>
      <c r="F147" s="10">
        <f t="shared" si="2"/>
        <v>160</v>
      </c>
    </row>
    <row r="148" spans="1:6" x14ac:dyDescent="0.25">
      <c r="A148" s="9"/>
      <c r="B148" s="9"/>
      <c r="D148" s="9"/>
      <c r="E148" s="10"/>
      <c r="F148" s="8">
        <f>SUM(F143:F147)</f>
        <v>2210</v>
      </c>
    </row>
    <row r="149" spans="1:6" x14ac:dyDescent="0.25">
      <c r="A149" s="9"/>
      <c r="B149" s="9"/>
      <c r="D149" s="9"/>
      <c r="E149" s="10"/>
      <c r="F149" s="10"/>
    </row>
    <row r="150" spans="1:6" x14ac:dyDescent="0.25">
      <c r="A150" s="9" t="s">
        <v>56</v>
      </c>
      <c r="B150" s="4">
        <v>45661</v>
      </c>
      <c r="C150" s="5">
        <v>10</v>
      </c>
      <c r="D150" s="9" t="s">
        <v>16</v>
      </c>
      <c r="E150" s="10">
        <v>105</v>
      </c>
      <c r="F150" s="10">
        <f t="shared" si="2"/>
        <v>1050</v>
      </c>
    </row>
    <row r="151" spans="1:6" x14ac:dyDescent="0.25">
      <c r="A151" s="9"/>
      <c r="B151" s="9"/>
      <c r="D151" s="9"/>
      <c r="E151" s="10"/>
      <c r="F151" s="8">
        <f>SUM(F150)</f>
        <v>1050</v>
      </c>
    </row>
    <row r="152" spans="1:6" x14ac:dyDescent="0.25">
      <c r="A152" s="9"/>
      <c r="B152" s="9"/>
      <c r="D152" s="9"/>
      <c r="E152" s="10"/>
      <c r="F152" s="10"/>
    </row>
    <row r="153" spans="1:6" x14ac:dyDescent="0.25">
      <c r="A153" s="9" t="s">
        <v>20</v>
      </c>
      <c r="B153" s="4">
        <v>45661</v>
      </c>
      <c r="C153" s="5">
        <v>30</v>
      </c>
      <c r="D153" s="9" t="s">
        <v>13</v>
      </c>
      <c r="E153" s="10">
        <v>155</v>
      </c>
      <c r="F153" s="10">
        <f t="shared" si="2"/>
        <v>4650</v>
      </c>
    </row>
    <row r="154" spans="1:6" x14ac:dyDescent="0.25">
      <c r="A154" s="9"/>
      <c r="B154" s="9"/>
      <c r="D154" s="9"/>
      <c r="E154" s="10"/>
      <c r="F154" s="8">
        <f>SUM(F153)</f>
        <v>4650</v>
      </c>
    </row>
    <row r="155" spans="1:6" x14ac:dyDescent="0.25">
      <c r="A155" s="9"/>
      <c r="B155" s="9"/>
      <c r="D155" s="9"/>
      <c r="E155" s="10"/>
      <c r="F155" s="10"/>
    </row>
    <row r="156" spans="1:6" x14ac:dyDescent="0.25">
      <c r="A156" s="9" t="s">
        <v>38</v>
      </c>
      <c r="B156" s="4">
        <v>45661</v>
      </c>
      <c r="C156" s="5">
        <v>10</v>
      </c>
      <c r="D156" s="9" t="s">
        <v>13</v>
      </c>
      <c r="E156" s="10">
        <v>155</v>
      </c>
      <c r="F156" s="10">
        <f t="shared" si="2"/>
        <v>1550</v>
      </c>
    </row>
    <row r="157" spans="1:6" x14ac:dyDescent="0.25">
      <c r="A157" s="9"/>
      <c r="B157" s="9"/>
      <c r="C157" s="5">
        <v>5</v>
      </c>
      <c r="D157" s="9" t="s">
        <v>12</v>
      </c>
      <c r="E157" s="10">
        <v>145</v>
      </c>
      <c r="F157" s="10">
        <f t="shared" si="2"/>
        <v>725</v>
      </c>
    </row>
    <row r="158" spans="1:6" x14ac:dyDescent="0.25">
      <c r="A158" s="9"/>
      <c r="B158" s="9"/>
      <c r="D158" s="9"/>
      <c r="E158" s="10"/>
      <c r="F158" s="8">
        <f>SUM(F156:F157)</f>
        <v>2275</v>
      </c>
    </row>
    <row r="159" spans="1:6" x14ac:dyDescent="0.25">
      <c r="A159" s="9"/>
      <c r="B159" s="9"/>
      <c r="D159" s="9"/>
      <c r="E159" s="10"/>
      <c r="F159" s="10"/>
    </row>
    <row r="160" spans="1:6" x14ac:dyDescent="0.25">
      <c r="A160" s="9" t="s">
        <v>21</v>
      </c>
      <c r="B160" s="4">
        <v>45661</v>
      </c>
      <c r="C160" s="5">
        <v>40</v>
      </c>
      <c r="D160" s="9" t="s">
        <v>13</v>
      </c>
      <c r="E160" s="10">
        <v>150</v>
      </c>
      <c r="F160" s="10">
        <f t="shared" si="2"/>
        <v>6000</v>
      </c>
    </row>
    <row r="161" spans="1:6" x14ac:dyDescent="0.25">
      <c r="A161" s="9"/>
      <c r="B161" s="9"/>
      <c r="C161" s="5">
        <v>40</v>
      </c>
      <c r="D161" s="9" t="s">
        <v>12</v>
      </c>
      <c r="E161" s="10">
        <v>140</v>
      </c>
      <c r="F161" s="10">
        <f t="shared" si="2"/>
        <v>5600</v>
      </c>
    </row>
    <row r="162" spans="1:6" x14ac:dyDescent="0.25">
      <c r="A162" s="9"/>
      <c r="B162" s="9"/>
      <c r="C162" s="5">
        <v>20</v>
      </c>
      <c r="D162" s="9" t="s">
        <v>22</v>
      </c>
      <c r="E162" s="10">
        <v>125</v>
      </c>
      <c r="F162" s="10">
        <f t="shared" si="2"/>
        <v>2500</v>
      </c>
    </row>
    <row r="163" spans="1:6" x14ac:dyDescent="0.25">
      <c r="A163" s="9"/>
      <c r="B163" s="9"/>
      <c r="D163" s="9"/>
      <c r="E163" s="10"/>
      <c r="F163" s="8">
        <f>SUM(F160:F162)</f>
        <v>14100</v>
      </c>
    </row>
    <row r="164" spans="1:6" x14ac:dyDescent="0.25">
      <c r="A164" s="9"/>
      <c r="B164" s="9"/>
      <c r="D164" s="9"/>
      <c r="E164" s="10"/>
      <c r="F164" s="10"/>
    </row>
    <row r="165" spans="1:6" x14ac:dyDescent="0.25">
      <c r="A165" s="9" t="s">
        <v>57</v>
      </c>
      <c r="B165" s="4">
        <v>45661</v>
      </c>
      <c r="C165" s="5">
        <v>10</v>
      </c>
      <c r="D165" s="9" t="s">
        <v>13</v>
      </c>
      <c r="E165" s="10">
        <v>155</v>
      </c>
      <c r="F165" s="10">
        <f t="shared" si="2"/>
        <v>1550</v>
      </c>
    </row>
    <row r="166" spans="1:6" x14ac:dyDescent="0.25">
      <c r="A166" s="9"/>
      <c r="B166" s="9"/>
      <c r="D166" s="9"/>
      <c r="E166" s="10"/>
      <c r="F166" s="8">
        <f>SUM(F165)</f>
        <v>1550</v>
      </c>
    </row>
    <row r="167" spans="1:6" x14ac:dyDescent="0.25">
      <c r="A167" s="9"/>
      <c r="B167" s="9"/>
      <c r="D167" s="9"/>
      <c r="E167" s="10"/>
      <c r="F167" s="10"/>
    </row>
    <row r="168" spans="1:6" x14ac:dyDescent="0.25">
      <c r="A168" s="9" t="s">
        <v>23</v>
      </c>
      <c r="B168" s="4">
        <v>45661</v>
      </c>
      <c r="C168" s="5">
        <v>10</v>
      </c>
      <c r="D168" s="9" t="s">
        <v>13</v>
      </c>
      <c r="E168" s="10">
        <v>155</v>
      </c>
      <c r="F168" s="10">
        <f t="shared" si="2"/>
        <v>1550</v>
      </c>
    </row>
    <row r="169" spans="1:6" x14ac:dyDescent="0.25">
      <c r="A169" s="9"/>
      <c r="B169" s="9"/>
      <c r="C169" s="5">
        <v>10</v>
      </c>
      <c r="D169" s="9" t="s">
        <v>12</v>
      </c>
      <c r="E169" s="10">
        <v>145</v>
      </c>
      <c r="F169" s="10">
        <f t="shared" si="2"/>
        <v>1450</v>
      </c>
    </row>
    <row r="170" spans="1:6" x14ac:dyDescent="0.25">
      <c r="A170" s="9"/>
      <c r="B170" s="9"/>
      <c r="D170" s="9"/>
      <c r="E170" s="10"/>
      <c r="F170" s="8">
        <f>SUM(F168:F169)</f>
        <v>3000</v>
      </c>
    </row>
    <row r="171" spans="1:6" x14ac:dyDescent="0.25">
      <c r="A171" s="9"/>
      <c r="B171" s="9"/>
      <c r="D171" s="9"/>
      <c r="E171" s="10"/>
      <c r="F171" s="10"/>
    </row>
    <row r="172" spans="1:6" x14ac:dyDescent="0.25">
      <c r="A172" s="9" t="s">
        <v>40</v>
      </c>
      <c r="B172" s="4">
        <v>45661</v>
      </c>
      <c r="C172" s="5">
        <v>19</v>
      </c>
      <c r="D172" s="9" t="s">
        <v>13</v>
      </c>
      <c r="E172" s="10">
        <v>145</v>
      </c>
      <c r="F172" s="10">
        <f t="shared" si="2"/>
        <v>2755</v>
      </c>
    </row>
    <row r="173" spans="1:6" x14ac:dyDescent="0.25">
      <c r="A173" s="9"/>
      <c r="B173" s="9"/>
      <c r="C173" s="5">
        <v>10</v>
      </c>
      <c r="D173" s="9" t="s">
        <v>14</v>
      </c>
      <c r="E173" s="10">
        <v>135</v>
      </c>
      <c r="F173" s="10">
        <f t="shared" si="2"/>
        <v>1350</v>
      </c>
    </row>
    <row r="174" spans="1:6" x14ac:dyDescent="0.25">
      <c r="A174" s="9"/>
      <c r="B174" s="9"/>
      <c r="C174" s="5">
        <v>10</v>
      </c>
      <c r="D174" s="9" t="s">
        <v>11</v>
      </c>
      <c r="E174" s="10">
        <v>125</v>
      </c>
      <c r="F174" s="10">
        <f t="shared" si="2"/>
        <v>1250</v>
      </c>
    </row>
    <row r="175" spans="1:6" x14ac:dyDescent="0.25">
      <c r="A175" s="9"/>
      <c r="B175" s="9"/>
      <c r="C175" s="5">
        <v>7</v>
      </c>
      <c r="D175" s="9" t="s">
        <v>12</v>
      </c>
      <c r="E175" s="10">
        <v>135</v>
      </c>
      <c r="F175" s="10">
        <f t="shared" si="2"/>
        <v>945</v>
      </c>
    </row>
    <row r="176" spans="1:6" x14ac:dyDescent="0.25">
      <c r="A176" s="9"/>
      <c r="B176" s="9"/>
      <c r="C176" s="5">
        <v>8</v>
      </c>
      <c r="D176" s="9" t="s">
        <v>22</v>
      </c>
      <c r="E176" s="10">
        <v>125</v>
      </c>
      <c r="F176" s="10">
        <f t="shared" si="2"/>
        <v>1000</v>
      </c>
    </row>
    <row r="177" spans="1:6" x14ac:dyDescent="0.25">
      <c r="A177" s="9"/>
      <c r="B177" s="9"/>
      <c r="D177" s="9"/>
      <c r="E177" s="10"/>
      <c r="F177" s="8">
        <f>SUM(F172:F176)</f>
        <v>7300</v>
      </c>
    </row>
    <row r="178" spans="1:6" x14ac:dyDescent="0.25">
      <c r="A178" s="9"/>
      <c r="B178" s="9"/>
      <c r="D178" s="9"/>
      <c r="E178" s="10"/>
      <c r="F178" s="10"/>
    </row>
    <row r="179" spans="1:6" x14ac:dyDescent="0.25">
      <c r="A179" s="9" t="s">
        <v>25</v>
      </c>
      <c r="B179" s="4">
        <v>45661</v>
      </c>
      <c r="C179" s="5">
        <v>18</v>
      </c>
      <c r="D179" s="9" t="s">
        <v>22</v>
      </c>
      <c r="E179" s="10">
        <v>125</v>
      </c>
      <c r="F179" s="10">
        <f t="shared" si="2"/>
        <v>2250</v>
      </c>
    </row>
    <row r="180" spans="1:6" x14ac:dyDescent="0.25">
      <c r="A180" s="9"/>
      <c r="B180" s="9"/>
      <c r="D180" s="9"/>
      <c r="E180" s="10"/>
      <c r="F180" s="8">
        <f>SUM(F179)</f>
        <v>2250</v>
      </c>
    </row>
    <row r="181" spans="1:6" x14ac:dyDescent="0.25">
      <c r="A181" s="9"/>
      <c r="B181" s="9"/>
      <c r="D181" s="9"/>
      <c r="E181" s="10"/>
      <c r="F181" s="10"/>
    </row>
    <row r="182" spans="1:6" x14ac:dyDescent="0.25">
      <c r="A182" s="9" t="s">
        <v>58</v>
      </c>
      <c r="B182" s="4">
        <v>45661</v>
      </c>
      <c r="C182" s="5">
        <v>10</v>
      </c>
      <c r="D182" s="9" t="s">
        <v>13</v>
      </c>
      <c r="E182" s="10">
        <v>150</v>
      </c>
      <c r="F182" s="10">
        <f t="shared" si="2"/>
        <v>1500</v>
      </c>
    </row>
    <row r="183" spans="1:6" x14ac:dyDescent="0.25">
      <c r="A183" s="9"/>
      <c r="B183" s="9"/>
      <c r="D183" s="9"/>
      <c r="E183" s="10"/>
      <c r="F183" s="8">
        <f>SUM(F182)</f>
        <v>1500</v>
      </c>
    </row>
    <row r="184" spans="1:6" x14ac:dyDescent="0.25">
      <c r="A184" s="9"/>
      <c r="B184" s="9"/>
      <c r="D184" s="9"/>
      <c r="E184" s="10"/>
      <c r="F184" s="10"/>
    </row>
    <row r="185" spans="1:6" x14ac:dyDescent="0.25">
      <c r="A185" s="9" t="s">
        <v>59</v>
      </c>
      <c r="B185" s="4">
        <v>45661</v>
      </c>
      <c r="C185" s="5">
        <v>20</v>
      </c>
      <c r="D185" s="9" t="s">
        <v>13</v>
      </c>
      <c r="E185" s="10">
        <v>155</v>
      </c>
      <c r="F185" s="10">
        <f t="shared" si="2"/>
        <v>3100</v>
      </c>
    </row>
    <row r="186" spans="1:6" x14ac:dyDescent="0.25">
      <c r="A186" s="9"/>
      <c r="B186" s="9"/>
      <c r="D186" s="9"/>
      <c r="E186" s="10"/>
      <c r="F186" s="8">
        <f>SUM(F185)</f>
        <v>3100</v>
      </c>
    </row>
    <row r="187" spans="1:6" x14ac:dyDescent="0.25">
      <c r="A187" s="9"/>
      <c r="B187" s="9"/>
      <c r="D187" s="9"/>
      <c r="E187" s="10"/>
      <c r="F187" s="10"/>
    </row>
    <row r="188" spans="1:6" x14ac:dyDescent="0.25">
      <c r="A188" s="9" t="s">
        <v>60</v>
      </c>
      <c r="B188" s="4">
        <v>45661</v>
      </c>
      <c r="C188" s="5">
        <v>30</v>
      </c>
      <c r="D188" s="9" t="s">
        <v>13</v>
      </c>
      <c r="E188" s="10">
        <v>155</v>
      </c>
      <c r="F188" s="10">
        <f t="shared" si="2"/>
        <v>4650</v>
      </c>
    </row>
    <row r="189" spans="1:6" x14ac:dyDescent="0.25">
      <c r="A189" s="9"/>
      <c r="B189" s="9"/>
      <c r="D189" s="9"/>
      <c r="E189" s="10"/>
      <c r="F189" s="8">
        <f>SUM(F188)</f>
        <v>4650</v>
      </c>
    </row>
    <row r="190" spans="1:6" x14ac:dyDescent="0.25">
      <c r="A190" s="9"/>
      <c r="B190" s="9"/>
      <c r="D190" s="9"/>
      <c r="E190" s="10"/>
      <c r="F190" s="10"/>
    </row>
    <row r="191" spans="1:6" x14ac:dyDescent="0.25">
      <c r="A191" s="9" t="s">
        <v>60</v>
      </c>
      <c r="B191" s="4">
        <v>45661</v>
      </c>
      <c r="C191" s="5">
        <v>30</v>
      </c>
      <c r="D191" s="9" t="s">
        <v>13</v>
      </c>
      <c r="E191" s="10">
        <v>155</v>
      </c>
      <c r="F191" s="10">
        <f t="shared" si="2"/>
        <v>4650</v>
      </c>
    </row>
    <row r="192" spans="1:6" x14ac:dyDescent="0.25">
      <c r="A192" s="9"/>
      <c r="B192" s="9"/>
      <c r="D192" s="9"/>
      <c r="E192" s="10"/>
      <c r="F192" s="8">
        <f>SUM(F191)</f>
        <v>4650</v>
      </c>
    </row>
    <row r="193" spans="1:6" x14ac:dyDescent="0.25">
      <c r="A193" s="9"/>
      <c r="B193" s="9"/>
      <c r="D193" s="9"/>
      <c r="E193" s="10"/>
      <c r="F193" s="10"/>
    </row>
    <row r="194" spans="1:6" x14ac:dyDescent="0.25">
      <c r="A194" s="9" t="s">
        <v>61</v>
      </c>
      <c r="B194" s="4">
        <v>45661</v>
      </c>
      <c r="C194" s="5">
        <v>50</v>
      </c>
      <c r="D194" s="9" t="s">
        <v>13</v>
      </c>
      <c r="E194" s="10">
        <v>155</v>
      </c>
      <c r="F194" s="10">
        <f t="shared" si="2"/>
        <v>7750</v>
      </c>
    </row>
    <row r="195" spans="1:6" x14ac:dyDescent="0.25">
      <c r="A195" s="9"/>
      <c r="B195" s="9"/>
      <c r="D195" s="9"/>
      <c r="E195" s="10"/>
      <c r="F195" s="8">
        <f>SUM(F194)</f>
        <v>7750</v>
      </c>
    </row>
    <row r="196" spans="1:6" x14ac:dyDescent="0.25">
      <c r="A196" s="9"/>
      <c r="B196" s="9"/>
      <c r="D196" s="9"/>
      <c r="E196" s="10"/>
      <c r="F196" s="10"/>
    </row>
    <row r="197" spans="1:6" x14ac:dyDescent="0.25">
      <c r="A197" s="9" t="s">
        <v>62</v>
      </c>
      <c r="B197" s="4">
        <v>45661</v>
      </c>
      <c r="C197" s="5">
        <v>150</v>
      </c>
      <c r="D197" s="9" t="s">
        <v>8</v>
      </c>
      <c r="E197" s="10">
        <v>160</v>
      </c>
      <c r="F197" s="10">
        <f t="shared" ref="F197:F259" si="3">+C197*E197</f>
        <v>24000</v>
      </c>
    </row>
    <row r="198" spans="1:6" x14ac:dyDescent="0.25">
      <c r="A198" s="9"/>
      <c r="B198" s="9"/>
      <c r="C198" s="5">
        <v>8</v>
      </c>
      <c r="D198" s="9" t="s">
        <v>63</v>
      </c>
      <c r="E198" s="10">
        <v>70</v>
      </c>
      <c r="F198" s="10">
        <f t="shared" si="3"/>
        <v>560</v>
      </c>
    </row>
    <row r="199" spans="1:6" x14ac:dyDescent="0.25">
      <c r="A199" s="9"/>
      <c r="B199" s="9"/>
      <c r="C199" s="5">
        <v>10</v>
      </c>
      <c r="D199" s="9" t="s">
        <v>12</v>
      </c>
      <c r="E199" s="10">
        <v>145</v>
      </c>
      <c r="F199" s="10">
        <f t="shared" si="3"/>
        <v>1450</v>
      </c>
    </row>
    <row r="200" spans="1:6" x14ac:dyDescent="0.25">
      <c r="A200" s="9"/>
      <c r="B200" s="9"/>
      <c r="D200" s="9"/>
      <c r="E200" s="10"/>
      <c r="F200" s="8">
        <f>SUM(F197:F199)</f>
        <v>26010</v>
      </c>
    </row>
    <row r="201" spans="1:6" x14ac:dyDescent="0.25">
      <c r="A201" s="9"/>
      <c r="B201" s="9"/>
      <c r="D201" s="9"/>
      <c r="E201" s="10"/>
      <c r="F201" s="10"/>
    </row>
    <row r="202" spans="1:6" x14ac:dyDescent="0.25">
      <c r="A202" s="9" t="s">
        <v>64</v>
      </c>
      <c r="B202" s="4">
        <v>45661</v>
      </c>
      <c r="C202" s="5">
        <v>30</v>
      </c>
      <c r="D202" s="9" t="s">
        <v>8</v>
      </c>
      <c r="E202" s="10">
        <v>160</v>
      </c>
      <c r="F202" s="10">
        <f t="shared" si="3"/>
        <v>4800</v>
      </c>
    </row>
    <row r="203" spans="1:6" x14ac:dyDescent="0.25">
      <c r="A203" s="9"/>
      <c r="B203" s="9"/>
      <c r="C203" s="5">
        <v>10</v>
      </c>
      <c r="D203" s="9" t="s">
        <v>22</v>
      </c>
      <c r="E203" s="10">
        <v>120</v>
      </c>
      <c r="F203" s="10">
        <f t="shared" si="3"/>
        <v>1200</v>
      </c>
    </row>
    <row r="204" spans="1:6" x14ac:dyDescent="0.25">
      <c r="A204" s="9"/>
      <c r="B204" s="9"/>
      <c r="C204" s="5">
        <v>20</v>
      </c>
      <c r="D204" s="9" t="s">
        <v>12</v>
      </c>
      <c r="E204" s="10">
        <v>145</v>
      </c>
      <c r="F204" s="10">
        <f t="shared" si="3"/>
        <v>2900</v>
      </c>
    </row>
    <row r="205" spans="1:6" x14ac:dyDescent="0.25">
      <c r="A205" s="9"/>
      <c r="B205" s="9"/>
      <c r="C205" s="5">
        <v>20</v>
      </c>
      <c r="D205" s="9" t="s">
        <v>13</v>
      </c>
      <c r="E205" s="10">
        <v>150</v>
      </c>
      <c r="F205" s="10">
        <f t="shared" si="3"/>
        <v>3000</v>
      </c>
    </row>
    <row r="206" spans="1:6" x14ac:dyDescent="0.25">
      <c r="A206" s="9"/>
      <c r="B206" s="9"/>
      <c r="C206" s="5">
        <v>12</v>
      </c>
      <c r="D206" s="9" t="s">
        <v>14</v>
      </c>
      <c r="E206" s="10">
        <v>140</v>
      </c>
      <c r="F206" s="10">
        <f t="shared" si="3"/>
        <v>1680</v>
      </c>
    </row>
    <row r="207" spans="1:6" x14ac:dyDescent="0.25">
      <c r="A207" s="9"/>
      <c r="B207" s="9"/>
      <c r="C207" s="5">
        <v>12</v>
      </c>
      <c r="D207" s="9" t="s">
        <v>11</v>
      </c>
      <c r="E207" s="10">
        <v>130</v>
      </c>
      <c r="F207" s="10">
        <f t="shared" si="3"/>
        <v>1560</v>
      </c>
    </row>
    <row r="208" spans="1:6" x14ac:dyDescent="0.25">
      <c r="A208" s="9"/>
      <c r="B208" s="9"/>
      <c r="D208" s="9"/>
      <c r="E208" s="10"/>
      <c r="F208" s="8">
        <f>SUM(F202:F207)</f>
        <v>15140</v>
      </c>
    </row>
    <row r="209" spans="1:6" x14ac:dyDescent="0.25">
      <c r="A209" s="9"/>
      <c r="B209" s="9"/>
      <c r="D209" s="9"/>
      <c r="E209" s="10"/>
      <c r="F209" s="10"/>
    </row>
    <row r="210" spans="1:6" x14ac:dyDescent="0.25">
      <c r="A210" s="9" t="s">
        <v>65</v>
      </c>
      <c r="B210" s="4">
        <v>45661</v>
      </c>
      <c r="C210" s="5">
        <v>1610</v>
      </c>
      <c r="D210" s="9" t="s">
        <v>12</v>
      </c>
      <c r="E210" s="10">
        <v>135</v>
      </c>
      <c r="F210" s="10">
        <f t="shared" si="3"/>
        <v>217350</v>
      </c>
    </row>
    <row r="211" spans="1:6" x14ac:dyDescent="0.25">
      <c r="A211" s="9"/>
      <c r="B211" s="9"/>
      <c r="C211" s="5">
        <v>320</v>
      </c>
      <c r="D211" s="9" t="s">
        <v>11</v>
      </c>
      <c r="E211" s="10">
        <v>135</v>
      </c>
      <c r="F211" s="10">
        <f t="shared" si="3"/>
        <v>43200</v>
      </c>
    </row>
    <row r="212" spans="1:6" x14ac:dyDescent="0.25">
      <c r="A212" s="9"/>
      <c r="B212" s="9"/>
      <c r="C212" s="5">
        <v>250</v>
      </c>
      <c r="D212" s="9" t="s">
        <v>22</v>
      </c>
      <c r="E212" s="10">
        <v>120</v>
      </c>
      <c r="F212" s="10">
        <f t="shared" si="3"/>
        <v>30000</v>
      </c>
    </row>
    <row r="213" spans="1:6" x14ac:dyDescent="0.25">
      <c r="A213" s="9"/>
      <c r="B213" s="9"/>
      <c r="C213" s="5">
        <v>340</v>
      </c>
      <c r="D213" s="9" t="s">
        <v>13</v>
      </c>
      <c r="E213" s="10">
        <v>140</v>
      </c>
      <c r="F213" s="10">
        <f t="shared" si="3"/>
        <v>47600</v>
      </c>
    </row>
    <row r="214" spans="1:6" x14ac:dyDescent="0.25">
      <c r="A214" s="9"/>
      <c r="B214" s="9"/>
      <c r="D214" s="9"/>
      <c r="E214" s="10"/>
      <c r="F214" s="8">
        <f>SUM(F210:F213)</f>
        <v>338150</v>
      </c>
    </row>
    <row r="215" spans="1:6" x14ac:dyDescent="0.25">
      <c r="A215" s="9"/>
      <c r="B215" s="9"/>
      <c r="D215" s="9"/>
      <c r="E215" s="10"/>
      <c r="F215" s="10"/>
    </row>
    <row r="216" spans="1:6" x14ac:dyDescent="0.25">
      <c r="A216" s="9" t="s">
        <v>66</v>
      </c>
      <c r="B216" s="4">
        <v>45661</v>
      </c>
      <c r="C216" s="5">
        <v>20</v>
      </c>
      <c r="D216" s="9" t="s">
        <v>8</v>
      </c>
      <c r="E216" s="10">
        <v>160</v>
      </c>
      <c r="F216" s="10">
        <f t="shared" si="3"/>
        <v>3200</v>
      </c>
    </row>
    <row r="217" spans="1:6" x14ac:dyDescent="0.25">
      <c r="A217" s="9"/>
      <c r="B217" s="9"/>
      <c r="D217" s="9"/>
      <c r="E217" s="10"/>
      <c r="F217" s="8">
        <f>SUM(F216)</f>
        <v>3200</v>
      </c>
    </row>
    <row r="218" spans="1:6" x14ac:dyDescent="0.25">
      <c r="A218" s="9"/>
      <c r="B218" s="9"/>
      <c r="D218" s="9"/>
      <c r="E218" s="10"/>
      <c r="F218" s="10"/>
    </row>
    <row r="219" spans="1:6" x14ac:dyDescent="0.25">
      <c r="A219" s="9" t="s">
        <v>67</v>
      </c>
      <c r="B219" s="4">
        <v>45661</v>
      </c>
      <c r="C219" s="5">
        <v>10</v>
      </c>
      <c r="D219" s="9" t="s">
        <v>13</v>
      </c>
      <c r="E219" s="10">
        <v>155</v>
      </c>
      <c r="F219" s="10">
        <f t="shared" si="3"/>
        <v>1550</v>
      </c>
    </row>
    <row r="220" spans="1:6" x14ac:dyDescent="0.25">
      <c r="A220" s="9"/>
      <c r="B220" s="9"/>
      <c r="D220" s="9"/>
      <c r="E220" s="10"/>
      <c r="F220" s="8">
        <f>SUM(F219)</f>
        <v>1550</v>
      </c>
    </row>
    <row r="221" spans="1:6" x14ac:dyDescent="0.25">
      <c r="A221" s="9"/>
      <c r="B221" s="9"/>
      <c r="D221" s="9"/>
      <c r="E221" s="10"/>
      <c r="F221" s="10"/>
    </row>
    <row r="222" spans="1:6" x14ac:dyDescent="0.25">
      <c r="A222" s="9" t="s">
        <v>68</v>
      </c>
      <c r="B222" s="4">
        <v>45661</v>
      </c>
      <c r="C222" s="5">
        <v>5</v>
      </c>
      <c r="D222" s="9" t="s">
        <v>13</v>
      </c>
      <c r="E222" s="10">
        <v>155</v>
      </c>
      <c r="F222" s="10">
        <f t="shared" si="3"/>
        <v>775</v>
      </c>
    </row>
    <row r="223" spans="1:6" x14ac:dyDescent="0.25">
      <c r="A223" s="9"/>
      <c r="B223" s="9"/>
      <c r="D223" s="9"/>
      <c r="E223" s="10"/>
      <c r="F223" s="8">
        <f>SUM(F222)</f>
        <v>775</v>
      </c>
    </row>
    <row r="224" spans="1:6" x14ac:dyDescent="0.25">
      <c r="A224" s="9"/>
      <c r="B224" s="9"/>
      <c r="D224" s="9"/>
      <c r="E224" s="10"/>
      <c r="F224" s="10"/>
    </row>
    <row r="225" spans="1:6" x14ac:dyDescent="0.25">
      <c r="A225" s="9" t="s">
        <v>52</v>
      </c>
      <c r="B225" s="4">
        <v>45661</v>
      </c>
      <c r="C225" s="5">
        <v>100</v>
      </c>
      <c r="D225" s="9" t="s">
        <v>13</v>
      </c>
      <c r="E225" s="10">
        <v>150</v>
      </c>
      <c r="F225" s="10">
        <f t="shared" si="3"/>
        <v>15000</v>
      </c>
    </row>
    <row r="226" spans="1:6" x14ac:dyDescent="0.25">
      <c r="A226" s="9"/>
      <c r="B226" s="9"/>
      <c r="C226" s="5">
        <v>20</v>
      </c>
      <c r="D226" s="9" t="s">
        <v>14</v>
      </c>
      <c r="E226" s="10">
        <v>135</v>
      </c>
      <c r="F226" s="10">
        <f t="shared" si="3"/>
        <v>2700</v>
      </c>
    </row>
    <row r="227" spans="1:6" x14ac:dyDescent="0.25">
      <c r="A227" s="9"/>
      <c r="B227" s="9"/>
      <c r="D227" s="9"/>
      <c r="E227" s="10"/>
      <c r="F227" s="8">
        <f>SUM(F225:F226)</f>
        <v>17700</v>
      </c>
    </row>
    <row r="228" spans="1:6" x14ac:dyDescent="0.25">
      <c r="A228" s="9"/>
      <c r="B228" s="9"/>
      <c r="D228" s="9"/>
      <c r="E228" s="10"/>
      <c r="F228" s="10"/>
    </row>
    <row r="229" spans="1:6" x14ac:dyDescent="0.25">
      <c r="A229" s="9" t="s">
        <v>69</v>
      </c>
      <c r="B229" s="4">
        <v>45661</v>
      </c>
      <c r="C229" s="5">
        <v>20</v>
      </c>
      <c r="D229" s="9" t="s">
        <v>8</v>
      </c>
      <c r="E229" s="10">
        <v>160</v>
      </c>
      <c r="F229" s="10">
        <f t="shared" si="3"/>
        <v>3200</v>
      </c>
    </row>
    <row r="230" spans="1:6" x14ac:dyDescent="0.25">
      <c r="A230" s="9"/>
      <c r="B230" s="9"/>
      <c r="D230" s="9"/>
      <c r="E230" s="10"/>
      <c r="F230" s="8">
        <f>SUM(F229)</f>
        <v>3200</v>
      </c>
    </row>
    <row r="231" spans="1:6" x14ac:dyDescent="0.25">
      <c r="A231" s="9"/>
      <c r="B231" s="9"/>
      <c r="D231" s="9"/>
      <c r="E231" s="10"/>
      <c r="F231" s="10"/>
    </row>
    <row r="232" spans="1:6" x14ac:dyDescent="0.25">
      <c r="A232" s="9" t="s">
        <v>70</v>
      </c>
      <c r="B232" s="4">
        <v>45661</v>
      </c>
      <c r="C232" s="5">
        <v>4</v>
      </c>
      <c r="D232" s="9" t="s">
        <v>13</v>
      </c>
      <c r="E232" s="10">
        <v>150</v>
      </c>
      <c r="F232" s="10">
        <f t="shared" si="3"/>
        <v>600</v>
      </c>
    </row>
    <row r="233" spans="1:6" x14ac:dyDescent="0.25">
      <c r="A233" s="9"/>
      <c r="B233" s="9"/>
      <c r="D233" s="9"/>
      <c r="E233" s="10"/>
      <c r="F233" s="8">
        <f>SUM(F232)</f>
        <v>600</v>
      </c>
    </row>
    <row r="234" spans="1:6" x14ac:dyDescent="0.25">
      <c r="A234" s="9"/>
      <c r="B234" s="9"/>
      <c r="D234" s="9"/>
      <c r="E234" s="10"/>
      <c r="F234" s="10"/>
    </row>
    <row r="235" spans="1:6" x14ac:dyDescent="0.25">
      <c r="A235" s="9" t="s">
        <v>71</v>
      </c>
      <c r="B235" s="4">
        <v>45661</v>
      </c>
      <c r="C235" s="5">
        <v>4</v>
      </c>
      <c r="D235" s="9" t="s">
        <v>13</v>
      </c>
      <c r="E235" s="10">
        <v>150</v>
      </c>
      <c r="F235" s="10">
        <f t="shared" si="3"/>
        <v>600</v>
      </c>
    </row>
    <row r="236" spans="1:6" x14ac:dyDescent="0.25">
      <c r="A236" s="9"/>
      <c r="B236" s="9"/>
      <c r="D236" s="9"/>
      <c r="E236" s="10"/>
      <c r="F236" s="8">
        <f>SUM(F235)</f>
        <v>600</v>
      </c>
    </row>
    <row r="237" spans="1:6" x14ac:dyDescent="0.25">
      <c r="A237" s="9"/>
      <c r="B237" s="9"/>
      <c r="D237" s="9"/>
      <c r="E237" s="10"/>
      <c r="F237" s="10"/>
    </row>
    <row r="238" spans="1:6" x14ac:dyDescent="0.25">
      <c r="A238" s="9" t="s">
        <v>72</v>
      </c>
      <c r="B238" s="4">
        <v>45661</v>
      </c>
      <c r="C238" s="5">
        <v>400</v>
      </c>
      <c r="D238" s="9" t="s">
        <v>13</v>
      </c>
      <c r="E238" s="10">
        <v>140</v>
      </c>
      <c r="F238" s="10">
        <f t="shared" si="3"/>
        <v>56000</v>
      </c>
    </row>
    <row r="239" spans="1:6" x14ac:dyDescent="0.25">
      <c r="A239" s="9"/>
      <c r="B239" s="9"/>
      <c r="C239" s="5">
        <v>100</v>
      </c>
      <c r="D239" s="9" t="s">
        <v>12</v>
      </c>
      <c r="E239" s="10">
        <v>135</v>
      </c>
      <c r="F239" s="10">
        <f t="shared" si="3"/>
        <v>13500</v>
      </c>
    </row>
    <row r="240" spans="1:6" x14ac:dyDescent="0.25">
      <c r="A240" s="9"/>
      <c r="B240" s="9"/>
      <c r="C240" s="5">
        <v>20</v>
      </c>
      <c r="D240" s="9" t="s">
        <v>14</v>
      </c>
      <c r="E240" s="10">
        <v>140</v>
      </c>
      <c r="F240" s="10">
        <f t="shared" si="3"/>
        <v>2800</v>
      </c>
    </row>
    <row r="241" spans="1:6" x14ac:dyDescent="0.25">
      <c r="A241" s="9"/>
      <c r="B241" s="9"/>
      <c r="C241" s="5">
        <v>80</v>
      </c>
      <c r="D241" s="9" t="s">
        <v>11</v>
      </c>
      <c r="E241" s="10">
        <v>135</v>
      </c>
      <c r="F241" s="10">
        <f t="shared" si="3"/>
        <v>10800</v>
      </c>
    </row>
    <row r="242" spans="1:6" x14ac:dyDescent="0.25">
      <c r="A242" s="9"/>
      <c r="B242" s="9"/>
      <c r="D242" s="9"/>
      <c r="E242" s="10"/>
      <c r="F242" s="8">
        <f>SUM(F238:F241)</f>
        <v>83100</v>
      </c>
    </row>
    <row r="243" spans="1:6" x14ac:dyDescent="0.25">
      <c r="A243" s="9"/>
      <c r="B243" s="9"/>
      <c r="D243" s="9"/>
      <c r="E243" s="10"/>
      <c r="F243" s="10"/>
    </row>
    <row r="244" spans="1:6" x14ac:dyDescent="0.25">
      <c r="A244" s="9" t="s">
        <v>73</v>
      </c>
      <c r="B244" s="4">
        <v>45661</v>
      </c>
      <c r="C244" s="5">
        <v>5</v>
      </c>
      <c r="D244" s="9" t="s">
        <v>13</v>
      </c>
      <c r="E244" s="10">
        <v>150</v>
      </c>
      <c r="F244" s="10">
        <f t="shared" si="3"/>
        <v>750</v>
      </c>
    </row>
    <row r="245" spans="1:6" x14ac:dyDescent="0.25">
      <c r="A245" s="9"/>
      <c r="B245" s="9"/>
      <c r="D245" s="9"/>
      <c r="E245" s="10"/>
      <c r="F245" s="8">
        <f>SUM(F244)</f>
        <v>750</v>
      </c>
    </row>
    <row r="246" spans="1:6" x14ac:dyDescent="0.25">
      <c r="A246" s="9"/>
      <c r="B246" s="9"/>
      <c r="D246" s="9"/>
      <c r="E246" s="10"/>
      <c r="F246" s="10"/>
    </row>
    <row r="247" spans="1:6" x14ac:dyDescent="0.25">
      <c r="A247" s="9" t="s">
        <v>29</v>
      </c>
      <c r="B247" s="4">
        <v>45661</v>
      </c>
      <c r="C247" s="5">
        <v>1</v>
      </c>
      <c r="D247" s="9" t="s">
        <v>49</v>
      </c>
      <c r="E247" s="10">
        <v>170</v>
      </c>
      <c r="F247" s="10">
        <f t="shared" si="3"/>
        <v>170</v>
      </c>
    </row>
    <row r="248" spans="1:6" x14ac:dyDescent="0.25">
      <c r="A248" s="9"/>
      <c r="B248" s="9"/>
      <c r="C248" s="5">
        <v>1</v>
      </c>
      <c r="D248" s="9" t="s">
        <v>8</v>
      </c>
      <c r="E248" s="10">
        <v>170</v>
      </c>
      <c r="F248" s="10">
        <f t="shared" si="3"/>
        <v>170</v>
      </c>
    </row>
    <row r="249" spans="1:6" x14ac:dyDescent="0.25">
      <c r="A249" s="9"/>
      <c r="B249" s="9"/>
      <c r="C249" s="5">
        <v>1</v>
      </c>
      <c r="D249" s="9" t="s">
        <v>8</v>
      </c>
      <c r="E249" s="10">
        <v>150</v>
      </c>
      <c r="F249" s="10">
        <f t="shared" si="3"/>
        <v>150</v>
      </c>
    </row>
    <row r="250" spans="1:6" x14ac:dyDescent="0.25">
      <c r="A250" s="9"/>
      <c r="B250" s="9"/>
      <c r="D250" s="9"/>
      <c r="E250" s="10"/>
      <c r="F250" s="8">
        <f>SUM(F247:F249)</f>
        <v>490</v>
      </c>
    </row>
    <row r="251" spans="1:6" x14ac:dyDescent="0.25">
      <c r="A251" s="9"/>
      <c r="B251" s="9"/>
      <c r="D251" s="9"/>
      <c r="E251" s="10"/>
      <c r="F251" s="10"/>
    </row>
    <row r="252" spans="1:6" x14ac:dyDescent="0.25">
      <c r="A252" s="9" t="s">
        <v>7</v>
      </c>
      <c r="B252" s="4">
        <v>45661</v>
      </c>
      <c r="C252" s="5">
        <v>2</v>
      </c>
      <c r="D252" s="9" t="s">
        <v>74</v>
      </c>
      <c r="E252" s="10">
        <v>150</v>
      </c>
      <c r="F252" s="10">
        <f t="shared" si="3"/>
        <v>300</v>
      </c>
    </row>
    <row r="253" spans="1:6" x14ac:dyDescent="0.25">
      <c r="A253" s="9"/>
      <c r="B253" s="9"/>
      <c r="C253" s="5">
        <v>1</v>
      </c>
      <c r="D253" s="9" t="s">
        <v>12</v>
      </c>
      <c r="E253" s="10">
        <v>150</v>
      </c>
      <c r="F253" s="10">
        <f t="shared" si="3"/>
        <v>150</v>
      </c>
    </row>
    <row r="254" spans="1:6" x14ac:dyDescent="0.25">
      <c r="A254" s="9"/>
      <c r="B254" s="9"/>
      <c r="C254" s="5">
        <v>1</v>
      </c>
      <c r="D254" s="9" t="s">
        <v>8</v>
      </c>
      <c r="E254" s="10">
        <v>170</v>
      </c>
      <c r="F254" s="10">
        <f t="shared" si="3"/>
        <v>170</v>
      </c>
    </row>
    <row r="255" spans="1:6" x14ac:dyDescent="0.25">
      <c r="A255" s="9"/>
      <c r="B255" s="9"/>
      <c r="C255" s="5">
        <v>2</v>
      </c>
      <c r="D255" s="9" t="s">
        <v>75</v>
      </c>
      <c r="E255" s="10">
        <v>150</v>
      </c>
      <c r="F255" s="10">
        <f t="shared" si="3"/>
        <v>300</v>
      </c>
    </row>
    <row r="256" spans="1:6" x14ac:dyDescent="0.25">
      <c r="A256" s="9"/>
      <c r="B256" s="9"/>
      <c r="D256" s="9"/>
      <c r="E256" s="10"/>
      <c r="F256" s="8">
        <f>SUM(F252:F255)</f>
        <v>920</v>
      </c>
    </row>
    <row r="257" spans="1:6" x14ac:dyDescent="0.25">
      <c r="A257" s="9"/>
      <c r="B257" s="9"/>
      <c r="D257" s="9"/>
      <c r="E257" s="10"/>
      <c r="F257" s="10"/>
    </row>
    <row r="258" spans="1:6" x14ac:dyDescent="0.25">
      <c r="A258" s="9" t="s">
        <v>76</v>
      </c>
      <c r="B258" s="4">
        <v>45662</v>
      </c>
      <c r="C258" s="5">
        <v>210</v>
      </c>
      <c r="D258" s="9" t="s">
        <v>13</v>
      </c>
      <c r="E258" s="10">
        <v>135</v>
      </c>
      <c r="F258" s="10">
        <f t="shared" si="3"/>
        <v>28350</v>
      </c>
    </row>
    <row r="259" spans="1:6" x14ac:dyDescent="0.25">
      <c r="A259" s="9"/>
      <c r="B259" s="9"/>
      <c r="C259" s="5">
        <v>90</v>
      </c>
      <c r="D259" s="9" t="s">
        <v>12</v>
      </c>
      <c r="E259" s="10">
        <v>130</v>
      </c>
      <c r="F259" s="10">
        <f t="shared" si="3"/>
        <v>11700</v>
      </c>
    </row>
    <row r="260" spans="1:6" x14ac:dyDescent="0.25">
      <c r="A260" s="9"/>
      <c r="B260" s="9"/>
      <c r="C260" s="5">
        <v>20</v>
      </c>
      <c r="D260" s="9" t="s">
        <v>8</v>
      </c>
      <c r="E260" s="10">
        <v>130</v>
      </c>
      <c r="F260" s="10">
        <f t="shared" ref="F260:F321" si="4">+C260*E260</f>
        <v>2600</v>
      </c>
    </row>
    <row r="261" spans="1:6" x14ac:dyDescent="0.25">
      <c r="A261" s="9"/>
      <c r="B261" s="9"/>
      <c r="D261" s="9"/>
      <c r="E261" s="10"/>
      <c r="F261" s="8">
        <f>SUM(F258:F260)</f>
        <v>42650</v>
      </c>
    </row>
    <row r="262" spans="1:6" x14ac:dyDescent="0.25">
      <c r="A262" s="9"/>
      <c r="B262" s="9"/>
      <c r="D262" s="9"/>
      <c r="E262" s="10"/>
      <c r="F262" s="10"/>
    </row>
    <row r="263" spans="1:6" x14ac:dyDescent="0.25">
      <c r="A263" s="9" t="s">
        <v>29</v>
      </c>
      <c r="B263" s="4">
        <v>45662</v>
      </c>
      <c r="C263" s="5">
        <v>110</v>
      </c>
      <c r="D263" s="9" t="s">
        <v>13</v>
      </c>
      <c r="E263" s="10">
        <v>140</v>
      </c>
      <c r="F263" s="10">
        <f t="shared" si="4"/>
        <v>15400</v>
      </c>
    </row>
    <row r="264" spans="1:6" x14ac:dyDescent="0.25">
      <c r="A264" s="9"/>
      <c r="B264" s="9"/>
      <c r="C264" s="5">
        <v>2</v>
      </c>
      <c r="D264" s="9" t="s">
        <v>8</v>
      </c>
      <c r="E264" s="10">
        <v>150</v>
      </c>
      <c r="F264" s="10">
        <f t="shared" si="4"/>
        <v>300</v>
      </c>
    </row>
    <row r="265" spans="1:6" x14ac:dyDescent="0.25">
      <c r="A265" s="9"/>
      <c r="B265" s="9"/>
      <c r="C265" s="5">
        <v>3</v>
      </c>
      <c r="D265" s="9" t="s">
        <v>77</v>
      </c>
      <c r="E265" s="10">
        <v>165</v>
      </c>
      <c r="F265" s="10">
        <f t="shared" si="4"/>
        <v>495</v>
      </c>
    </row>
    <row r="266" spans="1:6" x14ac:dyDescent="0.25">
      <c r="A266" s="9"/>
      <c r="B266" s="9"/>
      <c r="C266" s="5">
        <v>1</v>
      </c>
      <c r="D266" s="9" t="s">
        <v>54</v>
      </c>
      <c r="E266" s="10">
        <v>0</v>
      </c>
      <c r="F266" s="10">
        <f t="shared" si="4"/>
        <v>0</v>
      </c>
    </row>
    <row r="267" spans="1:6" x14ac:dyDescent="0.25">
      <c r="A267" s="9"/>
      <c r="B267" s="9"/>
      <c r="D267" s="9"/>
      <c r="E267" s="10"/>
      <c r="F267" s="8">
        <f>SUM(F263:F266)</f>
        <v>16195</v>
      </c>
    </row>
    <row r="268" spans="1:6" x14ac:dyDescent="0.25">
      <c r="A268" s="9"/>
      <c r="B268" s="9"/>
      <c r="D268" s="9"/>
      <c r="E268" s="10"/>
      <c r="F268" s="10"/>
    </row>
    <row r="269" spans="1:6" x14ac:dyDescent="0.25">
      <c r="A269" s="9" t="s">
        <v>7</v>
      </c>
      <c r="B269" s="4">
        <v>45662</v>
      </c>
      <c r="C269" s="5">
        <v>1</v>
      </c>
      <c r="D269" s="9" t="s">
        <v>78</v>
      </c>
      <c r="E269" s="10">
        <v>100</v>
      </c>
      <c r="F269" s="10">
        <f t="shared" si="4"/>
        <v>100</v>
      </c>
    </row>
    <row r="270" spans="1:6" x14ac:dyDescent="0.25">
      <c r="A270" s="9"/>
      <c r="B270" s="9"/>
      <c r="D270" s="9"/>
      <c r="E270" s="10"/>
      <c r="F270" s="8">
        <f>SUM(F269)</f>
        <v>100</v>
      </c>
    </row>
    <row r="271" spans="1:6" x14ac:dyDescent="0.25">
      <c r="A271" s="9"/>
      <c r="B271" s="9"/>
      <c r="D271" s="9"/>
      <c r="E271" s="10"/>
      <c r="F271" s="10"/>
    </row>
    <row r="272" spans="1:6" x14ac:dyDescent="0.25">
      <c r="A272" s="9" t="s">
        <v>15</v>
      </c>
      <c r="B272" s="4">
        <v>45663</v>
      </c>
      <c r="C272" s="5">
        <v>80</v>
      </c>
      <c r="D272" s="9" t="s">
        <v>36</v>
      </c>
      <c r="E272" s="10">
        <v>100</v>
      </c>
      <c r="F272" s="10">
        <f t="shared" si="4"/>
        <v>8000</v>
      </c>
    </row>
    <row r="273" spans="1:6" x14ac:dyDescent="0.25">
      <c r="A273" s="9"/>
      <c r="B273" s="9"/>
      <c r="D273" s="9"/>
      <c r="E273" s="10"/>
      <c r="F273" s="8">
        <f>SUM(F272)</f>
        <v>8000</v>
      </c>
    </row>
    <row r="274" spans="1:6" x14ac:dyDescent="0.25">
      <c r="A274" s="9"/>
      <c r="B274" s="9"/>
      <c r="D274" s="9"/>
      <c r="E274" s="10"/>
      <c r="F274" s="10"/>
    </row>
    <row r="275" spans="1:6" x14ac:dyDescent="0.25">
      <c r="A275" s="9" t="s">
        <v>79</v>
      </c>
      <c r="B275" s="4">
        <v>45663</v>
      </c>
      <c r="C275" s="5">
        <v>30</v>
      </c>
      <c r="D275" s="9" t="s">
        <v>13</v>
      </c>
      <c r="E275" s="10">
        <v>155</v>
      </c>
      <c r="F275" s="10">
        <f t="shared" si="4"/>
        <v>4650</v>
      </c>
    </row>
    <row r="276" spans="1:6" x14ac:dyDescent="0.25">
      <c r="A276" s="9"/>
      <c r="B276" s="9"/>
      <c r="D276" s="9"/>
      <c r="E276" s="10"/>
      <c r="F276" s="8">
        <f>SUM(F275)</f>
        <v>4650</v>
      </c>
    </row>
    <row r="277" spans="1:6" x14ac:dyDescent="0.25">
      <c r="A277" s="9"/>
      <c r="B277" s="9"/>
      <c r="D277" s="9"/>
      <c r="E277" s="10"/>
      <c r="F277" s="10"/>
    </row>
    <row r="278" spans="1:6" x14ac:dyDescent="0.25">
      <c r="A278" s="9" t="s">
        <v>17</v>
      </c>
      <c r="B278" s="4">
        <v>45663</v>
      </c>
      <c r="C278" s="5">
        <v>10</v>
      </c>
      <c r="D278" s="9" t="s">
        <v>13</v>
      </c>
      <c r="E278" s="10">
        <v>155</v>
      </c>
      <c r="F278" s="10">
        <f t="shared" si="4"/>
        <v>1550</v>
      </c>
    </row>
    <row r="279" spans="1:6" x14ac:dyDescent="0.25">
      <c r="A279" s="9"/>
      <c r="B279" s="9"/>
      <c r="D279" s="9"/>
      <c r="E279" s="10"/>
      <c r="F279" s="8">
        <f>SUM(F278)</f>
        <v>1550</v>
      </c>
    </row>
    <row r="280" spans="1:6" x14ac:dyDescent="0.25">
      <c r="A280" s="9"/>
      <c r="B280" s="9"/>
      <c r="D280" s="9"/>
      <c r="E280" s="10"/>
      <c r="F280" s="10"/>
    </row>
    <row r="281" spans="1:6" x14ac:dyDescent="0.25">
      <c r="A281" s="9" t="s">
        <v>21</v>
      </c>
      <c r="B281" s="4">
        <v>45663</v>
      </c>
      <c r="C281" s="5">
        <v>20</v>
      </c>
      <c r="D281" s="9" t="s">
        <v>13</v>
      </c>
      <c r="E281" s="10">
        <v>150</v>
      </c>
      <c r="F281" s="10">
        <f t="shared" si="4"/>
        <v>3000</v>
      </c>
    </row>
    <row r="282" spans="1:6" x14ac:dyDescent="0.25">
      <c r="A282" s="9"/>
      <c r="B282" s="9"/>
      <c r="C282" s="5">
        <v>7</v>
      </c>
      <c r="D282" s="9" t="s">
        <v>22</v>
      </c>
      <c r="E282" s="10">
        <v>125</v>
      </c>
      <c r="F282" s="10">
        <f t="shared" si="4"/>
        <v>875</v>
      </c>
    </row>
    <row r="283" spans="1:6" x14ac:dyDescent="0.25">
      <c r="A283" s="9"/>
      <c r="B283" s="9"/>
      <c r="D283" s="9"/>
      <c r="E283" s="10"/>
      <c r="F283" s="8">
        <f>SUM(F281:F282)</f>
        <v>3875</v>
      </c>
    </row>
    <row r="284" spans="1:6" x14ac:dyDescent="0.25">
      <c r="A284" s="9"/>
      <c r="B284" s="9"/>
      <c r="D284" s="9"/>
      <c r="E284" s="10"/>
      <c r="F284" s="10"/>
    </row>
    <row r="285" spans="1:6" x14ac:dyDescent="0.25">
      <c r="A285" s="9" t="s">
        <v>57</v>
      </c>
      <c r="B285" s="4">
        <v>45663</v>
      </c>
      <c r="C285" s="5">
        <v>14</v>
      </c>
      <c r="D285" s="9" t="s">
        <v>13</v>
      </c>
      <c r="E285" s="10">
        <v>155</v>
      </c>
      <c r="F285" s="10">
        <f t="shared" si="4"/>
        <v>2170</v>
      </c>
    </row>
    <row r="286" spans="1:6" x14ac:dyDescent="0.25">
      <c r="A286" s="9"/>
      <c r="B286" s="9"/>
      <c r="D286" s="9"/>
      <c r="E286" s="10"/>
      <c r="F286" s="8">
        <f>SUM(F285)</f>
        <v>2170</v>
      </c>
    </row>
    <row r="287" spans="1:6" x14ac:dyDescent="0.25">
      <c r="A287" s="9"/>
      <c r="B287" s="9"/>
      <c r="D287" s="9"/>
      <c r="E287" s="10"/>
      <c r="F287" s="10"/>
    </row>
    <row r="288" spans="1:6" x14ac:dyDescent="0.25">
      <c r="A288" s="9" t="s">
        <v>23</v>
      </c>
      <c r="B288" s="4">
        <v>45663</v>
      </c>
      <c r="C288" s="5">
        <v>10</v>
      </c>
      <c r="D288" s="9" t="s">
        <v>13</v>
      </c>
      <c r="E288" s="10">
        <v>155</v>
      </c>
      <c r="F288" s="10">
        <f t="shared" si="4"/>
        <v>1550</v>
      </c>
    </row>
    <row r="289" spans="1:6" x14ac:dyDescent="0.25">
      <c r="A289" s="9"/>
      <c r="B289" s="9"/>
      <c r="C289" s="5">
        <v>10</v>
      </c>
      <c r="D289" s="9" t="s">
        <v>22</v>
      </c>
      <c r="E289" s="10">
        <v>130</v>
      </c>
      <c r="F289" s="10">
        <f t="shared" si="4"/>
        <v>1300</v>
      </c>
    </row>
    <row r="290" spans="1:6" x14ac:dyDescent="0.25">
      <c r="A290" s="9"/>
      <c r="B290" s="9"/>
      <c r="D290" s="9"/>
      <c r="E290" s="10"/>
      <c r="F290" s="8">
        <f>SUM(F288:F289)</f>
        <v>2850</v>
      </c>
    </row>
    <row r="291" spans="1:6" x14ac:dyDescent="0.25">
      <c r="A291" s="9"/>
      <c r="B291" s="9"/>
      <c r="D291" s="9"/>
      <c r="E291" s="10"/>
      <c r="F291" s="10"/>
    </row>
    <row r="292" spans="1:6" x14ac:dyDescent="0.25">
      <c r="A292" s="9" t="s">
        <v>80</v>
      </c>
      <c r="B292" s="4">
        <v>45663</v>
      </c>
      <c r="C292" s="5">
        <v>10</v>
      </c>
      <c r="D292" s="9" t="s">
        <v>13</v>
      </c>
      <c r="E292" s="10">
        <v>155</v>
      </c>
      <c r="F292" s="10">
        <f t="shared" si="4"/>
        <v>1550</v>
      </c>
    </row>
    <row r="293" spans="1:6" x14ac:dyDescent="0.25">
      <c r="A293" s="9"/>
      <c r="B293" s="9"/>
      <c r="D293" s="9"/>
      <c r="E293" s="10"/>
      <c r="F293" s="8">
        <f>SUM(F292)</f>
        <v>1550</v>
      </c>
    </row>
    <row r="294" spans="1:6" x14ac:dyDescent="0.25">
      <c r="A294" s="9"/>
      <c r="B294" s="9"/>
      <c r="D294" s="9"/>
      <c r="E294" s="10"/>
      <c r="F294" s="10"/>
    </row>
    <row r="295" spans="1:6" x14ac:dyDescent="0.25">
      <c r="A295" s="9" t="s">
        <v>40</v>
      </c>
      <c r="B295" s="4">
        <v>45663</v>
      </c>
      <c r="C295" s="5">
        <v>16</v>
      </c>
      <c r="D295" s="9" t="s">
        <v>13</v>
      </c>
      <c r="E295" s="10">
        <v>145</v>
      </c>
      <c r="F295" s="10">
        <f t="shared" si="4"/>
        <v>2320</v>
      </c>
    </row>
    <row r="296" spans="1:6" x14ac:dyDescent="0.25">
      <c r="A296" s="9"/>
      <c r="B296" s="9"/>
      <c r="C296" s="5">
        <v>9</v>
      </c>
      <c r="D296" s="9" t="s">
        <v>14</v>
      </c>
      <c r="E296" s="10">
        <v>135</v>
      </c>
      <c r="F296" s="10">
        <f t="shared" si="4"/>
        <v>1215</v>
      </c>
    </row>
    <row r="297" spans="1:6" x14ac:dyDescent="0.25">
      <c r="A297" s="9"/>
      <c r="B297" s="9"/>
      <c r="C297" s="5">
        <v>16</v>
      </c>
      <c r="D297" s="9" t="s">
        <v>12</v>
      </c>
      <c r="E297" s="10">
        <v>135</v>
      </c>
      <c r="F297" s="10">
        <f t="shared" si="4"/>
        <v>2160</v>
      </c>
    </row>
    <row r="298" spans="1:6" x14ac:dyDescent="0.25">
      <c r="A298" s="9"/>
      <c r="B298" s="9"/>
      <c r="C298" s="5">
        <v>15</v>
      </c>
      <c r="D298" s="9" t="s">
        <v>11</v>
      </c>
      <c r="E298" s="10">
        <v>125</v>
      </c>
      <c r="F298" s="10">
        <f t="shared" si="4"/>
        <v>1875</v>
      </c>
    </row>
    <row r="299" spans="1:6" x14ac:dyDescent="0.25">
      <c r="A299" s="9"/>
      <c r="B299" s="9"/>
      <c r="C299" s="5">
        <v>2</v>
      </c>
      <c r="D299" s="9" t="s">
        <v>22</v>
      </c>
      <c r="E299" s="10">
        <v>125</v>
      </c>
      <c r="F299" s="10">
        <f t="shared" si="4"/>
        <v>250</v>
      </c>
    </row>
    <row r="300" spans="1:6" x14ac:dyDescent="0.25">
      <c r="A300" s="9"/>
      <c r="B300" s="9"/>
      <c r="D300" s="9"/>
      <c r="E300" s="10"/>
      <c r="F300" s="8">
        <f>SUM(F295:F299)</f>
        <v>7820</v>
      </c>
    </row>
    <row r="301" spans="1:6" x14ac:dyDescent="0.25">
      <c r="A301" s="9"/>
      <c r="B301" s="9"/>
      <c r="D301" s="9"/>
      <c r="E301" s="10"/>
      <c r="F301" s="10"/>
    </row>
    <row r="302" spans="1:6" x14ac:dyDescent="0.25">
      <c r="A302" s="9" t="s">
        <v>58</v>
      </c>
      <c r="B302" s="4">
        <v>45663</v>
      </c>
      <c r="C302" s="5">
        <v>6</v>
      </c>
      <c r="D302" s="9" t="s">
        <v>13</v>
      </c>
      <c r="E302" s="10">
        <v>150</v>
      </c>
      <c r="F302" s="10">
        <f t="shared" si="4"/>
        <v>900</v>
      </c>
    </row>
    <row r="303" spans="1:6" x14ac:dyDescent="0.25">
      <c r="A303" s="9"/>
      <c r="B303" s="9"/>
      <c r="D303" s="9"/>
      <c r="E303" s="10"/>
      <c r="F303" s="8">
        <f>SUM(F302)</f>
        <v>900</v>
      </c>
    </row>
    <row r="304" spans="1:6" x14ac:dyDescent="0.25">
      <c r="A304" s="9"/>
      <c r="B304" s="9"/>
      <c r="D304" s="9"/>
      <c r="E304" s="10"/>
      <c r="F304" s="10"/>
    </row>
    <row r="305" spans="1:6" x14ac:dyDescent="0.25">
      <c r="A305" s="9" t="s">
        <v>81</v>
      </c>
      <c r="B305" s="4">
        <v>45663</v>
      </c>
      <c r="C305" s="5">
        <v>5</v>
      </c>
      <c r="D305" s="9" t="s">
        <v>13</v>
      </c>
      <c r="E305" s="10">
        <v>155</v>
      </c>
      <c r="F305" s="10">
        <f t="shared" si="4"/>
        <v>775</v>
      </c>
    </row>
    <row r="306" spans="1:6" x14ac:dyDescent="0.25">
      <c r="A306" s="9"/>
      <c r="B306" s="9"/>
      <c r="D306" s="9"/>
      <c r="E306" s="10"/>
      <c r="F306" s="8">
        <f>SUM(F305)</f>
        <v>775</v>
      </c>
    </row>
    <row r="307" spans="1:6" x14ac:dyDescent="0.25">
      <c r="A307" s="9"/>
      <c r="B307" s="9"/>
      <c r="D307" s="9"/>
      <c r="E307" s="10"/>
      <c r="F307" s="10"/>
    </row>
    <row r="308" spans="1:6" x14ac:dyDescent="0.25">
      <c r="A308" s="9" t="s">
        <v>41</v>
      </c>
      <c r="B308" s="4">
        <v>45663</v>
      </c>
      <c r="C308" s="5">
        <v>45</v>
      </c>
      <c r="D308" s="9" t="s">
        <v>82</v>
      </c>
      <c r="E308" s="10">
        <v>140</v>
      </c>
      <c r="F308" s="10">
        <f t="shared" si="4"/>
        <v>6300</v>
      </c>
    </row>
    <row r="309" spans="1:6" x14ac:dyDescent="0.25">
      <c r="A309" s="9"/>
      <c r="B309" s="9"/>
      <c r="D309" s="9"/>
      <c r="E309" s="10"/>
      <c r="F309" s="8">
        <f>SUM(F308)</f>
        <v>6300</v>
      </c>
    </row>
    <row r="310" spans="1:6" x14ac:dyDescent="0.25">
      <c r="A310" s="9"/>
      <c r="B310" s="9"/>
      <c r="D310" s="9"/>
      <c r="E310" s="10"/>
      <c r="F310" s="10"/>
    </row>
    <row r="311" spans="1:6" x14ac:dyDescent="0.25">
      <c r="A311" s="9" t="s">
        <v>83</v>
      </c>
      <c r="B311" s="4">
        <v>45663</v>
      </c>
      <c r="C311" s="5">
        <v>10</v>
      </c>
      <c r="D311" s="9" t="s">
        <v>14</v>
      </c>
      <c r="E311" s="10">
        <v>140</v>
      </c>
      <c r="F311" s="10">
        <f t="shared" si="4"/>
        <v>1400</v>
      </c>
    </row>
    <row r="312" spans="1:6" x14ac:dyDescent="0.25">
      <c r="A312" s="9"/>
      <c r="B312" s="9"/>
      <c r="D312" s="9"/>
      <c r="E312" s="10"/>
      <c r="F312" s="8">
        <f>SUM(F311)</f>
        <v>1400</v>
      </c>
    </row>
    <row r="313" spans="1:6" x14ac:dyDescent="0.25">
      <c r="A313" s="9"/>
      <c r="B313" s="9"/>
      <c r="D313" s="9"/>
      <c r="E313" s="10"/>
      <c r="F313" s="10"/>
    </row>
    <row r="314" spans="1:6" x14ac:dyDescent="0.25">
      <c r="A314" s="9" t="s">
        <v>84</v>
      </c>
      <c r="B314" s="4">
        <v>45663</v>
      </c>
      <c r="C314" s="5">
        <v>80</v>
      </c>
      <c r="D314" s="9" t="s">
        <v>12</v>
      </c>
      <c r="E314" s="10">
        <v>140</v>
      </c>
      <c r="F314" s="10">
        <f t="shared" si="4"/>
        <v>11200</v>
      </c>
    </row>
    <row r="315" spans="1:6" x14ac:dyDescent="0.25">
      <c r="A315" s="9"/>
      <c r="B315" s="9"/>
      <c r="C315" s="5">
        <v>10</v>
      </c>
      <c r="D315" s="9"/>
      <c r="E315" s="10">
        <v>140</v>
      </c>
      <c r="F315" s="10">
        <f t="shared" si="4"/>
        <v>1400</v>
      </c>
    </row>
    <row r="316" spans="1:6" x14ac:dyDescent="0.25">
      <c r="A316" s="9"/>
      <c r="B316" s="9"/>
      <c r="D316" s="9"/>
      <c r="E316" s="10"/>
      <c r="F316" s="8">
        <f>SUM(F314:F315)</f>
        <v>12600</v>
      </c>
    </row>
    <row r="317" spans="1:6" x14ac:dyDescent="0.25">
      <c r="A317" s="9"/>
      <c r="B317" s="9"/>
      <c r="D317" s="9"/>
      <c r="E317" s="10"/>
      <c r="F317" s="10"/>
    </row>
    <row r="318" spans="1:6" x14ac:dyDescent="0.25">
      <c r="A318" s="9" t="s">
        <v>43</v>
      </c>
      <c r="B318" s="4">
        <v>45663</v>
      </c>
      <c r="C318" s="5">
        <v>20</v>
      </c>
      <c r="D318" s="9" t="s">
        <v>14</v>
      </c>
      <c r="E318" s="10">
        <v>140</v>
      </c>
      <c r="F318" s="10">
        <f t="shared" si="4"/>
        <v>2800</v>
      </c>
    </row>
    <row r="319" spans="1:6" x14ac:dyDescent="0.25">
      <c r="A319" s="9"/>
      <c r="B319" s="9"/>
      <c r="D319" s="9"/>
      <c r="E319" s="10"/>
      <c r="F319" s="8">
        <f>SUM(F318)</f>
        <v>2800</v>
      </c>
    </row>
    <row r="320" spans="1:6" x14ac:dyDescent="0.25">
      <c r="A320" s="9"/>
      <c r="B320" s="9"/>
      <c r="D320" s="9"/>
      <c r="E320" s="10"/>
      <c r="F320" s="10"/>
    </row>
    <row r="321" spans="1:6" x14ac:dyDescent="0.25">
      <c r="A321" s="9" t="s">
        <v>85</v>
      </c>
      <c r="B321" s="4">
        <v>45663</v>
      </c>
      <c r="C321" s="5">
        <v>70</v>
      </c>
      <c r="D321" s="9" t="s">
        <v>14</v>
      </c>
      <c r="E321" s="10">
        <v>140</v>
      </c>
      <c r="F321" s="10">
        <f t="shared" si="4"/>
        <v>9800</v>
      </c>
    </row>
    <row r="322" spans="1:6" x14ac:dyDescent="0.25">
      <c r="A322" s="9"/>
      <c r="B322" s="9"/>
      <c r="D322" s="9"/>
      <c r="E322" s="10"/>
      <c r="F322" s="8">
        <f>SUM(F321)</f>
        <v>9800</v>
      </c>
    </row>
    <row r="323" spans="1:6" x14ac:dyDescent="0.25">
      <c r="A323" s="9"/>
      <c r="B323" s="9"/>
      <c r="D323" s="9"/>
      <c r="E323" s="10"/>
      <c r="F323" s="10"/>
    </row>
    <row r="324" spans="1:6" x14ac:dyDescent="0.25">
      <c r="A324" s="9" t="s">
        <v>18</v>
      </c>
      <c r="B324" s="4">
        <v>45663</v>
      </c>
      <c r="C324" s="5">
        <v>20</v>
      </c>
      <c r="D324" s="9" t="s">
        <v>14</v>
      </c>
      <c r="E324" s="10">
        <v>140</v>
      </c>
      <c r="F324" s="10">
        <f t="shared" ref="F324:F385" si="5">+C324*E324</f>
        <v>2800</v>
      </c>
    </row>
    <row r="325" spans="1:6" x14ac:dyDescent="0.25">
      <c r="A325" s="9"/>
      <c r="B325" s="9"/>
      <c r="C325" s="5">
        <v>10</v>
      </c>
      <c r="D325" s="9" t="s">
        <v>13</v>
      </c>
      <c r="E325" s="10">
        <v>140</v>
      </c>
      <c r="F325" s="10">
        <f t="shared" si="5"/>
        <v>1400</v>
      </c>
    </row>
    <row r="326" spans="1:6" x14ac:dyDescent="0.25">
      <c r="A326" s="9"/>
      <c r="B326" s="9"/>
      <c r="D326" s="9"/>
      <c r="E326" s="10"/>
      <c r="F326" s="8">
        <f>SUM(F324:F325)</f>
        <v>4200</v>
      </c>
    </row>
    <row r="327" spans="1:6" x14ac:dyDescent="0.25">
      <c r="A327" s="9"/>
      <c r="B327" s="9"/>
      <c r="D327" s="9"/>
      <c r="E327" s="10"/>
      <c r="F327" s="10"/>
    </row>
    <row r="328" spans="1:6" x14ac:dyDescent="0.25">
      <c r="A328" s="9" t="s">
        <v>46</v>
      </c>
      <c r="B328" s="4">
        <v>45663</v>
      </c>
      <c r="C328" s="5">
        <v>30</v>
      </c>
      <c r="D328" s="9" t="s">
        <v>86</v>
      </c>
      <c r="E328" s="10">
        <v>140</v>
      </c>
      <c r="F328" s="10">
        <f t="shared" si="5"/>
        <v>4200</v>
      </c>
    </row>
    <row r="329" spans="1:6" x14ac:dyDescent="0.25">
      <c r="A329" s="9"/>
      <c r="B329" s="9"/>
      <c r="D329" s="9"/>
      <c r="E329" s="10"/>
      <c r="F329" s="8">
        <f>SUM(F328)</f>
        <v>4200</v>
      </c>
    </row>
    <row r="330" spans="1:6" x14ac:dyDescent="0.25">
      <c r="A330" s="9"/>
      <c r="B330" s="9"/>
      <c r="D330" s="9"/>
      <c r="E330" s="10"/>
      <c r="F330" s="10"/>
    </row>
    <row r="331" spans="1:6" x14ac:dyDescent="0.25">
      <c r="A331" s="9" t="s">
        <v>47</v>
      </c>
      <c r="B331" s="4">
        <v>45663</v>
      </c>
      <c r="C331" s="5">
        <v>42</v>
      </c>
      <c r="D331" s="9" t="s">
        <v>14</v>
      </c>
      <c r="E331" s="10">
        <v>140</v>
      </c>
      <c r="F331" s="10">
        <f t="shared" si="5"/>
        <v>5880</v>
      </c>
    </row>
    <row r="332" spans="1:6" x14ac:dyDescent="0.25">
      <c r="A332" s="9"/>
      <c r="B332" s="9"/>
      <c r="D332" s="9"/>
      <c r="E332" s="10"/>
      <c r="F332" s="8">
        <f>SUM(F331)</f>
        <v>5880</v>
      </c>
    </row>
    <row r="333" spans="1:6" x14ac:dyDescent="0.25">
      <c r="A333" s="9"/>
      <c r="B333" s="9"/>
      <c r="D333" s="9"/>
      <c r="E333" s="10"/>
      <c r="F333" s="10"/>
    </row>
    <row r="334" spans="1:6" x14ac:dyDescent="0.25">
      <c r="A334" s="9" t="s">
        <v>45</v>
      </c>
      <c r="B334" s="4">
        <v>45663</v>
      </c>
      <c r="C334" s="5">
        <v>2</v>
      </c>
      <c r="D334" s="9" t="s">
        <v>14</v>
      </c>
      <c r="E334" s="10">
        <v>140</v>
      </c>
      <c r="F334" s="10">
        <f t="shared" si="5"/>
        <v>280</v>
      </c>
    </row>
    <row r="335" spans="1:6" x14ac:dyDescent="0.25">
      <c r="A335" s="9"/>
      <c r="B335" s="9"/>
      <c r="D335" s="9"/>
      <c r="E335" s="10"/>
      <c r="F335" s="8">
        <f>SUM(F334)</f>
        <v>280</v>
      </c>
    </row>
    <row r="336" spans="1:6" x14ac:dyDescent="0.25">
      <c r="A336" s="9"/>
      <c r="B336" s="9"/>
      <c r="D336" s="9"/>
      <c r="E336" s="10"/>
      <c r="F336" s="10"/>
    </row>
    <row r="337" spans="1:6" x14ac:dyDescent="0.25">
      <c r="A337" s="9" t="s">
        <v>87</v>
      </c>
      <c r="B337" s="4">
        <v>45663</v>
      </c>
      <c r="C337" s="5">
        <v>2</v>
      </c>
      <c r="D337" s="9" t="s">
        <v>13</v>
      </c>
      <c r="E337" s="10">
        <v>160</v>
      </c>
      <c r="F337" s="10">
        <f t="shared" si="5"/>
        <v>320</v>
      </c>
    </row>
    <row r="338" spans="1:6" x14ac:dyDescent="0.25">
      <c r="A338" s="9"/>
      <c r="B338" s="9"/>
      <c r="C338" s="5">
        <v>1</v>
      </c>
      <c r="D338" s="9" t="s">
        <v>8</v>
      </c>
      <c r="E338" s="10">
        <v>170</v>
      </c>
      <c r="F338" s="10">
        <f t="shared" si="5"/>
        <v>170</v>
      </c>
    </row>
    <row r="339" spans="1:6" x14ac:dyDescent="0.25">
      <c r="A339" s="9"/>
      <c r="B339" s="9"/>
      <c r="D339" s="9"/>
      <c r="E339" s="10"/>
      <c r="F339" s="8">
        <f>SUM(F337:F338)</f>
        <v>490</v>
      </c>
    </row>
    <row r="340" spans="1:6" x14ac:dyDescent="0.25">
      <c r="A340" s="9"/>
      <c r="B340" s="9"/>
      <c r="D340" s="9"/>
      <c r="E340" s="10"/>
      <c r="F340" s="10"/>
    </row>
    <row r="341" spans="1:6" x14ac:dyDescent="0.25">
      <c r="A341" s="9" t="s">
        <v>88</v>
      </c>
      <c r="B341" s="4">
        <v>45663</v>
      </c>
      <c r="C341" s="5">
        <v>20</v>
      </c>
      <c r="D341" s="9" t="s">
        <v>13</v>
      </c>
      <c r="E341" s="10">
        <v>155</v>
      </c>
      <c r="F341" s="10">
        <f t="shared" si="5"/>
        <v>3100</v>
      </c>
    </row>
    <row r="342" spans="1:6" x14ac:dyDescent="0.25">
      <c r="A342" s="9"/>
      <c r="B342" s="9"/>
      <c r="C342" s="5">
        <v>2</v>
      </c>
      <c r="D342" s="9" t="s">
        <v>14</v>
      </c>
      <c r="E342" s="10">
        <v>140</v>
      </c>
      <c r="F342" s="10">
        <f t="shared" si="5"/>
        <v>280</v>
      </c>
    </row>
    <row r="343" spans="1:6" x14ac:dyDescent="0.25">
      <c r="A343" s="9"/>
      <c r="B343" s="9"/>
      <c r="D343" s="9"/>
      <c r="E343" s="10"/>
      <c r="F343" s="8">
        <f>SUM(F341:F342)</f>
        <v>3380</v>
      </c>
    </row>
    <row r="344" spans="1:6" x14ac:dyDescent="0.25">
      <c r="A344" s="9"/>
      <c r="B344" s="9"/>
      <c r="D344" s="9"/>
      <c r="E344" s="10"/>
      <c r="F344" s="10"/>
    </row>
    <row r="345" spans="1:6" x14ac:dyDescent="0.25">
      <c r="A345" s="9" t="s">
        <v>89</v>
      </c>
      <c r="B345" s="4">
        <v>45663</v>
      </c>
      <c r="C345" s="5">
        <v>50</v>
      </c>
      <c r="D345" s="9" t="s">
        <v>13</v>
      </c>
      <c r="E345" s="10">
        <v>140</v>
      </c>
      <c r="F345" s="10">
        <f t="shared" si="5"/>
        <v>7000</v>
      </c>
    </row>
    <row r="346" spans="1:6" x14ac:dyDescent="0.25">
      <c r="A346" s="9"/>
      <c r="B346" s="9"/>
      <c r="C346" s="5">
        <v>40</v>
      </c>
      <c r="D346" s="9" t="s">
        <v>12</v>
      </c>
      <c r="E346" s="10">
        <v>135</v>
      </c>
      <c r="F346" s="10">
        <f t="shared" si="5"/>
        <v>5400</v>
      </c>
    </row>
    <row r="347" spans="1:6" x14ac:dyDescent="0.25">
      <c r="A347" s="9"/>
      <c r="B347" s="9"/>
      <c r="D347" s="9"/>
      <c r="E347" s="10"/>
      <c r="F347" s="8">
        <f>SUM(F345:F346)</f>
        <v>12400</v>
      </c>
    </row>
    <row r="348" spans="1:6" x14ac:dyDescent="0.25">
      <c r="A348" s="9"/>
      <c r="B348" s="9"/>
      <c r="D348" s="9"/>
      <c r="E348" s="10"/>
      <c r="F348" s="10"/>
    </row>
    <row r="349" spans="1:6" x14ac:dyDescent="0.25">
      <c r="A349" s="9" t="s">
        <v>90</v>
      </c>
      <c r="B349" s="4">
        <v>45663</v>
      </c>
      <c r="C349" s="5">
        <v>30</v>
      </c>
      <c r="D349" s="9" t="s">
        <v>13</v>
      </c>
      <c r="E349" s="10">
        <v>140</v>
      </c>
      <c r="F349" s="10">
        <f t="shared" si="5"/>
        <v>4200</v>
      </c>
    </row>
    <row r="350" spans="1:6" x14ac:dyDescent="0.25">
      <c r="A350" s="9"/>
      <c r="B350" s="9"/>
      <c r="D350" s="9"/>
      <c r="E350" s="10"/>
      <c r="F350" s="8">
        <f>SUM(F349)</f>
        <v>4200</v>
      </c>
    </row>
    <row r="351" spans="1:6" x14ac:dyDescent="0.25">
      <c r="A351" s="9"/>
      <c r="B351" s="9"/>
      <c r="D351" s="9"/>
      <c r="E351" s="10"/>
      <c r="F351" s="10"/>
    </row>
    <row r="352" spans="1:6" x14ac:dyDescent="0.25">
      <c r="A352" s="9" t="s">
        <v>26</v>
      </c>
      <c r="B352" s="4">
        <v>45663</v>
      </c>
      <c r="C352" s="5">
        <v>85</v>
      </c>
      <c r="D352" s="9" t="s">
        <v>13</v>
      </c>
      <c r="E352" s="10">
        <v>150</v>
      </c>
      <c r="F352" s="10">
        <f t="shared" si="5"/>
        <v>12750</v>
      </c>
    </row>
    <row r="353" spans="1:6" x14ac:dyDescent="0.25">
      <c r="A353" s="9"/>
      <c r="B353" s="9"/>
      <c r="C353" s="5">
        <v>15</v>
      </c>
      <c r="D353" s="9" t="s">
        <v>14</v>
      </c>
      <c r="E353" s="10">
        <v>135</v>
      </c>
      <c r="F353" s="10">
        <f t="shared" si="5"/>
        <v>2025</v>
      </c>
    </row>
    <row r="354" spans="1:6" x14ac:dyDescent="0.25">
      <c r="A354" s="9"/>
      <c r="B354" s="9"/>
      <c r="D354" s="9"/>
      <c r="E354" s="10"/>
      <c r="F354" s="8">
        <f>SUM(F352:F353)</f>
        <v>14775</v>
      </c>
    </row>
    <row r="355" spans="1:6" x14ac:dyDescent="0.25">
      <c r="A355" s="9"/>
      <c r="B355" s="9"/>
      <c r="D355" s="9"/>
      <c r="E355" s="10"/>
      <c r="F355" s="10"/>
    </row>
    <row r="356" spans="1:6" x14ac:dyDescent="0.25">
      <c r="A356" s="9" t="s">
        <v>29</v>
      </c>
      <c r="B356" s="4">
        <v>45663</v>
      </c>
      <c r="C356" s="5">
        <v>2</v>
      </c>
      <c r="D356" s="9" t="s">
        <v>91</v>
      </c>
      <c r="E356" s="10">
        <v>105</v>
      </c>
      <c r="F356" s="10">
        <f t="shared" si="5"/>
        <v>210</v>
      </c>
    </row>
    <row r="357" spans="1:6" x14ac:dyDescent="0.25">
      <c r="A357" s="9"/>
      <c r="B357" s="9"/>
      <c r="C357" s="5">
        <v>1</v>
      </c>
      <c r="D357" s="9" t="s">
        <v>13</v>
      </c>
      <c r="E357" s="10">
        <v>160</v>
      </c>
      <c r="F357" s="10">
        <f t="shared" si="5"/>
        <v>160</v>
      </c>
    </row>
    <row r="358" spans="1:6" x14ac:dyDescent="0.25">
      <c r="A358" s="9"/>
      <c r="B358" s="9"/>
      <c r="C358" s="5">
        <v>1</v>
      </c>
      <c r="D358" s="9" t="s">
        <v>13</v>
      </c>
      <c r="E358" s="10">
        <v>160</v>
      </c>
      <c r="F358" s="10">
        <f t="shared" si="5"/>
        <v>160</v>
      </c>
    </row>
    <row r="359" spans="1:6" x14ac:dyDescent="0.25">
      <c r="A359" s="9"/>
      <c r="B359" s="9"/>
      <c r="C359" s="5">
        <v>2</v>
      </c>
      <c r="D359" s="9" t="s">
        <v>13</v>
      </c>
      <c r="E359" s="10">
        <v>160</v>
      </c>
      <c r="F359" s="10">
        <f t="shared" si="5"/>
        <v>320</v>
      </c>
    </row>
    <row r="360" spans="1:6" x14ac:dyDescent="0.25">
      <c r="A360" s="9"/>
      <c r="B360" s="9"/>
      <c r="D360" s="9"/>
      <c r="E360" s="10"/>
      <c r="F360" s="8">
        <f>SUM(F356:F359)</f>
        <v>850</v>
      </c>
    </row>
    <row r="361" spans="1:6" x14ac:dyDescent="0.25">
      <c r="A361" s="9"/>
      <c r="B361" s="9"/>
      <c r="D361" s="9"/>
      <c r="E361" s="10"/>
      <c r="F361" s="10"/>
    </row>
    <row r="362" spans="1:6" x14ac:dyDescent="0.25">
      <c r="A362" s="9" t="s">
        <v>7</v>
      </c>
      <c r="B362" s="4">
        <v>45663</v>
      </c>
      <c r="C362" s="5">
        <v>1</v>
      </c>
      <c r="D362" s="9" t="s">
        <v>12</v>
      </c>
      <c r="E362" s="10">
        <v>150</v>
      </c>
      <c r="F362" s="10">
        <f t="shared" si="5"/>
        <v>150</v>
      </c>
    </row>
    <row r="363" spans="1:6" x14ac:dyDescent="0.25">
      <c r="A363" s="9"/>
      <c r="B363" s="9"/>
      <c r="C363" s="5">
        <v>1</v>
      </c>
      <c r="D363" s="9" t="s">
        <v>13</v>
      </c>
      <c r="E363" s="10">
        <v>160</v>
      </c>
      <c r="F363" s="10">
        <f t="shared" si="5"/>
        <v>160</v>
      </c>
    </row>
    <row r="364" spans="1:6" x14ac:dyDescent="0.25">
      <c r="A364" s="9"/>
      <c r="B364" s="9"/>
      <c r="C364" s="5">
        <v>3</v>
      </c>
      <c r="D364" s="9" t="s">
        <v>8</v>
      </c>
      <c r="E364" s="10">
        <v>170</v>
      </c>
      <c r="F364" s="10">
        <f t="shared" si="5"/>
        <v>510</v>
      </c>
    </row>
    <row r="365" spans="1:6" x14ac:dyDescent="0.25">
      <c r="A365" s="9"/>
      <c r="B365" s="9"/>
      <c r="D365" s="9"/>
      <c r="E365" s="10"/>
      <c r="F365" s="8">
        <f>SUM(F362:F364)</f>
        <v>820</v>
      </c>
    </row>
    <row r="366" spans="1:6" x14ac:dyDescent="0.25">
      <c r="A366" s="9"/>
      <c r="B366" s="9"/>
      <c r="D366" s="9"/>
      <c r="E366" s="10"/>
      <c r="F366" s="10"/>
    </row>
    <row r="367" spans="1:6" x14ac:dyDescent="0.25">
      <c r="A367" s="9" t="s">
        <v>92</v>
      </c>
      <c r="B367" s="4">
        <v>45664</v>
      </c>
      <c r="C367" s="5">
        <v>120</v>
      </c>
      <c r="D367" s="9" t="s">
        <v>8</v>
      </c>
      <c r="E367" s="10">
        <v>160</v>
      </c>
      <c r="F367" s="10">
        <f t="shared" si="5"/>
        <v>19200</v>
      </c>
    </row>
    <row r="368" spans="1:6" x14ac:dyDescent="0.25">
      <c r="A368" s="9"/>
      <c r="B368" s="9"/>
      <c r="C368" s="5">
        <v>30</v>
      </c>
      <c r="D368" s="9" t="s">
        <v>22</v>
      </c>
      <c r="E368" s="10">
        <v>115</v>
      </c>
      <c r="F368" s="10">
        <f t="shared" si="5"/>
        <v>3450</v>
      </c>
    </row>
    <row r="369" spans="1:6" x14ac:dyDescent="0.25">
      <c r="A369" s="9"/>
      <c r="B369" s="9"/>
      <c r="C369" s="5">
        <v>30</v>
      </c>
      <c r="D369" s="9" t="s">
        <v>12</v>
      </c>
      <c r="E369" s="10">
        <v>140</v>
      </c>
      <c r="F369" s="10">
        <f t="shared" si="5"/>
        <v>4200</v>
      </c>
    </row>
    <row r="370" spans="1:6" x14ac:dyDescent="0.25">
      <c r="A370" s="9"/>
      <c r="B370" s="9"/>
      <c r="C370" s="5">
        <v>20</v>
      </c>
      <c r="D370" s="9" t="s">
        <v>13</v>
      </c>
      <c r="E370" s="10">
        <v>150</v>
      </c>
      <c r="F370" s="10">
        <f t="shared" si="5"/>
        <v>3000</v>
      </c>
    </row>
    <row r="371" spans="1:6" x14ac:dyDescent="0.25">
      <c r="A371" s="9"/>
      <c r="B371" s="9"/>
      <c r="D371" s="9"/>
      <c r="E371" s="10"/>
      <c r="F371" s="8">
        <f>SUM(F367:F370)</f>
        <v>29850</v>
      </c>
    </row>
    <row r="372" spans="1:6" x14ac:dyDescent="0.25">
      <c r="A372" s="9"/>
      <c r="B372" s="9"/>
      <c r="D372" s="9"/>
      <c r="E372" s="10"/>
      <c r="F372" s="10"/>
    </row>
    <row r="373" spans="1:6" x14ac:dyDescent="0.25">
      <c r="A373" s="9" t="s">
        <v>61</v>
      </c>
      <c r="B373" s="4">
        <v>45664</v>
      </c>
      <c r="C373" s="5">
        <v>60</v>
      </c>
      <c r="D373" s="9" t="s">
        <v>13</v>
      </c>
      <c r="E373" s="10">
        <v>150</v>
      </c>
      <c r="F373" s="10">
        <f t="shared" si="5"/>
        <v>9000</v>
      </c>
    </row>
    <row r="374" spans="1:6" x14ac:dyDescent="0.25">
      <c r="A374" s="9"/>
      <c r="B374" s="9"/>
      <c r="D374" s="9"/>
      <c r="E374" s="10"/>
      <c r="F374" s="8">
        <f>SUM(F373)</f>
        <v>9000</v>
      </c>
    </row>
    <row r="375" spans="1:6" x14ac:dyDescent="0.25">
      <c r="A375" s="9"/>
      <c r="B375" s="9"/>
      <c r="D375" s="9"/>
      <c r="E375" s="10"/>
      <c r="F375" s="10"/>
    </row>
    <row r="376" spans="1:6" x14ac:dyDescent="0.25">
      <c r="A376" s="9" t="s">
        <v>60</v>
      </c>
      <c r="B376" s="4">
        <v>45664</v>
      </c>
      <c r="C376" s="5">
        <v>30</v>
      </c>
      <c r="D376" s="9" t="s">
        <v>14</v>
      </c>
      <c r="E376" s="10">
        <v>150</v>
      </c>
      <c r="F376" s="10">
        <f t="shared" si="5"/>
        <v>4500</v>
      </c>
    </row>
    <row r="377" spans="1:6" x14ac:dyDescent="0.25">
      <c r="A377" s="9"/>
      <c r="B377" s="9"/>
      <c r="D377" s="9"/>
      <c r="E377" s="10"/>
      <c r="F377" s="8">
        <f>SUM(F376)</f>
        <v>4500</v>
      </c>
    </row>
    <row r="378" spans="1:6" x14ac:dyDescent="0.25">
      <c r="A378" s="9"/>
      <c r="B378" s="9"/>
      <c r="D378" s="9"/>
      <c r="E378" s="10"/>
      <c r="F378" s="10"/>
    </row>
    <row r="379" spans="1:6" x14ac:dyDescent="0.25">
      <c r="A379" s="9" t="s">
        <v>53</v>
      </c>
      <c r="B379" s="4">
        <v>45664</v>
      </c>
      <c r="C379" s="5">
        <v>70</v>
      </c>
      <c r="D379" s="9" t="s">
        <v>13</v>
      </c>
      <c r="E379" s="10">
        <v>150</v>
      </c>
      <c r="F379" s="10">
        <f t="shared" si="5"/>
        <v>10500</v>
      </c>
    </row>
    <row r="380" spans="1:6" x14ac:dyDescent="0.25">
      <c r="A380" s="9"/>
      <c r="B380" s="9"/>
      <c r="C380" s="5">
        <v>10</v>
      </c>
      <c r="D380" s="9" t="s">
        <v>13</v>
      </c>
      <c r="E380" s="10">
        <v>155</v>
      </c>
      <c r="F380" s="10">
        <f t="shared" si="5"/>
        <v>1550</v>
      </c>
    </row>
    <row r="381" spans="1:6" x14ac:dyDescent="0.25">
      <c r="A381" s="9"/>
      <c r="B381" s="9"/>
      <c r="C381" s="5">
        <v>50</v>
      </c>
      <c r="D381" s="9" t="s">
        <v>12</v>
      </c>
      <c r="E381" s="10">
        <v>145</v>
      </c>
      <c r="F381" s="10">
        <f t="shared" si="5"/>
        <v>7250</v>
      </c>
    </row>
    <row r="382" spans="1:6" x14ac:dyDescent="0.25">
      <c r="A382" s="9"/>
      <c r="B382" s="9"/>
      <c r="C382" s="5">
        <v>12</v>
      </c>
      <c r="D382" s="9" t="s">
        <v>8</v>
      </c>
      <c r="E382" s="10">
        <v>160</v>
      </c>
      <c r="F382" s="10">
        <f t="shared" si="5"/>
        <v>1920</v>
      </c>
    </row>
    <row r="383" spans="1:6" x14ac:dyDescent="0.25">
      <c r="A383" s="9"/>
      <c r="B383" s="9"/>
      <c r="D383" s="9"/>
      <c r="E383" s="10"/>
      <c r="F383" s="8">
        <f>SUM(F379:F382)</f>
        <v>21220</v>
      </c>
    </row>
    <row r="384" spans="1:6" x14ac:dyDescent="0.25">
      <c r="A384" s="9"/>
      <c r="B384" s="9"/>
      <c r="D384" s="9"/>
      <c r="E384" s="10"/>
      <c r="F384" s="10"/>
    </row>
    <row r="385" spans="1:6" x14ac:dyDescent="0.25">
      <c r="A385" s="9" t="s">
        <v>32</v>
      </c>
      <c r="B385" s="4">
        <v>45664</v>
      </c>
      <c r="C385" s="5">
        <v>15</v>
      </c>
      <c r="D385" s="9" t="s">
        <v>13</v>
      </c>
      <c r="E385" s="10">
        <v>150</v>
      </c>
      <c r="F385" s="10">
        <f t="shared" si="5"/>
        <v>2250</v>
      </c>
    </row>
    <row r="386" spans="1:6" x14ac:dyDescent="0.25">
      <c r="A386" s="9"/>
      <c r="B386" s="9"/>
      <c r="D386" s="9"/>
      <c r="E386" s="10"/>
      <c r="F386" s="8">
        <f>SUM(F385)</f>
        <v>2250</v>
      </c>
    </row>
    <row r="387" spans="1:6" x14ac:dyDescent="0.25">
      <c r="A387" s="9"/>
      <c r="B387" s="9"/>
      <c r="D387" s="9"/>
      <c r="E387" s="10"/>
      <c r="F387" s="10"/>
    </row>
    <row r="388" spans="1:6" x14ac:dyDescent="0.25">
      <c r="A388" s="9" t="s">
        <v>26</v>
      </c>
      <c r="B388" s="4">
        <v>45664</v>
      </c>
      <c r="C388" s="5">
        <v>65</v>
      </c>
      <c r="D388" s="9" t="s">
        <v>13</v>
      </c>
      <c r="E388" s="10">
        <v>150</v>
      </c>
      <c r="F388" s="10">
        <f t="shared" ref="F388:F451" si="6">+C388*E388</f>
        <v>9750</v>
      </c>
    </row>
    <row r="389" spans="1:6" x14ac:dyDescent="0.25">
      <c r="A389" s="9"/>
      <c r="B389" s="9"/>
      <c r="C389" s="5">
        <v>5</v>
      </c>
      <c r="D389" s="9" t="s">
        <v>93</v>
      </c>
      <c r="E389" s="10">
        <v>135</v>
      </c>
      <c r="F389" s="10">
        <f t="shared" si="6"/>
        <v>675</v>
      </c>
    </row>
    <row r="390" spans="1:6" x14ac:dyDescent="0.25">
      <c r="A390" s="9"/>
      <c r="B390" s="9"/>
      <c r="D390" s="9"/>
      <c r="E390" s="10"/>
      <c r="F390" s="8">
        <f>SUM(F388:F389)</f>
        <v>10425</v>
      </c>
    </row>
    <row r="391" spans="1:6" x14ac:dyDescent="0.25">
      <c r="A391" s="9"/>
      <c r="B391" s="9"/>
      <c r="D391" s="9"/>
      <c r="E391" s="10"/>
      <c r="F391" s="10"/>
    </row>
    <row r="392" spans="1:6" x14ac:dyDescent="0.25">
      <c r="A392" s="9" t="s">
        <v>67</v>
      </c>
      <c r="B392" s="4">
        <v>45664</v>
      </c>
      <c r="C392" s="5">
        <v>10</v>
      </c>
      <c r="D392" s="9" t="s">
        <v>13</v>
      </c>
      <c r="E392" s="10">
        <v>155</v>
      </c>
      <c r="F392" s="10">
        <f t="shared" si="6"/>
        <v>1550</v>
      </c>
    </row>
    <row r="393" spans="1:6" x14ac:dyDescent="0.25">
      <c r="A393" s="9"/>
      <c r="B393" s="9"/>
      <c r="D393" s="9"/>
      <c r="E393" s="10"/>
      <c r="F393" s="8">
        <f>SUM(F392)</f>
        <v>1550</v>
      </c>
    </row>
    <row r="394" spans="1:6" x14ac:dyDescent="0.25">
      <c r="A394" s="9"/>
      <c r="B394" s="9"/>
      <c r="D394" s="9"/>
      <c r="E394" s="10"/>
      <c r="F394" s="10"/>
    </row>
    <row r="395" spans="1:6" x14ac:dyDescent="0.25">
      <c r="A395" s="9" t="s">
        <v>94</v>
      </c>
      <c r="B395" s="4">
        <v>45664</v>
      </c>
      <c r="C395" s="5">
        <v>15</v>
      </c>
      <c r="D395" s="9" t="s">
        <v>11</v>
      </c>
      <c r="E395" s="10">
        <v>120</v>
      </c>
      <c r="F395" s="10">
        <f t="shared" si="6"/>
        <v>1800</v>
      </c>
    </row>
    <row r="396" spans="1:6" x14ac:dyDescent="0.25">
      <c r="A396" s="9"/>
      <c r="B396" s="9"/>
      <c r="D396" s="9"/>
      <c r="E396" s="10"/>
      <c r="F396" s="8">
        <f>SUM(F395)</f>
        <v>1800</v>
      </c>
    </row>
    <row r="397" spans="1:6" x14ac:dyDescent="0.25">
      <c r="A397" s="9"/>
      <c r="B397" s="9"/>
      <c r="D397" s="9"/>
      <c r="E397" s="10"/>
      <c r="F397" s="10"/>
    </row>
    <row r="398" spans="1:6" x14ac:dyDescent="0.25">
      <c r="A398" s="9" t="s">
        <v>95</v>
      </c>
      <c r="B398" s="4">
        <v>45664</v>
      </c>
      <c r="C398" s="5">
        <v>20</v>
      </c>
      <c r="D398" s="9" t="s">
        <v>13</v>
      </c>
      <c r="E398" s="10">
        <v>155</v>
      </c>
      <c r="F398" s="10">
        <f t="shared" si="6"/>
        <v>3100</v>
      </c>
    </row>
    <row r="399" spans="1:6" x14ac:dyDescent="0.25">
      <c r="A399" s="9"/>
      <c r="B399" s="9"/>
      <c r="D399" s="9"/>
      <c r="E399" s="10"/>
      <c r="F399" s="8">
        <f>SUM(F398)</f>
        <v>3100</v>
      </c>
    </row>
    <row r="400" spans="1:6" x14ac:dyDescent="0.25">
      <c r="A400" s="9"/>
      <c r="B400" s="9"/>
      <c r="D400" s="9"/>
      <c r="E400" s="10"/>
      <c r="F400" s="10"/>
    </row>
    <row r="401" spans="1:6" x14ac:dyDescent="0.25">
      <c r="A401" s="9" t="s">
        <v>76</v>
      </c>
      <c r="B401" s="4">
        <v>45664</v>
      </c>
      <c r="C401" s="5">
        <v>170</v>
      </c>
      <c r="D401" s="9" t="s">
        <v>14</v>
      </c>
      <c r="E401" s="10">
        <v>125</v>
      </c>
      <c r="F401" s="10">
        <f t="shared" si="6"/>
        <v>21250</v>
      </c>
    </row>
    <row r="402" spans="1:6" x14ac:dyDescent="0.25">
      <c r="A402" s="9"/>
      <c r="B402" s="9"/>
      <c r="C402" s="5">
        <v>130</v>
      </c>
      <c r="D402" s="9" t="s">
        <v>96</v>
      </c>
      <c r="E402" s="10">
        <v>120</v>
      </c>
      <c r="F402" s="10">
        <f t="shared" si="6"/>
        <v>15600</v>
      </c>
    </row>
    <row r="403" spans="1:6" x14ac:dyDescent="0.25">
      <c r="A403" s="9"/>
      <c r="B403" s="9"/>
      <c r="C403" s="5">
        <v>80</v>
      </c>
      <c r="D403" s="9" t="s">
        <v>49</v>
      </c>
      <c r="E403" s="10">
        <v>130</v>
      </c>
      <c r="F403" s="10">
        <f t="shared" si="6"/>
        <v>10400</v>
      </c>
    </row>
    <row r="404" spans="1:6" x14ac:dyDescent="0.25">
      <c r="A404" s="9"/>
      <c r="B404" s="9"/>
      <c r="D404" s="9"/>
      <c r="E404" s="10"/>
      <c r="F404" s="8">
        <f>SUM(F401:F403)</f>
        <v>47250</v>
      </c>
    </row>
    <row r="405" spans="1:6" x14ac:dyDescent="0.25">
      <c r="A405" s="9"/>
      <c r="B405" s="9"/>
      <c r="D405" s="9"/>
      <c r="E405" s="10"/>
      <c r="F405" s="10"/>
    </row>
    <row r="406" spans="1:6" x14ac:dyDescent="0.25">
      <c r="A406" s="9" t="s">
        <v>51</v>
      </c>
      <c r="B406" s="4">
        <v>45664</v>
      </c>
      <c r="C406" s="5">
        <v>200</v>
      </c>
      <c r="D406" s="9" t="s">
        <v>14</v>
      </c>
      <c r="E406" s="10">
        <v>123</v>
      </c>
      <c r="F406" s="10">
        <f t="shared" si="6"/>
        <v>24600</v>
      </c>
    </row>
    <row r="407" spans="1:6" x14ac:dyDescent="0.25">
      <c r="A407" s="9"/>
      <c r="B407" s="9"/>
      <c r="C407" s="5">
        <v>115</v>
      </c>
      <c r="D407" s="9" t="s">
        <v>11</v>
      </c>
      <c r="E407" s="10">
        <v>115</v>
      </c>
      <c r="F407" s="10">
        <f t="shared" si="6"/>
        <v>13225</v>
      </c>
    </row>
    <row r="408" spans="1:6" x14ac:dyDescent="0.25">
      <c r="A408" s="9"/>
      <c r="B408" s="9"/>
      <c r="D408" s="9"/>
      <c r="E408" s="10"/>
      <c r="F408" s="8">
        <f>SUM(F406:F407)</f>
        <v>37825</v>
      </c>
    </row>
    <row r="409" spans="1:6" x14ac:dyDescent="0.25">
      <c r="A409" s="9"/>
      <c r="B409" s="9"/>
      <c r="D409" s="9"/>
      <c r="E409" s="10"/>
      <c r="F409" s="10"/>
    </row>
    <row r="410" spans="1:6" x14ac:dyDescent="0.25">
      <c r="A410" s="9" t="s">
        <v>97</v>
      </c>
      <c r="B410" s="4">
        <v>45664</v>
      </c>
      <c r="C410" s="5">
        <v>50</v>
      </c>
      <c r="D410" s="9" t="s">
        <v>98</v>
      </c>
      <c r="E410" s="10"/>
      <c r="F410" s="10">
        <f t="shared" si="6"/>
        <v>0</v>
      </c>
    </row>
    <row r="411" spans="1:6" x14ac:dyDescent="0.25">
      <c r="A411" s="9"/>
      <c r="B411" s="9"/>
      <c r="C411" s="5">
        <v>50</v>
      </c>
      <c r="D411" s="9" t="s">
        <v>14</v>
      </c>
      <c r="E411" s="10"/>
      <c r="F411" s="10">
        <f t="shared" si="6"/>
        <v>0</v>
      </c>
    </row>
    <row r="412" spans="1:6" x14ac:dyDescent="0.25">
      <c r="A412" s="9"/>
      <c r="B412" s="9"/>
      <c r="D412" s="9"/>
      <c r="E412" s="10"/>
      <c r="F412" s="8">
        <f>SUM(F410:F411)</f>
        <v>0</v>
      </c>
    </row>
    <row r="413" spans="1:6" x14ac:dyDescent="0.25">
      <c r="A413" s="9"/>
      <c r="B413" s="9"/>
      <c r="D413" s="9"/>
      <c r="E413" s="10"/>
      <c r="F413" s="10"/>
    </row>
    <row r="414" spans="1:6" x14ac:dyDescent="0.25">
      <c r="A414" s="9" t="s">
        <v>48</v>
      </c>
      <c r="B414" s="4">
        <v>45664</v>
      </c>
      <c r="C414" s="5">
        <v>360</v>
      </c>
      <c r="D414" s="9" t="s">
        <v>14</v>
      </c>
      <c r="E414" s="10">
        <v>125</v>
      </c>
      <c r="F414" s="10">
        <f t="shared" si="6"/>
        <v>45000</v>
      </c>
    </row>
    <row r="415" spans="1:6" x14ac:dyDescent="0.25">
      <c r="A415" s="9"/>
      <c r="B415" s="9"/>
      <c r="C415" s="5">
        <v>117</v>
      </c>
      <c r="D415" s="9" t="s">
        <v>99</v>
      </c>
      <c r="E415" s="10">
        <v>120</v>
      </c>
      <c r="F415" s="10">
        <f t="shared" si="6"/>
        <v>14040</v>
      </c>
    </row>
    <row r="416" spans="1:6" x14ac:dyDescent="0.25">
      <c r="A416" s="9"/>
      <c r="B416" s="9"/>
      <c r="C416" s="5">
        <v>41</v>
      </c>
      <c r="D416" s="9" t="s">
        <v>50</v>
      </c>
      <c r="E416" s="10">
        <v>115</v>
      </c>
      <c r="F416" s="10">
        <f t="shared" si="6"/>
        <v>4715</v>
      </c>
    </row>
    <row r="417" spans="1:6" x14ac:dyDescent="0.25">
      <c r="A417" s="9"/>
      <c r="B417" s="9"/>
      <c r="D417" s="9"/>
      <c r="E417" s="10"/>
      <c r="F417" s="8">
        <f>SUM(F414:F416)</f>
        <v>63755</v>
      </c>
    </row>
    <row r="418" spans="1:6" x14ac:dyDescent="0.25">
      <c r="A418" s="9"/>
      <c r="B418" s="9"/>
      <c r="D418" s="9"/>
      <c r="E418" s="10"/>
      <c r="F418" s="10"/>
    </row>
    <row r="419" spans="1:6" x14ac:dyDescent="0.25">
      <c r="A419" s="9" t="s">
        <v>100</v>
      </c>
      <c r="B419" s="4">
        <v>45664</v>
      </c>
      <c r="C419" s="5">
        <v>10</v>
      </c>
      <c r="D419" s="9" t="s">
        <v>13</v>
      </c>
      <c r="E419" s="10">
        <v>130</v>
      </c>
      <c r="F419" s="10">
        <f t="shared" si="6"/>
        <v>1300</v>
      </c>
    </row>
    <row r="420" spans="1:6" x14ac:dyDescent="0.25">
      <c r="A420" s="9"/>
      <c r="B420" s="9"/>
      <c r="D420" s="9"/>
      <c r="E420" s="10"/>
      <c r="F420" s="8">
        <f>SUM(F419)</f>
        <v>1300</v>
      </c>
    </row>
    <row r="421" spans="1:6" x14ac:dyDescent="0.25">
      <c r="A421" s="9"/>
      <c r="B421" s="9"/>
      <c r="D421" s="9"/>
      <c r="E421" s="10"/>
      <c r="F421" s="10"/>
    </row>
    <row r="422" spans="1:6" x14ac:dyDescent="0.25">
      <c r="A422" s="9" t="s">
        <v>101</v>
      </c>
      <c r="B422" s="4">
        <v>45664</v>
      </c>
      <c r="C422" s="5">
        <v>3</v>
      </c>
      <c r="D422" s="9" t="s">
        <v>8</v>
      </c>
      <c r="E422" s="10">
        <v>165</v>
      </c>
      <c r="F422" s="10">
        <f t="shared" si="6"/>
        <v>495</v>
      </c>
    </row>
    <row r="423" spans="1:6" x14ac:dyDescent="0.25">
      <c r="A423" s="9"/>
      <c r="B423" s="9"/>
      <c r="C423" s="5">
        <v>3</v>
      </c>
      <c r="D423" s="9" t="s">
        <v>13</v>
      </c>
      <c r="E423" s="10">
        <v>160</v>
      </c>
      <c r="F423" s="10">
        <f t="shared" si="6"/>
        <v>480</v>
      </c>
    </row>
    <row r="424" spans="1:6" x14ac:dyDescent="0.25">
      <c r="A424" s="9"/>
      <c r="B424" s="9"/>
      <c r="C424" s="5">
        <v>5</v>
      </c>
      <c r="D424" s="9" t="s">
        <v>12</v>
      </c>
      <c r="E424" s="10">
        <v>145</v>
      </c>
      <c r="F424" s="10">
        <f t="shared" si="6"/>
        <v>725</v>
      </c>
    </row>
    <row r="425" spans="1:6" x14ac:dyDescent="0.25">
      <c r="A425" s="9"/>
      <c r="B425" s="9"/>
      <c r="C425" s="5">
        <v>1</v>
      </c>
      <c r="D425" s="9" t="s">
        <v>54</v>
      </c>
      <c r="E425" s="10">
        <v>140</v>
      </c>
      <c r="F425" s="10">
        <f t="shared" si="6"/>
        <v>140</v>
      </c>
    </row>
    <row r="426" spans="1:6" x14ac:dyDescent="0.25">
      <c r="A426" s="9"/>
      <c r="B426" s="9"/>
      <c r="D426" s="9"/>
      <c r="E426" s="10"/>
      <c r="F426" s="8">
        <f>SUM(F422:F425)</f>
        <v>1840</v>
      </c>
    </row>
    <row r="427" spans="1:6" x14ac:dyDescent="0.25">
      <c r="A427" s="9"/>
      <c r="B427" s="9"/>
      <c r="D427" s="9"/>
      <c r="E427" s="10"/>
      <c r="F427" s="10"/>
    </row>
    <row r="428" spans="1:6" x14ac:dyDescent="0.25">
      <c r="A428" s="9" t="s">
        <v>7</v>
      </c>
      <c r="B428" s="4">
        <v>45664</v>
      </c>
      <c r="C428" s="5">
        <v>2</v>
      </c>
      <c r="D428" s="9" t="s">
        <v>12</v>
      </c>
      <c r="E428" s="10">
        <v>150</v>
      </c>
      <c r="F428" s="10">
        <f t="shared" si="6"/>
        <v>300</v>
      </c>
    </row>
    <row r="429" spans="1:6" x14ac:dyDescent="0.25">
      <c r="A429" s="9"/>
      <c r="B429" s="9"/>
      <c r="C429" s="5">
        <v>2</v>
      </c>
      <c r="D429" s="9" t="s">
        <v>8</v>
      </c>
      <c r="E429" s="10">
        <v>165</v>
      </c>
      <c r="F429" s="10">
        <f t="shared" si="6"/>
        <v>330</v>
      </c>
    </row>
    <row r="430" spans="1:6" x14ac:dyDescent="0.25">
      <c r="A430" s="9"/>
      <c r="B430" s="9"/>
      <c r="D430" s="9"/>
      <c r="E430" s="10"/>
      <c r="F430" s="8">
        <f>SUM(F428:F429)</f>
        <v>630</v>
      </c>
    </row>
    <row r="431" spans="1:6" x14ac:dyDescent="0.25">
      <c r="A431" s="9"/>
      <c r="B431" s="9"/>
      <c r="D431" s="9"/>
      <c r="E431" s="10"/>
      <c r="F431" s="10"/>
    </row>
    <row r="432" spans="1:6" x14ac:dyDescent="0.25">
      <c r="A432" s="9" t="s">
        <v>102</v>
      </c>
      <c r="B432" s="4">
        <v>45665</v>
      </c>
      <c r="C432" s="5">
        <v>5</v>
      </c>
      <c r="D432" s="9" t="s">
        <v>13</v>
      </c>
      <c r="E432" s="10">
        <v>155</v>
      </c>
      <c r="F432" s="10">
        <f t="shared" si="6"/>
        <v>775</v>
      </c>
    </row>
    <row r="433" spans="1:6" x14ac:dyDescent="0.25">
      <c r="A433" s="9"/>
      <c r="B433" s="9"/>
      <c r="D433" s="9"/>
      <c r="E433" s="10"/>
      <c r="F433" s="8">
        <f>SUM(F432)</f>
        <v>775</v>
      </c>
    </row>
    <row r="434" spans="1:6" x14ac:dyDescent="0.25">
      <c r="A434" s="9"/>
      <c r="B434" s="9"/>
      <c r="D434" s="9"/>
      <c r="E434" s="10"/>
      <c r="F434" s="10"/>
    </row>
    <row r="435" spans="1:6" x14ac:dyDescent="0.25">
      <c r="A435" s="9" t="s">
        <v>103</v>
      </c>
      <c r="B435" s="4">
        <v>45665</v>
      </c>
      <c r="C435" s="5">
        <v>4</v>
      </c>
      <c r="D435" s="9" t="s">
        <v>13</v>
      </c>
      <c r="E435" s="10">
        <v>155</v>
      </c>
      <c r="F435" s="10">
        <f t="shared" si="6"/>
        <v>620</v>
      </c>
    </row>
    <row r="436" spans="1:6" x14ac:dyDescent="0.25">
      <c r="A436" s="9"/>
      <c r="B436" s="9"/>
      <c r="D436" s="9"/>
      <c r="E436" s="10"/>
      <c r="F436" s="8">
        <f>SUM(F435)</f>
        <v>620</v>
      </c>
    </row>
    <row r="437" spans="1:6" x14ac:dyDescent="0.25">
      <c r="A437" s="9"/>
      <c r="B437" s="9"/>
      <c r="D437" s="9"/>
      <c r="E437" s="10"/>
      <c r="F437" s="10"/>
    </row>
    <row r="438" spans="1:6" x14ac:dyDescent="0.25">
      <c r="A438" s="9" t="s">
        <v>15</v>
      </c>
      <c r="B438" s="4">
        <v>45665</v>
      </c>
      <c r="C438" s="5">
        <v>65</v>
      </c>
      <c r="D438" s="9" t="s">
        <v>36</v>
      </c>
      <c r="E438" s="10">
        <v>100</v>
      </c>
      <c r="F438" s="10">
        <f t="shared" si="6"/>
        <v>6500</v>
      </c>
    </row>
    <row r="439" spans="1:6" x14ac:dyDescent="0.25">
      <c r="A439" s="9"/>
      <c r="B439" s="9"/>
      <c r="D439" s="9"/>
      <c r="E439" s="10"/>
      <c r="F439" s="8">
        <f>SUM(F438)</f>
        <v>6500</v>
      </c>
    </row>
    <row r="440" spans="1:6" x14ac:dyDescent="0.25">
      <c r="A440" s="9"/>
      <c r="B440" s="9"/>
      <c r="D440" s="9"/>
      <c r="E440" s="10"/>
      <c r="F440" s="10"/>
    </row>
    <row r="441" spans="1:6" x14ac:dyDescent="0.25">
      <c r="A441" s="9" t="s">
        <v>56</v>
      </c>
      <c r="B441" s="4">
        <v>45665</v>
      </c>
      <c r="C441" s="5">
        <v>5</v>
      </c>
      <c r="D441" s="9" t="s">
        <v>104</v>
      </c>
      <c r="E441" s="10">
        <v>105</v>
      </c>
      <c r="F441" s="10">
        <f t="shared" si="6"/>
        <v>525</v>
      </c>
    </row>
    <row r="442" spans="1:6" x14ac:dyDescent="0.25">
      <c r="A442" s="9"/>
      <c r="B442" s="9"/>
      <c r="D442" s="9"/>
      <c r="E442" s="10"/>
      <c r="F442" s="8">
        <f>SUM(F441)</f>
        <v>525</v>
      </c>
    </row>
    <row r="443" spans="1:6" x14ac:dyDescent="0.25">
      <c r="A443" s="9"/>
      <c r="B443" s="9"/>
      <c r="D443" s="9"/>
      <c r="E443" s="10"/>
      <c r="F443" s="10"/>
    </row>
    <row r="444" spans="1:6" x14ac:dyDescent="0.25">
      <c r="A444" s="9" t="s">
        <v>18</v>
      </c>
      <c r="B444" s="4">
        <v>45665</v>
      </c>
      <c r="C444" s="5">
        <v>5</v>
      </c>
      <c r="D444" s="9" t="s">
        <v>13</v>
      </c>
      <c r="E444" s="10">
        <v>155</v>
      </c>
      <c r="F444" s="10">
        <f t="shared" si="6"/>
        <v>775</v>
      </c>
    </row>
    <row r="445" spans="1:6" x14ac:dyDescent="0.25">
      <c r="A445" s="9"/>
      <c r="B445" s="9"/>
      <c r="D445" s="9"/>
      <c r="E445" s="10"/>
      <c r="F445" s="8">
        <f>SUM(F444)</f>
        <v>775</v>
      </c>
    </row>
    <row r="446" spans="1:6" x14ac:dyDescent="0.25">
      <c r="A446" s="9"/>
      <c r="B446" s="9"/>
      <c r="D446" s="9"/>
      <c r="E446" s="10"/>
      <c r="F446" s="10"/>
    </row>
    <row r="447" spans="1:6" x14ac:dyDescent="0.25">
      <c r="A447" s="9" t="s">
        <v>37</v>
      </c>
      <c r="B447" s="4">
        <v>45665</v>
      </c>
      <c r="C447" s="5">
        <v>20</v>
      </c>
      <c r="D447" s="9" t="s">
        <v>12</v>
      </c>
      <c r="E447" s="10">
        <v>145</v>
      </c>
      <c r="F447" s="10">
        <f t="shared" si="6"/>
        <v>2900</v>
      </c>
    </row>
    <row r="448" spans="1:6" x14ac:dyDescent="0.25">
      <c r="A448" s="9"/>
      <c r="B448" s="9"/>
      <c r="D448" s="9"/>
      <c r="E448" s="10"/>
      <c r="F448" s="8">
        <f>SUM(F447)</f>
        <v>2900</v>
      </c>
    </row>
    <row r="449" spans="1:6" x14ac:dyDescent="0.25">
      <c r="A449" s="9"/>
      <c r="B449" s="9"/>
      <c r="D449" s="9"/>
      <c r="E449" s="10"/>
      <c r="F449" s="10"/>
    </row>
    <row r="450" spans="1:6" x14ac:dyDescent="0.25">
      <c r="A450" s="9" t="s">
        <v>21</v>
      </c>
      <c r="B450" s="4">
        <v>45665</v>
      </c>
      <c r="C450" s="5">
        <v>20</v>
      </c>
      <c r="D450" s="9" t="s">
        <v>13</v>
      </c>
      <c r="E450" s="10">
        <v>150</v>
      </c>
      <c r="F450" s="10">
        <f t="shared" si="6"/>
        <v>3000</v>
      </c>
    </row>
    <row r="451" spans="1:6" x14ac:dyDescent="0.25">
      <c r="A451" s="9"/>
      <c r="B451" s="9"/>
      <c r="C451" s="5">
        <v>20</v>
      </c>
      <c r="D451" s="9" t="s">
        <v>12</v>
      </c>
      <c r="E451" s="10">
        <v>140</v>
      </c>
      <c r="F451" s="10">
        <f t="shared" si="6"/>
        <v>2800</v>
      </c>
    </row>
    <row r="452" spans="1:6" x14ac:dyDescent="0.25">
      <c r="A452" s="9"/>
      <c r="B452" s="9"/>
      <c r="C452" s="5">
        <v>30</v>
      </c>
      <c r="D452" s="9" t="s">
        <v>22</v>
      </c>
      <c r="E452" s="10">
        <v>125</v>
      </c>
      <c r="F452" s="10">
        <f t="shared" ref="F452:F511" si="7">+C452*E452</f>
        <v>3750</v>
      </c>
    </row>
    <row r="453" spans="1:6" x14ac:dyDescent="0.25">
      <c r="A453" s="9"/>
      <c r="B453" s="9"/>
      <c r="D453" s="9"/>
      <c r="E453" s="10"/>
      <c r="F453" s="8">
        <f>SUM(F450:F452)</f>
        <v>9550</v>
      </c>
    </row>
    <row r="454" spans="1:6" x14ac:dyDescent="0.25">
      <c r="A454" s="9"/>
      <c r="B454" s="9"/>
      <c r="D454" s="9"/>
      <c r="E454" s="10"/>
      <c r="F454" s="10"/>
    </row>
    <row r="455" spans="1:6" x14ac:dyDescent="0.25">
      <c r="A455" s="9" t="s">
        <v>105</v>
      </c>
      <c r="B455" s="4">
        <v>45665</v>
      </c>
      <c r="C455" s="5">
        <v>30</v>
      </c>
      <c r="D455" s="9" t="s">
        <v>22</v>
      </c>
      <c r="E455" s="10">
        <v>130</v>
      </c>
      <c r="F455" s="10">
        <f t="shared" si="7"/>
        <v>3900</v>
      </c>
    </row>
    <row r="456" spans="1:6" x14ac:dyDescent="0.25">
      <c r="A456" s="9"/>
      <c r="B456" s="9"/>
      <c r="D456" s="9"/>
      <c r="E456" s="10"/>
      <c r="F456" s="8">
        <f>SUM(F455)</f>
        <v>3900</v>
      </c>
    </row>
    <row r="457" spans="1:6" x14ac:dyDescent="0.25">
      <c r="A457" s="9"/>
      <c r="B457" s="9"/>
      <c r="D457" s="9"/>
      <c r="E457" s="10"/>
      <c r="F457" s="10"/>
    </row>
    <row r="458" spans="1:6" x14ac:dyDescent="0.25">
      <c r="A458" s="9" t="s">
        <v>23</v>
      </c>
      <c r="B458" s="4">
        <v>45665</v>
      </c>
      <c r="C458" s="5">
        <v>20</v>
      </c>
      <c r="D458" s="9" t="s">
        <v>22</v>
      </c>
      <c r="E458" s="10">
        <v>130</v>
      </c>
      <c r="F458" s="10">
        <f t="shared" si="7"/>
        <v>2600</v>
      </c>
    </row>
    <row r="459" spans="1:6" x14ac:dyDescent="0.25">
      <c r="A459" s="9"/>
      <c r="B459" s="9"/>
      <c r="C459" s="5">
        <v>10</v>
      </c>
      <c r="D459" s="9" t="s">
        <v>12</v>
      </c>
      <c r="E459" s="10">
        <v>145</v>
      </c>
      <c r="F459" s="10">
        <f t="shared" si="7"/>
        <v>1450</v>
      </c>
    </row>
    <row r="460" spans="1:6" x14ac:dyDescent="0.25">
      <c r="A460" s="9"/>
      <c r="B460" s="9"/>
      <c r="D460" s="9"/>
      <c r="E460" s="10"/>
      <c r="F460" s="8">
        <f>SUM(F458:F459)</f>
        <v>4050</v>
      </c>
    </row>
    <row r="461" spans="1:6" x14ac:dyDescent="0.25">
      <c r="A461" s="9"/>
      <c r="B461" s="9"/>
      <c r="D461" s="9"/>
      <c r="E461" s="10"/>
      <c r="F461" s="10"/>
    </row>
    <row r="462" spans="1:6" x14ac:dyDescent="0.25">
      <c r="A462" s="9" t="s">
        <v>57</v>
      </c>
      <c r="B462" s="4">
        <v>45665</v>
      </c>
      <c r="C462" s="5">
        <v>20</v>
      </c>
      <c r="D462" s="9" t="s">
        <v>13</v>
      </c>
      <c r="E462" s="10">
        <v>155</v>
      </c>
      <c r="F462" s="10">
        <f t="shared" si="7"/>
        <v>3100</v>
      </c>
    </row>
    <row r="463" spans="1:6" x14ac:dyDescent="0.25">
      <c r="A463" s="9"/>
      <c r="B463" s="9"/>
      <c r="D463" s="9"/>
      <c r="E463" s="10"/>
      <c r="F463" s="8">
        <f>SUM(F462)</f>
        <v>3100</v>
      </c>
    </row>
    <row r="464" spans="1:6" x14ac:dyDescent="0.25">
      <c r="A464" s="9"/>
      <c r="B464" s="9"/>
      <c r="D464" s="9"/>
      <c r="E464" s="10"/>
      <c r="F464" s="10"/>
    </row>
    <row r="465" spans="1:6" x14ac:dyDescent="0.25">
      <c r="A465" s="9" t="s">
        <v>40</v>
      </c>
      <c r="B465" s="4">
        <v>45665</v>
      </c>
      <c r="C465" s="5">
        <v>14</v>
      </c>
      <c r="D465" s="9" t="s">
        <v>13</v>
      </c>
      <c r="E465" s="10">
        <v>145</v>
      </c>
      <c r="F465" s="10">
        <f t="shared" si="7"/>
        <v>2030</v>
      </c>
    </row>
    <row r="466" spans="1:6" x14ac:dyDescent="0.25">
      <c r="A466" s="9"/>
      <c r="B466" s="9"/>
      <c r="C466" s="5">
        <v>16</v>
      </c>
      <c r="D466" s="9" t="s">
        <v>12</v>
      </c>
      <c r="E466" s="10">
        <v>135</v>
      </c>
      <c r="F466" s="10">
        <f t="shared" si="7"/>
        <v>2160</v>
      </c>
    </row>
    <row r="467" spans="1:6" x14ac:dyDescent="0.25">
      <c r="A467" s="9"/>
      <c r="B467" s="9"/>
      <c r="C467" s="5">
        <v>13</v>
      </c>
      <c r="D467" s="9" t="s">
        <v>14</v>
      </c>
      <c r="E467" s="10">
        <v>135</v>
      </c>
      <c r="F467" s="10">
        <f t="shared" si="7"/>
        <v>1755</v>
      </c>
    </row>
    <row r="468" spans="1:6" x14ac:dyDescent="0.25">
      <c r="A468" s="9"/>
      <c r="B468" s="9"/>
      <c r="C468" s="5">
        <v>13</v>
      </c>
      <c r="D468" s="9" t="s">
        <v>11</v>
      </c>
      <c r="E468" s="10">
        <v>125</v>
      </c>
      <c r="F468" s="10">
        <f t="shared" si="7"/>
        <v>1625</v>
      </c>
    </row>
    <row r="469" spans="1:6" x14ac:dyDescent="0.25">
      <c r="A469" s="9"/>
      <c r="B469" s="9"/>
      <c r="C469" s="5">
        <v>5</v>
      </c>
      <c r="D469" s="9" t="s">
        <v>22</v>
      </c>
      <c r="E469" s="10">
        <v>125</v>
      </c>
      <c r="F469" s="10">
        <f t="shared" si="7"/>
        <v>625</v>
      </c>
    </row>
    <row r="470" spans="1:6" x14ac:dyDescent="0.25">
      <c r="A470" s="9"/>
      <c r="B470" s="9"/>
      <c r="D470" s="9"/>
      <c r="E470" s="10"/>
      <c r="F470" s="8">
        <f>SUM(F465:F469)</f>
        <v>8195</v>
      </c>
    </row>
    <row r="471" spans="1:6" x14ac:dyDescent="0.25">
      <c r="A471" s="9"/>
      <c r="B471" s="9"/>
      <c r="D471" s="9"/>
      <c r="E471" s="10"/>
      <c r="F471" s="10"/>
    </row>
    <row r="472" spans="1:6" x14ac:dyDescent="0.25">
      <c r="A472" s="9" t="s">
        <v>58</v>
      </c>
      <c r="B472" s="4">
        <v>45665</v>
      </c>
      <c r="C472" s="5">
        <v>10</v>
      </c>
      <c r="D472" s="9" t="s">
        <v>13</v>
      </c>
      <c r="E472" s="10">
        <v>150</v>
      </c>
      <c r="F472" s="10">
        <f t="shared" si="7"/>
        <v>1500</v>
      </c>
    </row>
    <row r="473" spans="1:6" x14ac:dyDescent="0.25">
      <c r="A473" s="9"/>
      <c r="B473" s="9"/>
      <c r="D473" s="9"/>
      <c r="E473" s="10"/>
      <c r="F473" s="8">
        <f>SUM(F472)</f>
        <v>1500</v>
      </c>
    </row>
    <row r="474" spans="1:6" x14ac:dyDescent="0.25">
      <c r="A474" s="9"/>
      <c r="B474" s="9"/>
      <c r="D474" s="9"/>
      <c r="E474" s="10"/>
      <c r="F474" s="10"/>
    </row>
    <row r="475" spans="1:6" x14ac:dyDescent="0.25">
      <c r="A475" s="9" t="s">
        <v>41</v>
      </c>
      <c r="B475" s="4">
        <v>45665</v>
      </c>
      <c r="C475" s="5">
        <v>45</v>
      </c>
      <c r="D475" s="9" t="s">
        <v>14</v>
      </c>
      <c r="E475" s="10">
        <v>140</v>
      </c>
      <c r="F475" s="10">
        <f t="shared" si="7"/>
        <v>6300</v>
      </c>
    </row>
    <row r="476" spans="1:6" x14ac:dyDescent="0.25">
      <c r="A476" s="9"/>
      <c r="B476" s="9"/>
      <c r="D476" s="9"/>
      <c r="E476" s="10"/>
      <c r="F476" s="8">
        <f>SUM(F475)</f>
        <v>6300</v>
      </c>
    </row>
    <row r="477" spans="1:6" x14ac:dyDescent="0.25">
      <c r="A477" s="9"/>
      <c r="B477" s="9"/>
      <c r="D477" s="9"/>
      <c r="E477" s="10"/>
      <c r="F477" s="10"/>
    </row>
    <row r="478" spans="1:6" x14ac:dyDescent="0.25">
      <c r="A478" s="9" t="s">
        <v>106</v>
      </c>
      <c r="B478" s="4">
        <v>45665</v>
      </c>
      <c r="C478" s="5">
        <v>80</v>
      </c>
      <c r="D478" s="9" t="s">
        <v>11</v>
      </c>
      <c r="E478" s="10">
        <v>140</v>
      </c>
      <c r="F478" s="10">
        <f t="shared" si="7"/>
        <v>11200</v>
      </c>
    </row>
    <row r="479" spans="1:6" x14ac:dyDescent="0.25">
      <c r="A479" s="9"/>
      <c r="B479" s="9"/>
      <c r="D479" s="9"/>
      <c r="E479" s="10"/>
      <c r="F479" s="8">
        <f>SUM(F478)</f>
        <v>11200</v>
      </c>
    </row>
    <row r="480" spans="1:6" x14ac:dyDescent="0.25">
      <c r="A480" s="9"/>
      <c r="B480" s="9"/>
      <c r="D480" s="9"/>
      <c r="E480" s="10"/>
      <c r="F480" s="10"/>
    </row>
    <row r="481" spans="1:6" x14ac:dyDescent="0.25">
      <c r="A481" s="9" t="s">
        <v>43</v>
      </c>
      <c r="B481" s="4">
        <v>45665</v>
      </c>
      <c r="C481" s="5">
        <v>50</v>
      </c>
      <c r="D481" s="9" t="s">
        <v>49</v>
      </c>
      <c r="E481" s="10">
        <v>145</v>
      </c>
      <c r="F481" s="10">
        <f t="shared" si="7"/>
        <v>7250</v>
      </c>
    </row>
    <row r="482" spans="1:6" x14ac:dyDescent="0.25">
      <c r="A482" s="9"/>
      <c r="B482" s="9"/>
      <c r="D482" s="9"/>
      <c r="E482" s="10"/>
      <c r="F482" s="8">
        <f>SUM(F481)</f>
        <v>7250</v>
      </c>
    </row>
    <row r="483" spans="1:6" x14ac:dyDescent="0.25">
      <c r="A483" s="9"/>
      <c r="B483" s="9"/>
      <c r="D483" s="9"/>
      <c r="E483" s="10"/>
      <c r="F483" s="10"/>
    </row>
    <row r="484" spans="1:6" x14ac:dyDescent="0.25">
      <c r="A484" s="9" t="s">
        <v>107</v>
      </c>
      <c r="B484" s="4">
        <v>45665</v>
      </c>
      <c r="C484" s="5">
        <v>48</v>
      </c>
      <c r="D484" s="9" t="s">
        <v>14</v>
      </c>
      <c r="E484" s="10">
        <v>145</v>
      </c>
      <c r="F484" s="10">
        <f t="shared" si="7"/>
        <v>6960</v>
      </c>
    </row>
    <row r="485" spans="1:6" x14ac:dyDescent="0.25">
      <c r="A485" s="9"/>
      <c r="B485" s="9"/>
      <c r="D485" s="9"/>
      <c r="E485" s="10"/>
      <c r="F485" s="8">
        <f>SUM(F484)</f>
        <v>6960</v>
      </c>
    </row>
    <row r="486" spans="1:6" x14ac:dyDescent="0.25">
      <c r="A486" s="9"/>
      <c r="B486" s="9"/>
      <c r="D486" s="9"/>
      <c r="E486" s="10"/>
      <c r="F486" s="10"/>
    </row>
    <row r="487" spans="1:6" x14ac:dyDescent="0.25">
      <c r="A487" s="9" t="s">
        <v>44</v>
      </c>
      <c r="B487" s="4">
        <v>45665</v>
      </c>
      <c r="C487" s="5">
        <v>30</v>
      </c>
      <c r="D487" s="9" t="s">
        <v>14</v>
      </c>
      <c r="E487" s="10">
        <v>135</v>
      </c>
      <c r="F487" s="10">
        <f t="shared" si="7"/>
        <v>4050</v>
      </c>
    </row>
    <row r="488" spans="1:6" x14ac:dyDescent="0.25">
      <c r="A488" s="9"/>
      <c r="B488" s="9"/>
      <c r="D488" s="9"/>
      <c r="E488" s="10"/>
      <c r="F488" s="8">
        <f>SUM(F487)</f>
        <v>4050</v>
      </c>
    </row>
    <row r="489" spans="1:6" x14ac:dyDescent="0.25">
      <c r="A489" s="9"/>
      <c r="B489" s="9"/>
      <c r="D489" s="9"/>
      <c r="E489" s="10"/>
      <c r="F489" s="10"/>
    </row>
    <row r="490" spans="1:6" x14ac:dyDescent="0.25">
      <c r="A490" s="9" t="s">
        <v>18</v>
      </c>
      <c r="B490" s="4">
        <v>45665</v>
      </c>
      <c r="C490" s="5">
        <v>10</v>
      </c>
      <c r="D490" s="9" t="s">
        <v>12</v>
      </c>
      <c r="E490" s="10">
        <v>140</v>
      </c>
      <c r="F490" s="10">
        <f t="shared" si="7"/>
        <v>1400</v>
      </c>
    </row>
    <row r="491" spans="1:6" x14ac:dyDescent="0.25">
      <c r="A491" s="9"/>
      <c r="B491" s="9"/>
      <c r="D491" s="9"/>
      <c r="E491" s="10"/>
      <c r="F491" s="8">
        <f>SUM(F490)</f>
        <v>1400</v>
      </c>
    </row>
    <row r="492" spans="1:6" x14ac:dyDescent="0.25">
      <c r="A492" s="9"/>
      <c r="B492" s="9"/>
      <c r="D492" s="9"/>
      <c r="E492" s="10"/>
      <c r="F492" s="10"/>
    </row>
    <row r="493" spans="1:6" x14ac:dyDescent="0.25">
      <c r="A493" s="9" t="s">
        <v>47</v>
      </c>
      <c r="B493" s="4">
        <v>45665</v>
      </c>
      <c r="C493" s="5">
        <v>30</v>
      </c>
      <c r="D493" s="9" t="s">
        <v>14</v>
      </c>
      <c r="E493" s="10">
        <v>135</v>
      </c>
      <c r="F493" s="10">
        <f t="shared" si="7"/>
        <v>4050</v>
      </c>
    </row>
    <row r="494" spans="1:6" x14ac:dyDescent="0.25">
      <c r="A494" s="9"/>
      <c r="B494" s="9"/>
      <c r="C494" s="5">
        <v>10</v>
      </c>
      <c r="D494" s="9" t="s">
        <v>11</v>
      </c>
      <c r="E494" s="10">
        <v>140</v>
      </c>
      <c r="F494" s="10">
        <f t="shared" si="7"/>
        <v>1400</v>
      </c>
    </row>
    <row r="495" spans="1:6" x14ac:dyDescent="0.25">
      <c r="A495" s="9"/>
      <c r="B495" s="9"/>
      <c r="C495" s="5">
        <v>24</v>
      </c>
      <c r="D495" s="9" t="s">
        <v>50</v>
      </c>
      <c r="E495" s="10">
        <v>115</v>
      </c>
      <c r="F495" s="10">
        <f t="shared" si="7"/>
        <v>2760</v>
      </c>
    </row>
    <row r="496" spans="1:6" x14ac:dyDescent="0.25">
      <c r="A496" s="9"/>
      <c r="B496" s="9"/>
      <c r="D496" s="9"/>
      <c r="E496" s="10"/>
      <c r="F496" s="8">
        <f>SUM(F493:F495)</f>
        <v>8210</v>
      </c>
    </row>
    <row r="497" spans="1:6" x14ac:dyDescent="0.25">
      <c r="A497" s="9"/>
      <c r="B497" s="9"/>
      <c r="D497" s="9"/>
      <c r="E497" s="10"/>
      <c r="F497" s="10"/>
    </row>
    <row r="498" spans="1:6" x14ac:dyDescent="0.25">
      <c r="A498" s="9" t="s">
        <v>45</v>
      </c>
      <c r="B498" s="4">
        <v>45665</v>
      </c>
      <c r="C498" s="5">
        <v>2</v>
      </c>
      <c r="D498" s="9" t="s">
        <v>14</v>
      </c>
      <c r="E498" s="10">
        <v>135</v>
      </c>
      <c r="F498" s="10">
        <f t="shared" si="7"/>
        <v>270</v>
      </c>
    </row>
    <row r="499" spans="1:6" x14ac:dyDescent="0.25">
      <c r="A499" s="9"/>
      <c r="B499" s="9"/>
      <c r="D499" s="9"/>
      <c r="E499" s="10"/>
      <c r="F499" s="8">
        <f>SUM(F498)</f>
        <v>270</v>
      </c>
    </row>
    <row r="500" spans="1:6" x14ac:dyDescent="0.25">
      <c r="A500" s="9"/>
      <c r="B500" s="9"/>
      <c r="D500" s="9"/>
      <c r="E500" s="10"/>
      <c r="F500" s="10"/>
    </row>
    <row r="501" spans="1:6" x14ac:dyDescent="0.25">
      <c r="A501" s="9" t="s">
        <v>108</v>
      </c>
      <c r="B501" s="4">
        <v>45665</v>
      </c>
      <c r="C501" s="5">
        <v>150</v>
      </c>
      <c r="D501" s="9" t="s">
        <v>13</v>
      </c>
      <c r="E501" s="10">
        <v>140</v>
      </c>
      <c r="F501" s="10">
        <f t="shared" si="7"/>
        <v>21000</v>
      </c>
    </row>
    <row r="502" spans="1:6" x14ac:dyDescent="0.25">
      <c r="A502" s="9"/>
      <c r="B502" s="9"/>
      <c r="D502" s="9"/>
      <c r="E502" s="10"/>
      <c r="F502" s="8">
        <f>SUM(F501)</f>
        <v>21000</v>
      </c>
    </row>
    <row r="503" spans="1:6" x14ac:dyDescent="0.25">
      <c r="A503" s="9"/>
      <c r="B503" s="9"/>
      <c r="D503" s="9"/>
      <c r="E503" s="10"/>
      <c r="F503" s="10"/>
    </row>
    <row r="504" spans="1:6" x14ac:dyDescent="0.25">
      <c r="A504" s="9" t="s">
        <v>72</v>
      </c>
      <c r="B504" s="4">
        <v>45665</v>
      </c>
      <c r="C504" s="5">
        <v>200</v>
      </c>
      <c r="D504" s="9" t="s">
        <v>13</v>
      </c>
      <c r="E504" s="10">
        <v>135</v>
      </c>
      <c r="F504" s="10">
        <f t="shared" si="7"/>
        <v>27000</v>
      </c>
    </row>
    <row r="505" spans="1:6" x14ac:dyDescent="0.25">
      <c r="A505" s="9"/>
      <c r="B505" s="9"/>
      <c r="C505" s="5">
        <v>130</v>
      </c>
      <c r="D505" s="9" t="s">
        <v>12</v>
      </c>
      <c r="E505" s="10">
        <v>130</v>
      </c>
      <c r="F505" s="10">
        <f t="shared" si="7"/>
        <v>16900</v>
      </c>
    </row>
    <row r="506" spans="1:6" x14ac:dyDescent="0.25">
      <c r="A506" s="9"/>
      <c r="B506" s="9"/>
      <c r="C506" s="5">
        <v>20</v>
      </c>
      <c r="D506" s="9" t="s">
        <v>14</v>
      </c>
      <c r="E506" s="10">
        <v>135</v>
      </c>
      <c r="F506" s="10">
        <f t="shared" si="7"/>
        <v>2700</v>
      </c>
    </row>
    <row r="507" spans="1:6" x14ac:dyDescent="0.25">
      <c r="A507" s="9"/>
      <c r="B507" s="9"/>
      <c r="C507" s="5">
        <v>100</v>
      </c>
      <c r="D507" s="9" t="s">
        <v>11</v>
      </c>
      <c r="E507" s="10">
        <v>130</v>
      </c>
      <c r="F507" s="10">
        <f t="shared" si="7"/>
        <v>13000</v>
      </c>
    </row>
    <row r="508" spans="1:6" x14ac:dyDescent="0.25">
      <c r="A508" s="9"/>
      <c r="B508" s="9"/>
      <c r="D508" s="9"/>
      <c r="E508" s="10"/>
      <c r="F508" s="8">
        <f>SUM(F504:F507)</f>
        <v>59600</v>
      </c>
    </row>
    <row r="509" spans="1:6" x14ac:dyDescent="0.25">
      <c r="A509" s="9"/>
      <c r="B509" s="9"/>
      <c r="D509" s="9"/>
      <c r="E509" s="10"/>
      <c r="F509" s="10"/>
    </row>
    <row r="510" spans="1:6" x14ac:dyDescent="0.25">
      <c r="A510" s="9" t="s">
        <v>26</v>
      </c>
      <c r="B510" s="4">
        <v>45665</v>
      </c>
      <c r="C510" s="5">
        <v>100</v>
      </c>
      <c r="D510" s="9" t="s">
        <v>13</v>
      </c>
      <c r="E510" s="10">
        <v>150</v>
      </c>
      <c r="F510" s="10">
        <f t="shared" si="7"/>
        <v>15000</v>
      </c>
    </row>
    <row r="511" spans="1:6" x14ac:dyDescent="0.25">
      <c r="A511" s="9"/>
      <c r="B511" s="9"/>
      <c r="C511" s="5">
        <v>20</v>
      </c>
      <c r="D511" s="9" t="s">
        <v>14</v>
      </c>
      <c r="E511" s="10">
        <v>135</v>
      </c>
      <c r="F511" s="10">
        <f t="shared" si="7"/>
        <v>2700</v>
      </c>
    </row>
    <row r="512" spans="1:6" x14ac:dyDescent="0.25">
      <c r="A512" s="9"/>
      <c r="B512" s="9"/>
      <c r="D512" s="9"/>
      <c r="E512" s="10"/>
      <c r="F512" s="8">
        <f>SUM(F510:F511)</f>
        <v>17700</v>
      </c>
    </row>
    <row r="513" spans="1:6" x14ac:dyDescent="0.25">
      <c r="A513" s="9"/>
      <c r="B513" s="9"/>
      <c r="D513" s="9"/>
      <c r="E513" s="10"/>
      <c r="F513" s="10"/>
    </row>
    <row r="514" spans="1:6" x14ac:dyDescent="0.25">
      <c r="A514" s="9" t="s">
        <v>109</v>
      </c>
      <c r="B514" s="4">
        <v>45665</v>
      </c>
      <c r="C514" s="5">
        <v>14</v>
      </c>
      <c r="D514" s="9" t="s">
        <v>13</v>
      </c>
      <c r="E514" s="10">
        <v>140</v>
      </c>
      <c r="F514" s="10">
        <f>+C514*E514</f>
        <v>1960</v>
      </c>
    </row>
    <row r="515" spans="1:6" x14ac:dyDescent="0.25">
      <c r="A515" s="9"/>
      <c r="B515" s="9"/>
      <c r="D515" s="9"/>
      <c r="E515" s="10"/>
      <c r="F515" s="8">
        <f>SUM(F514)</f>
        <v>1960</v>
      </c>
    </row>
    <row r="516" spans="1:6" x14ac:dyDescent="0.25">
      <c r="A516" s="9"/>
      <c r="B516" s="9"/>
      <c r="D516" s="9"/>
      <c r="E516" s="10"/>
      <c r="F516" s="10"/>
    </row>
    <row r="517" spans="1:6" x14ac:dyDescent="0.25">
      <c r="A517" s="9" t="s">
        <v>29</v>
      </c>
      <c r="B517" s="4">
        <v>45665</v>
      </c>
      <c r="C517" s="5">
        <v>2</v>
      </c>
      <c r="D517" s="9" t="s">
        <v>54</v>
      </c>
      <c r="E517" s="10">
        <v>140</v>
      </c>
      <c r="F517" s="10">
        <f t="shared" ref="F517:F578" si="8">+C517*E517</f>
        <v>280</v>
      </c>
    </row>
    <row r="518" spans="1:6" x14ac:dyDescent="0.25">
      <c r="A518" s="9"/>
      <c r="B518" s="9"/>
      <c r="C518" s="5">
        <v>5</v>
      </c>
      <c r="D518" s="9" t="s">
        <v>13</v>
      </c>
      <c r="E518" s="10">
        <v>160</v>
      </c>
      <c r="F518" s="10">
        <f t="shared" si="8"/>
        <v>800</v>
      </c>
    </row>
    <row r="519" spans="1:6" x14ac:dyDescent="0.25">
      <c r="A519" s="9"/>
      <c r="B519" s="9"/>
      <c r="C519" s="5">
        <v>2</v>
      </c>
      <c r="D519" s="9" t="s">
        <v>8</v>
      </c>
      <c r="E519" s="10">
        <v>140</v>
      </c>
      <c r="F519" s="10">
        <f t="shared" si="8"/>
        <v>280</v>
      </c>
    </row>
    <row r="520" spans="1:6" x14ac:dyDescent="0.25">
      <c r="A520" s="9"/>
      <c r="B520" s="9"/>
      <c r="D520" s="9"/>
      <c r="E520" s="10"/>
      <c r="F520" s="8">
        <f>SUM(F517:F519)</f>
        <v>1360</v>
      </c>
    </row>
    <row r="521" spans="1:6" x14ac:dyDescent="0.25">
      <c r="A521" s="9"/>
      <c r="B521" s="9"/>
      <c r="D521" s="9"/>
      <c r="E521" s="10"/>
      <c r="F521" s="10"/>
    </row>
    <row r="522" spans="1:6" x14ac:dyDescent="0.25">
      <c r="A522" s="9" t="s">
        <v>7</v>
      </c>
      <c r="B522" s="4">
        <v>45665</v>
      </c>
      <c r="C522" s="5">
        <v>9</v>
      </c>
      <c r="D522" s="9" t="s">
        <v>13</v>
      </c>
      <c r="E522" s="10">
        <v>155</v>
      </c>
      <c r="F522" s="10">
        <f t="shared" si="8"/>
        <v>1395</v>
      </c>
    </row>
    <row r="523" spans="1:6" x14ac:dyDescent="0.25">
      <c r="A523" s="9"/>
      <c r="B523" s="9"/>
      <c r="C523" s="5">
        <v>9</v>
      </c>
      <c r="D523" s="9" t="s">
        <v>110</v>
      </c>
      <c r="E523" s="10">
        <v>3.3333300000000001</v>
      </c>
      <c r="F523" s="10">
        <f t="shared" si="8"/>
        <v>29.999970000000001</v>
      </c>
    </row>
    <row r="524" spans="1:6" x14ac:dyDescent="0.25">
      <c r="A524" s="9"/>
      <c r="B524" s="9"/>
      <c r="D524" s="9"/>
      <c r="E524" s="10"/>
      <c r="F524" s="8">
        <f>SUM(F522:F523)</f>
        <v>1424.9999700000001</v>
      </c>
    </row>
    <row r="525" spans="1:6" x14ac:dyDescent="0.25">
      <c r="A525" s="9"/>
      <c r="B525" s="9"/>
      <c r="D525" s="9"/>
      <c r="E525" s="10"/>
      <c r="F525" s="10"/>
    </row>
    <row r="526" spans="1:6" x14ac:dyDescent="0.25">
      <c r="A526" s="9" t="s">
        <v>10</v>
      </c>
      <c r="B526" s="4">
        <v>45300</v>
      </c>
      <c r="C526" s="5">
        <v>100</v>
      </c>
      <c r="D526" s="9" t="s">
        <v>49</v>
      </c>
      <c r="E526" s="10">
        <v>145</v>
      </c>
      <c r="F526" s="10">
        <f t="shared" si="8"/>
        <v>14500</v>
      </c>
    </row>
    <row r="527" spans="1:6" x14ac:dyDescent="0.25">
      <c r="A527" s="9"/>
      <c r="B527" s="9"/>
      <c r="C527" s="5">
        <v>100</v>
      </c>
      <c r="D527" s="9" t="s">
        <v>14</v>
      </c>
      <c r="E527" s="10">
        <v>140</v>
      </c>
      <c r="F527" s="10">
        <f t="shared" si="8"/>
        <v>14000</v>
      </c>
    </row>
    <row r="528" spans="1:6" x14ac:dyDescent="0.25">
      <c r="A528" s="9"/>
      <c r="B528" s="9"/>
      <c r="C528" s="5">
        <v>100</v>
      </c>
      <c r="D528" s="9" t="s">
        <v>8</v>
      </c>
      <c r="E528" s="10">
        <v>155</v>
      </c>
      <c r="F528" s="10">
        <f t="shared" si="8"/>
        <v>15500</v>
      </c>
    </row>
    <row r="529" spans="1:6" x14ac:dyDescent="0.25">
      <c r="A529" s="9"/>
      <c r="B529" s="9"/>
      <c r="C529" s="5">
        <v>150</v>
      </c>
      <c r="D529" s="9" t="s">
        <v>13</v>
      </c>
      <c r="E529" s="10">
        <v>150</v>
      </c>
      <c r="F529" s="10">
        <f t="shared" si="8"/>
        <v>22500</v>
      </c>
    </row>
    <row r="530" spans="1:6" x14ac:dyDescent="0.25">
      <c r="A530" s="9"/>
      <c r="B530" s="9"/>
      <c r="C530" s="5">
        <v>150</v>
      </c>
      <c r="D530" s="9" t="s">
        <v>12</v>
      </c>
      <c r="E530" s="10">
        <v>140</v>
      </c>
      <c r="F530" s="10">
        <f t="shared" si="8"/>
        <v>21000</v>
      </c>
    </row>
    <row r="531" spans="1:6" x14ac:dyDescent="0.25">
      <c r="A531" s="9"/>
      <c r="B531" s="9"/>
      <c r="D531" s="9"/>
      <c r="E531" s="10"/>
      <c r="F531" s="8">
        <f>SUM(F526:F530)</f>
        <v>87500</v>
      </c>
    </row>
    <row r="532" spans="1:6" x14ac:dyDescent="0.25">
      <c r="A532" s="9"/>
      <c r="B532" s="9"/>
      <c r="D532" s="9"/>
      <c r="E532" s="10"/>
      <c r="F532" s="10"/>
    </row>
    <row r="533" spans="1:6" x14ac:dyDescent="0.25">
      <c r="A533" s="9" t="s">
        <v>69</v>
      </c>
      <c r="B533" s="4">
        <v>45666</v>
      </c>
      <c r="C533" s="5">
        <v>10</v>
      </c>
      <c r="D533" s="9" t="s">
        <v>8</v>
      </c>
      <c r="E533" s="10">
        <v>160</v>
      </c>
      <c r="F533" s="10">
        <f t="shared" si="8"/>
        <v>1600</v>
      </c>
    </row>
    <row r="534" spans="1:6" x14ac:dyDescent="0.25">
      <c r="A534" s="9"/>
      <c r="B534" s="9"/>
      <c r="C534" s="5">
        <v>10</v>
      </c>
      <c r="D534" s="9" t="s">
        <v>22</v>
      </c>
      <c r="E534" s="10">
        <v>125</v>
      </c>
      <c r="F534" s="10">
        <f t="shared" si="8"/>
        <v>1250</v>
      </c>
    </row>
    <row r="535" spans="1:6" x14ac:dyDescent="0.25">
      <c r="A535" s="9"/>
      <c r="B535" s="9"/>
      <c r="D535" s="9"/>
      <c r="E535" s="10"/>
      <c r="F535" s="8">
        <f>SUM(F533:F534)</f>
        <v>2850</v>
      </c>
    </row>
    <row r="536" spans="1:6" x14ac:dyDescent="0.25">
      <c r="A536" s="9"/>
      <c r="B536" s="9"/>
      <c r="D536" s="9"/>
      <c r="E536" s="10"/>
      <c r="F536" s="10"/>
    </row>
    <row r="537" spans="1:6" x14ac:dyDescent="0.25">
      <c r="A537" s="9" t="s">
        <v>51</v>
      </c>
      <c r="B537" s="4">
        <v>45666</v>
      </c>
      <c r="C537" s="5">
        <v>250</v>
      </c>
      <c r="D537" s="9" t="s">
        <v>13</v>
      </c>
      <c r="E537" s="10">
        <v>130</v>
      </c>
      <c r="F537" s="10">
        <f t="shared" si="8"/>
        <v>32500</v>
      </c>
    </row>
    <row r="538" spans="1:6" x14ac:dyDescent="0.25">
      <c r="A538" s="9"/>
      <c r="B538" s="9"/>
      <c r="D538" s="9"/>
      <c r="E538" s="10"/>
      <c r="F538" s="8">
        <f>SUM(F537)</f>
        <v>32500</v>
      </c>
    </row>
    <row r="539" spans="1:6" x14ac:dyDescent="0.25">
      <c r="A539" s="9"/>
      <c r="B539" s="9"/>
      <c r="D539" s="9"/>
      <c r="E539" s="10"/>
      <c r="F539" s="10"/>
    </row>
    <row r="540" spans="1:6" x14ac:dyDescent="0.25">
      <c r="A540" s="9" t="s">
        <v>89</v>
      </c>
      <c r="B540" s="4">
        <v>45666</v>
      </c>
      <c r="C540" s="5">
        <v>30</v>
      </c>
      <c r="D540" s="9" t="s">
        <v>13</v>
      </c>
      <c r="E540" s="10">
        <v>140</v>
      </c>
      <c r="F540" s="10">
        <f t="shared" si="8"/>
        <v>4200</v>
      </c>
    </row>
    <row r="541" spans="1:6" x14ac:dyDescent="0.25">
      <c r="A541" s="9"/>
      <c r="B541" s="9"/>
      <c r="C541" s="5">
        <v>50</v>
      </c>
      <c r="D541" s="9" t="s">
        <v>12</v>
      </c>
      <c r="E541" s="10">
        <v>135</v>
      </c>
      <c r="F541" s="10">
        <f t="shared" si="8"/>
        <v>6750</v>
      </c>
    </row>
    <row r="542" spans="1:6" x14ac:dyDescent="0.25">
      <c r="A542" s="9"/>
      <c r="B542" s="9"/>
      <c r="D542" s="9"/>
      <c r="E542" s="10"/>
      <c r="F542" s="8">
        <f>SUM(F540:F541)</f>
        <v>10950</v>
      </c>
    </row>
    <row r="543" spans="1:6" x14ac:dyDescent="0.25">
      <c r="A543" s="9"/>
      <c r="B543" s="9"/>
      <c r="D543" s="9"/>
      <c r="E543" s="10"/>
      <c r="F543" s="10"/>
    </row>
    <row r="544" spans="1:6" x14ac:dyDescent="0.25">
      <c r="A544" s="9" t="s">
        <v>111</v>
      </c>
      <c r="B544" s="4">
        <v>45666</v>
      </c>
      <c r="C544" s="5">
        <v>20</v>
      </c>
      <c r="D544" s="9" t="s">
        <v>13</v>
      </c>
      <c r="E544" s="10">
        <v>150</v>
      </c>
      <c r="F544" s="10">
        <f t="shared" si="8"/>
        <v>3000</v>
      </c>
    </row>
    <row r="545" spans="1:6" x14ac:dyDescent="0.25">
      <c r="A545" s="9"/>
      <c r="B545" s="9"/>
      <c r="D545" s="9"/>
      <c r="E545" s="10"/>
      <c r="F545" s="8">
        <f>SUM(F544)</f>
        <v>3000</v>
      </c>
    </row>
    <row r="546" spans="1:6" x14ac:dyDescent="0.25">
      <c r="A546" s="9"/>
      <c r="B546" s="9"/>
      <c r="D546" s="9"/>
      <c r="E546" s="10"/>
      <c r="F546" s="10"/>
    </row>
    <row r="547" spans="1:6" x14ac:dyDescent="0.25">
      <c r="A547" s="9" t="s">
        <v>112</v>
      </c>
      <c r="B547" s="4">
        <v>45666</v>
      </c>
      <c r="C547" s="5">
        <v>50</v>
      </c>
      <c r="D547" s="9" t="s">
        <v>13</v>
      </c>
      <c r="E547" s="10">
        <v>140</v>
      </c>
      <c r="F547" s="10">
        <f t="shared" si="8"/>
        <v>7000</v>
      </c>
    </row>
    <row r="548" spans="1:6" x14ac:dyDescent="0.25">
      <c r="A548" s="9"/>
      <c r="B548" s="9"/>
      <c r="C548" s="5">
        <v>50</v>
      </c>
      <c r="D548" s="9" t="s">
        <v>12</v>
      </c>
      <c r="E548" s="10">
        <v>130</v>
      </c>
      <c r="F548" s="10">
        <f t="shared" si="8"/>
        <v>6500</v>
      </c>
    </row>
    <row r="549" spans="1:6" x14ac:dyDescent="0.25">
      <c r="A549" s="9"/>
      <c r="B549" s="9"/>
      <c r="C549" s="5">
        <v>50</v>
      </c>
      <c r="D549" s="9" t="s">
        <v>8</v>
      </c>
      <c r="E549" s="10">
        <v>150</v>
      </c>
      <c r="F549" s="10">
        <f t="shared" si="8"/>
        <v>7500</v>
      </c>
    </row>
    <row r="550" spans="1:6" x14ac:dyDescent="0.25">
      <c r="A550" s="9"/>
      <c r="B550" s="9"/>
      <c r="D550" s="9"/>
      <c r="E550" s="10"/>
      <c r="F550" s="8">
        <f>SUM(F547:F549)</f>
        <v>21000</v>
      </c>
    </row>
    <row r="551" spans="1:6" x14ac:dyDescent="0.25">
      <c r="A551" s="9"/>
      <c r="B551" s="9"/>
      <c r="D551" s="9"/>
      <c r="E551" s="10"/>
      <c r="F551" s="10"/>
    </row>
    <row r="552" spans="1:6" x14ac:dyDescent="0.25">
      <c r="A552" s="9" t="s">
        <v>113</v>
      </c>
      <c r="B552" s="4">
        <v>45666</v>
      </c>
      <c r="C552" s="5">
        <v>20</v>
      </c>
      <c r="D552" s="9" t="s">
        <v>13</v>
      </c>
      <c r="E552" s="10">
        <v>150</v>
      </c>
      <c r="F552" s="10">
        <f t="shared" si="8"/>
        <v>3000</v>
      </c>
    </row>
    <row r="553" spans="1:6" x14ac:dyDescent="0.25">
      <c r="A553" s="9"/>
      <c r="B553" s="9"/>
      <c r="D553" s="9"/>
      <c r="E553" s="10"/>
      <c r="F553" s="8">
        <f>SUM(F552)</f>
        <v>3000</v>
      </c>
    </row>
    <row r="554" spans="1:6" x14ac:dyDescent="0.25">
      <c r="A554" s="9"/>
      <c r="B554" s="9"/>
      <c r="D554" s="9"/>
      <c r="E554" s="10"/>
      <c r="F554" s="10"/>
    </row>
    <row r="555" spans="1:6" x14ac:dyDescent="0.25">
      <c r="A555" s="9" t="s">
        <v>27</v>
      </c>
      <c r="B555" s="4">
        <v>45666</v>
      </c>
      <c r="C555" s="5">
        <v>3</v>
      </c>
      <c r="D555" s="9" t="s">
        <v>13</v>
      </c>
      <c r="E555" s="10">
        <v>155</v>
      </c>
      <c r="F555" s="10">
        <f t="shared" si="8"/>
        <v>465</v>
      </c>
    </row>
    <row r="556" spans="1:6" x14ac:dyDescent="0.25">
      <c r="A556" s="9"/>
      <c r="B556" s="9"/>
      <c r="C556" s="5">
        <v>3</v>
      </c>
      <c r="D556" s="9" t="s">
        <v>12</v>
      </c>
      <c r="E556" s="10">
        <v>145</v>
      </c>
      <c r="F556" s="10">
        <f t="shared" si="8"/>
        <v>435</v>
      </c>
    </row>
    <row r="557" spans="1:6" x14ac:dyDescent="0.25">
      <c r="A557" s="9"/>
      <c r="B557" s="9"/>
      <c r="D557" s="9"/>
      <c r="E557" s="10"/>
      <c r="F557" s="8">
        <f>SUM(F555:F556)</f>
        <v>900</v>
      </c>
    </row>
    <row r="558" spans="1:6" x14ac:dyDescent="0.25">
      <c r="A558" s="9"/>
      <c r="B558" s="9"/>
      <c r="D558" s="9"/>
      <c r="E558" s="10"/>
      <c r="F558" s="10"/>
    </row>
    <row r="559" spans="1:6" x14ac:dyDescent="0.25">
      <c r="A559" s="9" t="s">
        <v>114</v>
      </c>
      <c r="B559" s="4">
        <v>45666</v>
      </c>
      <c r="C559" s="5">
        <v>4</v>
      </c>
      <c r="D559" s="9" t="s">
        <v>13</v>
      </c>
      <c r="E559" s="10">
        <v>150</v>
      </c>
      <c r="F559" s="10">
        <f t="shared" si="8"/>
        <v>600</v>
      </c>
    </row>
    <row r="560" spans="1:6" x14ac:dyDescent="0.25">
      <c r="A560" s="9"/>
      <c r="B560" s="9"/>
      <c r="D560" s="9"/>
      <c r="E560" s="10"/>
      <c r="F560" s="8">
        <f>SUM(F559)</f>
        <v>600</v>
      </c>
    </row>
    <row r="561" spans="1:6" x14ac:dyDescent="0.25">
      <c r="A561" s="9"/>
      <c r="B561" s="9"/>
      <c r="D561" s="9"/>
      <c r="E561" s="10"/>
      <c r="F561" s="10"/>
    </row>
    <row r="562" spans="1:6" x14ac:dyDescent="0.25">
      <c r="A562" s="9" t="s">
        <v>115</v>
      </c>
      <c r="B562" s="4">
        <v>45666</v>
      </c>
      <c r="C562" s="5">
        <v>3</v>
      </c>
      <c r="D562" s="9" t="s">
        <v>13</v>
      </c>
      <c r="E562" s="10">
        <v>150</v>
      </c>
      <c r="F562" s="10">
        <f t="shared" si="8"/>
        <v>450</v>
      </c>
    </row>
    <row r="563" spans="1:6" x14ac:dyDescent="0.25">
      <c r="A563" s="9"/>
      <c r="B563" s="9"/>
      <c r="D563" s="9"/>
      <c r="E563" s="10"/>
      <c r="F563" s="8">
        <f>SUM(F562)</f>
        <v>450</v>
      </c>
    </row>
    <row r="564" spans="1:6" x14ac:dyDescent="0.25">
      <c r="A564" s="9"/>
      <c r="B564" s="9"/>
      <c r="D564" s="9"/>
      <c r="E564" s="10"/>
      <c r="F564" s="10"/>
    </row>
    <row r="565" spans="1:6" x14ac:dyDescent="0.25">
      <c r="A565" s="9" t="s">
        <v>32</v>
      </c>
      <c r="B565" s="4">
        <v>45666</v>
      </c>
      <c r="C565" s="5">
        <v>10</v>
      </c>
      <c r="D565" s="9" t="s">
        <v>13</v>
      </c>
      <c r="E565" s="10">
        <v>150</v>
      </c>
      <c r="F565" s="10">
        <f t="shared" si="8"/>
        <v>1500</v>
      </c>
    </row>
    <row r="566" spans="1:6" x14ac:dyDescent="0.25">
      <c r="A566" s="9"/>
      <c r="B566" s="9"/>
      <c r="D566" s="9"/>
      <c r="E566" s="10"/>
      <c r="F566" s="8">
        <f>SUM(F565)</f>
        <v>1500</v>
      </c>
    </row>
    <row r="567" spans="1:6" x14ac:dyDescent="0.25">
      <c r="A567" s="9"/>
      <c r="B567" s="9"/>
      <c r="D567" s="9"/>
      <c r="E567" s="10"/>
      <c r="F567" s="10"/>
    </row>
    <row r="568" spans="1:6" x14ac:dyDescent="0.25">
      <c r="A568" s="9" t="s">
        <v>7</v>
      </c>
      <c r="B568" s="4">
        <v>45666</v>
      </c>
      <c r="C568" s="5">
        <v>1</v>
      </c>
      <c r="D568" s="9" t="s">
        <v>13</v>
      </c>
      <c r="E568" s="10">
        <v>160</v>
      </c>
      <c r="F568" s="10">
        <f t="shared" si="8"/>
        <v>160</v>
      </c>
    </row>
    <row r="569" spans="1:6" x14ac:dyDescent="0.25">
      <c r="A569" s="9"/>
      <c r="B569" s="9"/>
      <c r="D569" s="9"/>
      <c r="E569" s="10"/>
      <c r="F569" s="8">
        <f>SUM(F568)</f>
        <v>160</v>
      </c>
    </row>
    <row r="570" spans="1:6" x14ac:dyDescent="0.25">
      <c r="A570" s="9"/>
      <c r="B570" s="9"/>
      <c r="D570" s="9"/>
      <c r="E570" s="10"/>
      <c r="F570" s="10"/>
    </row>
    <row r="571" spans="1:6" x14ac:dyDescent="0.25">
      <c r="A571" s="9" t="s">
        <v>116</v>
      </c>
      <c r="B571" s="4">
        <v>45667</v>
      </c>
      <c r="C571" s="5">
        <v>10</v>
      </c>
      <c r="D571" s="9" t="s">
        <v>8</v>
      </c>
      <c r="E571" s="10">
        <v>160</v>
      </c>
      <c r="F571" s="10">
        <f t="shared" si="8"/>
        <v>1600</v>
      </c>
    </row>
    <row r="572" spans="1:6" x14ac:dyDescent="0.25">
      <c r="A572" s="9"/>
      <c r="B572" s="9"/>
      <c r="D572" s="9"/>
      <c r="E572" s="10"/>
      <c r="F572" s="8">
        <f>SUM(F571)</f>
        <v>1600</v>
      </c>
    </row>
    <row r="573" spans="1:6" x14ac:dyDescent="0.25">
      <c r="A573" s="9"/>
      <c r="B573" s="9"/>
      <c r="D573" s="9"/>
      <c r="E573" s="10"/>
      <c r="F573" s="10"/>
    </row>
    <row r="574" spans="1:6" x14ac:dyDescent="0.25">
      <c r="A574" s="9" t="s">
        <v>26</v>
      </c>
      <c r="B574" s="4">
        <v>45667</v>
      </c>
      <c r="C574" s="5">
        <v>100</v>
      </c>
      <c r="D574" s="9" t="s">
        <v>13</v>
      </c>
      <c r="E574" s="10">
        <v>150</v>
      </c>
      <c r="F574" s="10">
        <f t="shared" si="8"/>
        <v>15000</v>
      </c>
    </row>
    <row r="575" spans="1:6" x14ac:dyDescent="0.25">
      <c r="A575" s="9"/>
      <c r="B575" s="9"/>
      <c r="C575" s="5">
        <v>10</v>
      </c>
      <c r="D575" s="9" t="s">
        <v>14</v>
      </c>
      <c r="E575" s="10">
        <v>135</v>
      </c>
      <c r="F575" s="10">
        <f t="shared" si="8"/>
        <v>1350</v>
      </c>
    </row>
    <row r="576" spans="1:6" x14ac:dyDescent="0.25">
      <c r="A576" s="9"/>
      <c r="B576" s="9"/>
      <c r="D576" s="9"/>
      <c r="E576" s="10"/>
      <c r="F576" s="8">
        <f>SUM(F574:F575)</f>
        <v>16350</v>
      </c>
    </row>
    <row r="577" spans="1:6" x14ac:dyDescent="0.25">
      <c r="A577" s="9"/>
      <c r="B577" s="9"/>
      <c r="D577" s="9"/>
      <c r="E577" s="10"/>
      <c r="F577" s="10"/>
    </row>
    <row r="578" spans="1:6" x14ac:dyDescent="0.25">
      <c r="A578" s="9" t="s">
        <v>67</v>
      </c>
      <c r="B578" s="4">
        <v>45667</v>
      </c>
      <c r="C578" s="5">
        <v>10</v>
      </c>
      <c r="D578" s="9" t="s">
        <v>13</v>
      </c>
      <c r="E578" s="10">
        <v>155</v>
      </c>
      <c r="F578" s="10">
        <f t="shared" si="8"/>
        <v>1550</v>
      </c>
    </row>
    <row r="579" spans="1:6" x14ac:dyDescent="0.25">
      <c r="A579" s="9"/>
      <c r="B579" s="9"/>
      <c r="D579" s="9"/>
      <c r="E579" s="10"/>
      <c r="F579" s="8">
        <f>SUM(F578)</f>
        <v>1550</v>
      </c>
    </row>
    <row r="580" spans="1:6" x14ac:dyDescent="0.25">
      <c r="A580" s="9"/>
      <c r="B580" s="9"/>
      <c r="D580" s="9"/>
      <c r="E580" s="10"/>
      <c r="F580" s="10"/>
    </row>
    <row r="581" spans="1:6" x14ac:dyDescent="0.25">
      <c r="A581" s="9" t="s">
        <v>117</v>
      </c>
      <c r="B581" s="4">
        <v>45667</v>
      </c>
      <c r="C581" s="5">
        <v>5</v>
      </c>
      <c r="D581" s="9" t="s">
        <v>13</v>
      </c>
      <c r="E581" s="10">
        <v>155</v>
      </c>
      <c r="F581" s="10">
        <f t="shared" ref="F581:F643" si="9">+C581*E581</f>
        <v>775</v>
      </c>
    </row>
    <row r="582" spans="1:6" x14ac:dyDescent="0.25">
      <c r="A582" s="9"/>
      <c r="B582" s="9"/>
      <c r="D582" s="9"/>
      <c r="E582" s="10"/>
      <c r="F582" s="8">
        <f>SUM(F581)</f>
        <v>775</v>
      </c>
    </row>
    <row r="583" spans="1:6" x14ac:dyDescent="0.25">
      <c r="A583" s="9"/>
      <c r="B583" s="9"/>
      <c r="D583" s="9"/>
      <c r="E583" s="10"/>
      <c r="F583" s="10"/>
    </row>
    <row r="584" spans="1:6" x14ac:dyDescent="0.25">
      <c r="A584" s="9" t="s">
        <v>118</v>
      </c>
      <c r="B584" s="4">
        <v>45667</v>
      </c>
      <c r="C584" s="5">
        <v>4</v>
      </c>
      <c r="D584" s="9" t="s">
        <v>13</v>
      </c>
      <c r="E584" s="10">
        <v>155</v>
      </c>
      <c r="F584" s="10">
        <f t="shared" si="9"/>
        <v>620</v>
      </c>
    </row>
    <row r="585" spans="1:6" x14ac:dyDescent="0.25">
      <c r="A585" s="9"/>
      <c r="B585" s="9"/>
      <c r="D585" s="9"/>
      <c r="E585" s="10"/>
      <c r="F585" s="8">
        <f>SUM(F584)</f>
        <v>620</v>
      </c>
    </row>
    <row r="586" spans="1:6" x14ac:dyDescent="0.25">
      <c r="A586" s="9"/>
      <c r="B586" s="9"/>
      <c r="D586" s="9"/>
      <c r="E586" s="10"/>
      <c r="F586" s="10"/>
    </row>
    <row r="587" spans="1:6" x14ac:dyDescent="0.25">
      <c r="A587" s="9" t="s">
        <v>119</v>
      </c>
      <c r="B587" s="4">
        <v>45667</v>
      </c>
      <c r="C587" s="5">
        <v>60</v>
      </c>
      <c r="D587" s="9" t="s">
        <v>14</v>
      </c>
      <c r="E587" s="10">
        <v>150</v>
      </c>
      <c r="F587" s="10">
        <f t="shared" si="9"/>
        <v>9000</v>
      </c>
    </row>
    <row r="588" spans="1:6" x14ac:dyDescent="0.25">
      <c r="A588" s="9"/>
      <c r="B588" s="9"/>
      <c r="D588" s="9"/>
      <c r="E588" s="10"/>
      <c r="F588" s="8">
        <f>SUM(F587)</f>
        <v>9000</v>
      </c>
    </row>
    <row r="589" spans="1:6" x14ac:dyDescent="0.25">
      <c r="A589" s="9"/>
      <c r="B589" s="9"/>
      <c r="D589" s="9"/>
      <c r="E589" s="10"/>
      <c r="F589" s="10"/>
    </row>
    <row r="590" spans="1:6" x14ac:dyDescent="0.25">
      <c r="A590" s="9" t="s">
        <v>17</v>
      </c>
      <c r="B590" s="4">
        <v>45667</v>
      </c>
      <c r="C590" s="5">
        <v>10</v>
      </c>
      <c r="D590" s="9" t="s">
        <v>13</v>
      </c>
      <c r="E590" s="10">
        <v>155</v>
      </c>
      <c r="F590" s="10">
        <f t="shared" si="9"/>
        <v>1550</v>
      </c>
    </row>
    <row r="591" spans="1:6" x14ac:dyDescent="0.25">
      <c r="A591" s="9"/>
      <c r="B591" s="9"/>
      <c r="D591" s="9"/>
      <c r="E591" s="10"/>
      <c r="F591" s="8">
        <f>SUM(F590)</f>
        <v>1550</v>
      </c>
    </row>
    <row r="592" spans="1:6" x14ac:dyDescent="0.25">
      <c r="A592" s="9"/>
      <c r="B592" s="9"/>
      <c r="D592" s="9"/>
      <c r="E592" s="10"/>
      <c r="F592" s="10"/>
    </row>
    <row r="593" spans="1:6" x14ac:dyDescent="0.25">
      <c r="A593" s="9" t="s">
        <v>120</v>
      </c>
      <c r="B593" s="4">
        <v>45667</v>
      </c>
      <c r="C593" s="5">
        <v>15</v>
      </c>
      <c r="D593" s="9" t="s">
        <v>13</v>
      </c>
      <c r="E593" s="10">
        <v>155</v>
      </c>
      <c r="F593" s="10">
        <f t="shared" si="9"/>
        <v>2325</v>
      </c>
    </row>
    <row r="594" spans="1:6" x14ac:dyDescent="0.25">
      <c r="A594" s="9"/>
      <c r="B594" s="9"/>
      <c r="D594" s="9"/>
      <c r="E594" s="10"/>
      <c r="F594" s="8">
        <f>SUM(F593)</f>
        <v>2325</v>
      </c>
    </row>
    <row r="595" spans="1:6" x14ac:dyDescent="0.25">
      <c r="A595" s="9"/>
      <c r="B595" s="9"/>
      <c r="D595" s="9"/>
      <c r="E595" s="10"/>
      <c r="F595" s="10"/>
    </row>
    <row r="596" spans="1:6" x14ac:dyDescent="0.25">
      <c r="A596" s="9" t="s">
        <v>40</v>
      </c>
      <c r="B596" s="4">
        <v>45667</v>
      </c>
      <c r="C596" s="5">
        <v>8</v>
      </c>
      <c r="D596" s="9" t="s">
        <v>13</v>
      </c>
      <c r="E596" s="10">
        <v>150</v>
      </c>
      <c r="F596" s="10">
        <f t="shared" si="9"/>
        <v>1200</v>
      </c>
    </row>
    <row r="597" spans="1:6" x14ac:dyDescent="0.25">
      <c r="A597" s="9"/>
      <c r="B597" s="9"/>
      <c r="C597" s="5">
        <v>5</v>
      </c>
      <c r="D597" s="9" t="s">
        <v>14</v>
      </c>
      <c r="E597" s="10">
        <v>135</v>
      </c>
      <c r="F597" s="10">
        <f t="shared" si="9"/>
        <v>675</v>
      </c>
    </row>
    <row r="598" spans="1:6" x14ac:dyDescent="0.25">
      <c r="A598" s="9"/>
      <c r="B598" s="9"/>
      <c r="C598" s="5">
        <v>5</v>
      </c>
      <c r="D598" s="9" t="s">
        <v>22</v>
      </c>
      <c r="E598" s="10">
        <v>125</v>
      </c>
      <c r="F598" s="10">
        <f t="shared" si="9"/>
        <v>625</v>
      </c>
    </row>
    <row r="599" spans="1:6" x14ac:dyDescent="0.25">
      <c r="A599" s="9"/>
      <c r="B599" s="9"/>
      <c r="D599" s="9"/>
      <c r="E599" s="10"/>
      <c r="F599" s="8">
        <f>SUM(F596:F598)</f>
        <v>2500</v>
      </c>
    </row>
    <row r="600" spans="1:6" x14ac:dyDescent="0.25">
      <c r="A600" s="9"/>
      <c r="B600" s="9"/>
      <c r="D600" s="9"/>
      <c r="E600" s="10"/>
      <c r="F600" s="10"/>
    </row>
    <row r="601" spans="1:6" x14ac:dyDescent="0.25">
      <c r="A601" s="9" t="s">
        <v>58</v>
      </c>
      <c r="B601" s="4">
        <v>45667</v>
      </c>
      <c r="C601" s="5">
        <v>8</v>
      </c>
      <c r="D601" s="9" t="s">
        <v>13</v>
      </c>
      <c r="E601" s="10">
        <v>150</v>
      </c>
      <c r="F601" s="10">
        <f t="shared" si="9"/>
        <v>1200</v>
      </c>
    </row>
    <row r="602" spans="1:6" x14ac:dyDescent="0.25">
      <c r="A602" s="9"/>
      <c r="B602" s="9"/>
      <c r="D602" s="9"/>
      <c r="E602" s="10"/>
      <c r="F602" s="8">
        <f>SUM(F601)</f>
        <v>1200</v>
      </c>
    </row>
    <row r="603" spans="1:6" x14ac:dyDescent="0.25">
      <c r="A603" s="9"/>
      <c r="B603" s="9"/>
      <c r="D603" s="9"/>
      <c r="E603" s="10"/>
      <c r="F603" s="10"/>
    </row>
    <row r="604" spans="1:6" x14ac:dyDescent="0.25">
      <c r="A604" s="9" t="s">
        <v>20</v>
      </c>
      <c r="B604" s="4">
        <v>45667</v>
      </c>
      <c r="C604" s="5">
        <v>20</v>
      </c>
      <c r="D604" s="9" t="s">
        <v>13</v>
      </c>
      <c r="E604" s="10">
        <v>150</v>
      </c>
      <c r="F604" s="10">
        <f t="shared" si="9"/>
        <v>3000</v>
      </c>
    </row>
    <row r="605" spans="1:6" x14ac:dyDescent="0.25">
      <c r="A605" s="9"/>
      <c r="B605" s="9"/>
      <c r="D605" s="9"/>
      <c r="E605" s="10"/>
      <c r="F605" s="8">
        <f>SUM(F604)</f>
        <v>3000</v>
      </c>
    </row>
    <row r="606" spans="1:6" x14ac:dyDescent="0.25">
      <c r="A606" s="9"/>
      <c r="B606" s="9"/>
      <c r="D606" s="9"/>
      <c r="E606" s="10"/>
      <c r="F606" s="10"/>
    </row>
    <row r="607" spans="1:6" x14ac:dyDescent="0.25">
      <c r="A607" s="9" t="s">
        <v>15</v>
      </c>
      <c r="B607" s="4">
        <v>45667</v>
      </c>
      <c r="C607" s="5">
        <v>70</v>
      </c>
      <c r="D607" s="9" t="s">
        <v>36</v>
      </c>
      <c r="E607" s="10">
        <v>100</v>
      </c>
      <c r="F607" s="10">
        <f t="shared" si="9"/>
        <v>7000</v>
      </c>
    </row>
    <row r="608" spans="1:6" x14ac:dyDescent="0.25">
      <c r="A608" s="9"/>
      <c r="B608" s="9"/>
      <c r="D608" s="9"/>
      <c r="E608" s="10"/>
      <c r="F608" s="8">
        <f>SUM(F607)</f>
        <v>7000</v>
      </c>
    </row>
    <row r="609" spans="1:6" x14ac:dyDescent="0.25">
      <c r="A609" s="9"/>
      <c r="B609" s="9"/>
      <c r="D609" s="9"/>
      <c r="E609" s="10"/>
      <c r="F609" s="10"/>
    </row>
    <row r="610" spans="1:6" x14ac:dyDescent="0.25">
      <c r="A610" s="9" t="s">
        <v>56</v>
      </c>
      <c r="B610" s="4">
        <v>45667</v>
      </c>
      <c r="C610" s="5">
        <v>15</v>
      </c>
      <c r="D610" s="9" t="s">
        <v>36</v>
      </c>
      <c r="E610" s="10">
        <v>105</v>
      </c>
      <c r="F610" s="10">
        <f t="shared" si="9"/>
        <v>1575</v>
      </c>
    </row>
    <row r="611" spans="1:6" x14ac:dyDescent="0.25">
      <c r="A611" s="9"/>
      <c r="B611" s="9"/>
      <c r="D611" s="9"/>
      <c r="E611" s="10"/>
      <c r="F611" s="8">
        <f>SUM(F610)</f>
        <v>1575</v>
      </c>
    </row>
    <row r="612" spans="1:6" x14ac:dyDescent="0.25">
      <c r="A612" s="9"/>
      <c r="B612" s="9"/>
      <c r="D612" s="9"/>
      <c r="E612" s="10"/>
      <c r="F612" s="10"/>
    </row>
    <row r="613" spans="1:6" x14ac:dyDescent="0.25">
      <c r="A613" s="9" t="s">
        <v>19</v>
      </c>
      <c r="B613" s="4">
        <v>45667</v>
      </c>
      <c r="C613" s="5">
        <v>10</v>
      </c>
      <c r="D613" s="9" t="s">
        <v>13</v>
      </c>
      <c r="E613" s="10">
        <v>155</v>
      </c>
      <c r="F613" s="10">
        <f t="shared" si="9"/>
        <v>1550</v>
      </c>
    </row>
    <row r="614" spans="1:6" x14ac:dyDescent="0.25">
      <c r="A614" s="9"/>
      <c r="B614" s="9"/>
      <c r="D614" s="9"/>
      <c r="E614" s="10"/>
      <c r="F614" s="8">
        <f>SUM(F613)</f>
        <v>1550</v>
      </c>
    </row>
    <row r="615" spans="1:6" x14ac:dyDescent="0.25">
      <c r="A615" s="9"/>
      <c r="B615" s="9"/>
      <c r="D615" s="9"/>
      <c r="E615" s="10"/>
      <c r="F615" s="10"/>
    </row>
    <row r="616" spans="1:6" x14ac:dyDescent="0.25">
      <c r="A616" s="9" t="s">
        <v>76</v>
      </c>
      <c r="B616" s="4">
        <v>45667</v>
      </c>
      <c r="C616" s="5">
        <v>150</v>
      </c>
      <c r="D616" s="9" t="s">
        <v>14</v>
      </c>
      <c r="E616" s="10">
        <v>121</v>
      </c>
      <c r="F616" s="10">
        <f t="shared" si="9"/>
        <v>18150</v>
      </c>
    </row>
    <row r="617" spans="1:6" x14ac:dyDescent="0.25">
      <c r="A617" s="9"/>
      <c r="B617" s="9"/>
      <c r="C617" s="5">
        <v>150</v>
      </c>
      <c r="D617" s="9" t="s">
        <v>11</v>
      </c>
      <c r="E617" s="10">
        <v>116</v>
      </c>
      <c r="F617" s="10">
        <f t="shared" si="9"/>
        <v>17400</v>
      </c>
    </row>
    <row r="618" spans="1:6" x14ac:dyDescent="0.25">
      <c r="A618" s="9"/>
      <c r="B618" s="9"/>
      <c r="D618" s="9"/>
      <c r="E618" s="10"/>
      <c r="F618" s="8">
        <f>SUM(F616:F617)</f>
        <v>35550</v>
      </c>
    </row>
    <row r="619" spans="1:6" x14ac:dyDescent="0.25">
      <c r="A619" s="9"/>
      <c r="B619" s="9"/>
      <c r="D619" s="9"/>
      <c r="E619" s="10"/>
      <c r="F619" s="10"/>
    </row>
    <row r="620" spans="1:6" x14ac:dyDescent="0.25">
      <c r="A620" s="9" t="s">
        <v>76</v>
      </c>
      <c r="B620" s="4">
        <v>45667</v>
      </c>
      <c r="C620" s="5">
        <v>250</v>
      </c>
      <c r="D620" s="9" t="s">
        <v>121</v>
      </c>
      <c r="E620" s="10">
        <v>123</v>
      </c>
      <c r="F620" s="10">
        <f t="shared" si="9"/>
        <v>30750</v>
      </c>
    </row>
    <row r="621" spans="1:6" x14ac:dyDescent="0.25">
      <c r="A621" s="9"/>
      <c r="B621" s="9"/>
      <c r="C621" s="5">
        <v>130</v>
      </c>
      <c r="D621" s="9" t="s">
        <v>49</v>
      </c>
      <c r="E621" s="10">
        <v>130</v>
      </c>
      <c r="F621" s="10">
        <f t="shared" si="9"/>
        <v>16900</v>
      </c>
    </row>
    <row r="622" spans="1:6" x14ac:dyDescent="0.25">
      <c r="A622" s="9"/>
      <c r="B622" s="9"/>
      <c r="C622" s="5">
        <v>45</v>
      </c>
      <c r="D622" s="9" t="s">
        <v>22</v>
      </c>
      <c r="E622" s="10">
        <v>100</v>
      </c>
      <c r="F622" s="10">
        <f t="shared" si="9"/>
        <v>4500</v>
      </c>
    </row>
    <row r="623" spans="1:6" x14ac:dyDescent="0.25">
      <c r="A623" s="9"/>
      <c r="B623" s="9"/>
      <c r="C623" s="5">
        <v>9</v>
      </c>
      <c r="D623" s="9" t="s">
        <v>36</v>
      </c>
      <c r="E623" s="10">
        <v>85</v>
      </c>
      <c r="F623" s="10">
        <f t="shared" si="9"/>
        <v>765</v>
      </c>
    </row>
    <row r="624" spans="1:6" x14ac:dyDescent="0.25">
      <c r="A624" s="9"/>
      <c r="B624" s="9"/>
      <c r="C624" s="5">
        <v>20</v>
      </c>
      <c r="D624" s="9" t="s">
        <v>13</v>
      </c>
      <c r="E624" s="10">
        <v>130</v>
      </c>
      <c r="F624" s="10">
        <f t="shared" si="9"/>
        <v>2600</v>
      </c>
    </row>
    <row r="625" spans="1:6" x14ac:dyDescent="0.25">
      <c r="A625" s="9"/>
      <c r="B625" s="9"/>
      <c r="C625" s="5">
        <v>50</v>
      </c>
      <c r="D625" s="9" t="s">
        <v>11</v>
      </c>
      <c r="E625" s="10">
        <v>100</v>
      </c>
      <c r="F625" s="10">
        <f t="shared" si="9"/>
        <v>5000</v>
      </c>
    </row>
    <row r="626" spans="1:6" x14ac:dyDescent="0.25">
      <c r="A626" s="9"/>
      <c r="B626" s="9"/>
      <c r="D626" s="9"/>
      <c r="E626" s="10"/>
      <c r="F626" s="8">
        <f>SUM(F620:F625)</f>
        <v>60515</v>
      </c>
    </row>
    <row r="627" spans="1:6" x14ac:dyDescent="0.25">
      <c r="A627" s="9"/>
      <c r="B627" s="9"/>
      <c r="D627" s="9"/>
      <c r="E627" s="10"/>
      <c r="F627" s="10"/>
    </row>
    <row r="628" spans="1:6" x14ac:dyDescent="0.25">
      <c r="A628" s="9" t="s">
        <v>51</v>
      </c>
      <c r="B628" s="4">
        <v>45667</v>
      </c>
      <c r="C628" s="5">
        <v>142</v>
      </c>
      <c r="D628" s="9" t="s">
        <v>14</v>
      </c>
      <c r="E628" s="10"/>
      <c r="F628" s="10">
        <f t="shared" si="9"/>
        <v>0</v>
      </c>
    </row>
    <row r="629" spans="1:6" x14ac:dyDescent="0.25">
      <c r="A629" s="9"/>
      <c r="B629" s="9"/>
      <c r="C629" s="5">
        <v>49</v>
      </c>
      <c r="D629" s="9" t="s">
        <v>11</v>
      </c>
      <c r="E629" s="10"/>
      <c r="F629" s="10">
        <f t="shared" si="9"/>
        <v>0</v>
      </c>
    </row>
    <row r="630" spans="1:6" x14ac:dyDescent="0.25">
      <c r="A630" s="9"/>
      <c r="B630" s="9"/>
      <c r="D630" s="9"/>
      <c r="E630" s="10"/>
      <c r="F630" s="8">
        <f>SUM(F628:F629)</f>
        <v>0</v>
      </c>
    </row>
    <row r="631" spans="1:6" x14ac:dyDescent="0.25">
      <c r="A631" s="9"/>
      <c r="B631" s="9"/>
      <c r="D631" s="9"/>
      <c r="E631" s="10"/>
      <c r="F631" s="10"/>
    </row>
    <row r="632" spans="1:6" x14ac:dyDescent="0.25">
      <c r="A632" s="9" t="s">
        <v>18</v>
      </c>
      <c r="B632" s="4">
        <v>45667</v>
      </c>
      <c r="C632" s="5">
        <v>30</v>
      </c>
      <c r="D632" s="9" t="s">
        <v>14</v>
      </c>
      <c r="E632" s="10">
        <v>135</v>
      </c>
      <c r="F632" s="10">
        <f t="shared" si="9"/>
        <v>4050</v>
      </c>
    </row>
    <row r="633" spans="1:6" x14ac:dyDescent="0.25">
      <c r="A633" s="9"/>
      <c r="B633" s="9"/>
      <c r="C633" s="5">
        <v>10</v>
      </c>
      <c r="D633" s="9" t="s">
        <v>13</v>
      </c>
      <c r="E633" s="10">
        <v>145</v>
      </c>
      <c r="F633" s="10">
        <f t="shared" si="9"/>
        <v>1450</v>
      </c>
    </row>
    <row r="634" spans="1:6" x14ac:dyDescent="0.25">
      <c r="A634" s="9"/>
      <c r="B634" s="9"/>
      <c r="D634" s="9"/>
      <c r="E634" s="10"/>
      <c r="F634" s="8">
        <f>SUM(F632:F633)</f>
        <v>5500</v>
      </c>
    </row>
    <row r="635" spans="1:6" x14ac:dyDescent="0.25">
      <c r="A635" s="9"/>
      <c r="B635" s="9"/>
      <c r="D635" s="9"/>
      <c r="E635" s="10"/>
      <c r="F635" s="10"/>
    </row>
    <row r="636" spans="1:6" x14ac:dyDescent="0.25">
      <c r="A636" s="9" t="s">
        <v>43</v>
      </c>
      <c r="B636" s="4">
        <v>45667</v>
      </c>
      <c r="C636" s="5">
        <v>16</v>
      </c>
      <c r="D636" s="9" t="s">
        <v>49</v>
      </c>
      <c r="E636" s="10">
        <v>145</v>
      </c>
      <c r="F636" s="10">
        <f t="shared" si="9"/>
        <v>2320</v>
      </c>
    </row>
    <row r="637" spans="1:6" x14ac:dyDescent="0.25">
      <c r="A637" s="9"/>
      <c r="B637" s="9"/>
      <c r="C637" s="5">
        <v>13</v>
      </c>
      <c r="D637" s="9" t="s">
        <v>14</v>
      </c>
      <c r="E637" s="10">
        <v>135</v>
      </c>
      <c r="F637" s="10">
        <f t="shared" si="9"/>
        <v>1755</v>
      </c>
    </row>
    <row r="638" spans="1:6" x14ac:dyDescent="0.25">
      <c r="A638" s="9"/>
      <c r="B638" s="9"/>
      <c r="D638" s="9"/>
      <c r="E638" s="10"/>
      <c r="F638" s="8">
        <f>SUM(F636:F637)</f>
        <v>4075</v>
      </c>
    </row>
    <row r="639" spans="1:6" x14ac:dyDescent="0.25">
      <c r="A639" s="9"/>
      <c r="B639" s="9"/>
      <c r="D639" s="9"/>
      <c r="E639" s="10"/>
      <c r="F639" s="10"/>
    </row>
    <row r="640" spans="1:6" x14ac:dyDescent="0.25">
      <c r="A640" s="9" t="s">
        <v>44</v>
      </c>
      <c r="B640" s="4">
        <v>45667</v>
      </c>
      <c r="C640" s="5">
        <v>70</v>
      </c>
      <c r="D640" s="9" t="s">
        <v>14</v>
      </c>
      <c r="E640" s="10">
        <v>135</v>
      </c>
      <c r="F640" s="10">
        <f t="shared" si="9"/>
        <v>9450</v>
      </c>
    </row>
    <row r="641" spans="1:6" x14ac:dyDescent="0.25">
      <c r="A641" s="9"/>
      <c r="B641" s="9"/>
      <c r="D641" s="9"/>
      <c r="E641" s="10"/>
      <c r="F641" s="8">
        <f>SUM(F640)</f>
        <v>9450</v>
      </c>
    </row>
    <row r="642" spans="1:6" x14ac:dyDescent="0.25">
      <c r="A642" s="9"/>
      <c r="B642" s="9"/>
      <c r="D642" s="9"/>
      <c r="E642" s="10"/>
      <c r="F642" s="10"/>
    </row>
    <row r="643" spans="1:6" x14ac:dyDescent="0.25">
      <c r="A643" s="9" t="s">
        <v>47</v>
      </c>
      <c r="B643" s="4">
        <v>45667</v>
      </c>
      <c r="C643" s="5">
        <v>50</v>
      </c>
      <c r="D643" s="9" t="s">
        <v>13</v>
      </c>
      <c r="E643" s="10">
        <v>135</v>
      </c>
      <c r="F643" s="10">
        <f t="shared" si="9"/>
        <v>6750</v>
      </c>
    </row>
    <row r="644" spans="1:6" x14ac:dyDescent="0.25">
      <c r="A644" s="9"/>
      <c r="B644" s="9"/>
      <c r="D644" s="9"/>
      <c r="E644" s="10"/>
      <c r="F644" s="8">
        <f>SUM(F643)</f>
        <v>6750</v>
      </c>
    </row>
    <row r="645" spans="1:6" x14ac:dyDescent="0.25">
      <c r="A645" s="9"/>
      <c r="B645" s="9"/>
      <c r="D645" s="9"/>
      <c r="E645" s="10"/>
      <c r="F645" s="10"/>
    </row>
    <row r="646" spans="1:6" x14ac:dyDescent="0.25">
      <c r="A646" s="9" t="s">
        <v>46</v>
      </c>
      <c r="B646" s="4">
        <v>45667</v>
      </c>
      <c r="C646" s="5">
        <v>10</v>
      </c>
      <c r="D646" s="9" t="s">
        <v>14</v>
      </c>
      <c r="E646" s="10">
        <v>135</v>
      </c>
      <c r="F646" s="10">
        <f t="shared" ref="F646:F735" si="10">+C646*E646</f>
        <v>1350</v>
      </c>
    </row>
    <row r="647" spans="1:6" x14ac:dyDescent="0.25">
      <c r="A647" s="9"/>
      <c r="B647" s="9"/>
      <c r="D647" s="9"/>
      <c r="E647" s="10"/>
      <c r="F647" s="8">
        <f>SUM(F646)</f>
        <v>1350</v>
      </c>
    </row>
    <row r="648" spans="1:6" x14ac:dyDescent="0.25">
      <c r="A648" s="9"/>
      <c r="B648" s="9"/>
      <c r="D648" s="9"/>
      <c r="E648" s="10"/>
      <c r="F648" s="10"/>
    </row>
    <row r="649" spans="1:6" x14ac:dyDescent="0.25">
      <c r="A649" s="9" t="s">
        <v>45</v>
      </c>
      <c r="B649" s="4">
        <v>45667</v>
      </c>
      <c r="C649" s="5">
        <v>1</v>
      </c>
      <c r="D649" s="9" t="s">
        <v>14</v>
      </c>
      <c r="E649" s="10">
        <v>135</v>
      </c>
      <c r="F649" s="10">
        <f t="shared" si="10"/>
        <v>135</v>
      </c>
    </row>
    <row r="650" spans="1:6" x14ac:dyDescent="0.25">
      <c r="A650" s="9"/>
      <c r="B650" s="9"/>
      <c r="D650" s="9"/>
      <c r="E650" s="10"/>
      <c r="F650" s="8">
        <f>SUM(F649)</f>
        <v>135</v>
      </c>
    </row>
    <row r="651" spans="1:6" x14ac:dyDescent="0.25">
      <c r="A651" s="9"/>
      <c r="B651" s="9"/>
      <c r="D651" s="9"/>
      <c r="E651" s="10"/>
      <c r="F651" s="10"/>
    </row>
    <row r="652" spans="1:6" x14ac:dyDescent="0.25">
      <c r="A652" s="9" t="s">
        <v>41</v>
      </c>
      <c r="B652" s="4">
        <v>45667</v>
      </c>
      <c r="C652" s="5">
        <v>45</v>
      </c>
      <c r="D652" s="9" t="s">
        <v>14</v>
      </c>
      <c r="E652" s="10">
        <v>140</v>
      </c>
      <c r="F652" s="10">
        <f t="shared" si="10"/>
        <v>6300</v>
      </c>
    </row>
    <row r="653" spans="1:6" x14ac:dyDescent="0.25">
      <c r="A653" s="9"/>
      <c r="B653" s="9"/>
      <c r="D653" s="9"/>
      <c r="E653" s="10"/>
      <c r="F653" s="8">
        <f>SUM(F652)</f>
        <v>6300</v>
      </c>
    </row>
    <row r="654" spans="1:6" x14ac:dyDescent="0.25">
      <c r="A654" s="9"/>
      <c r="B654" s="9"/>
      <c r="D654" s="9"/>
      <c r="E654" s="10"/>
      <c r="F654" s="10"/>
    </row>
    <row r="655" spans="1:6" x14ac:dyDescent="0.25">
      <c r="A655" s="9" t="s">
        <v>29</v>
      </c>
      <c r="B655" s="4">
        <v>45667</v>
      </c>
      <c r="C655" s="5">
        <v>1</v>
      </c>
      <c r="D655" s="9" t="s">
        <v>12</v>
      </c>
      <c r="E655" s="10">
        <v>150</v>
      </c>
      <c r="F655" s="10">
        <f t="shared" si="10"/>
        <v>150</v>
      </c>
    </row>
    <row r="656" spans="1:6" x14ac:dyDescent="0.25">
      <c r="A656" s="9"/>
      <c r="B656" s="9"/>
      <c r="C656" s="5">
        <v>1</v>
      </c>
      <c r="D656" s="9" t="s">
        <v>8</v>
      </c>
      <c r="E656" s="10">
        <v>170</v>
      </c>
      <c r="F656" s="10">
        <f t="shared" si="10"/>
        <v>170</v>
      </c>
    </row>
    <row r="657" spans="1:6" x14ac:dyDescent="0.25">
      <c r="A657" s="9"/>
      <c r="B657" s="9"/>
      <c r="C657" s="5">
        <v>2</v>
      </c>
      <c r="D657" s="9" t="s">
        <v>13</v>
      </c>
      <c r="E657" s="10">
        <v>160</v>
      </c>
      <c r="F657" s="10">
        <f t="shared" si="10"/>
        <v>320</v>
      </c>
    </row>
    <row r="658" spans="1:6" x14ac:dyDescent="0.25">
      <c r="A658" s="9"/>
      <c r="B658" s="9"/>
      <c r="D658" s="9"/>
      <c r="E658" s="10"/>
      <c r="F658" s="8">
        <f>SUM(F655:F657)</f>
        <v>640</v>
      </c>
    </row>
    <row r="659" spans="1:6" s="9" customFormat="1" x14ac:dyDescent="0.25">
      <c r="C659" s="5"/>
      <c r="E659" s="10"/>
      <c r="F659" s="8"/>
    </row>
    <row r="660" spans="1:6" x14ac:dyDescent="0.25">
      <c r="A660" s="9" t="s">
        <v>7</v>
      </c>
      <c r="B660" s="4">
        <v>45667</v>
      </c>
      <c r="C660" s="5">
        <v>2</v>
      </c>
      <c r="D660" s="9" t="s">
        <v>8</v>
      </c>
      <c r="E660" s="10">
        <v>170</v>
      </c>
      <c r="F660" s="10">
        <f t="shared" si="10"/>
        <v>340</v>
      </c>
    </row>
    <row r="661" spans="1:6" x14ac:dyDescent="0.25">
      <c r="A661" s="9"/>
      <c r="B661" s="9"/>
      <c r="C661" s="5">
        <v>4</v>
      </c>
      <c r="D661" s="9" t="s">
        <v>75</v>
      </c>
      <c r="E661" s="10">
        <v>160</v>
      </c>
      <c r="F661" s="10">
        <f t="shared" si="10"/>
        <v>640</v>
      </c>
    </row>
    <row r="662" spans="1:6" x14ac:dyDescent="0.25">
      <c r="A662" s="9"/>
      <c r="B662" s="9"/>
      <c r="C662" s="5">
        <v>1</v>
      </c>
      <c r="D662" s="9" t="s">
        <v>122</v>
      </c>
      <c r="E662" s="10">
        <v>150</v>
      </c>
      <c r="F662" s="10">
        <f t="shared" si="10"/>
        <v>150</v>
      </c>
    </row>
    <row r="663" spans="1:6" x14ac:dyDescent="0.25">
      <c r="A663" s="9"/>
      <c r="B663" s="9"/>
      <c r="C663" s="5">
        <v>6</v>
      </c>
      <c r="D663" s="9" t="s">
        <v>110</v>
      </c>
      <c r="E663" s="10">
        <v>3.3330000000000002</v>
      </c>
      <c r="F663" s="10">
        <f t="shared" si="10"/>
        <v>19.998000000000001</v>
      </c>
    </row>
    <row r="664" spans="1:6" x14ac:dyDescent="0.25">
      <c r="A664" s="9"/>
      <c r="B664" s="9"/>
      <c r="C664" s="5">
        <v>4</v>
      </c>
      <c r="D664" s="9" t="s">
        <v>13</v>
      </c>
      <c r="E664" s="10">
        <v>140</v>
      </c>
      <c r="F664" s="10">
        <f t="shared" si="10"/>
        <v>560</v>
      </c>
    </row>
    <row r="665" spans="1:6" s="9" customFormat="1" x14ac:dyDescent="0.25">
      <c r="C665" s="5"/>
      <c r="E665" s="10"/>
      <c r="F665" s="8">
        <f>SUM(F660:F664)</f>
        <v>1709.998</v>
      </c>
    </row>
    <row r="666" spans="1:6" s="9" customFormat="1" x14ac:dyDescent="0.25">
      <c r="C666" s="5"/>
      <c r="E666" s="10"/>
      <c r="F666" s="10"/>
    </row>
    <row r="667" spans="1:6" s="9" customFormat="1" x14ac:dyDescent="0.25">
      <c r="A667" s="9" t="s">
        <v>123</v>
      </c>
      <c r="B667" s="4">
        <v>45668</v>
      </c>
      <c r="C667" s="5">
        <v>30</v>
      </c>
      <c r="D667" s="9" t="s">
        <v>14</v>
      </c>
      <c r="E667" s="10">
        <v>150</v>
      </c>
      <c r="F667" s="10">
        <f t="shared" si="10"/>
        <v>4500</v>
      </c>
    </row>
    <row r="668" spans="1:6" s="9" customFormat="1" x14ac:dyDescent="0.25">
      <c r="C668" s="5"/>
      <c r="E668" s="10"/>
      <c r="F668" s="8">
        <f>SUM(F667)</f>
        <v>4500</v>
      </c>
    </row>
    <row r="669" spans="1:6" s="9" customFormat="1" x14ac:dyDescent="0.25">
      <c r="C669" s="5"/>
      <c r="E669" s="10"/>
      <c r="F669" s="10"/>
    </row>
    <row r="670" spans="1:6" s="9" customFormat="1" x14ac:dyDescent="0.25">
      <c r="A670" s="9" t="s">
        <v>17</v>
      </c>
      <c r="B670" s="4">
        <v>45668</v>
      </c>
      <c r="C670" s="5">
        <v>10</v>
      </c>
      <c r="D670" s="9" t="s">
        <v>13</v>
      </c>
      <c r="E670" s="10">
        <v>155</v>
      </c>
      <c r="F670" s="10">
        <f t="shared" si="10"/>
        <v>1550</v>
      </c>
    </row>
    <row r="671" spans="1:6" s="9" customFormat="1" x14ac:dyDescent="0.25">
      <c r="C671" s="5"/>
      <c r="E671" s="10"/>
      <c r="F671" s="8">
        <f>SUM(F670)</f>
        <v>1550</v>
      </c>
    </row>
    <row r="672" spans="1:6" s="9" customFormat="1" x14ac:dyDescent="0.25">
      <c r="C672" s="5"/>
      <c r="E672" s="10"/>
      <c r="F672" s="10"/>
    </row>
    <row r="673" spans="1:6" s="9" customFormat="1" x14ac:dyDescent="0.25">
      <c r="A673" s="9" t="s">
        <v>21</v>
      </c>
      <c r="B673" s="4">
        <v>45668</v>
      </c>
      <c r="C673" s="5">
        <v>30</v>
      </c>
      <c r="D673" s="9" t="s">
        <v>13</v>
      </c>
      <c r="E673" s="10">
        <v>150</v>
      </c>
      <c r="F673" s="10">
        <f t="shared" si="10"/>
        <v>4500</v>
      </c>
    </row>
    <row r="674" spans="1:6" s="9" customFormat="1" x14ac:dyDescent="0.25">
      <c r="C674" s="5">
        <v>30</v>
      </c>
      <c r="D674" s="9" t="s">
        <v>12</v>
      </c>
      <c r="E674" s="10">
        <v>140</v>
      </c>
      <c r="F674" s="10">
        <f t="shared" si="10"/>
        <v>4200</v>
      </c>
    </row>
    <row r="675" spans="1:6" s="9" customFormat="1" x14ac:dyDescent="0.25">
      <c r="C675" s="5">
        <v>10</v>
      </c>
      <c r="D675" s="9" t="s">
        <v>22</v>
      </c>
      <c r="E675" s="10">
        <v>125</v>
      </c>
      <c r="F675" s="10">
        <f t="shared" si="10"/>
        <v>1250</v>
      </c>
    </row>
    <row r="676" spans="1:6" s="9" customFormat="1" x14ac:dyDescent="0.25">
      <c r="C676" s="5"/>
      <c r="E676" s="10"/>
      <c r="F676" s="8">
        <f>SUM(F673:F675)</f>
        <v>9950</v>
      </c>
    </row>
    <row r="677" spans="1:6" s="9" customFormat="1" x14ac:dyDescent="0.25">
      <c r="C677" s="5"/>
      <c r="E677" s="10"/>
      <c r="F677" s="10"/>
    </row>
    <row r="678" spans="1:6" s="9" customFormat="1" x14ac:dyDescent="0.25">
      <c r="A678" s="9" t="s">
        <v>57</v>
      </c>
      <c r="B678" s="4">
        <v>45668</v>
      </c>
      <c r="C678" s="5">
        <v>10</v>
      </c>
      <c r="D678" s="9" t="s">
        <v>13</v>
      </c>
      <c r="E678" s="10">
        <v>155</v>
      </c>
      <c r="F678" s="10">
        <f t="shared" si="10"/>
        <v>1550</v>
      </c>
    </row>
    <row r="679" spans="1:6" s="9" customFormat="1" x14ac:dyDescent="0.25">
      <c r="C679" s="5">
        <v>10</v>
      </c>
      <c r="D679" s="9" t="s">
        <v>14</v>
      </c>
      <c r="E679" s="10">
        <v>145</v>
      </c>
      <c r="F679" s="10">
        <f t="shared" si="10"/>
        <v>1450</v>
      </c>
    </row>
    <row r="680" spans="1:6" s="9" customFormat="1" x14ac:dyDescent="0.25">
      <c r="C680" s="5"/>
      <c r="E680" s="10"/>
      <c r="F680" s="8">
        <f>SUM(F678:F679)</f>
        <v>3000</v>
      </c>
    </row>
    <row r="681" spans="1:6" s="9" customFormat="1" x14ac:dyDescent="0.25">
      <c r="C681" s="5"/>
      <c r="E681" s="10"/>
      <c r="F681" s="10"/>
    </row>
    <row r="682" spans="1:6" s="9" customFormat="1" x14ac:dyDescent="0.25">
      <c r="A682" s="9" t="s">
        <v>38</v>
      </c>
      <c r="B682" s="4">
        <v>45668</v>
      </c>
      <c r="C682" s="5">
        <v>10</v>
      </c>
      <c r="D682" s="9" t="s">
        <v>13</v>
      </c>
      <c r="E682" s="10">
        <v>155</v>
      </c>
      <c r="F682" s="10">
        <f t="shared" si="10"/>
        <v>1550</v>
      </c>
    </row>
    <row r="683" spans="1:6" s="9" customFormat="1" x14ac:dyDescent="0.25">
      <c r="C683" s="5"/>
      <c r="E683" s="10"/>
      <c r="F683" s="8">
        <f>SUM(F682)</f>
        <v>1550</v>
      </c>
    </row>
    <row r="684" spans="1:6" s="9" customFormat="1" x14ac:dyDescent="0.25">
      <c r="C684" s="5"/>
      <c r="E684" s="10"/>
      <c r="F684" s="10"/>
    </row>
    <row r="685" spans="1:6" s="9" customFormat="1" x14ac:dyDescent="0.25">
      <c r="A685" s="9" t="s">
        <v>40</v>
      </c>
      <c r="B685" s="4">
        <v>45668</v>
      </c>
      <c r="C685" s="5">
        <v>10</v>
      </c>
      <c r="D685" s="9" t="s">
        <v>124</v>
      </c>
      <c r="E685" s="10">
        <v>145</v>
      </c>
      <c r="F685" s="10">
        <f t="shared" si="10"/>
        <v>1450</v>
      </c>
    </row>
    <row r="686" spans="1:6" s="9" customFormat="1" x14ac:dyDescent="0.25">
      <c r="C686" s="5">
        <v>7</v>
      </c>
      <c r="D686" s="9" t="s">
        <v>14</v>
      </c>
      <c r="E686" s="10">
        <v>135</v>
      </c>
      <c r="F686" s="10">
        <f t="shared" si="10"/>
        <v>945</v>
      </c>
    </row>
    <row r="687" spans="1:6" s="9" customFormat="1" x14ac:dyDescent="0.25">
      <c r="C687" s="5">
        <v>4</v>
      </c>
      <c r="D687" s="9" t="s">
        <v>12</v>
      </c>
      <c r="E687" s="10">
        <v>135</v>
      </c>
      <c r="F687" s="10">
        <f t="shared" si="10"/>
        <v>540</v>
      </c>
    </row>
    <row r="688" spans="1:6" s="9" customFormat="1" x14ac:dyDescent="0.25">
      <c r="C688" s="5">
        <v>5</v>
      </c>
      <c r="D688" s="9" t="s">
        <v>11</v>
      </c>
      <c r="E688" s="10">
        <v>125</v>
      </c>
      <c r="F688" s="10">
        <f t="shared" si="10"/>
        <v>625</v>
      </c>
    </row>
    <row r="689" spans="1:6" s="9" customFormat="1" x14ac:dyDescent="0.25">
      <c r="C689" s="5">
        <v>5</v>
      </c>
      <c r="D689" s="9" t="s">
        <v>125</v>
      </c>
      <c r="E689" s="10">
        <v>125</v>
      </c>
      <c r="F689" s="10">
        <f t="shared" si="10"/>
        <v>625</v>
      </c>
    </row>
    <row r="690" spans="1:6" s="9" customFormat="1" x14ac:dyDescent="0.25">
      <c r="C690" s="5"/>
      <c r="E690" s="10"/>
      <c r="F690" s="8">
        <f>SUM(F685:F689)</f>
        <v>4185</v>
      </c>
    </row>
    <row r="691" spans="1:6" s="9" customFormat="1" x14ac:dyDescent="0.25">
      <c r="C691" s="5"/>
      <c r="E691" s="10"/>
      <c r="F691" s="10"/>
    </row>
    <row r="692" spans="1:6" s="9" customFormat="1" x14ac:dyDescent="0.25">
      <c r="A692" s="9" t="s">
        <v>126</v>
      </c>
      <c r="B692" s="4">
        <v>45668</v>
      </c>
      <c r="C692" s="5">
        <v>5</v>
      </c>
      <c r="D692" s="9" t="s">
        <v>13</v>
      </c>
      <c r="E692" s="10">
        <v>155</v>
      </c>
      <c r="F692" s="10">
        <f t="shared" si="10"/>
        <v>775</v>
      </c>
    </row>
    <row r="693" spans="1:6" s="9" customFormat="1" x14ac:dyDescent="0.25">
      <c r="C693" s="5"/>
      <c r="E693" s="10"/>
      <c r="F693" s="8">
        <f>SUM(F692)</f>
        <v>775</v>
      </c>
    </row>
    <row r="694" spans="1:6" s="9" customFormat="1" x14ac:dyDescent="0.25">
      <c r="C694" s="5"/>
      <c r="E694" s="10"/>
      <c r="F694" s="10"/>
    </row>
    <row r="695" spans="1:6" x14ac:dyDescent="0.25">
      <c r="A695" s="9" t="s">
        <v>127</v>
      </c>
      <c r="B695" s="4">
        <v>45668</v>
      </c>
      <c r="C695" s="5">
        <v>150</v>
      </c>
      <c r="D695" s="9" t="s">
        <v>13</v>
      </c>
      <c r="E695" s="10">
        <v>150</v>
      </c>
      <c r="F695" s="10">
        <f t="shared" si="10"/>
        <v>22500</v>
      </c>
    </row>
    <row r="696" spans="1:6" x14ac:dyDescent="0.25">
      <c r="A696" s="9"/>
      <c r="B696" s="9"/>
      <c r="D696" s="9"/>
      <c r="E696" s="10"/>
      <c r="F696" s="8">
        <f>SUM(F695)</f>
        <v>22500</v>
      </c>
    </row>
    <row r="697" spans="1:6" x14ac:dyDescent="0.25">
      <c r="A697" s="9"/>
      <c r="B697" s="9"/>
      <c r="D697" s="9"/>
      <c r="E697" s="10"/>
      <c r="F697" s="10"/>
    </row>
    <row r="698" spans="1:6" x14ac:dyDescent="0.25">
      <c r="A698" s="9" t="s">
        <v>60</v>
      </c>
      <c r="B698" s="4">
        <v>45668</v>
      </c>
      <c r="C698" s="5">
        <v>30</v>
      </c>
      <c r="D698" s="9" t="s">
        <v>13</v>
      </c>
      <c r="E698" s="10">
        <v>150</v>
      </c>
      <c r="F698" s="10">
        <f t="shared" si="10"/>
        <v>4500</v>
      </c>
    </row>
    <row r="699" spans="1:6" x14ac:dyDescent="0.25">
      <c r="A699" s="9"/>
      <c r="B699" s="9"/>
      <c r="D699" s="9"/>
      <c r="E699" s="10"/>
      <c r="F699" s="8">
        <f>SUM(F698)</f>
        <v>4500</v>
      </c>
    </row>
    <row r="700" spans="1:6" x14ac:dyDescent="0.25">
      <c r="A700" s="9"/>
      <c r="B700" s="9"/>
      <c r="D700" s="9"/>
      <c r="E700" s="10"/>
      <c r="F700" s="10"/>
    </row>
    <row r="701" spans="1:6" x14ac:dyDescent="0.25">
      <c r="A701" s="9" t="s">
        <v>61</v>
      </c>
      <c r="B701" s="4">
        <v>45668</v>
      </c>
      <c r="C701" s="5">
        <v>60</v>
      </c>
      <c r="D701" s="9" t="s">
        <v>13</v>
      </c>
      <c r="E701" s="10">
        <v>150</v>
      </c>
      <c r="F701" s="10">
        <f t="shared" si="10"/>
        <v>9000</v>
      </c>
    </row>
    <row r="702" spans="1:6" x14ac:dyDescent="0.25">
      <c r="A702" s="9"/>
      <c r="B702" s="9"/>
      <c r="D702" s="9"/>
      <c r="E702" s="10"/>
      <c r="F702" s="8">
        <f>SUM(F701)</f>
        <v>9000</v>
      </c>
    </row>
    <row r="703" spans="1:6" x14ac:dyDescent="0.25">
      <c r="A703" s="9"/>
      <c r="B703" s="9"/>
      <c r="D703" s="9"/>
      <c r="E703" s="10"/>
      <c r="F703" s="10"/>
    </row>
    <row r="704" spans="1:6" x14ac:dyDescent="0.25">
      <c r="A704" s="9" t="s">
        <v>65</v>
      </c>
      <c r="B704" s="4">
        <v>45668</v>
      </c>
      <c r="C704" s="5">
        <v>2000</v>
      </c>
      <c r="D704" s="9" t="s">
        <v>12</v>
      </c>
      <c r="E704" s="10">
        <v>132</v>
      </c>
      <c r="F704" s="10">
        <f t="shared" si="10"/>
        <v>264000</v>
      </c>
    </row>
    <row r="705" spans="1:6" x14ac:dyDescent="0.25">
      <c r="A705" s="9"/>
      <c r="B705" s="9"/>
      <c r="C705" s="5">
        <v>400</v>
      </c>
      <c r="D705" s="9" t="s">
        <v>11</v>
      </c>
      <c r="E705" s="10">
        <v>132</v>
      </c>
      <c r="F705" s="10">
        <f t="shared" si="10"/>
        <v>52800</v>
      </c>
    </row>
    <row r="706" spans="1:6" x14ac:dyDescent="0.25">
      <c r="A706" s="9"/>
      <c r="B706" s="9"/>
      <c r="C706" s="5">
        <v>145</v>
      </c>
      <c r="D706" s="9" t="s">
        <v>22</v>
      </c>
      <c r="E706" s="10">
        <v>120</v>
      </c>
      <c r="F706" s="10">
        <f t="shared" si="10"/>
        <v>17400</v>
      </c>
    </row>
    <row r="707" spans="1:6" x14ac:dyDescent="0.25">
      <c r="A707" s="9"/>
      <c r="B707" s="9"/>
      <c r="D707" s="9"/>
      <c r="E707" s="10"/>
      <c r="F707" s="8">
        <f>SUM(F704:F706)</f>
        <v>334200</v>
      </c>
    </row>
    <row r="708" spans="1:6" x14ac:dyDescent="0.25">
      <c r="A708" s="9"/>
      <c r="B708" s="9"/>
      <c r="D708" s="9"/>
      <c r="E708" s="10"/>
      <c r="F708" s="10"/>
    </row>
    <row r="709" spans="1:6" x14ac:dyDescent="0.25">
      <c r="A709" s="9" t="s">
        <v>52</v>
      </c>
      <c r="B709" s="4">
        <v>45668</v>
      </c>
      <c r="C709" s="5">
        <v>70</v>
      </c>
      <c r="D709" s="9" t="s">
        <v>13</v>
      </c>
      <c r="E709" s="10">
        <v>150</v>
      </c>
      <c r="F709" s="10">
        <f t="shared" si="10"/>
        <v>10500</v>
      </c>
    </row>
    <row r="710" spans="1:6" x14ac:dyDescent="0.25">
      <c r="A710" s="9"/>
      <c r="B710" s="9"/>
      <c r="C710" s="5">
        <v>20</v>
      </c>
      <c r="D710" s="9" t="s">
        <v>14</v>
      </c>
      <c r="E710" s="10">
        <v>135</v>
      </c>
      <c r="F710" s="10">
        <f t="shared" si="10"/>
        <v>2700</v>
      </c>
    </row>
    <row r="711" spans="1:6" x14ac:dyDescent="0.25">
      <c r="A711" s="9"/>
      <c r="B711" s="9"/>
      <c r="D711" s="9"/>
      <c r="E711" s="10"/>
      <c r="F711" s="8">
        <f>SUM(F709:F710)</f>
        <v>13200</v>
      </c>
    </row>
    <row r="712" spans="1:6" x14ac:dyDescent="0.25">
      <c r="A712" s="9"/>
      <c r="B712" s="9"/>
      <c r="D712" s="9"/>
      <c r="E712" s="10"/>
      <c r="F712" s="10"/>
    </row>
    <row r="713" spans="1:6" x14ac:dyDescent="0.25">
      <c r="A713" s="9" t="s">
        <v>64</v>
      </c>
      <c r="B713" s="4">
        <v>45668</v>
      </c>
      <c r="C713" s="5">
        <v>30</v>
      </c>
      <c r="D713" s="9" t="s">
        <v>8</v>
      </c>
      <c r="E713" s="10">
        <v>160</v>
      </c>
      <c r="F713" s="10">
        <f t="shared" si="10"/>
        <v>4800</v>
      </c>
    </row>
    <row r="714" spans="1:6" x14ac:dyDescent="0.25">
      <c r="A714" s="9"/>
      <c r="B714" s="9"/>
      <c r="C714" s="5">
        <v>30</v>
      </c>
      <c r="D714" s="9" t="s">
        <v>13</v>
      </c>
      <c r="E714" s="10">
        <v>150</v>
      </c>
      <c r="F714" s="10">
        <f t="shared" si="10"/>
        <v>4500</v>
      </c>
    </row>
    <row r="715" spans="1:6" x14ac:dyDescent="0.25">
      <c r="A715" s="9"/>
      <c r="B715" s="9"/>
      <c r="C715" s="5">
        <v>30</v>
      </c>
      <c r="D715" s="9" t="s">
        <v>12</v>
      </c>
      <c r="E715" s="10">
        <v>145</v>
      </c>
      <c r="F715" s="10">
        <f t="shared" si="10"/>
        <v>4350</v>
      </c>
    </row>
    <row r="716" spans="1:6" x14ac:dyDescent="0.25">
      <c r="A716" s="9"/>
      <c r="B716" s="9"/>
      <c r="C716" s="5">
        <v>30</v>
      </c>
      <c r="D716" s="9" t="s">
        <v>22</v>
      </c>
      <c r="E716" s="10">
        <v>120</v>
      </c>
      <c r="F716" s="10">
        <f t="shared" si="10"/>
        <v>3600</v>
      </c>
    </row>
    <row r="717" spans="1:6" x14ac:dyDescent="0.25">
      <c r="A717" s="9"/>
      <c r="B717" s="9"/>
      <c r="C717" s="5">
        <v>15</v>
      </c>
      <c r="D717" s="9" t="s">
        <v>11</v>
      </c>
      <c r="E717" s="10">
        <v>130</v>
      </c>
      <c r="F717" s="10">
        <f t="shared" si="10"/>
        <v>1950</v>
      </c>
    </row>
    <row r="718" spans="1:6" x14ac:dyDescent="0.25">
      <c r="A718" s="9"/>
      <c r="B718" s="9"/>
      <c r="C718" s="5">
        <v>10</v>
      </c>
      <c r="D718" s="9" t="s">
        <v>49</v>
      </c>
      <c r="E718" s="10">
        <v>155</v>
      </c>
      <c r="F718" s="10">
        <f t="shared" si="10"/>
        <v>1550</v>
      </c>
    </row>
    <row r="719" spans="1:6" x14ac:dyDescent="0.25">
      <c r="A719" s="9"/>
      <c r="B719" s="9"/>
      <c r="C719" s="5">
        <v>10</v>
      </c>
      <c r="D719" s="9" t="s">
        <v>14</v>
      </c>
      <c r="E719" s="10">
        <v>140</v>
      </c>
      <c r="F719" s="10">
        <f t="shared" si="10"/>
        <v>1400</v>
      </c>
    </row>
    <row r="720" spans="1:6" x14ac:dyDescent="0.25">
      <c r="A720" s="9"/>
      <c r="B720" s="9"/>
      <c r="C720" s="5">
        <v>10</v>
      </c>
      <c r="D720" s="9" t="s">
        <v>50</v>
      </c>
      <c r="E720" s="10">
        <v>120</v>
      </c>
      <c r="F720" s="10">
        <f t="shared" si="10"/>
        <v>1200</v>
      </c>
    </row>
    <row r="721" spans="1:6" x14ac:dyDescent="0.25">
      <c r="A721" s="9"/>
      <c r="B721" s="9"/>
      <c r="D721" s="9"/>
      <c r="E721" s="10"/>
      <c r="F721" s="8">
        <f>SUM(F713:F720)</f>
        <v>23350</v>
      </c>
    </row>
    <row r="722" spans="1:6" x14ac:dyDescent="0.25">
      <c r="A722" s="9"/>
      <c r="B722" s="9"/>
      <c r="D722" s="9"/>
      <c r="E722" s="10"/>
      <c r="F722" s="10"/>
    </row>
    <row r="723" spans="1:6" x14ac:dyDescent="0.25">
      <c r="A723" s="9" t="s">
        <v>32</v>
      </c>
      <c r="B723" s="4">
        <v>45668</v>
      </c>
      <c r="C723" s="5">
        <v>30</v>
      </c>
      <c r="D723" s="9" t="s">
        <v>13</v>
      </c>
      <c r="E723" s="10">
        <v>150</v>
      </c>
      <c r="F723" s="10">
        <f t="shared" si="10"/>
        <v>4500</v>
      </c>
    </row>
    <row r="724" spans="1:6" x14ac:dyDescent="0.25">
      <c r="A724" s="9"/>
      <c r="B724" s="9"/>
      <c r="D724" s="9"/>
      <c r="E724" s="10"/>
      <c r="F724" s="8">
        <f>SUM(F723)</f>
        <v>4500</v>
      </c>
    </row>
    <row r="725" spans="1:6" x14ac:dyDescent="0.25">
      <c r="A725" s="9"/>
      <c r="B725" s="9"/>
      <c r="D725" s="9"/>
      <c r="E725" s="10"/>
      <c r="F725" s="10"/>
    </row>
    <row r="726" spans="1:6" x14ac:dyDescent="0.25">
      <c r="A726" s="9" t="s">
        <v>72</v>
      </c>
      <c r="B726" s="4">
        <v>45668</v>
      </c>
      <c r="C726" s="5">
        <v>200</v>
      </c>
      <c r="D726" s="9" t="s">
        <v>12</v>
      </c>
      <c r="E726" s="10">
        <v>130</v>
      </c>
      <c r="F726" s="10">
        <f t="shared" si="10"/>
        <v>26000</v>
      </c>
    </row>
    <row r="727" spans="1:6" x14ac:dyDescent="0.25">
      <c r="A727" s="9"/>
      <c r="B727" s="9"/>
      <c r="C727" s="5">
        <v>200</v>
      </c>
      <c r="D727" s="9" t="s">
        <v>13</v>
      </c>
      <c r="E727" s="10">
        <v>135</v>
      </c>
      <c r="F727" s="10">
        <f t="shared" si="10"/>
        <v>27000</v>
      </c>
    </row>
    <row r="728" spans="1:6" x14ac:dyDescent="0.25">
      <c r="A728" s="9"/>
      <c r="B728" s="9"/>
      <c r="C728" s="5">
        <v>100</v>
      </c>
      <c r="D728" s="9" t="s">
        <v>11</v>
      </c>
      <c r="E728" s="10">
        <v>130</v>
      </c>
      <c r="F728" s="10">
        <f t="shared" si="10"/>
        <v>13000</v>
      </c>
    </row>
    <row r="729" spans="1:6" x14ac:dyDescent="0.25">
      <c r="A729" s="9"/>
      <c r="B729" s="9"/>
      <c r="C729" s="5">
        <v>20</v>
      </c>
      <c r="D729" s="9" t="s">
        <v>14</v>
      </c>
      <c r="E729" s="10">
        <v>135</v>
      </c>
      <c r="F729" s="10">
        <f t="shared" si="10"/>
        <v>2700</v>
      </c>
    </row>
    <row r="730" spans="1:6" x14ac:dyDescent="0.25">
      <c r="A730" s="9"/>
      <c r="B730" s="9"/>
      <c r="D730" s="9"/>
      <c r="E730" s="10"/>
      <c r="F730" s="8">
        <f>SUM(F726:F729)</f>
        <v>68700</v>
      </c>
    </row>
    <row r="731" spans="1:6" x14ac:dyDescent="0.25">
      <c r="A731" s="9"/>
      <c r="B731" s="9"/>
      <c r="D731" s="9"/>
      <c r="E731" s="10"/>
      <c r="F731" s="10"/>
    </row>
    <row r="732" spans="1:6" x14ac:dyDescent="0.25">
      <c r="A732" s="9" t="s">
        <v>69</v>
      </c>
      <c r="B732" s="4">
        <v>45668</v>
      </c>
      <c r="C732" s="5">
        <v>20</v>
      </c>
      <c r="D732" s="9" t="s">
        <v>8</v>
      </c>
      <c r="E732" s="10">
        <v>160</v>
      </c>
      <c r="F732" s="10">
        <f t="shared" si="10"/>
        <v>3200</v>
      </c>
    </row>
    <row r="733" spans="1:6" x14ac:dyDescent="0.25">
      <c r="A733" s="9"/>
      <c r="B733" s="9"/>
      <c r="D733" s="9"/>
      <c r="E733" s="10"/>
      <c r="F733" s="8">
        <f>SUM(F732)</f>
        <v>3200</v>
      </c>
    </row>
    <row r="734" spans="1:6" x14ac:dyDescent="0.25">
      <c r="A734" s="9"/>
      <c r="B734" s="9"/>
      <c r="D734" s="9"/>
      <c r="E734" s="10"/>
      <c r="F734" s="10"/>
    </row>
    <row r="735" spans="1:6" x14ac:dyDescent="0.25">
      <c r="A735" s="9" t="s">
        <v>128</v>
      </c>
      <c r="B735" s="4">
        <v>45668</v>
      </c>
      <c r="C735" s="5">
        <v>5</v>
      </c>
      <c r="D735" s="9" t="s">
        <v>8</v>
      </c>
      <c r="E735" s="10">
        <v>170</v>
      </c>
      <c r="F735" s="10">
        <f t="shared" si="10"/>
        <v>850</v>
      </c>
    </row>
    <row r="736" spans="1:6" x14ac:dyDescent="0.25">
      <c r="A736" s="9"/>
      <c r="B736" s="9"/>
      <c r="D736" s="9"/>
      <c r="E736" s="10"/>
      <c r="F736" s="8">
        <f>SUM(F735)</f>
        <v>850</v>
      </c>
    </row>
    <row r="737" spans="1:6" x14ac:dyDescent="0.25">
      <c r="A737" s="9"/>
      <c r="B737" s="9"/>
      <c r="D737" s="9"/>
      <c r="E737" s="10"/>
      <c r="F737" s="10"/>
    </row>
    <row r="738" spans="1:6" x14ac:dyDescent="0.25">
      <c r="A738" s="9" t="s">
        <v>53</v>
      </c>
      <c r="B738" s="4">
        <v>45668</v>
      </c>
      <c r="C738" s="5">
        <v>27</v>
      </c>
      <c r="D738" s="9" t="s">
        <v>12</v>
      </c>
      <c r="E738" s="10">
        <v>145</v>
      </c>
      <c r="F738" s="10">
        <f t="shared" ref="F738:F799" si="11">+C738*E738</f>
        <v>3915</v>
      </c>
    </row>
    <row r="739" spans="1:6" x14ac:dyDescent="0.25">
      <c r="A739" s="9"/>
      <c r="B739" s="9"/>
      <c r="C739" s="5">
        <v>55</v>
      </c>
      <c r="D739" s="9" t="s">
        <v>13</v>
      </c>
      <c r="E739" s="10">
        <v>150</v>
      </c>
      <c r="F739" s="10">
        <f t="shared" si="11"/>
        <v>8250</v>
      </c>
    </row>
    <row r="740" spans="1:6" x14ac:dyDescent="0.25">
      <c r="A740" s="9"/>
      <c r="B740" s="9"/>
      <c r="C740" s="5">
        <v>30</v>
      </c>
      <c r="D740" s="9" t="s">
        <v>8</v>
      </c>
      <c r="E740" s="10">
        <v>160</v>
      </c>
      <c r="F740" s="10">
        <f t="shared" si="11"/>
        <v>4800</v>
      </c>
    </row>
    <row r="741" spans="1:6" x14ac:dyDescent="0.25">
      <c r="A741" s="9"/>
      <c r="B741" s="9"/>
      <c r="D741" s="9"/>
      <c r="E741" s="10"/>
      <c r="F741" s="8">
        <f>SUM(F738:F740)</f>
        <v>16965</v>
      </c>
    </row>
    <row r="742" spans="1:6" x14ac:dyDescent="0.25">
      <c r="A742" s="9"/>
      <c r="B742" s="9"/>
      <c r="D742" s="9"/>
      <c r="E742" s="10"/>
      <c r="F742" s="10"/>
    </row>
    <row r="743" spans="1:6" x14ac:dyDescent="0.25">
      <c r="A743" s="9" t="s">
        <v>29</v>
      </c>
      <c r="B743" s="4">
        <v>45668</v>
      </c>
      <c r="C743" s="5">
        <v>1</v>
      </c>
      <c r="D743" s="9" t="s">
        <v>49</v>
      </c>
      <c r="E743" s="10">
        <v>170</v>
      </c>
      <c r="F743" s="10">
        <f t="shared" si="11"/>
        <v>170</v>
      </c>
    </row>
    <row r="744" spans="1:6" x14ac:dyDescent="0.25">
      <c r="A744" s="9"/>
      <c r="B744" s="9"/>
      <c r="C744" s="5">
        <v>5</v>
      </c>
      <c r="D744" s="9" t="s">
        <v>13</v>
      </c>
      <c r="E744" s="10">
        <v>150</v>
      </c>
      <c r="F744" s="10">
        <f t="shared" si="11"/>
        <v>750</v>
      </c>
    </row>
    <row r="745" spans="1:6" x14ac:dyDescent="0.25">
      <c r="A745" s="9"/>
      <c r="B745" s="9"/>
      <c r="D745" s="9"/>
      <c r="E745" s="10"/>
      <c r="F745" s="8">
        <f>SUM(F743:F744)</f>
        <v>920</v>
      </c>
    </row>
    <row r="746" spans="1:6" x14ac:dyDescent="0.25">
      <c r="A746" s="9"/>
      <c r="B746" s="9"/>
      <c r="D746" s="9"/>
      <c r="E746" s="10"/>
      <c r="F746" s="10"/>
    </row>
    <row r="747" spans="1:6" x14ac:dyDescent="0.25">
      <c r="A747" s="9" t="s">
        <v>76</v>
      </c>
      <c r="B747" s="4">
        <v>45669</v>
      </c>
      <c r="C747" s="5">
        <v>150</v>
      </c>
      <c r="D747" s="9" t="s">
        <v>13</v>
      </c>
      <c r="E747" s="10"/>
      <c r="F747" s="10">
        <f t="shared" si="11"/>
        <v>0</v>
      </c>
    </row>
    <row r="748" spans="1:6" x14ac:dyDescent="0.25">
      <c r="A748" s="9"/>
      <c r="B748" s="9"/>
      <c r="C748" s="5">
        <v>300</v>
      </c>
      <c r="D748" s="9" t="s">
        <v>12</v>
      </c>
      <c r="E748" s="10"/>
      <c r="F748" s="10">
        <f t="shared" si="11"/>
        <v>0</v>
      </c>
    </row>
    <row r="749" spans="1:6" x14ac:dyDescent="0.25">
      <c r="A749" s="9"/>
      <c r="B749" s="9"/>
      <c r="D749" s="9"/>
      <c r="E749" s="10"/>
      <c r="F749" s="8">
        <f>SUM(F747:F748)</f>
        <v>0</v>
      </c>
    </row>
    <row r="750" spans="1:6" x14ac:dyDescent="0.25">
      <c r="A750" s="9"/>
      <c r="B750" s="9"/>
      <c r="D750" s="9"/>
      <c r="E750" s="10"/>
      <c r="F750" s="10"/>
    </row>
    <row r="751" spans="1:6" x14ac:dyDescent="0.25">
      <c r="A751" s="9" t="s">
        <v>29</v>
      </c>
      <c r="B751" s="4">
        <v>45669</v>
      </c>
      <c r="C751" s="5">
        <v>135</v>
      </c>
      <c r="D751" s="9" t="s">
        <v>13</v>
      </c>
      <c r="E751" s="10">
        <v>140</v>
      </c>
      <c r="F751" s="10">
        <f t="shared" si="11"/>
        <v>18900</v>
      </c>
    </row>
    <row r="752" spans="1:6" x14ac:dyDescent="0.25">
      <c r="A752" s="9"/>
      <c r="B752" s="9"/>
      <c r="C752" s="5">
        <v>5</v>
      </c>
      <c r="D752" s="9" t="s">
        <v>8</v>
      </c>
      <c r="E752" s="10">
        <v>150</v>
      </c>
      <c r="F752" s="10">
        <f t="shared" si="11"/>
        <v>750</v>
      </c>
    </row>
    <row r="753" spans="1:6" x14ac:dyDescent="0.25">
      <c r="A753" s="9"/>
      <c r="B753" s="9"/>
      <c r="D753" s="9"/>
      <c r="E753" s="10"/>
      <c r="F753" s="8">
        <f>SUM(F751:F752)</f>
        <v>19650</v>
      </c>
    </row>
    <row r="754" spans="1:6" x14ac:dyDescent="0.25">
      <c r="A754" s="9"/>
      <c r="B754" s="9"/>
      <c r="D754" s="9"/>
      <c r="E754" s="10"/>
      <c r="F754" s="10"/>
    </row>
    <row r="755" spans="1:6" x14ac:dyDescent="0.25">
      <c r="A755" s="9" t="s">
        <v>7</v>
      </c>
      <c r="B755" s="4">
        <v>45669</v>
      </c>
      <c r="C755" s="5">
        <v>1</v>
      </c>
      <c r="D755" s="9" t="s">
        <v>13</v>
      </c>
      <c r="E755" s="10">
        <v>0</v>
      </c>
      <c r="F755" s="10">
        <f t="shared" si="11"/>
        <v>0</v>
      </c>
    </row>
    <row r="756" spans="1:6" x14ac:dyDescent="0.25">
      <c r="A756" s="9"/>
      <c r="B756" s="9"/>
      <c r="D756" s="9"/>
      <c r="E756" s="10"/>
      <c r="F756" s="8">
        <f>SUM(F755)</f>
        <v>0</v>
      </c>
    </row>
    <row r="757" spans="1:6" x14ac:dyDescent="0.25">
      <c r="A757" s="9"/>
      <c r="B757" s="9"/>
      <c r="D757" s="9"/>
      <c r="E757" s="10"/>
      <c r="F757" s="10"/>
    </row>
    <row r="758" spans="1:6" x14ac:dyDescent="0.25">
      <c r="A758" s="9" t="s">
        <v>81</v>
      </c>
      <c r="B758" s="4">
        <v>45670</v>
      </c>
      <c r="C758" s="5">
        <v>7</v>
      </c>
      <c r="D758" s="9" t="s">
        <v>13</v>
      </c>
      <c r="E758" s="10">
        <v>150</v>
      </c>
      <c r="F758" s="10">
        <f t="shared" si="11"/>
        <v>1050</v>
      </c>
    </row>
    <row r="759" spans="1:6" x14ac:dyDescent="0.25">
      <c r="A759" s="9"/>
      <c r="B759" s="9"/>
      <c r="D759" s="9"/>
      <c r="E759" s="10"/>
      <c r="F759" s="8">
        <f>SUM(F758)</f>
        <v>1050</v>
      </c>
    </row>
    <row r="760" spans="1:6" x14ac:dyDescent="0.25">
      <c r="A760" s="9"/>
      <c r="B760" s="9"/>
      <c r="D760" s="9"/>
      <c r="E760" s="10"/>
      <c r="F760" s="10"/>
    </row>
    <row r="761" spans="1:6" x14ac:dyDescent="0.25">
      <c r="A761" s="9" t="s">
        <v>40</v>
      </c>
      <c r="B761" s="4">
        <v>45670</v>
      </c>
      <c r="C761" s="5">
        <v>20</v>
      </c>
      <c r="D761" s="9" t="s">
        <v>13</v>
      </c>
      <c r="E761" s="10">
        <v>150</v>
      </c>
      <c r="F761" s="10">
        <f t="shared" si="11"/>
        <v>3000</v>
      </c>
    </row>
    <row r="762" spans="1:6" x14ac:dyDescent="0.25">
      <c r="A762" s="9"/>
      <c r="B762" s="9"/>
      <c r="C762" s="5">
        <v>17</v>
      </c>
      <c r="D762" s="9" t="s">
        <v>14</v>
      </c>
      <c r="E762" s="10">
        <v>135</v>
      </c>
      <c r="F762" s="10">
        <f t="shared" si="11"/>
        <v>2295</v>
      </c>
    </row>
    <row r="763" spans="1:6" x14ac:dyDescent="0.25">
      <c r="A763" s="9"/>
      <c r="B763" s="9"/>
      <c r="C763" s="5">
        <v>13</v>
      </c>
      <c r="D763" s="9" t="s">
        <v>11</v>
      </c>
      <c r="E763" s="10">
        <v>125</v>
      </c>
      <c r="F763" s="10">
        <f t="shared" si="11"/>
        <v>1625</v>
      </c>
    </row>
    <row r="764" spans="1:6" x14ac:dyDescent="0.25">
      <c r="A764" s="9"/>
      <c r="B764" s="9"/>
      <c r="C764" s="5">
        <v>6</v>
      </c>
      <c r="D764" s="9" t="s">
        <v>12</v>
      </c>
      <c r="E764" s="10">
        <v>135</v>
      </c>
      <c r="F764" s="10">
        <f t="shared" si="11"/>
        <v>810</v>
      </c>
    </row>
    <row r="765" spans="1:6" x14ac:dyDescent="0.25">
      <c r="A765" s="9"/>
      <c r="B765" s="9"/>
      <c r="D765" s="9"/>
      <c r="E765" s="10"/>
      <c r="F765" s="8">
        <f>SUM(F761:F764)</f>
        <v>7730</v>
      </c>
    </row>
    <row r="766" spans="1:6" x14ac:dyDescent="0.25">
      <c r="A766" s="9"/>
      <c r="B766" s="9"/>
      <c r="D766" s="9"/>
      <c r="E766" s="10"/>
      <c r="F766" s="10"/>
    </row>
    <row r="767" spans="1:6" x14ac:dyDescent="0.25">
      <c r="A767" s="9" t="s">
        <v>80</v>
      </c>
      <c r="B767" s="4">
        <v>45670</v>
      </c>
      <c r="C767" s="5">
        <v>10</v>
      </c>
      <c r="D767" s="9" t="s">
        <v>13</v>
      </c>
      <c r="E767" s="10">
        <v>150</v>
      </c>
      <c r="F767" s="10">
        <f t="shared" si="11"/>
        <v>1500</v>
      </c>
    </row>
    <row r="768" spans="1:6" x14ac:dyDescent="0.25">
      <c r="A768" s="9"/>
      <c r="B768" s="9"/>
      <c r="D768" s="9"/>
      <c r="E768" s="10"/>
      <c r="F768" s="8">
        <f>SUM(F767)</f>
        <v>1500</v>
      </c>
    </row>
    <row r="769" spans="1:6" x14ac:dyDescent="0.25">
      <c r="A769" s="9"/>
      <c r="B769" s="9"/>
      <c r="D769" s="9"/>
      <c r="E769" s="10"/>
      <c r="F769" s="10"/>
    </row>
    <row r="770" spans="1:6" x14ac:dyDescent="0.25">
      <c r="A770" s="9" t="s">
        <v>21</v>
      </c>
      <c r="B770" s="4">
        <v>45670</v>
      </c>
      <c r="C770" s="5">
        <v>20</v>
      </c>
      <c r="D770" s="9" t="s">
        <v>22</v>
      </c>
      <c r="E770" s="10">
        <v>125</v>
      </c>
      <c r="F770" s="10">
        <f t="shared" si="11"/>
        <v>2500</v>
      </c>
    </row>
    <row r="771" spans="1:6" x14ac:dyDescent="0.25">
      <c r="A771" s="9"/>
      <c r="B771" s="9"/>
      <c r="D771" s="9"/>
      <c r="E771" s="10"/>
      <c r="F771" s="8">
        <f>SUM(F770)</f>
        <v>2500</v>
      </c>
    </row>
    <row r="772" spans="1:6" x14ac:dyDescent="0.25">
      <c r="A772" s="9"/>
      <c r="B772" s="9"/>
      <c r="D772" s="9"/>
      <c r="E772" s="10"/>
      <c r="F772" s="10"/>
    </row>
    <row r="773" spans="1:6" x14ac:dyDescent="0.25">
      <c r="A773" s="9" t="s">
        <v>17</v>
      </c>
      <c r="B773" s="4">
        <v>45670</v>
      </c>
      <c r="C773" s="5">
        <v>10</v>
      </c>
      <c r="D773" s="9" t="s">
        <v>13</v>
      </c>
      <c r="E773" s="10">
        <v>150</v>
      </c>
      <c r="F773" s="10">
        <f t="shared" si="11"/>
        <v>1500</v>
      </c>
    </row>
    <row r="774" spans="1:6" x14ac:dyDescent="0.25">
      <c r="A774" s="9"/>
      <c r="B774" s="9"/>
      <c r="D774" s="9"/>
      <c r="E774" s="10"/>
      <c r="F774" s="8">
        <f>SUM(F773)</f>
        <v>1500</v>
      </c>
    </row>
    <row r="775" spans="1:6" x14ac:dyDescent="0.25">
      <c r="A775" s="9"/>
      <c r="B775" s="9"/>
      <c r="D775" s="9"/>
      <c r="E775" s="10"/>
      <c r="F775" s="10"/>
    </row>
    <row r="776" spans="1:6" x14ac:dyDescent="0.25">
      <c r="A776" s="9" t="s">
        <v>20</v>
      </c>
      <c r="B776" s="4">
        <v>45670</v>
      </c>
      <c r="C776" s="5">
        <v>10</v>
      </c>
      <c r="D776" s="9" t="s">
        <v>13</v>
      </c>
      <c r="E776" s="10">
        <v>150</v>
      </c>
      <c r="F776" s="10">
        <f t="shared" si="11"/>
        <v>1500</v>
      </c>
    </row>
    <row r="777" spans="1:6" x14ac:dyDescent="0.25">
      <c r="A777" s="9"/>
      <c r="B777" s="9"/>
      <c r="D777" s="9"/>
      <c r="E777" s="10"/>
      <c r="F777" s="8">
        <f>SUM(F776)</f>
        <v>1500</v>
      </c>
    </row>
    <row r="778" spans="1:6" x14ac:dyDescent="0.25">
      <c r="A778" s="9"/>
      <c r="B778" s="9"/>
      <c r="D778" s="9"/>
      <c r="E778" s="10"/>
      <c r="F778" s="10"/>
    </row>
    <row r="779" spans="1:6" x14ac:dyDescent="0.25">
      <c r="A779" s="9" t="s">
        <v>57</v>
      </c>
      <c r="B779" s="4">
        <v>45670</v>
      </c>
      <c r="C779" s="5">
        <v>10</v>
      </c>
      <c r="D779" s="9" t="s">
        <v>13</v>
      </c>
      <c r="E779" s="10">
        <v>150</v>
      </c>
      <c r="F779" s="10">
        <f t="shared" si="11"/>
        <v>1500</v>
      </c>
    </row>
    <row r="780" spans="1:6" x14ac:dyDescent="0.25">
      <c r="A780" s="9"/>
      <c r="B780" s="9"/>
      <c r="C780" s="5">
        <v>10</v>
      </c>
      <c r="D780" s="9" t="s">
        <v>14</v>
      </c>
      <c r="E780" s="10">
        <v>145</v>
      </c>
      <c r="F780" s="10">
        <f t="shared" si="11"/>
        <v>1450</v>
      </c>
    </row>
    <row r="781" spans="1:6" x14ac:dyDescent="0.25">
      <c r="A781" s="9"/>
      <c r="B781" s="9"/>
      <c r="D781" s="9"/>
      <c r="E781" s="10"/>
      <c r="F781" s="8">
        <f>SUM(F779:F780)</f>
        <v>2950</v>
      </c>
    </row>
    <row r="782" spans="1:6" x14ac:dyDescent="0.25">
      <c r="A782" s="9"/>
      <c r="B782" s="9"/>
      <c r="D782" s="9"/>
      <c r="E782" s="10"/>
      <c r="F782" s="10"/>
    </row>
    <row r="783" spans="1:6" x14ac:dyDescent="0.25">
      <c r="A783" s="9" t="s">
        <v>15</v>
      </c>
      <c r="B783" s="4">
        <v>45670</v>
      </c>
      <c r="C783" s="5">
        <v>55</v>
      </c>
      <c r="D783" s="9" t="s">
        <v>36</v>
      </c>
      <c r="E783" s="10">
        <v>100</v>
      </c>
      <c r="F783" s="10">
        <f t="shared" si="11"/>
        <v>5500</v>
      </c>
    </row>
    <row r="784" spans="1:6" x14ac:dyDescent="0.25">
      <c r="A784" s="9"/>
      <c r="B784" s="9"/>
      <c r="D784" s="9"/>
      <c r="E784" s="10"/>
      <c r="F784" s="8">
        <f>SUM(F783)</f>
        <v>5500</v>
      </c>
    </row>
    <row r="785" spans="1:6" x14ac:dyDescent="0.25">
      <c r="A785" s="9"/>
      <c r="B785" s="9"/>
      <c r="D785" s="9"/>
      <c r="E785" s="10"/>
      <c r="F785" s="10"/>
    </row>
    <row r="786" spans="1:6" x14ac:dyDescent="0.25">
      <c r="A786" s="9" t="s">
        <v>79</v>
      </c>
      <c r="B786" s="4">
        <v>45670</v>
      </c>
      <c r="C786" s="5">
        <v>20</v>
      </c>
      <c r="D786" s="9" t="s">
        <v>13</v>
      </c>
      <c r="E786" s="10">
        <v>155</v>
      </c>
      <c r="F786" s="10">
        <f t="shared" si="11"/>
        <v>3100</v>
      </c>
    </row>
    <row r="787" spans="1:6" x14ac:dyDescent="0.25">
      <c r="A787" s="9"/>
      <c r="B787" s="9"/>
      <c r="D787" s="9"/>
      <c r="E787" s="10"/>
      <c r="F787" s="8">
        <f>SUM(F786)</f>
        <v>3100</v>
      </c>
    </row>
    <row r="788" spans="1:6" x14ac:dyDescent="0.25">
      <c r="A788" s="9"/>
      <c r="B788" s="9"/>
      <c r="D788" s="9"/>
      <c r="E788" s="10"/>
      <c r="F788" s="10"/>
    </row>
    <row r="789" spans="1:6" x14ac:dyDescent="0.25">
      <c r="A789" s="9" t="s">
        <v>129</v>
      </c>
      <c r="B789" s="4">
        <v>45670</v>
      </c>
      <c r="C789" s="5">
        <v>15</v>
      </c>
      <c r="D789" s="9" t="s">
        <v>36</v>
      </c>
      <c r="E789" s="10">
        <v>105</v>
      </c>
      <c r="F789" s="10">
        <f t="shared" si="11"/>
        <v>1575</v>
      </c>
    </row>
    <row r="790" spans="1:6" x14ac:dyDescent="0.25">
      <c r="A790" s="9"/>
      <c r="B790" s="9"/>
      <c r="D790" s="9"/>
      <c r="E790" s="10"/>
      <c r="F790" s="8">
        <f>SUM(F789)</f>
        <v>1575</v>
      </c>
    </row>
    <row r="791" spans="1:6" x14ac:dyDescent="0.25">
      <c r="A791" s="9"/>
      <c r="B791" s="9"/>
      <c r="D791" s="9"/>
      <c r="E791" s="10"/>
      <c r="F791" s="10"/>
    </row>
    <row r="792" spans="1:6" x14ac:dyDescent="0.25">
      <c r="A792" s="9" t="s">
        <v>130</v>
      </c>
      <c r="B792" s="4">
        <v>45670</v>
      </c>
      <c r="C792" s="5">
        <v>30</v>
      </c>
      <c r="D792" s="9" t="s">
        <v>14</v>
      </c>
      <c r="E792" s="10">
        <v>140</v>
      </c>
      <c r="F792" s="10">
        <f t="shared" si="11"/>
        <v>4200</v>
      </c>
    </row>
    <row r="793" spans="1:6" x14ac:dyDescent="0.25">
      <c r="A793" s="9"/>
      <c r="B793" s="9"/>
      <c r="D793" s="9"/>
      <c r="E793" s="10"/>
      <c r="F793" s="8">
        <f>SUM(F792)</f>
        <v>4200</v>
      </c>
    </row>
    <row r="794" spans="1:6" x14ac:dyDescent="0.25">
      <c r="A794" s="9"/>
      <c r="B794" s="9"/>
      <c r="D794" s="9"/>
      <c r="E794" s="10"/>
      <c r="F794" s="10"/>
    </row>
    <row r="795" spans="1:6" x14ac:dyDescent="0.25">
      <c r="A795" s="9" t="s">
        <v>131</v>
      </c>
      <c r="B795" s="4">
        <v>45670</v>
      </c>
      <c r="C795" s="5">
        <v>80</v>
      </c>
      <c r="D795" s="9" t="s">
        <v>12</v>
      </c>
      <c r="E795" s="10">
        <v>135</v>
      </c>
      <c r="F795" s="10">
        <f t="shared" si="11"/>
        <v>10800</v>
      </c>
    </row>
    <row r="796" spans="1:6" x14ac:dyDescent="0.25">
      <c r="A796" s="9"/>
      <c r="B796" s="9"/>
      <c r="C796" s="5">
        <v>10</v>
      </c>
      <c r="D796" s="9" t="s">
        <v>14</v>
      </c>
      <c r="E796" s="10">
        <v>135</v>
      </c>
      <c r="F796" s="10">
        <f t="shared" si="11"/>
        <v>1350</v>
      </c>
    </row>
    <row r="797" spans="1:6" x14ac:dyDescent="0.25">
      <c r="A797" s="9"/>
      <c r="B797" s="9"/>
      <c r="D797" s="9"/>
      <c r="E797" s="10"/>
      <c r="F797" s="8">
        <f>SUM(F795:F796)</f>
        <v>12150</v>
      </c>
    </row>
    <row r="798" spans="1:6" x14ac:dyDescent="0.25">
      <c r="A798" s="9"/>
      <c r="B798" s="9"/>
      <c r="D798" s="9"/>
      <c r="E798" s="10"/>
      <c r="F798" s="10"/>
    </row>
    <row r="799" spans="1:6" x14ac:dyDescent="0.25">
      <c r="A799" s="9" t="s">
        <v>43</v>
      </c>
      <c r="B799" s="4">
        <v>45670</v>
      </c>
      <c r="C799" s="5">
        <v>50</v>
      </c>
      <c r="D799" s="9" t="s">
        <v>49</v>
      </c>
      <c r="E799" s="10">
        <v>145</v>
      </c>
      <c r="F799" s="10">
        <f t="shared" si="11"/>
        <v>7250</v>
      </c>
    </row>
    <row r="800" spans="1:6" x14ac:dyDescent="0.25">
      <c r="A800" s="9"/>
      <c r="B800" s="9"/>
      <c r="D800" s="9"/>
      <c r="E800" s="10"/>
      <c r="F800" s="8">
        <f>SUM(F799)</f>
        <v>7250</v>
      </c>
    </row>
    <row r="801" spans="1:6" x14ac:dyDescent="0.25">
      <c r="A801" s="9"/>
      <c r="B801" s="9"/>
      <c r="D801" s="9"/>
      <c r="E801" s="10"/>
      <c r="F801" s="10"/>
    </row>
    <row r="802" spans="1:6" x14ac:dyDescent="0.25">
      <c r="A802" s="9" t="s">
        <v>44</v>
      </c>
      <c r="B802" s="4">
        <v>45670</v>
      </c>
      <c r="C802" s="5">
        <v>50</v>
      </c>
      <c r="D802" s="9" t="s">
        <v>14</v>
      </c>
      <c r="E802" s="10">
        <v>135</v>
      </c>
      <c r="F802" s="10">
        <f t="shared" ref="F802:F863" si="12">+C802*E802</f>
        <v>6750</v>
      </c>
    </row>
    <row r="803" spans="1:6" x14ac:dyDescent="0.25">
      <c r="A803" s="9"/>
      <c r="B803" s="9"/>
      <c r="D803" s="9"/>
      <c r="E803" s="10"/>
      <c r="F803" s="8">
        <f>SUM(F802)</f>
        <v>6750</v>
      </c>
    </row>
    <row r="804" spans="1:6" x14ac:dyDescent="0.25">
      <c r="A804" s="9"/>
      <c r="B804" s="9"/>
      <c r="D804" s="9"/>
      <c r="E804" s="10"/>
      <c r="F804" s="10"/>
    </row>
    <row r="805" spans="1:6" x14ac:dyDescent="0.25">
      <c r="A805" s="9" t="s">
        <v>18</v>
      </c>
      <c r="B805" s="4">
        <v>45670</v>
      </c>
      <c r="C805" s="5">
        <v>19</v>
      </c>
      <c r="D805" s="9" t="s">
        <v>12</v>
      </c>
      <c r="E805" s="10">
        <v>140</v>
      </c>
      <c r="F805" s="10">
        <f t="shared" si="12"/>
        <v>2660</v>
      </c>
    </row>
    <row r="806" spans="1:6" x14ac:dyDescent="0.25">
      <c r="A806" s="9"/>
      <c r="B806" s="9"/>
      <c r="C806" s="5">
        <v>20</v>
      </c>
      <c r="D806" s="9" t="s">
        <v>14</v>
      </c>
      <c r="E806" s="10">
        <v>135</v>
      </c>
      <c r="F806" s="10">
        <f t="shared" si="12"/>
        <v>2700</v>
      </c>
    </row>
    <row r="807" spans="1:6" x14ac:dyDescent="0.25">
      <c r="A807" s="9"/>
      <c r="B807" s="9"/>
      <c r="D807" s="9"/>
      <c r="E807" s="10"/>
      <c r="F807" s="8">
        <f>SUM(F805:F806)</f>
        <v>5360</v>
      </c>
    </row>
    <row r="808" spans="1:6" x14ac:dyDescent="0.25">
      <c r="A808" s="9"/>
      <c r="B808" s="9"/>
      <c r="D808" s="9"/>
      <c r="E808" s="10"/>
      <c r="F808" s="10"/>
    </row>
    <row r="809" spans="1:6" x14ac:dyDescent="0.25">
      <c r="A809" s="9" t="s">
        <v>45</v>
      </c>
      <c r="B809" s="4">
        <v>45670</v>
      </c>
      <c r="C809" s="5">
        <v>12</v>
      </c>
      <c r="D809" s="9" t="s">
        <v>14</v>
      </c>
      <c r="E809" s="10">
        <v>135</v>
      </c>
      <c r="F809" s="10">
        <f t="shared" si="12"/>
        <v>1620</v>
      </c>
    </row>
    <row r="810" spans="1:6" x14ac:dyDescent="0.25">
      <c r="A810" s="9"/>
      <c r="B810" s="9"/>
      <c r="D810" s="9"/>
      <c r="E810" s="10"/>
      <c r="F810" s="8">
        <f>SUM(F809)</f>
        <v>1620</v>
      </c>
    </row>
    <row r="811" spans="1:6" x14ac:dyDescent="0.25">
      <c r="A811" s="9"/>
      <c r="B811" s="9"/>
      <c r="D811" s="9"/>
      <c r="E811" s="10"/>
      <c r="F811" s="10"/>
    </row>
    <row r="812" spans="1:6" x14ac:dyDescent="0.25">
      <c r="A812" s="9" t="s">
        <v>132</v>
      </c>
      <c r="B812" s="4">
        <v>45670</v>
      </c>
      <c r="C812" s="5">
        <v>30</v>
      </c>
      <c r="D812" s="9" t="s">
        <v>14</v>
      </c>
      <c r="E812" s="10">
        <v>135</v>
      </c>
      <c r="F812" s="10">
        <f t="shared" si="12"/>
        <v>4050</v>
      </c>
    </row>
    <row r="813" spans="1:6" x14ac:dyDescent="0.25">
      <c r="A813" s="9"/>
      <c r="B813" s="9"/>
      <c r="D813" s="9"/>
      <c r="E813" s="10"/>
      <c r="F813" s="8">
        <f>SUM(F812)</f>
        <v>4050</v>
      </c>
    </row>
    <row r="814" spans="1:6" x14ac:dyDescent="0.25">
      <c r="A814" s="9"/>
      <c r="B814" s="9"/>
      <c r="D814" s="9"/>
      <c r="E814" s="10"/>
      <c r="F814" s="10"/>
    </row>
    <row r="815" spans="1:6" x14ac:dyDescent="0.25">
      <c r="A815" s="9" t="s">
        <v>26</v>
      </c>
      <c r="B815" s="4">
        <v>45670</v>
      </c>
      <c r="C815" s="5">
        <v>60</v>
      </c>
      <c r="D815" s="9" t="s">
        <v>13</v>
      </c>
      <c r="E815" s="10">
        <v>150</v>
      </c>
      <c r="F815" s="10">
        <f t="shared" si="12"/>
        <v>9000</v>
      </c>
    </row>
    <row r="816" spans="1:6" x14ac:dyDescent="0.25">
      <c r="A816" s="9"/>
      <c r="B816" s="9"/>
      <c r="D816" s="9"/>
      <c r="E816" s="10"/>
      <c r="F816" s="8">
        <f>SUM(F815)</f>
        <v>9000</v>
      </c>
    </row>
    <row r="817" spans="1:6" x14ac:dyDescent="0.25">
      <c r="A817" s="9"/>
      <c r="B817" s="9"/>
      <c r="D817" s="9"/>
      <c r="E817" s="10"/>
      <c r="F817" s="10"/>
    </row>
    <row r="818" spans="1:6" x14ac:dyDescent="0.25">
      <c r="A818" s="9" t="s">
        <v>117</v>
      </c>
      <c r="B818" s="4">
        <v>45670</v>
      </c>
      <c r="C818" s="5">
        <v>5</v>
      </c>
      <c r="D818" s="9" t="s">
        <v>13</v>
      </c>
      <c r="E818" s="10">
        <v>155</v>
      </c>
      <c r="F818" s="10">
        <f t="shared" si="12"/>
        <v>775</v>
      </c>
    </row>
    <row r="819" spans="1:6" x14ac:dyDescent="0.25">
      <c r="A819" s="9"/>
      <c r="B819" s="9"/>
      <c r="D819" s="9"/>
      <c r="E819" s="10"/>
      <c r="F819" s="8">
        <f>SUM(F818)</f>
        <v>775</v>
      </c>
    </row>
    <row r="820" spans="1:6" x14ac:dyDescent="0.25">
      <c r="A820" s="9"/>
      <c r="B820" s="9"/>
      <c r="D820" s="9"/>
      <c r="E820" s="10"/>
      <c r="F820" s="10"/>
    </row>
    <row r="821" spans="1:6" x14ac:dyDescent="0.25">
      <c r="A821" s="9" t="s">
        <v>133</v>
      </c>
      <c r="B821" s="4">
        <v>45670</v>
      </c>
      <c r="C821" s="5">
        <v>5</v>
      </c>
      <c r="D821" s="9" t="s">
        <v>13</v>
      </c>
      <c r="E821" s="10">
        <v>155</v>
      </c>
      <c r="F821" s="10">
        <f t="shared" si="12"/>
        <v>775</v>
      </c>
    </row>
    <row r="822" spans="1:6" x14ac:dyDescent="0.25">
      <c r="A822" s="9"/>
      <c r="B822" s="9"/>
      <c r="D822" s="9"/>
      <c r="E822" s="10"/>
      <c r="F822" s="8">
        <f>SUM(F821)</f>
        <v>775</v>
      </c>
    </row>
    <row r="823" spans="1:6" x14ac:dyDescent="0.25">
      <c r="A823" s="9"/>
      <c r="B823" s="9"/>
      <c r="D823" s="9"/>
      <c r="E823" s="10"/>
      <c r="F823" s="10"/>
    </row>
    <row r="824" spans="1:6" x14ac:dyDescent="0.25">
      <c r="A824" s="9" t="s">
        <v>62</v>
      </c>
      <c r="B824" s="4">
        <v>45670</v>
      </c>
      <c r="C824" s="5">
        <v>70</v>
      </c>
      <c r="D824" s="9" t="s">
        <v>8</v>
      </c>
      <c r="E824" s="10">
        <v>157</v>
      </c>
      <c r="F824" s="10">
        <f t="shared" si="12"/>
        <v>10990</v>
      </c>
    </row>
    <row r="825" spans="1:6" x14ac:dyDescent="0.25">
      <c r="A825" s="9"/>
      <c r="B825" s="9"/>
      <c r="C825" s="5">
        <v>10</v>
      </c>
      <c r="D825" s="9" t="s">
        <v>12</v>
      </c>
      <c r="E825" s="10">
        <v>135</v>
      </c>
      <c r="F825" s="10">
        <f t="shared" si="12"/>
        <v>1350</v>
      </c>
    </row>
    <row r="826" spans="1:6" x14ac:dyDescent="0.25">
      <c r="A826" s="9"/>
      <c r="B826" s="9"/>
      <c r="C826" s="5">
        <v>30</v>
      </c>
      <c r="D826" s="9" t="s">
        <v>22</v>
      </c>
      <c r="E826" s="10">
        <v>115</v>
      </c>
      <c r="F826" s="10">
        <f t="shared" si="12"/>
        <v>3450</v>
      </c>
    </row>
    <row r="827" spans="1:6" x14ac:dyDescent="0.25">
      <c r="A827" s="9"/>
      <c r="B827" s="9"/>
      <c r="C827" s="5">
        <v>26</v>
      </c>
      <c r="D827" s="9" t="s">
        <v>63</v>
      </c>
      <c r="E827" s="10">
        <v>60</v>
      </c>
      <c r="F827" s="10">
        <f t="shared" si="12"/>
        <v>1560</v>
      </c>
    </row>
    <row r="828" spans="1:6" x14ac:dyDescent="0.25">
      <c r="A828" s="9"/>
      <c r="B828" s="9"/>
      <c r="D828" s="9"/>
      <c r="E828" s="10"/>
      <c r="F828" s="8">
        <f>SUM(F824:F827)</f>
        <v>17350</v>
      </c>
    </row>
    <row r="829" spans="1:6" x14ac:dyDescent="0.25">
      <c r="A829" s="9"/>
      <c r="B829" s="9"/>
      <c r="D829" s="9"/>
      <c r="E829" s="10"/>
      <c r="F829" s="10"/>
    </row>
    <row r="830" spans="1:6" x14ac:dyDescent="0.25">
      <c r="A830" s="9" t="s">
        <v>53</v>
      </c>
      <c r="B830" s="4">
        <v>45670</v>
      </c>
      <c r="C830" s="5">
        <v>25</v>
      </c>
      <c r="D830" s="9" t="s">
        <v>13</v>
      </c>
      <c r="E830" s="10">
        <v>150</v>
      </c>
      <c r="F830" s="10">
        <f t="shared" si="12"/>
        <v>3750</v>
      </c>
    </row>
    <row r="831" spans="1:6" x14ac:dyDescent="0.25">
      <c r="A831" s="9"/>
      <c r="B831" s="9"/>
      <c r="C831" s="5">
        <v>20</v>
      </c>
      <c r="D831" s="9" t="s">
        <v>8</v>
      </c>
      <c r="E831" s="10">
        <v>160</v>
      </c>
      <c r="F831" s="10">
        <f t="shared" si="12"/>
        <v>3200</v>
      </c>
    </row>
    <row r="832" spans="1:6" x14ac:dyDescent="0.25">
      <c r="A832" s="9"/>
      <c r="B832" s="9"/>
      <c r="D832" s="9"/>
      <c r="E832" s="10"/>
      <c r="F832" s="8">
        <f>SUM(F830:F831)</f>
        <v>6950</v>
      </c>
    </row>
    <row r="833" spans="1:6" x14ac:dyDescent="0.25">
      <c r="A833" s="9"/>
      <c r="B833" s="9"/>
      <c r="D833" s="9"/>
      <c r="E833" s="10"/>
      <c r="F833" s="10"/>
    </row>
    <row r="834" spans="1:6" x14ac:dyDescent="0.25">
      <c r="A834" s="9" t="s">
        <v>29</v>
      </c>
      <c r="B834" s="4">
        <v>45670</v>
      </c>
      <c r="C834" s="5">
        <v>1</v>
      </c>
      <c r="D834" s="9" t="s">
        <v>134</v>
      </c>
      <c r="E834" s="10">
        <v>170</v>
      </c>
      <c r="F834" s="10">
        <f t="shared" si="12"/>
        <v>170</v>
      </c>
    </row>
    <row r="835" spans="1:6" x14ac:dyDescent="0.25">
      <c r="A835" s="9"/>
      <c r="B835" s="9"/>
      <c r="D835" s="9"/>
      <c r="E835" s="10"/>
      <c r="F835" s="8">
        <f>SUM(F834)</f>
        <v>170</v>
      </c>
    </row>
    <row r="836" spans="1:6" x14ac:dyDescent="0.25">
      <c r="A836" s="9"/>
      <c r="B836" s="9"/>
      <c r="D836" s="9"/>
      <c r="E836" s="10"/>
      <c r="F836" s="10"/>
    </row>
    <row r="837" spans="1:6" x14ac:dyDescent="0.25">
      <c r="A837" s="9" t="s">
        <v>7</v>
      </c>
      <c r="B837" s="4">
        <v>45670</v>
      </c>
      <c r="C837" s="5">
        <v>2</v>
      </c>
      <c r="D837" s="9" t="s">
        <v>8</v>
      </c>
      <c r="E837" s="10">
        <v>160</v>
      </c>
      <c r="F837" s="10">
        <f t="shared" si="12"/>
        <v>320</v>
      </c>
    </row>
    <row r="838" spans="1:6" x14ac:dyDescent="0.25">
      <c r="A838" s="9"/>
      <c r="B838" s="9"/>
      <c r="C838" s="5">
        <v>5</v>
      </c>
      <c r="D838" s="9" t="s">
        <v>8</v>
      </c>
      <c r="E838" s="10">
        <v>170</v>
      </c>
      <c r="F838" s="10">
        <f t="shared" si="12"/>
        <v>850</v>
      </c>
    </row>
    <row r="839" spans="1:6" x14ac:dyDescent="0.25">
      <c r="A839" s="9"/>
      <c r="B839" s="9"/>
      <c r="C839" s="5">
        <v>2</v>
      </c>
      <c r="D839" s="9" t="s">
        <v>8</v>
      </c>
      <c r="E839" s="10">
        <v>170</v>
      </c>
      <c r="F839" s="10">
        <f t="shared" si="12"/>
        <v>340</v>
      </c>
    </row>
    <row r="840" spans="1:6" x14ac:dyDescent="0.25">
      <c r="A840" s="9"/>
      <c r="B840" s="9"/>
      <c r="C840" s="5">
        <v>5</v>
      </c>
      <c r="D840" s="9" t="s">
        <v>8</v>
      </c>
      <c r="E840" s="10">
        <v>160</v>
      </c>
      <c r="F840" s="10">
        <f t="shared" si="12"/>
        <v>800</v>
      </c>
    </row>
    <row r="841" spans="1:6" x14ac:dyDescent="0.25">
      <c r="A841" s="9"/>
      <c r="B841" s="9"/>
      <c r="D841" s="9"/>
      <c r="E841" s="10"/>
      <c r="F841" s="8">
        <f>SUM(F837:F840)</f>
        <v>2310</v>
      </c>
    </row>
    <row r="842" spans="1:6" x14ac:dyDescent="0.25">
      <c r="A842" s="9"/>
      <c r="B842" s="9"/>
      <c r="D842" s="9"/>
      <c r="E842" s="10"/>
      <c r="F842" s="10"/>
    </row>
    <row r="843" spans="1:6" x14ac:dyDescent="0.25">
      <c r="A843" s="9" t="s">
        <v>61</v>
      </c>
      <c r="B843" s="4">
        <v>45671</v>
      </c>
      <c r="C843" s="5">
        <v>60</v>
      </c>
      <c r="D843" s="9" t="s">
        <v>13</v>
      </c>
      <c r="E843" s="10">
        <v>150</v>
      </c>
      <c r="F843" s="10">
        <f t="shared" si="12"/>
        <v>9000</v>
      </c>
    </row>
    <row r="844" spans="1:6" x14ac:dyDescent="0.25">
      <c r="A844" s="9"/>
      <c r="B844" s="9"/>
      <c r="C844" s="5">
        <v>2</v>
      </c>
      <c r="D844" s="9" t="s">
        <v>135</v>
      </c>
      <c r="E844" s="10">
        <v>0</v>
      </c>
      <c r="F844" s="10">
        <f t="shared" si="12"/>
        <v>0</v>
      </c>
    </row>
    <row r="845" spans="1:6" x14ac:dyDescent="0.25">
      <c r="A845" s="9"/>
      <c r="B845" s="9"/>
      <c r="D845" s="9"/>
      <c r="E845" s="10"/>
      <c r="F845" s="8">
        <f>SUM(F843:F844)</f>
        <v>9000</v>
      </c>
    </row>
    <row r="846" spans="1:6" x14ac:dyDescent="0.25">
      <c r="A846" s="9"/>
      <c r="B846" s="9"/>
      <c r="D846" s="9"/>
      <c r="E846" s="10"/>
      <c r="F846" s="10"/>
    </row>
    <row r="847" spans="1:6" x14ac:dyDescent="0.25">
      <c r="A847" s="9" t="s">
        <v>60</v>
      </c>
      <c r="B847" s="4">
        <v>45671</v>
      </c>
      <c r="C847" s="5">
        <v>30</v>
      </c>
      <c r="D847" s="9" t="s">
        <v>13</v>
      </c>
      <c r="E847" s="10">
        <v>150</v>
      </c>
      <c r="F847" s="10">
        <f t="shared" si="12"/>
        <v>4500</v>
      </c>
    </row>
    <row r="848" spans="1:6" x14ac:dyDescent="0.25">
      <c r="A848" s="9"/>
      <c r="B848" s="9"/>
      <c r="D848" s="9"/>
      <c r="E848" s="10"/>
      <c r="F848" s="8">
        <f>SUM(F847)</f>
        <v>4500</v>
      </c>
    </row>
    <row r="849" spans="1:6" x14ac:dyDescent="0.25">
      <c r="A849" s="9"/>
      <c r="B849" s="9"/>
      <c r="D849" s="9"/>
      <c r="E849" s="10"/>
      <c r="F849" s="10"/>
    </row>
    <row r="850" spans="1:6" x14ac:dyDescent="0.25">
      <c r="A850" s="9" t="s">
        <v>136</v>
      </c>
      <c r="B850" s="4">
        <v>45671</v>
      </c>
      <c r="C850" s="5">
        <v>12</v>
      </c>
      <c r="D850" s="9" t="s">
        <v>13</v>
      </c>
      <c r="E850" s="10">
        <v>140</v>
      </c>
      <c r="F850" s="10">
        <f t="shared" si="12"/>
        <v>1680</v>
      </c>
    </row>
    <row r="851" spans="1:6" x14ac:dyDescent="0.25">
      <c r="A851" s="9"/>
      <c r="B851" s="9"/>
      <c r="D851" s="9"/>
      <c r="E851" s="10"/>
      <c r="F851" s="8">
        <f>SUM(F850)</f>
        <v>1680</v>
      </c>
    </row>
    <row r="852" spans="1:6" x14ac:dyDescent="0.25">
      <c r="A852" s="9"/>
      <c r="B852" s="9"/>
      <c r="D852" s="9"/>
      <c r="E852" s="10"/>
      <c r="F852" s="10"/>
    </row>
    <row r="853" spans="1:6" x14ac:dyDescent="0.25">
      <c r="A853" s="9" t="s">
        <v>68</v>
      </c>
      <c r="B853" s="4">
        <v>45671</v>
      </c>
      <c r="C853" s="5">
        <v>5</v>
      </c>
      <c r="D853" s="9" t="s">
        <v>13</v>
      </c>
      <c r="E853" s="10">
        <v>155</v>
      </c>
      <c r="F853" s="10">
        <f t="shared" si="12"/>
        <v>775</v>
      </c>
    </row>
    <row r="854" spans="1:6" x14ac:dyDescent="0.25">
      <c r="A854" s="9"/>
      <c r="B854" s="9"/>
      <c r="D854" s="9"/>
      <c r="E854" s="10"/>
      <c r="F854" s="8">
        <f>SUM(F853)</f>
        <v>775</v>
      </c>
    </row>
    <row r="855" spans="1:6" x14ac:dyDescent="0.25">
      <c r="A855" s="9"/>
      <c r="B855" s="9"/>
      <c r="D855" s="9"/>
      <c r="E855" s="10"/>
      <c r="F855" s="10"/>
    </row>
    <row r="856" spans="1:6" x14ac:dyDescent="0.25">
      <c r="A856" s="9" t="s">
        <v>48</v>
      </c>
      <c r="B856" s="4">
        <v>45671</v>
      </c>
      <c r="C856" s="5">
        <v>300</v>
      </c>
      <c r="D856" s="9" t="s">
        <v>14</v>
      </c>
      <c r="E856" s="10"/>
      <c r="F856" s="10">
        <f t="shared" si="12"/>
        <v>0</v>
      </c>
    </row>
    <row r="857" spans="1:6" x14ac:dyDescent="0.25">
      <c r="A857" s="9"/>
      <c r="B857" s="9"/>
      <c r="C857" s="5">
        <v>36</v>
      </c>
      <c r="D857" s="9" t="s">
        <v>49</v>
      </c>
      <c r="E857" s="10"/>
      <c r="F857" s="10">
        <f t="shared" si="12"/>
        <v>0</v>
      </c>
    </row>
    <row r="858" spans="1:6" x14ac:dyDescent="0.25">
      <c r="A858" s="9"/>
      <c r="B858" s="9"/>
      <c r="C858" s="5">
        <v>100</v>
      </c>
      <c r="D858" s="9" t="s">
        <v>11</v>
      </c>
      <c r="E858" s="10"/>
      <c r="F858" s="10">
        <f t="shared" si="12"/>
        <v>0</v>
      </c>
    </row>
    <row r="859" spans="1:6" x14ac:dyDescent="0.25">
      <c r="A859" s="9"/>
      <c r="B859" s="9"/>
      <c r="C859" s="5">
        <v>33</v>
      </c>
      <c r="D859" s="9" t="s">
        <v>50</v>
      </c>
      <c r="E859" s="10"/>
      <c r="F859" s="10">
        <f t="shared" si="12"/>
        <v>0</v>
      </c>
    </row>
    <row r="860" spans="1:6" x14ac:dyDescent="0.25">
      <c r="A860" s="9"/>
      <c r="B860" s="9"/>
      <c r="C860" s="5">
        <v>6</v>
      </c>
      <c r="D860" s="9" t="s">
        <v>137</v>
      </c>
      <c r="E860" s="10"/>
      <c r="F860" s="10">
        <f t="shared" si="12"/>
        <v>0</v>
      </c>
    </row>
    <row r="861" spans="1:6" x14ac:dyDescent="0.25">
      <c r="A861" s="9"/>
      <c r="B861" s="9"/>
      <c r="D861" s="9"/>
      <c r="E861" s="10"/>
      <c r="F861" s="8">
        <f>SUM(F856:F860)</f>
        <v>0</v>
      </c>
    </row>
    <row r="862" spans="1:6" x14ac:dyDescent="0.25">
      <c r="A862" s="9"/>
      <c r="B862" s="9"/>
      <c r="D862" s="9"/>
      <c r="E862" s="10"/>
      <c r="F862" s="10"/>
    </row>
    <row r="863" spans="1:6" x14ac:dyDescent="0.25">
      <c r="A863" s="9" t="s">
        <v>51</v>
      </c>
      <c r="B863" s="4">
        <v>45671</v>
      </c>
      <c r="C863" s="5">
        <v>150</v>
      </c>
      <c r="D863" s="9" t="s">
        <v>14</v>
      </c>
      <c r="E863" s="10"/>
      <c r="F863" s="10">
        <f t="shared" si="12"/>
        <v>0</v>
      </c>
    </row>
    <row r="864" spans="1:6" x14ac:dyDescent="0.25">
      <c r="A864" s="9"/>
      <c r="B864" s="9"/>
      <c r="C864" s="5">
        <v>43</v>
      </c>
      <c r="D864" s="9" t="s">
        <v>11</v>
      </c>
      <c r="E864" s="10"/>
      <c r="F864" s="10">
        <f t="shared" ref="F864:F925" si="13">+C864*E864</f>
        <v>0</v>
      </c>
    </row>
    <row r="865" spans="1:6" x14ac:dyDescent="0.25">
      <c r="A865" s="9"/>
      <c r="B865" s="9"/>
      <c r="D865" s="9"/>
      <c r="E865" s="10"/>
      <c r="F865" s="8">
        <f>SUM(F863:F864)</f>
        <v>0</v>
      </c>
    </row>
    <row r="866" spans="1:6" x14ac:dyDescent="0.25">
      <c r="A866" s="9"/>
      <c r="B866" s="9"/>
      <c r="D866" s="9"/>
      <c r="E866" s="10"/>
      <c r="F866" s="10"/>
    </row>
    <row r="867" spans="1:6" x14ac:dyDescent="0.25">
      <c r="A867" s="9" t="s">
        <v>116</v>
      </c>
      <c r="B867" s="4">
        <v>45671</v>
      </c>
      <c r="C867" s="5">
        <v>60</v>
      </c>
      <c r="D867" s="9" t="s">
        <v>98</v>
      </c>
      <c r="E867" s="10"/>
      <c r="F867" s="10">
        <f t="shared" si="13"/>
        <v>0</v>
      </c>
    </row>
    <row r="868" spans="1:6" x14ac:dyDescent="0.25">
      <c r="A868" s="9"/>
      <c r="B868" s="9"/>
      <c r="D868" s="9"/>
      <c r="E868" s="10"/>
      <c r="F868" s="8">
        <f>SUM(F867)</f>
        <v>0</v>
      </c>
    </row>
    <row r="869" spans="1:6" x14ac:dyDescent="0.25">
      <c r="A869" s="9"/>
      <c r="B869" s="9"/>
      <c r="D869" s="9"/>
      <c r="E869" s="10"/>
      <c r="F869" s="10"/>
    </row>
    <row r="870" spans="1:6" x14ac:dyDescent="0.25">
      <c r="A870" s="9" t="s">
        <v>89</v>
      </c>
      <c r="B870" s="4">
        <v>45671</v>
      </c>
      <c r="C870" s="5">
        <v>30</v>
      </c>
      <c r="D870" s="9" t="s">
        <v>13</v>
      </c>
      <c r="E870" s="10">
        <v>140</v>
      </c>
      <c r="F870" s="10">
        <f t="shared" si="13"/>
        <v>4200</v>
      </c>
    </row>
    <row r="871" spans="1:6" x14ac:dyDescent="0.25">
      <c r="A871" s="9"/>
      <c r="B871" s="9"/>
      <c r="C871" s="5">
        <v>50</v>
      </c>
      <c r="D871" s="9" t="s">
        <v>12</v>
      </c>
      <c r="E871" s="10">
        <v>135</v>
      </c>
      <c r="F871" s="10">
        <f t="shared" si="13"/>
        <v>6750</v>
      </c>
    </row>
    <row r="872" spans="1:6" x14ac:dyDescent="0.25">
      <c r="A872" s="9"/>
      <c r="B872" s="9"/>
      <c r="D872" s="9"/>
      <c r="E872" s="10"/>
      <c r="F872" s="8">
        <f>SUM(F870:F871)</f>
        <v>10950</v>
      </c>
    </row>
    <row r="873" spans="1:6" x14ac:dyDescent="0.25">
      <c r="A873" s="9"/>
      <c r="B873" s="9"/>
      <c r="D873" s="9"/>
      <c r="E873" s="10"/>
      <c r="F873" s="10"/>
    </row>
    <row r="874" spans="1:6" x14ac:dyDescent="0.25">
      <c r="A874" s="9" t="s">
        <v>53</v>
      </c>
      <c r="B874" s="4">
        <v>45671</v>
      </c>
      <c r="C874" s="5">
        <v>25</v>
      </c>
      <c r="D874" s="9" t="s">
        <v>13</v>
      </c>
      <c r="E874" s="10">
        <v>150</v>
      </c>
      <c r="F874" s="10">
        <f t="shared" si="13"/>
        <v>3750</v>
      </c>
    </row>
    <row r="875" spans="1:6" x14ac:dyDescent="0.25">
      <c r="A875" s="9"/>
      <c r="B875" s="9"/>
      <c r="C875" s="5">
        <v>13</v>
      </c>
      <c r="D875" s="9" t="s">
        <v>12</v>
      </c>
      <c r="E875" s="10">
        <v>145</v>
      </c>
      <c r="F875" s="10">
        <f t="shared" si="13"/>
        <v>1885</v>
      </c>
    </row>
    <row r="876" spans="1:6" x14ac:dyDescent="0.25">
      <c r="A876" s="9"/>
      <c r="B876" s="9"/>
      <c r="C876" s="5">
        <v>3</v>
      </c>
      <c r="D876" s="9" t="s">
        <v>8</v>
      </c>
      <c r="E876" s="10">
        <v>160</v>
      </c>
      <c r="F876" s="10">
        <f t="shared" si="13"/>
        <v>480</v>
      </c>
    </row>
    <row r="877" spans="1:6" x14ac:dyDescent="0.25">
      <c r="A877" s="9"/>
      <c r="B877" s="9"/>
      <c r="D877" s="9"/>
      <c r="E877" s="10"/>
      <c r="F877" s="8">
        <f>SUM(F874:F876)</f>
        <v>6115</v>
      </c>
    </row>
    <row r="878" spans="1:6" x14ac:dyDescent="0.25">
      <c r="A878" s="9"/>
      <c r="B878" s="9"/>
      <c r="D878" s="9"/>
      <c r="E878" s="10"/>
      <c r="F878" s="10"/>
    </row>
    <row r="879" spans="1:6" x14ac:dyDescent="0.25">
      <c r="A879" s="9" t="s">
        <v>7</v>
      </c>
      <c r="B879" s="4">
        <v>45671</v>
      </c>
      <c r="C879" s="5">
        <v>10</v>
      </c>
      <c r="D879" s="9" t="s">
        <v>13</v>
      </c>
      <c r="E879" s="10">
        <v>150</v>
      </c>
      <c r="F879" s="10">
        <f t="shared" si="13"/>
        <v>1500</v>
      </c>
    </row>
    <row r="880" spans="1:6" x14ac:dyDescent="0.25">
      <c r="A880" s="9"/>
      <c r="B880" s="9"/>
      <c r="C880" s="5">
        <v>4</v>
      </c>
      <c r="D880" s="9" t="s">
        <v>13</v>
      </c>
      <c r="E880" s="10">
        <v>150</v>
      </c>
      <c r="F880" s="10">
        <f t="shared" si="13"/>
        <v>600</v>
      </c>
    </row>
    <row r="881" spans="1:6" x14ac:dyDescent="0.25">
      <c r="A881" s="9"/>
      <c r="B881" s="9"/>
      <c r="C881" s="5">
        <v>1</v>
      </c>
      <c r="D881" s="9" t="s">
        <v>13</v>
      </c>
      <c r="E881" s="10">
        <v>140</v>
      </c>
      <c r="F881" s="10">
        <f t="shared" si="13"/>
        <v>140</v>
      </c>
    </row>
    <row r="882" spans="1:6" x14ac:dyDescent="0.25">
      <c r="A882" s="9"/>
      <c r="B882" s="9"/>
      <c r="C882" s="5">
        <v>5</v>
      </c>
      <c r="D882" s="9" t="s">
        <v>12</v>
      </c>
      <c r="E882" s="10">
        <v>140</v>
      </c>
      <c r="F882" s="10">
        <f t="shared" si="13"/>
        <v>700</v>
      </c>
    </row>
    <row r="883" spans="1:6" x14ac:dyDescent="0.25">
      <c r="A883" s="9"/>
      <c r="B883" s="9"/>
      <c r="D883" s="9"/>
      <c r="E883" s="10"/>
      <c r="F883" s="8">
        <f>SUM(F879:F882)</f>
        <v>2940</v>
      </c>
    </row>
    <row r="884" spans="1:6" x14ac:dyDescent="0.25">
      <c r="A884" s="9"/>
      <c r="B884" s="9"/>
      <c r="D884" s="9"/>
      <c r="E884" s="10"/>
      <c r="F884" s="10"/>
    </row>
    <row r="885" spans="1:6" x14ac:dyDescent="0.25">
      <c r="A885" s="9" t="s">
        <v>19</v>
      </c>
      <c r="B885" s="4">
        <v>45672</v>
      </c>
      <c r="C885" s="5">
        <v>10</v>
      </c>
      <c r="D885" s="9" t="s">
        <v>13</v>
      </c>
      <c r="E885" s="10">
        <v>145</v>
      </c>
      <c r="F885" s="10">
        <f t="shared" si="13"/>
        <v>1450</v>
      </c>
    </row>
    <row r="886" spans="1:6" x14ac:dyDescent="0.25">
      <c r="A886" s="9"/>
      <c r="B886" s="9"/>
      <c r="D886" s="9"/>
      <c r="E886" s="10"/>
      <c r="F886" s="8">
        <f>SUM(F885)</f>
        <v>1450</v>
      </c>
    </row>
    <row r="887" spans="1:6" x14ac:dyDescent="0.25">
      <c r="A887" s="9"/>
      <c r="B887" s="9"/>
      <c r="D887" s="9"/>
      <c r="E887" s="10"/>
      <c r="F887" s="10"/>
    </row>
    <row r="888" spans="1:6" x14ac:dyDescent="0.25">
      <c r="A888" s="9" t="s">
        <v>58</v>
      </c>
      <c r="B888" s="4">
        <v>45672</v>
      </c>
      <c r="C888" s="5">
        <v>8</v>
      </c>
      <c r="D888" s="9" t="s">
        <v>13</v>
      </c>
      <c r="E888" s="10">
        <v>150</v>
      </c>
      <c r="F888" s="10">
        <f t="shared" si="13"/>
        <v>1200</v>
      </c>
    </row>
    <row r="889" spans="1:6" x14ac:dyDescent="0.25">
      <c r="A889" s="9"/>
      <c r="B889" s="9"/>
      <c r="D889" s="9"/>
      <c r="E889" s="10"/>
      <c r="F889" s="8">
        <f>SUM(F888)</f>
        <v>1200</v>
      </c>
    </row>
    <row r="890" spans="1:6" x14ac:dyDescent="0.25">
      <c r="A890" s="9"/>
      <c r="B890" s="9"/>
      <c r="D890" s="9"/>
      <c r="E890" s="10"/>
      <c r="F890" s="10"/>
    </row>
    <row r="891" spans="1:6" x14ac:dyDescent="0.25">
      <c r="A891" s="9" t="s">
        <v>20</v>
      </c>
      <c r="B891" s="4">
        <v>45672</v>
      </c>
      <c r="C891" s="5">
        <v>20</v>
      </c>
      <c r="D891" s="9" t="s">
        <v>13</v>
      </c>
      <c r="E891" s="10">
        <v>145</v>
      </c>
      <c r="F891" s="10">
        <f t="shared" si="13"/>
        <v>2900</v>
      </c>
    </row>
    <row r="892" spans="1:6" x14ac:dyDescent="0.25">
      <c r="A892" s="9"/>
      <c r="B892" s="9"/>
      <c r="D892" s="9"/>
      <c r="E892" s="10"/>
      <c r="F892" s="8">
        <f>SUM(F891)</f>
        <v>2900</v>
      </c>
    </row>
    <row r="893" spans="1:6" x14ac:dyDescent="0.25">
      <c r="A893" s="9"/>
      <c r="B893" s="9"/>
      <c r="D893" s="9"/>
      <c r="E893" s="10"/>
      <c r="F893" s="10"/>
    </row>
    <row r="894" spans="1:6" x14ac:dyDescent="0.25">
      <c r="A894" s="9" t="s">
        <v>21</v>
      </c>
      <c r="B894" s="4">
        <v>45672</v>
      </c>
      <c r="C894" s="5">
        <v>20</v>
      </c>
      <c r="D894" s="9" t="s">
        <v>13</v>
      </c>
      <c r="E894" s="10">
        <v>145</v>
      </c>
      <c r="F894" s="10">
        <f t="shared" si="13"/>
        <v>2900</v>
      </c>
    </row>
    <row r="895" spans="1:6" x14ac:dyDescent="0.25">
      <c r="A895" s="9"/>
      <c r="B895" s="9"/>
      <c r="C895" s="5">
        <v>20</v>
      </c>
      <c r="D895" s="9" t="s">
        <v>12</v>
      </c>
      <c r="E895" s="10">
        <v>140</v>
      </c>
      <c r="F895" s="10">
        <f t="shared" si="13"/>
        <v>2800</v>
      </c>
    </row>
    <row r="896" spans="1:6" x14ac:dyDescent="0.25">
      <c r="A896" s="9"/>
      <c r="B896" s="9"/>
      <c r="C896" s="5">
        <v>10</v>
      </c>
      <c r="D896" s="9" t="s">
        <v>22</v>
      </c>
      <c r="E896" s="10">
        <v>125</v>
      </c>
      <c r="F896" s="10">
        <f t="shared" si="13"/>
        <v>1250</v>
      </c>
    </row>
    <row r="897" spans="1:6" x14ac:dyDescent="0.25">
      <c r="A897" s="9"/>
      <c r="B897" s="9"/>
      <c r="D897" s="9"/>
      <c r="E897" s="10"/>
      <c r="F897" s="8">
        <f>SUM(F894:F896)</f>
        <v>6950</v>
      </c>
    </row>
    <row r="898" spans="1:6" x14ac:dyDescent="0.25">
      <c r="A898" s="9"/>
      <c r="B898" s="9"/>
      <c r="D898" s="9"/>
      <c r="E898" s="10"/>
      <c r="F898" s="10"/>
    </row>
    <row r="899" spans="1:6" x14ac:dyDescent="0.25">
      <c r="A899" s="9" t="s">
        <v>57</v>
      </c>
      <c r="B899" s="4">
        <v>45672</v>
      </c>
      <c r="C899" s="5">
        <v>10</v>
      </c>
      <c r="D899" s="9" t="s">
        <v>13</v>
      </c>
      <c r="E899" s="10">
        <v>145</v>
      </c>
      <c r="F899" s="10">
        <f t="shared" si="13"/>
        <v>1450</v>
      </c>
    </row>
    <row r="900" spans="1:6" x14ac:dyDescent="0.25">
      <c r="A900" s="9"/>
      <c r="B900" s="9"/>
      <c r="C900" s="5">
        <v>8</v>
      </c>
      <c r="D900" s="9" t="s">
        <v>14</v>
      </c>
      <c r="E900" s="10">
        <v>145</v>
      </c>
      <c r="F900" s="10">
        <f t="shared" si="13"/>
        <v>1160</v>
      </c>
    </row>
    <row r="901" spans="1:6" x14ac:dyDescent="0.25">
      <c r="A901" s="9"/>
      <c r="B901" s="9"/>
      <c r="D901" s="9"/>
      <c r="E901" s="10"/>
      <c r="F901" s="8">
        <f>SUM(F899:F900)</f>
        <v>2610</v>
      </c>
    </row>
    <row r="902" spans="1:6" x14ac:dyDescent="0.25">
      <c r="A902" s="9"/>
      <c r="B902" s="9"/>
      <c r="D902" s="9"/>
      <c r="E902" s="10"/>
      <c r="F902" s="10"/>
    </row>
    <row r="903" spans="1:6" x14ac:dyDescent="0.25">
      <c r="A903" s="9" t="s">
        <v>25</v>
      </c>
      <c r="B903" s="4">
        <v>45672</v>
      </c>
      <c r="C903" s="5">
        <v>30</v>
      </c>
      <c r="D903" s="9" t="s">
        <v>22</v>
      </c>
      <c r="E903" s="10">
        <v>125</v>
      </c>
      <c r="F903" s="10">
        <f t="shared" si="13"/>
        <v>3750</v>
      </c>
    </row>
    <row r="904" spans="1:6" x14ac:dyDescent="0.25">
      <c r="A904" s="9"/>
      <c r="B904" s="9"/>
      <c r="D904" s="9"/>
      <c r="E904" s="10"/>
      <c r="F904" s="8">
        <f>SUM(F903)</f>
        <v>3750</v>
      </c>
    </row>
    <row r="905" spans="1:6" x14ac:dyDescent="0.25">
      <c r="A905" s="9"/>
      <c r="B905" s="9"/>
      <c r="D905" s="9"/>
      <c r="E905" s="10"/>
      <c r="F905" s="10"/>
    </row>
    <row r="906" spans="1:6" x14ac:dyDescent="0.25">
      <c r="A906" s="9" t="s">
        <v>40</v>
      </c>
      <c r="B906" s="4">
        <v>45672</v>
      </c>
      <c r="C906" s="5">
        <v>18</v>
      </c>
      <c r="D906" s="9" t="s">
        <v>13</v>
      </c>
      <c r="E906" s="10">
        <v>140</v>
      </c>
      <c r="F906" s="10">
        <f t="shared" si="13"/>
        <v>2520</v>
      </c>
    </row>
    <row r="907" spans="1:6" x14ac:dyDescent="0.25">
      <c r="A907" s="9"/>
      <c r="B907" s="9"/>
      <c r="C907" s="5">
        <v>9</v>
      </c>
      <c r="D907" s="9" t="s">
        <v>14</v>
      </c>
      <c r="E907" s="10">
        <v>135</v>
      </c>
      <c r="F907" s="10">
        <f t="shared" si="13"/>
        <v>1215</v>
      </c>
    </row>
    <row r="908" spans="1:6" x14ac:dyDescent="0.25">
      <c r="A908" s="9"/>
      <c r="B908" s="9"/>
      <c r="C908" s="5">
        <v>7</v>
      </c>
      <c r="D908" s="9" t="s">
        <v>12</v>
      </c>
      <c r="E908" s="10">
        <v>135</v>
      </c>
      <c r="F908" s="10">
        <f t="shared" si="13"/>
        <v>945</v>
      </c>
    </row>
    <row r="909" spans="1:6" x14ac:dyDescent="0.25">
      <c r="A909" s="9"/>
      <c r="B909" s="9"/>
      <c r="C909" s="5">
        <v>7</v>
      </c>
      <c r="D909" s="9" t="s">
        <v>11</v>
      </c>
      <c r="E909" s="10">
        <v>125</v>
      </c>
      <c r="F909" s="10">
        <f t="shared" si="13"/>
        <v>875</v>
      </c>
    </row>
    <row r="910" spans="1:6" x14ac:dyDescent="0.25">
      <c r="A910" s="9"/>
      <c r="B910" s="9"/>
      <c r="D910" s="9"/>
      <c r="E910" s="10"/>
      <c r="F910" s="8">
        <f>SUM(F906:F909)</f>
        <v>5555</v>
      </c>
    </row>
    <row r="911" spans="1:6" x14ac:dyDescent="0.25">
      <c r="A911" s="9"/>
      <c r="B911" s="9"/>
      <c r="D911" s="9"/>
      <c r="E911" s="10"/>
      <c r="F911" s="10"/>
    </row>
    <row r="912" spans="1:6" x14ac:dyDescent="0.25">
      <c r="A912" s="9" t="s">
        <v>23</v>
      </c>
      <c r="B912" s="4">
        <v>45672</v>
      </c>
      <c r="C912" s="5">
        <v>10</v>
      </c>
      <c r="D912" s="9" t="s">
        <v>12</v>
      </c>
      <c r="E912" s="10">
        <v>140</v>
      </c>
      <c r="F912" s="10">
        <f t="shared" si="13"/>
        <v>1400</v>
      </c>
    </row>
    <row r="913" spans="1:6" x14ac:dyDescent="0.25">
      <c r="A913" s="9"/>
      <c r="B913" s="9"/>
      <c r="C913" s="5">
        <v>10</v>
      </c>
      <c r="D913" s="9" t="s">
        <v>22</v>
      </c>
      <c r="E913" s="10">
        <v>125</v>
      </c>
      <c r="F913" s="10">
        <f t="shared" si="13"/>
        <v>1250</v>
      </c>
    </row>
    <row r="914" spans="1:6" x14ac:dyDescent="0.25">
      <c r="A914" s="9"/>
      <c r="B914" s="9"/>
      <c r="D914" s="9"/>
      <c r="E914" s="10"/>
      <c r="F914" s="8">
        <f>SUM(F912:F913)</f>
        <v>2650</v>
      </c>
    </row>
    <row r="915" spans="1:6" x14ac:dyDescent="0.25">
      <c r="A915" s="9"/>
      <c r="B915" s="9"/>
      <c r="D915" s="9"/>
      <c r="E915" s="10"/>
      <c r="F915" s="10"/>
    </row>
    <row r="916" spans="1:6" x14ac:dyDescent="0.25">
      <c r="A916" s="9" t="s">
        <v>15</v>
      </c>
      <c r="B916" s="4">
        <v>45672</v>
      </c>
      <c r="C916" s="5">
        <v>60</v>
      </c>
      <c r="D916" s="9" t="s">
        <v>36</v>
      </c>
      <c r="E916" s="10">
        <v>100</v>
      </c>
      <c r="F916" s="10">
        <f t="shared" si="13"/>
        <v>6000</v>
      </c>
    </row>
    <row r="917" spans="1:6" x14ac:dyDescent="0.25">
      <c r="A917" s="9"/>
      <c r="B917" s="9"/>
      <c r="D917" s="9"/>
      <c r="E917" s="10"/>
      <c r="F917" s="8">
        <f>SUM(F916)</f>
        <v>6000</v>
      </c>
    </row>
    <row r="918" spans="1:6" x14ac:dyDescent="0.25">
      <c r="A918" s="9"/>
      <c r="B918" s="9"/>
      <c r="D918" s="9"/>
      <c r="E918" s="10"/>
      <c r="F918" s="10"/>
    </row>
    <row r="919" spans="1:6" x14ac:dyDescent="0.25">
      <c r="A919" s="9" t="s">
        <v>56</v>
      </c>
      <c r="B919" s="4">
        <v>45672</v>
      </c>
      <c r="C919" s="5">
        <v>10</v>
      </c>
      <c r="D919" s="9" t="s">
        <v>36</v>
      </c>
      <c r="E919" s="10">
        <v>105</v>
      </c>
      <c r="F919" s="10">
        <f t="shared" si="13"/>
        <v>1050</v>
      </c>
    </row>
    <row r="920" spans="1:6" x14ac:dyDescent="0.25">
      <c r="A920" s="9"/>
      <c r="B920" s="9"/>
      <c r="D920" s="9"/>
      <c r="E920" s="10"/>
      <c r="F920" s="8">
        <f>SUM(F919)</f>
        <v>1050</v>
      </c>
    </row>
    <row r="921" spans="1:6" x14ac:dyDescent="0.25">
      <c r="A921" s="9"/>
      <c r="B921" s="9"/>
      <c r="D921" s="9"/>
      <c r="E921" s="10"/>
      <c r="F921" s="10"/>
    </row>
    <row r="922" spans="1:6" x14ac:dyDescent="0.25">
      <c r="A922" s="9" t="s">
        <v>41</v>
      </c>
      <c r="B922" s="4">
        <v>45672</v>
      </c>
      <c r="C922" s="5">
        <v>35</v>
      </c>
      <c r="D922" s="9" t="s">
        <v>14</v>
      </c>
      <c r="E922" s="10">
        <v>140</v>
      </c>
      <c r="F922" s="10">
        <f t="shared" si="13"/>
        <v>4900</v>
      </c>
    </row>
    <row r="923" spans="1:6" x14ac:dyDescent="0.25">
      <c r="A923" s="9"/>
      <c r="B923" s="9"/>
      <c r="D923" s="9"/>
      <c r="E923" s="10"/>
      <c r="F923" s="8">
        <f>SUM(F922)</f>
        <v>4900</v>
      </c>
    </row>
    <row r="924" spans="1:6" x14ac:dyDescent="0.25">
      <c r="A924" s="9"/>
      <c r="B924" s="9"/>
      <c r="D924" s="9"/>
      <c r="E924" s="10"/>
      <c r="F924" s="10"/>
    </row>
    <row r="925" spans="1:6" x14ac:dyDescent="0.25">
      <c r="A925" s="9" t="s">
        <v>107</v>
      </c>
      <c r="B925" s="4">
        <v>45672</v>
      </c>
      <c r="C925" s="5">
        <v>32</v>
      </c>
      <c r="D925" s="9" t="s">
        <v>13</v>
      </c>
      <c r="E925" s="10">
        <v>140</v>
      </c>
      <c r="F925" s="10">
        <f t="shared" si="13"/>
        <v>4480</v>
      </c>
    </row>
    <row r="926" spans="1:6" x14ac:dyDescent="0.25">
      <c r="A926" s="9"/>
      <c r="B926" s="9"/>
      <c r="D926" s="9"/>
      <c r="E926" s="10"/>
      <c r="F926" s="8">
        <f>SUM(F925)</f>
        <v>4480</v>
      </c>
    </row>
    <row r="927" spans="1:6" x14ac:dyDescent="0.25">
      <c r="A927" s="9"/>
      <c r="B927" s="9"/>
      <c r="D927" s="9"/>
      <c r="E927" s="10"/>
      <c r="F927" s="10"/>
    </row>
    <row r="928" spans="1:6" x14ac:dyDescent="0.25">
      <c r="A928" s="9" t="s">
        <v>43</v>
      </c>
      <c r="B928" s="4">
        <v>45672</v>
      </c>
      <c r="C928" s="5">
        <v>36</v>
      </c>
      <c r="D928" s="9" t="s">
        <v>49</v>
      </c>
      <c r="E928" s="10">
        <v>145</v>
      </c>
      <c r="F928" s="10">
        <f t="shared" ref="F928:F991" si="14">+C928*E928</f>
        <v>5220</v>
      </c>
    </row>
    <row r="929" spans="1:6" x14ac:dyDescent="0.25">
      <c r="A929" s="9"/>
      <c r="B929" s="9"/>
      <c r="D929" s="9"/>
      <c r="E929" s="10"/>
      <c r="F929" s="8">
        <f>SUM(F928)</f>
        <v>5220</v>
      </c>
    </row>
    <row r="930" spans="1:6" x14ac:dyDescent="0.25">
      <c r="A930" s="9"/>
      <c r="B930" s="9"/>
      <c r="D930" s="9"/>
      <c r="E930" s="10"/>
      <c r="F930" s="10"/>
    </row>
    <row r="931" spans="1:6" x14ac:dyDescent="0.25">
      <c r="A931" s="9" t="s">
        <v>44</v>
      </c>
      <c r="B931" s="4">
        <v>45672</v>
      </c>
      <c r="C931" s="5">
        <v>40</v>
      </c>
      <c r="D931" s="9" t="s">
        <v>14</v>
      </c>
      <c r="E931" s="10">
        <v>135</v>
      </c>
      <c r="F931" s="10">
        <f t="shared" si="14"/>
        <v>5400</v>
      </c>
    </row>
    <row r="932" spans="1:6" x14ac:dyDescent="0.25">
      <c r="A932" s="9"/>
      <c r="B932" s="9"/>
      <c r="D932" s="9"/>
      <c r="E932" s="10"/>
      <c r="F932" s="8">
        <f>SUM(F931)</f>
        <v>5400</v>
      </c>
    </row>
    <row r="933" spans="1:6" x14ac:dyDescent="0.25">
      <c r="A933" s="9"/>
      <c r="B933" s="9"/>
      <c r="D933" s="9"/>
      <c r="E933" s="10"/>
      <c r="F933" s="10"/>
    </row>
    <row r="934" spans="1:6" x14ac:dyDescent="0.25">
      <c r="A934" s="9" t="s">
        <v>18</v>
      </c>
      <c r="B934" s="4">
        <v>45672</v>
      </c>
      <c r="C934" s="5">
        <v>12</v>
      </c>
      <c r="D934" s="9" t="s">
        <v>14</v>
      </c>
      <c r="E934" s="10">
        <v>135</v>
      </c>
      <c r="F934" s="10">
        <f t="shared" si="14"/>
        <v>1620</v>
      </c>
    </row>
    <row r="935" spans="1:6" x14ac:dyDescent="0.25">
      <c r="A935" s="9"/>
      <c r="B935" s="9"/>
      <c r="C935" s="5">
        <v>10</v>
      </c>
      <c r="D935" s="9" t="s">
        <v>13</v>
      </c>
      <c r="E935" s="10">
        <v>145</v>
      </c>
      <c r="F935" s="10">
        <f t="shared" si="14"/>
        <v>1450</v>
      </c>
    </row>
    <row r="936" spans="1:6" x14ac:dyDescent="0.25">
      <c r="A936" s="9"/>
      <c r="B936" s="9"/>
      <c r="D936" s="9"/>
      <c r="E936" s="10"/>
      <c r="F936" s="8">
        <f>SUM(F934:F935)</f>
        <v>3070</v>
      </c>
    </row>
    <row r="937" spans="1:6" x14ac:dyDescent="0.25">
      <c r="A937" s="9"/>
      <c r="B937" s="9"/>
      <c r="D937" s="9"/>
      <c r="E937" s="10"/>
      <c r="F937" s="10"/>
    </row>
    <row r="938" spans="1:6" x14ac:dyDescent="0.25">
      <c r="A938" s="9" t="s">
        <v>138</v>
      </c>
      <c r="B938" s="4">
        <v>45672</v>
      </c>
      <c r="C938" s="5">
        <v>24</v>
      </c>
      <c r="D938" s="9" t="s">
        <v>14</v>
      </c>
      <c r="E938" s="10">
        <v>135</v>
      </c>
      <c r="F938" s="10">
        <f t="shared" si="14"/>
        <v>3240</v>
      </c>
    </row>
    <row r="939" spans="1:6" x14ac:dyDescent="0.25">
      <c r="A939" s="9"/>
      <c r="B939" s="9"/>
      <c r="D939" s="9"/>
      <c r="E939" s="10"/>
      <c r="F939" s="8">
        <f>SUM(F938)</f>
        <v>3240</v>
      </c>
    </row>
    <row r="940" spans="1:6" x14ac:dyDescent="0.25">
      <c r="A940" s="9"/>
      <c r="B940" s="9"/>
      <c r="D940" s="9"/>
      <c r="E940" s="10"/>
      <c r="F940" s="10"/>
    </row>
    <row r="941" spans="1:6" x14ac:dyDescent="0.25">
      <c r="A941" s="9" t="s">
        <v>47</v>
      </c>
      <c r="B941" s="4">
        <v>45672</v>
      </c>
      <c r="C941" s="5">
        <v>20</v>
      </c>
      <c r="D941" s="9" t="s">
        <v>121</v>
      </c>
      <c r="E941" s="10">
        <v>135</v>
      </c>
      <c r="F941" s="10">
        <f t="shared" si="14"/>
        <v>2700</v>
      </c>
    </row>
    <row r="942" spans="1:6" x14ac:dyDescent="0.25">
      <c r="A942" s="9"/>
      <c r="B942" s="9"/>
      <c r="D942" s="9"/>
      <c r="E942" s="10"/>
      <c r="F942" s="8">
        <f>SUM(F941)</f>
        <v>2700</v>
      </c>
    </row>
    <row r="943" spans="1:6" x14ac:dyDescent="0.25">
      <c r="A943" s="9"/>
      <c r="B943" s="9"/>
      <c r="D943" s="9"/>
      <c r="E943" s="10"/>
      <c r="F943" s="10"/>
    </row>
    <row r="944" spans="1:6" x14ac:dyDescent="0.25">
      <c r="A944" s="9" t="s">
        <v>103</v>
      </c>
      <c r="B944" s="4">
        <v>45672</v>
      </c>
      <c r="C944" s="5">
        <v>3</v>
      </c>
      <c r="D944" s="9" t="s">
        <v>13</v>
      </c>
      <c r="E944" s="10">
        <v>155</v>
      </c>
      <c r="F944" s="10">
        <f t="shared" si="14"/>
        <v>465</v>
      </c>
    </row>
    <row r="945" spans="1:6" x14ac:dyDescent="0.25">
      <c r="A945" s="9"/>
      <c r="B945" s="9"/>
      <c r="D945" s="9"/>
      <c r="E945" s="10"/>
      <c r="F945" s="8">
        <f>SUM(F944)</f>
        <v>465</v>
      </c>
    </row>
    <row r="946" spans="1:6" x14ac:dyDescent="0.25">
      <c r="A946" s="9"/>
      <c r="B946" s="9"/>
      <c r="D946" s="9"/>
      <c r="E946" s="10"/>
      <c r="F946" s="10"/>
    </row>
    <row r="947" spans="1:6" x14ac:dyDescent="0.25">
      <c r="A947" s="9" t="s">
        <v>88</v>
      </c>
      <c r="B947" s="4">
        <v>45672</v>
      </c>
      <c r="C947" s="5">
        <v>15</v>
      </c>
      <c r="D947" s="9" t="s">
        <v>13</v>
      </c>
      <c r="E947" s="10">
        <v>150</v>
      </c>
      <c r="F947" s="10">
        <f t="shared" si="14"/>
        <v>2250</v>
      </c>
    </row>
    <row r="948" spans="1:6" x14ac:dyDescent="0.25">
      <c r="A948" s="9"/>
      <c r="B948" s="9"/>
      <c r="D948" s="9"/>
      <c r="E948" s="10"/>
      <c r="F948" s="8">
        <f>SUM(F947)</f>
        <v>2250</v>
      </c>
    </row>
    <row r="949" spans="1:6" x14ac:dyDescent="0.25">
      <c r="A949" s="9"/>
      <c r="B949" s="9"/>
      <c r="D949" s="9"/>
      <c r="E949" s="10"/>
      <c r="F949" s="10"/>
    </row>
    <row r="950" spans="1:6" x14ac:dyDescent="0.25">
      <c r="A950" s="9" t="s">
        <v>26</v>
      </c>
      <c r="B950" s="4">
        <v>45672</v>
      </c>
      <c r="C950" s="5">
        <v>110</v>
      </c>
      <c r="D950" s="9" t="s">
        <v>13</v>
      </c>
      <c r="E950" s="10">
        <v>150</v>
      </c>
      <c r="F950" s="10">
        <f t="shared" si="14"/>
        <v>16500</v>
      </c>
    </row>
    <row r="951" spans="1:6" x14ac:dyDescent="0.25">
      <c r="A951" s="9"/>
      <c r="B951" s="9"/>
      <c r="C951" s="5">
        <v>20</v>
      </c>
      <c r="D951" s="9" t="s">
        <v>14</v>
      </c>
      <c r="E951" s="10">
        <v>135</v>
      </c>
      <c r="F951" s="10">
        <f t="shared" si="14"/>
        <v>2700</v>
      </c>
    </row>
    <row r="952" spans="1:6" x14ac:dyDescent="0.25">
      <c r="A952" s="9"/>
      <c r="B952" s="9"/>
      <c r="D952" s="9"/>
      <c r="E952" s="10"/>
      <c r="F952" s="8">
        <f>SUM(F950:F951)</f>
        <v>19200</v>
      </c>
    </row>
    <row r="953" spans="1:6" x14ac:dyDescent="0.25">
      <c r="A953" s="9"/>
      <c r="B953" s="9"/>
      <c r="D953" s="9"/>
      <c r="E953" s="10"/>
      <c r="F953" s="10"/>
    </row>
    <row r="954" spans="1:6" x14ac:dyDescent="0.25">
      <c r="A954" s="9" t="s">
        <v>72</v>
      </c>
      <c r="B954" s="4">
        <v>45672</v>
      </c>
      <c r="C954" s="5">
        <v>200</v>
      </c>
      <c r="D954" s="9" t="s">
        <v>13</v>
      </c>
      <c r="E954" s="10">
        <v>135</v>
      </c>
      <c r="F954" s="10">
        <f t="shared" si="14"/>
        <v>27000</v>
      </c>
    </row>
    <row r="955" spans="1:6" x14ac:dyDescent="0.25">
      <c r="A955" s="9"/>
      <c r="B955" s="9"/>
      <c r="C955" s="5">
        <v>150</v>
      </c>
      <c r="D955" s="9" t="s">
        <v>12</v>
      </c>
      <c r="E955" s="10">
        <v>130</v>
      </c>
      <c r="F955" s="10">
        <f t="shared" si="14"/>
        <v>19500</v>
      </c>
    </row>
    <row r="956" spans="1:6" x14ac:dyDescent="0.25">
      <c r="A956" s="9"/>
      <c r="B956" s="9"/>
      <c r="C956" s="5">
        <v>20</v>
      </c>
      <c r="D956" s="9" t="s">
        <v>14</v>
      </c>
      <c r="E956" s="10">
        <v>135</v>
      </c>
      <c r="F956" s="10">
        <f t="shared" si="14"/>
        <v>2700</v>
      </c>
    </row>
    <row r="957" spans="1:6" x14ac:dyDescent="0.25">
      <c r="A957" s="9"/>
      <c r="B957" s="9"/>
      <c r="C957" s="5">
        <v>90</v>
      </c>
      <c r="D957" s="9" t="s">
        <v>11</v>
      </c>
      <c r="E957" s="10">
        <v>130</v>
      </c>
      <c r="F957" s="10">
        <f t="shared" si="14"/>
        <v>11700</v>
      </c>
    </row>
    <row r="958" spans="1:6" x14ac:dyDescent="0.25">
      <c r="A958" s="9"/>
      <c r="B958" s="9"/>
      <c r="D958" s="9"/>
      <c r="E958" s="10"/>
      <c r="F958" s="8">
        <f>SUM(F954:F957)</f>
        <v>60900</v>
      </c>
    </row>
    <row r="959" spans="1:6" x14ac:dyDescent="0.25">
      <c r="A959" s="9"/>
      <c r="B959" s="9"/>
      <c r="D959" s="9"/>
      <c r="E959" s="10"/>
      <c r="F959" s="10"/>
    </row>
    <row r="960" spans="1:6" x14ac:dyDescent="0.25">
      <c r="A960" s="9" t="s">
        <v>112</v>
      </c>
      <c r="B960" s="4">
        <v>45672</v>
      </c>
      <c r="C960" s="5">
        <v>30</v>
      </c>
      <c r="D960" s="9" t="s">
        <v>8</v>
      </c>
      <c r="E960" s="10">
        <v>140</v>
      </c>
      <c r="F960" s="10">
        <f t="shared" si="14"/>
        <v>4200</v>
      </c>
    </row>
    <row r="961" spans="1:6" x14ac:dyDescent="0.25">
      <c r="A961" s="9"/>
      <c r="B961" s="9"/>
      <c r="C961" s="5">
        <v>50</v>
      </c>
      <c r="D961" s="9" t="s">
        <v>22</v>
      </c>
      <c r="E961" s="10">
        <v>112</v>
      </c>
      <c r="F961" s="10">
        <f t="shared" si="14"/>
        <v>5600</v>
      </c>
    </row>
    <row r="962" spans="1:6" x14ac:dyDescent="0.25">
      <c r="A962" s="9"/>
      <c r="B962" s="9"/>
      <c r="D962" s="9"/>
      <c r="E962" s="10"/>
      <c r="F962" s="8">
        <f>SUM(F960:F961)</f>
        <v>9800</v>
      </c>
    </row>
    <row r="963" spans="1:6" x14ac:dyDescent="0.25">
      <c r="A963" s="9"/>
      <c r="B963" s="9"/>
      <c r="D963" s="9"/>
      <c r="E963" s="10"/>
      <c r="F963" s="10"/>
    </row>
    <row r="964" spans="1:6" x14ac:dyDescent="0.25">
      <c r="A964" s="9" t="s">
        <v>29</v>
      </c>
      <c r="B964" s="4">
        <v>45672</v>
      </c>
      <c r="C964" s="5">
        <v>2</v>
      </c>
      <c r="D964" s="9" t="s">
        <v>8</v>
      </c>
      <c r="E964" s="10">
        <v>165</v>
      </c>
      <c r="F964" s="10">
        <f t="shared" si="14"/>
        <v>330</v>
      </c>
    </row>
    <row r="965" spans="1:6" x14ac:dyDescent="0.25">
      <c r="A965" s="9"/>
      <c r="B965" s="9"/>
      <c r="C965" s="5">
        <v>1</v>
      </c>
      <c r="D965" s="9" t="s">
        <v>13</v>
      </c>
      <c r="E965" s="10">
        <v>160</v>
      </c>
      <c r="F965" s="10">
        <f t="shared" si="14"/>
        <v>160</v>
      </c>
    </row>
    <row r="966" spans="1:6" x14ac:dyDescent="0.25">
      <c r="A966" s="9"/>
      <c r="B966" s="9"/>
      <c r="C966" s="5">
        <v>1</v>
      </c>
      <c r="D966" s="9" t="s">
        <v>8</v>
      </c>
      <c r="E966" s="10">
        <v>170</v>
      </c>
      <c r="F966" s="10">
        <f t="shared" si="14"/>
        <v>170</v>
      </c>
    </row>
    <row r="967" spans="1:6" x14ac:dyDescent="0.25">
      <c r="A967" s="9"/>
      <c r="B967" s="9"/>
      <c r="C967" s="5">
        <v>1</v>
      </c>
      <c r="D967" s="9" t="s">
        <v>13</v>
      </c>
      <c r="E967" s="10">
        <v>160</v>
      </c>
      <c r="F967" s="10">
        <f t="shared" si="14"/>
        <v>160</v>
      </c>
    </row>
    <row r="968" spans="1:6" x14ac:dyDescent="0.25">
      <c r="A968" s="9"/>
      <c r="B968" s="9"/>
      <c r="D968" s="9"/>
      <c r="E968" s="10"/>
      <c r="F968" s="8">
        <f>SUM(F964:F967)</f>
        <v>820</v>
      </c>
    </row>
    <row r="969" spans="1:6" x14ac:dyDescent="0.25">
      <c r="A969" s="9"/>
      <c r="B969" s="9"/>
      <c r="D969" s="9"/>
      <c r="E969" s="10"/>
      <c r="F969" s="10"/>
    </row>
    <row r="970" spans="1:6" x14ac:dyDescent="0.25">
      <c r="A970" s="9" t="s">
        <v>7</v>
      </c>
      <c r="B970" s="4">
        <v>45672</v>
      </c>
      <c r="C970" s="5">
        <v>3</v>
      </c>
      <c r="D970" s="9" t="s">
        <v>8</v>
      </c>
      <c r="E970" s="10">
        <v>170</v>
      </c>
      <c r="F970" s="10">
        <f t="shared" si="14"/>
        <v>510</v>
      </c>
    </row>
    <row r="971" spans="1:6" x14ac:dyDescent="0.25">
      <c r="A971" s="9"/>
      <c r="B971" s="9"/>
      <c r="C971" s="5">
        <v>2</v>
      </c>
      <c r="D971" s="9" t="s">
        <v>8</v>
      </c>
      <c r="E971" s="10">
        <v>160</v>
      </c>
      <c r="F971" s="10">
        <f t="shared" si="14"/>
        <v>320</v>
      </c>
    </row>
    <row r="972" spans="1:6" x14ac:dyDescent="0.25">
      <c r="A972" s="9"/>
      <c r="B972" s="9"/>
      <c r="C972" s="5">
        <v>1</v>
      </c>
      <c r="D972" s="9" t="s">
        <v>139</v>
      </c>
      <c r="E972" s="10">
        <v>140</v>
      </c>
      <c r="F972" s="10">
        <f t="shared" si="14"/>
        <v>140</v>
      </c>
    </row>
    <row r="973" spans="1:6" x14ac:dyDescent="0.25">
      <c r="A973" s="9"/>
      <c r="B973" s="9"/>
      <c r="D973" s="9"/>
      <c r="E973" s="10"/>
      <c r="F973" s="8">
        <f>SUM(F970:F972)</f>
        <v>970</v>
      </c>
    </row>
    <row r="974" spans="1:6" x14ac:dyDescent="0.25">
      <c r="A974" s="9"/>
      <c r="B974" s="9"/>
      <c r="D974" s="9"/>
      <c r="E974" s="10"/>
      <c r="F974" s="10"/>
    </row>
    <row r="975" spans="1:6" x14ac:dyDescent="0.25">
      <c r="A975" s="9" t="s">
        <v>140</v>
      </c>
      <c r="B975" s="4">
        <v>45673</v>
      </c>
      <c r="C975" s="5">
        <v>200</v>
      </c>
      <c r="D975" s="9" t="s">
        <v>13</v>
      </c>
      <c r="E975" s="10">
        <v>145</v>
      </c>
      <c r="F975" s="10">
        <f t="shared" si="14"/>
        <v>29000</v>
      </c>
    </row>
    <row r="976" spans="1:6" x14ac:dyDescent="0.25">
      <c r="A976" s="9"/>
      <c r="B976" s="9"/>
      <c r="C976" s="5">
        <v>200</v>
      </c>
      <c r="D976" s="9" t="s">
        <v>12</v>
      </c>
      <c r="E976" s="10">
        <v>135</v>
      </c>
      <c r="F976" s="10">
        <f t="shared" si="14"/>
        <v>27000</v>
      </c>
    </row>
    <row r="977" spans="1:6" x14ac:dyDescent="0.25">
      <c r="A977" s="9"/>
      <c r="B977" s="9"/>
      <c r="C977" s="5">
        <v>100</v>
      </c>
      <c r="D977" s="9" t="s">
        <v>8</v>
      </c>
      <c r="E977" s="10">
        <v>155</v>
      </c>
      <c r="F977" s="10">
        <f t="shared" si="14"/>
        <v>15500</v>
      </c>
    </row>
    <row r="978" spans="1:6" x14ac:dyDescent="0.25">
      <c r="A978" s="9"/>
      <c r="B978" s="9"/>
      <c r="C978" s="5">
        <v>50</v>
      </c>
      <c r="D978" s="9" t="s">
        <v>14</v>
      </c>
      <c r="E978" s="10">
        <v>135</v>
      </c>
      <c r="F978" s="10">
        <f t="shared" si="14"/>
        <v>6750</v>
      </c>
    </row>
    <row r="979" spans="1:6" x14ac:dyDescent="0.25">
      <c r="A979" s="9"/>
      <c r="B979" s="9"/>
      <c r="C979" s="5">
        <v>50</v>
      </c>
      <c r="D979" s="9" t="s">
        <v>11</v>
      </c>
      <c r="E979" s="10">
        <v>125</v>
      </c>
      <c r="F979" s="10">
        <f t="shared" si="14"/>
        <v>6250</v>
      </c>
    </row>
    <row r="980" spans="1:6" x14ac:dyDescent="0.25">
      <c r="A980" s="9"/>
      <c r="B980" s="9"/>
      <c r="D980" s="9"/>
      <c r="E980" s="10"/>
      <c r="F980" s="8">
        <f>SUM(F975:F979)</f>
        <v>84500</v>
      </c>
    </row>
    <row r="981" spans="1:6" x14ac:dyDescent="0.25">
      <c r="A981" s="9"/>
      <c r="B981" s="9"/>
      <c r="D981" s="9"/>
      <c r="E981" s="10"/>
      <c r="F981" s="10"/>
    </row>
    <row r="982" spans="1:6" x14ac:dyDescent="0.25">
      <c r="A982" s="9" t="s">
        <v>61</v>
      </c>
      <c r="B982" s="4">
        <v>45673</v>
      </c>
      <c r="C982" s="5">
        <v>30</v>
      </c>
      <c r="D982" s="9" t="s">
        <v>13</v>
      </c>
      <c r="E982" s="10">
        <v>150</v>
      </c>
      <c r="F982" s="10">
        <f t="shared" si="14"/>
        <v>4500</v>
      </c>
    </row>
    <row r="983" spans="1:6" x14ac:dyDescent="0.25">
      <c r="A983" s="9"/>
      <c r="B983" s="9"/>
      <c r="D983" s="9"/>
      <c r="E983" s="10"/>
      <c r="F983" s="8">
        <f>SUM(F982)</f>
        <v>4500</v>
      </c>
    </row>
    <row r="984" spans="1:6" x14ac:dyDescent="0.25">
      <c r="A984" s="9"/>
      <c r="B984" s="9"/>
      <c r="D984" s="9"/>
      <c r="E984" s="10"/>
      <c r="F984" s="10"/>
    </row>
    <row r="985" spans="1:6" x14ac:dyDescent="0.25">
      <c r="A985" s="9" t="s">
        <v>127</v>
      </c>
      <c r="B985" s="4">
        <v>45673</v>
      </c>
      <c r="C985" s="5">
        <v>30</v>
      </c>
      <c r="D985" s="9" t="s">
        <v>13</v>
      </c>
      <c r="E985" s="10">
        <v>150</v>
      </c>
      <c r="F985" s="10">
        <f t="shared" si="14"/>
        <v>4500</v>
      </c>
    </row>
    <row r="986" spans="1:6" x14ac:dyDescent="0.25">
      <c r="A986" s="9"/>
      <c r="B986" s="9"/>
      <c r="D986" s="9"/>
      <c r="E986" s="10"/>
      <c r="F986" s="8">
        <f>SUM(F985)</f>
        <v>4500</v>
      </c>
    </row>
    <row r="987" spans="1:6" x14ac:dyDescent="0.25">
      <c r="A987" s="9"/>
      <c r="B987" s="9"/>
      <c r="D987" s="9"/>
      <c r="E987" s="10"/>
      <c r="F987" s="10"/>
    </row>
    <row r="988" spans="1:6" x14ac:dyDescent="0.25">
      <c r="A988" s="9" t="s">
        <v>60</v>
      </c>
      <c r="B988" s="4">
        <v>45673</v>
      </c>
      <c r="C988" s="5">
        <v>30</v>
      </c>
      <c r="D988" s="9" t="s">
        <v>13</v>
      </c>
      <c r="E988" s="10">
        <v>150</v>
      </c>
      <c r="F988" s="10">
        <f t="shared" si="14"/>
        <v>4500</v>
      </c>
    </row>
    <row r="989" spans="1:6" x14ac:dyDescent="0.25">
      <c r="A989" s="9"/>
      <c r="B989" s="9"/>
      <c r="D989" s="9"/>
      <c r="E989" s="10"/>
      <c r="F989" s="8">
        <f>SUM(F988)</f>
        <v>4500</v>
      </c>
    </row>
    <row r="990" spans="1:6" x14ac:dyDescent="0.25">
      <c r="A990" s="9"/>
      <c r="B990" s="9"/>
      <c r="D990" s="9"/>
      <c r="E990" s="10"/>
      <c r="F990" s="10"/>
    </row>
    <row r="991" spans="1:6" x14ac:dyDescent="0.25">
      <c r="A991" s="9" t="s">
        <v>67</v>
      </c>
      <c r="B991" s="4">
        <v>45673</v>
      </c>
      <c r="C991" s="5">
        <v>10</v>
      </c>
      <c r="D991" s="9" t="s">
        <v>13</v>
      </c>
      <c r="E991" s="10">
        <v>150</v>
      </c>
      <c r="F991" s="10">
        <f t="shared" si="14"/>
        <v>1500</v>
      </c>
    </row>
    <row r="992" spans="1:6" x14ac:dyDescent="0.25">
      <c r="A992" s="9"/>
      <c r="B992" s="9"/>
      <c r="D992" s="9"/>
      <c r="E992" s="10"/>
      <c r="F992" s="8">
        <f>SUM(F991)</f>
        <v>1500</v>
      </c>
    </row>
    <row r="993" spans="1:6" x14ac:dyDescent="0.25">
      <c r="A993" s="9"/>
      <c r="B993" s="9"/>
      <c r="D993" s="9"/>
      <c r="E993" s="10"/>
      <c r="F993" s="10"/>
    </row>
    <row r="994" spans="1:6" x14ac:dyDescent="0.25">
      <c r="A994" s="9" t="s">
        <v>26</v>
      </c>
      <c r="B994" s="4">
        <v>45673</v>
      </c>
      <c r="C994" s="5">
        <v>120</v>
      </c>
      <c r="D994" s="9" t="s">
        <v>13</v>
      </c>
      <c r="E994" s="10">
        <v>150</v>
      </c>
      <c r="F994" s="10">
        <f t="shared" ref="F994:F1061" si="15">+C994*E994</f>
        <v>18000</v>
      </c>
    </row>
    <row r="995" spans="1:6" x14ac:dyDescent="0.25">
      <c r="A995" s="9"/>
      <c r="B995" s="9"/>
      <c r="C995" s="5">
        <v>10</v>
      </c>
      <c r="D995" s="9" t="s">
        <v>14</v>
      </c>
      <c r="E995" s="10">
        <v>135</v>
      </c>
      <c r="F995" s="10">
        <f t="shared" si="15"/>
        <v>1350</v>
      </c>
    </row>
    <row r="996" spans="1:6" x14ac:dyDescent="0.25">
      <c r="A996" s="9"/>
      <c r="B996" s="9"/>
      <c r="D996" s="9"/>
      <c r="E996" s="10"/>
      <c r="F996" s="8">
        <f>SUM(F994:F995)</f>
        <v>19350</v>
      </c>
    </row>
    <row r="997" spans="1:6" x14ac:dyDescent="0.25">
      <c r="A997" s="9"/>
      <c r="B997" s="9"/>
      <c r="D997" s="9"/>
      <c r="E997" s="10"/>
      <c r="F997" s="10"/>
    </row>
    <row r="998" spans="1:6" x14ac:dyDescent="0.25">
      <c r="A998" s="9" t="s">
        <v>69</v>
      </c>
      <c r="B998" s="4">
        <v>45673</v>
      </c>
      <c r="C998" s="5">
        <v>15</v>
      </c>
      <c r="D998" s="9" t="s">
        <v>8</v>
      </c>
      <c r="E998" s="10">
        <v>160</v>
      </c>
      <c r="F998" s="10">
        <f t="shared" si="15"/>
        <v>2400</v>
      </c>
    </row>
    <row r="999" spans="1:6" x14ac:dyDescent="0.25">
      <c r="A999" s="9"/>
      <c r="B999" s="9"/>
      <c r="D999" s="9"/>
      <c r="E999" s="10"/>
      <c r="F999" s="8">
        <f>SUM(F998)</f>
        <v>2400</v>
      </c>
    </row>
    <row r="1000" spans="1:6" x14ac:dyDescent="0.25">
      <c r="A1000" s="9"/>
      <c r="B1000" s="9"/>
      <c r="D1000" s="9"/>
      <c r="E1000" s="10"/>
      <c r="F1000" s="10"/>
    </row>
    <row r="1001" spans="1:6" x14ac:dyDescent="0.25">
      <c r="A1001" s="9" t="s">
        <v>141</v>
      </c>
      <c r="B1001" s="4">
        <v>45673</v>
      </c>
      <c r="C1001" s="5">
        <v>10</v>
      </c>
      <c r="D1001" s="9" t="s">
        <v>8</v>
      </c>
      <c r="E1001" s="10">
        <v>165</v>
      </c>
      <c r="F1001" s="10">
        <f t="shared" si="15"/>
        <v>1650</v>
      </c>
    </row>
    <row r="1002" spans="1:6" x14ac:dyDescent="0.25">
      <c r="A1002" s="9"/>
      <c r="B1002" s="9"/>
      <c r="D1002" s="9"/>
      <c r="E1002" s="10"/>
      <c r="F1002" s="8">
        <f>SUM(F1001)</f>
        <v>1650</v>
      </c>
    </row>
    <row r="1003" spans="1:6" x14ac:dyDescent="0.25">
      <c r="A1003" s="9"/>
      <c r="B1003" s="9"/>
      <c r="D1003" s="9"/>
      <c r="E1003" s="10"/>
      <c r="F1003" s="10"/>
    </row>
    <row r="1004" spans="1:6" x14ac:dyDescent="0.25">
      <c r="A1004" s="9" t="s">
        <v>51</v>
      </c>
      <c r="B1004" s="4">
        <v>45673</v>
      </c>
      <c r="C1004" s="5">
        <v>200</v>
      </c>
      <c r="D1004" s="9" t="s">
        <v>13</v>
      </c>
      <c r="E1004" s="10"/>
      <c r="F1004" s="10">
        <f t="shared" si="15"/>
        <v>0</v>
      </c>
    </row>
    <row r="1005" spans="1:6" x14ac:dyDescent="0.25">
      <c r="A1005" s="9"/>
      <c r="B1005" s="9"/>
      <c r="C1005" s="5">
        <v>70</v>
      </c>
      <c r="D1005" s="9" t="s">
        <v>12</v>
      </c>
      <c r="E1005" s="10"/>
      <c r="F1005" s="10">
        <f t="shared" si="15"/>
        <v>0</v>
      </c>
    </row>
    <row r="1006" spans="1:6" x14ac:dyDescent="0.25">
      <c r="A1006" s="9"/>
      <c r="B1006" s="9"/>
      <c r="D1006" s="9"/>
      <c r="E1006" s="10"/>
      <c r="F1006" s="8">
        <f>SUM(F1004:F1005)</f>
        <v>0</v>
      </c>
    </row>
    <row r="1007" spans="1:6" x14ac:dyDescent="0.25">
      <c r="A1007" s="9"/>
      <c r="B1007" s="9"/>
      <c r="D1007" s="9"/>
      <c r="E1007" s="10"/>
      <c r="F1007" s="10"/>
    </row>
    <row r="1008" spans="1:6" x14ac:dyDescent="0.25">
      <c r="A1008" s="9" t="s">
        <v>29</v>
      </c>
      <c r="B1008" s="4">
        <v>45673</v>
      </c>
      <c r="C1008" s="5">
        <v>1</v>
      </c>
      <c r="D1008" s="9" t="s">
        <v>12</v>
      </c>
      <c r="E1008" s="10">
        <v>150</v>
      </c>
      <c r="F1008" s="10">
        <f t="shared" si="15"/>
        <v>150</v>
      </c>
    </row>
    <row r="1009" spans="1:6" x14ac:dyDescent="0.25">
      <c r="A1009" s="9"/>
      <c r="B1009" s="9"/>
      <c r="C1009" s="5">
        <v>1</v>
      </c>
      <c r="D1009" s="9" t="s">
        <v>8</v>
      </c>
      <c r="E1009" s="10">
        <v>170</v>
      </c>
      <c r="F1009" s="10">
        <f t="shared" si="15"/>
        <v>170</v>
      </c>
    </row>
    <row r="1010" spans="1:6" x14ac:dyDescent="0.25">
      <c r="A1010" s="9"/>
      <c r="B1010" s="9"/>
      <c r="C1010" s="5">
        <v>1</v>
      </c>
      <c r="D1010" s="9" t="s">
        <v>91</v>
      </c>
      <c r="E1010" s="10">
        <v>100</v>
      </c>
      <c r="F1010" s="10">
        <f t="shared" si="15"/>
        <v>100</v>
      </c>
    </row>
    <row r="1011" spans="1:6" x14ac:dyDescent="0.25">
      <c r="A1011" s="9"/>
      <c r="B1011" s="9"/>
      <c r="D1011" s="9"/>
      <c r="E1011" s="10"/>
      <c r="F1011" s="8">
        <f>SUM(F1008:F1010)</f>
        <v>420</v>
      </c>
    </row>
    <row r="1012" spans="1:6" x14ac:dyDescent="0.25">
      <c r="A1012" s="9"/>
      <c r="B1012" s="9"/>
      <c r="D1012" s="9"/>
      <c r="E1012" s="10"/>
      <c r="F1012" s="10"/>
    </row>
    <row r="1013" spans="1:6" x14ac:dyDescent="0.25">
      <c r="A1013" s="9" t="s">
        <v>7</v>
      </c>
      <c r="B1013" s="4">
        <v>45673</v>
      </c>
      <c r="C1013" s="5">
        <v>1</v>
      </c>
      <c r="D1013" s="9" t="s">
        <v>8</v>
      </c>
      <c r="E1013" s="10">
        <v>170</v>
      </c>
      <c r="F1013" s="10">
        <f t="shared" si="15"/>
        <v>170</v>
      </c>
    </row>
    <row r="1014" spans="1:6" x14ac:dyDescent="0.25">
      <c r="A1014" s="9"/>
      <c r="B1014" s="9"/>
      <c r="D1014" s="9"/>
      <c r="E1014" s="10"/>
      <c r="F1014" s="8">
        <f>SUM(F1013)</f>
        <v>170</v>
      </c>
    </row>
    <row r="1015" spans="1:6" x14ac:dyDescent="0.25">
      <c r="A1015" s="9"/>
      <c r="B1015" s="9"/>
      <c r="D1015" s="9"/>
      <c r="E1015" s="10"/>
      <c r="F1015" s="10"/>
    </row>
    <row r="1016" spans="1:6" s="9" customFormat="1" x14ac:dyDescent="0.25">
      <c r="A1016" s="9" t="s">
        <v>15</v>
      </c>
      <c r="B1016" s="4">
        <v>45674</v>
      </c>
      <c r="C1016" s="5">
        <v>32</v>
      </c>
      <c r="D1016" s="9" t="s">
        <v>16</v>
      </c>
      <c r="E1016" s="10">
        <v>100</v>
      </c>
      <c r="F1016" s="10">
        <f t="shared" si="15"/>
        <v>3200</v>
      </c>
    </row>
    <row r="1017" spans="1:6" s="9" customFormat="1" x14ac:dyDescent="0.25">
      <c r="C1017" s="5"/>
      <c r="E1017" s="10"/>
      <c r="F1017" s="8">
        <f>SUM(F1016)</f>
        <v>3200</v>
      </c>
    </row>
    <row r="1018" spans="1:6" s="9" customFormat="1" x14ac:dyDescent="0.25">
      <c r="C1018" s="5"/>
      <c r="E1018" s="10"/>
      <c r="F1018" s="10"/>
    </row>
    <row r="1019" spans="1:6" s="9" customFormat="1" x14ac:dyDescent="0.25">
      <c r="A1019" s="9" t="s">
        <v>142</v>
      </c>
      <c r="B1019" s="4">
        <v>45674</v>
      </c>
      <c r="C1019" s="5">
        <v>10</v>
      </c>
      <c r="D1019" s="9" t="s">
        <v>36</v>
      </c>
      <c r="E1019" s="10">
        <v>100</v>
      </c>
      <c r="F1019" s="10">
        <f t="shared" si="15"/>
        <v>1000</v>
      </c>
    </row>
    <row r="1020" spans="1:6" s="9" customFormat="1" x14ac:dyDescent="0.25">
      <c r="C1020" s="5"/>
      <c r="E1020" s="10"/>
      <c r="F1020" s="8">
        <f>SUM(F1019)</f>
        <v>1000</v>
      </c>
    </row>
    <row r="1021" spans="1:6" s="9" customFormat="1" x14ac:dyDescent="0.25">
      <c r="C1021" s="5"/>
      <c r="E1021" s="10"/>
      <c r="F1021" s="10"/>
    </row>
    <row r="1022" spans="1:6" s="9" customFormat="1" x14ac:dyDescent="0.25">
      <c r="A1022" s="9" t="s">
        <v>18</v>
      </c>
      <c r="B1022" s="4">
        <v>45674</v>
      </c>
      <c r="C1022" s="5">
        <v>5</v>
      </c>
      <c r="D1022" s="9" t="s">
        <v>13</v>
      </c>
      <c r="E1022" s="10">
        <v>150</v>
      </c>
      <c r="F1022" s="10">
        <f t="shared" si="15"/>
        <v>750</v>
      </c>
    </row>
    <row r="1023" spans="1:6" s="9" customFormat="1" x14ac:dyDescent="0.25">
      <c r="C1023" s="5"/>
      <c r="E1023" s="10"/>
      <c r="F1023" s="8">
        <f>SUM(F1022)</f>
        <v>750</v>
      </c>
    </row>
    <row r="1024" spans="1:6" s="9" customFormat="1" x14ac:dyDescent="0.25">
      <c r="C1024" s="5"/>
      <c r="E1024" s="10"/>
      <c r="F1024" s="10"/>
    </row>
    <row r="1025" spans="1:6" s="9" customFormat="1" x14ac:dyDescent="0.25">
      <c r="A1025" s="9" t="s">
        <v>57</v>
      </c>
      <c r="B1025" s="4">
        <v>45674</v>
      </c>
      <c r="C1025" s="5">
        <v>10</v>
      </c>
      <c r="D1025" s="9" t="s">
        <v>13</v>
      </c>
      <c r="E1025" s="10">
        <v>145</v>
      </c>
      <c r="F1025" s="10">
        <f t="shared" si="15"/>
        <v>1450</v>
      </c>
    </row>
    <row r="1026" spans="1:6" s="9" customFormat="1" x14ac:dyDescent="0.25">
      <c r="C1026" s="5">
        <v>10</v>
      </c>
      <c r="D1026" s="9" t="s">
        <v>14</v>
      </c>
      <c r="E1026" s="10">
        <v>145</v>
      </c>
      <c r="F1026" s="10">
        <f t="shared" si="15"/>
        <v>1450</v>
      </c>
    </row>
    <row r="1027" spans="1:6" s="9" customFormat="1" x14ac:dyDescent="0.25">
      <c r="C1027" s="5"/>
      <c r="E1027" s="10"/>
      <c r="F1027" s="8">
        <f>SUM(F1025:F1026)</f>
        <v>2900</v>
      </c>
    </row>
    <row r="1028" spans="1:6" s="9" customFormat="1" x14ac:dyDescent="0.25">
      <c r="C1028" s="5"/>
      <c r="E1028" s="10"/>
      <c r="F1028" s="10"/>
    </row>
    <row r="1029" spans="1:6" s="9" customFormat="1" x14ac:dyDescent="0.25">
      <c r="A1029" s="9" t="s">
        <v>20</v>
      </c>
      <c r="B1029" s="4">
        <v>45674</v>
      </c>
      <c r="C1029" s="5">
        <v>20</v>
      </c>
      <c r="D1029" s="9" t="s">
        <v>13</v>
      </c>
      <c r="E1029" s="10">
        <v>145</v>
      </c>
      <c r="F1029" s="10">
        <f t="shared" si="15"/>
        <v>2900</v>
      </c>
    </row>
    <row r="1030" spans="1:6" s="9" customFormat="1" x14ac:dyDescent="0.25">
      <c r="C1030" s="5"/>
      <c r="E1030" s="10"/>
      <c r="F1030" s="8">
        <f>SUM(F1029)</f>
        <v>2900</v>
      </c>
    </row>
    <row r="1031" spans="1:6" s="9" customFormat="1" x14ac:dyDescent="0.25">
      <c r="C1031" s="5"/>
      <c r="E1031" s="10"/>
      <c r="F1031" s="10"/>
    </row>
    <row r="1032" spans="1:6" s="9" customFormat="1" x14ac:dyDescent="0.25">
      <c r="A1032" s="9" t="s">
        <v>119</v>
      </c>
      <c r="B1032" s="4">
        <v>45674</v>
      </c>
      <c r="C1032" s="5">
        <v>60</v>
      </c>
      <c r="D1032" s="9" t="s">
        <v>13</v>
      </c>
      <c r="E1032" s="10">
        <v>150</v>
      </c>
      <c r="F1032" s="10">
        <f t="shared" si="15"/>
        <v>9000</v>
      </c>
    </row>
    <row r="1033" spans="1:6" s="9" customFormat="1" x14ac:dyDescent="0.25">
      <c r="C1033" s="5"/>
      <c r="E1033" s="10"/>
      <c r="F1033" s="8">
        <f>SUM(F1032)</f>
        <v>9000</v>
      </c>
    </row>
    <row r="1034" spans="1:6" s="9" customFormat="1" x14ac:dyDescent="0.25">
      <c r="C1034" s="5"/>
      <c r="E1034" s="10"/>
      <c r="F1034" s="10"/>
    </row>
    <row r="1035" spans="1:6" s="9" customFormat="1" x14ac:dyDescent="0.25">
      <c r="A1035" s="9" t="s">
        <v>17</v>
      </c>
      <c r="B1035" s="4">
        <v>45674</v>
      </c>
      <c r="C1035" s="5">
        <v>15</v>
      </c>
      <c r="D1035" s="9" t="s">
        <v>13</v>
      </c>
      <c r="E1035" s="10">
        <v>145</v>
      </c>
      <c r="F1035" s="10">
        <f t="shared" si="15"/>
        <v>2175</v>
      </c>
    </row>
    <row r="1036" spans="1:6" s="9" customFormat="1" x14ac:dyDescent="0.25">
      <c r="C1036" s="5"/>
      <c r="E1036" s="10"/>
      <c r="F1036" s="8">
        <f>SUM(F1035)</f>
        <v>2175</v>
      </c>
    </row>
    <row r="1037" spans="1:6" s="9" customFormat="1" x14ac:dyDescent="0.25">
      <c r="C1037" s="5"/>
      <c r="E1037" s="10"/>
      <c r="F1037" s="10"/>
    </row>
    <row r="1038" spans="1:6" s="9" customFormat="1" x14ac:dyDescent="0.25">
      <c r="A1038" s="9" t="s">
        <v>37</v>
      </c>
      <c r="B1038" s="4">
        <v>45674</v>
      </c>
      <c r="C1038" s="5">
        <v>20</v>
      </c>
      <c r="D1038" s="9" t="s">
        <v>12</v>
      </c>
      <c r="E1038" s="10">
        <v>135</v>
      </c>
      <c r="F1038" s="10">
        <f t="shared" si="15"/>
        <v>2700</v>
      </c>
    </row>
    <row r="1039" spans="1:6" s="9" customFormat="1" x14ac:dyDescent="0.25">
      <c r="C1039" s="5"/>
      <c r="E1039" s="10"/>
      <c r="F1039" s="8">
        <f>SUM(F1038)</f>
        <v>2700</v>
      </c>
    </row>
    <row r="1040" spans="1:6" s="9" customFormat="1" x14ac:dyDescent="0.25">
      <c r="C1040" s="5"/>
      <c r="E1040" s="10"/>
      <c r="F1040" s="10"/>
    </row>
    <row r="1041" spans="1:6" s="9" customFormat="1" x14ac:dyDescent="0.25">
      <c r="A1041" s="9" t="s">
        <v>21</v>
      </c>
      <c r="B1041" s="4">
        <v>45674</v>
      </c>
      <c r="C1041" s="5">
        <v>20</v>
      </c>
      <c r="D1041" s="9" t="s">
        <v>13</v>
      </c>
      <c r="E1041" s="10">
        <v>145</v>
      </c>
      <c r="F1041" s="10">
        <f t="shared" si="15"/>
        <v>2900</v>
      </c>
    </row>
    <row r="1042" spans="1:6" s="9" customFormat="1" x14ac:dyDescent="0.25">
      <c r="C1042" s="5">
        <v>15</v>
      </c>
      <c r="D1042" s="9" t="s">
        <v>12</v>
      </c>
      <c r="E1042" s="10">
        <v>135</v>
      </c>
      <c r="F1042" s="10">
        <f t="shared" si="15"/>
        <v>2025</v>
      </c>
    </row>
    <row r="1043" spans="1:6" s="9" customFormat="1" x14ac:dyDescent="0.25">
      <c r="C1043" s="5">
        <v>10</v>
      </c>
      <c r="D1043" s="9" t="s">
        <v>22</v>
      </c>
      <c r="E1043" s="10">
        <v>125</v>
      </c>
      <c r="F1043" s="10">
        <f t="shared" si="15"/>
        <v>1250</v>
      </c>
    </row>
    <row r="1044" spans="1:6" s="9" customFormat="1" x14ac:dyDescent="0.25">
      <c r="C1044" s="5"/>
      <c r="E1044" s="10"/>
      <c r="F1044" s="8">
        <f>SUM(F1041:F1043)</f>
        <v>6175</v>
      </c>
    </row>
    <row r="1045" spans="1:6" s="9" customFormat="1" x14ac:dyDescent="0.25">
      <c r="C1045" s="5"/>
      <c r="E1045" s="10"/>
      <c r="F1045" s="10"/>
    </row>
    <row r="1046" spans="1:6" x14ac:dyDescent="0.25">
      <c r="A1046" s="9" t="s">
        <v>40</v>
      </c>
      <c r="B1046" s="4">
        <v>45674</v>
      </c>
      <c r="C1046" s="5">
        <v>6</v>
      </c>
      <c r="D1046" s="9" t="s">
        <v>13</v>
      </c>
      <c r="E1046" s="10">
        <v>140</v>
      </c>
      <c r="F1046" s="10">
        <f t="shared" si="15"/>
        <v>840</v>
      </c>
    </row>
    <row r="1047" spans="1:6" x14ac:dyDescent="0.25">
      <c r="A1047" s="9"/>
      <c r="B1047" s="9"/>
      <c r="C1047" s="5">
        <v>6</v>
      </c>
      <c r="D1047" s="9" t="s">
        <v>12</v>
      </c>
      <c r="E1047" s="10">
        <v>135</v>
      </c>
      <c r="F1047" s="10">
        <f t="shared" si="15"/>
        <v>810</v>
      </c>
    </row>
    <row r="1048" spans="1:6" x14ac:dyDescent="0.25">
      <c r="A1048" s="9"/>
      <c r="B1048" s="9"/>
      <c r="C1048" s="5">
        <v>7</v>
      </c>
      <c r="D1048" s="9" t="s">
        <v>11</v>
      </c>
      <c r="E1048" s="10">
        <v>125</v>
      </c>
      <c r="F1048" s="10">
        <f t="shared" si="15"/>
        <v>875</v>
      </c>
    </row>
    <row r="1049" spans="1:6" x14ac:dyDescent="0.25">
      <c r="A1049" s="9"/>
      <c r="B1049" s="9"/>
      <c r="D1049" s="9"/>
      <c r="E1049" s="10"/>
      <c r="F1049" s="8">
        <f>SUM(F1046:F1048)</f>
        <v>2525</v>
      </c>
    </row>
    <row r="1050" spans="1:6" x14ac:dyDescent="0.25">
      <c r="A1050" s="9"/>
      <c r="B1050" s="9"/>
      <c r="D1050" s="9"/>
      <c r="E1050" s="10"/>
      <c r="F1050" s="10"/>
    </row>
    <row r="1051" spans="1:6" x14ac:dyDescent="0.25">
      <c r="A1051" s="9" t="s">
        <v>26</v>
      </c>
      <c r="B1051" s="4">
        <v>45674</v>
      </c>
      <c r="C1051" s="5">
        <v>50</v>
      </c>
      <c r="D1051" s="9" t="s">
        <v>13</v>
      </c>
      <c r="E1051" s="10">
        <v>145</v>
      </c>
      <c r="F1051" s="10">
        <f t="shared" si="15"/>
        <v>7250</v>
      </c>
    </row>
    <row r="1052" spans="1:6" x14ac:dyDescent="0.25">
      <c r="A1052" s="9"/>
      <c r="B1052" s="9"/>
      <c r="C1052" s="5">
        <v>30</v>
      </c>
      <c r="D1052" s="9" t="s">
        <v>14</v>
      </c>
      <c r="E1052" s="10">
        <v>135</v>
      </c>
      <c r="F1052" s="10">
        <f t="shared" si="15"/>
        <v>4050</v>
      </c>
    </row>
    <row r="1053" spans="1:6" x14ac:dyDescent="0.25">
      <c r="A1053" s="9"/>
      <c r="B1053" s="9"/>
      <c r="D1053" s="9"/>
      <c r="E1053" s="10"/>
      <c r="F1053" s="8">
        <f>SUM(F1051:F1052)</f>
        <v>11300</v>
      </c>
    </row>
    <row r="1054" spans="1:6" x14ac:dyDescent="0.25">
      <c r="A1054" s="9"/>
      <c r="B1054" s="9"/>
      <c r="D1054" s="9"/>
      <c r="E1054" s="10"/>
      <c r="F1054" s="10"/>
    </row>
    <row r="1055" spans="1:6" x14ac:dyDescent="0.25">
      <c r="A1055" s="9" t="s">
        <v>41</v>
      </c>
      <c r="B1055" s="4">
        <v>45674</v>
      </c>
      <c r="C1055" s="5">
        <v>30</v>
      </c>
      <c r="D1055" s="9" t="s">
        <v>14</v>
      </c>
      <c r="E1055" s="10">
        <v>140</v>
      </c>
      <c r="F1055" s="10">
        <f t="shared" si="15"/>
        <v>4200</v>
      </c>
    </row>
    <row r="1056" spans="1:6" x14ac:dyDescent="0.25">
      <c r="A1056" s="9"/>
      <c r="B1056" s="9"/>
      <c r="D1056" s="9"/>
      <c r="E1056" s="10"/>
      <c r="F1056" s="8">
        <f>SUM(F1055)</f>
        <v>4200</v>
      </c>
    </row>
    <row r="1057" spans="1:6" x14ac:dyDescent="0.25">
      <c r="A1057" s="9"/>
      <c r="B1057" s="9"/>
      <c r="D1057" s="9"/>
      <c r="E1057" s="10"/>
      <c r="F1057" s="10"/>
    </row>
    <row r="1058" spans="1:6" x14ac:dyDescent="0.25">
      <c r="A1058" s="9" t="s">
        <v>43</v>
      </c>
      <c r="B1058" s="4">
        <v>45674</v>
      </c>
      <c r="C1058" s="5">
        <v>15</v>
      </c>
      <c r="D1058" s="9" t="s">
        <v>14</v>
      </c>
      <c r="E1058" s="10">
        <v>130</v>
      </c>
      <c r="F1058" s="10">
        <f t="shared" si="15"/>
        <v>1950</v>
      </c>
    </row>
    <row r="1059" spans="1:6" x14ac:dyDescent="0.25">
      <c r="A1059" s="9"/>
      <c r="B1059" s="9"/>
      <c r="D1059" s="9"/>
      <c r="E1059" s="10"/>
      <c r="F1059" s="8">
        <f>SUM(F1058)</f>
        <v>1950</v>
      </c>
    </row>
    <row r="1060" spans="1:6" x14ac:dyDescent="0.25">
      <c r="A1060" s="9"/>
      <c r="B1060" s="9"/>
      <c r="D1060" s="9"/>
      <c r="E1060" s="10"/>
      <c r="F1060" s="10"/>
    </row>
    <row r="1061" spans="1:6" x14ac:dyDescent="0.25">
      <c r="A1061" s="9" t="s">
        <v>44</v>
      </c>
      <c r="B1061" s="4">
        <v>45674</v>
      </c>
      <c r="C1061" s="5">
        <v>80</v>
      </c>
      <c r="D1061" s="9" t="s">
        <v>14</v>
      </c>
      <c r="E1061" s="10">
        <v>125</v>
      </c>
      <c r="F1061" s="10">
        <f t="shared" si="15"/>
        <v>10000</v>
      </c>
    </row>
    <row r="1062" spans="1:6" x14ac:dyDescent="0.25">
      <c r="A1062" s="9"/>
      <c r="B1062" s="9"/>
      <c r="D1062" s="9"/>
      <c r="E1062" s="10"/>
      <c r="F1062" s="8">
        <f>SUM(F1061)</f>
        <v>10000</v>
      </c>
    </row>
    <row r="1063" spans="1:6" x14ac:dyDescent="0.25">
      <c r="A1063" s="9"/>
      <c r="B1063" s="9"/>
      <c r="D1063" s="9"/>
      <c r="E1063" s="10"/>
      <c r="F1063" s="10"/>
    </row>
    <row r="1064" spans="1:6" x14ac:dyDescent="0.25">
      <c r="A1064" s="9" t="s">
        <v>18</v>
      </c>
      <c r="B1064" s="4">
        <v>45674</v>
      </c>
      <c r="C1064" s="5">
        <v>20</v>
      </c>
      <c r="D1064" s="9" t="s">
        <v>14</v>
      </c>
      <c r="E1064" s="10">
        <v>125</v>
      </c>
      <c r="F1064" s="10">
        <f>+C1064*E1064</f>
        <v>2500</v>
      </c>
    </row>
    <row r="1065" spans="1:6" x14ac:dyDescent="0.25">
      <c r="A1065" s="9"/>
      <c r="B1065" s="9"/>
      <c r="D1065" s="9"/>
      <c r="E1065" s="10"/>
      <c r="F1065" s="8">
        <f>SUM(F1064)</f>
        <v>2500</v>
      </c>
    </row>
    <row r="1066" spans="1:6" x14ac:dyDescent="0.25">
      <c r="A1066" s="9"/>
      <c r="B1066" s="9"/>
      <c r="D1066" s="9"/>
      <c r="E1066" s="10"/>
      <c r="F1066" s="10"/>
    </row>
    <row r="1067" spans="1:6" x14ac:dyDescent="0.25">
      <c r="A1067" s="9" t="s">
        <v>143</v>
      </c>
      <c r="B1067" s="4">
        <v>45674</v>
      </c>
      <c r="C1067" s="5">
        <v>15</v>
      </c>
      <c r="D1067" s="9" t="s">
        <v>144</v>
      </c>
      <c r="E1067" s="10">
        <v>130</v>
      </c>
      <c r="F1067" s="10">
        <f>+C1067*E1067</f>
        <v>1950</v>
      </c>
    </row>
    <row r="1068" spans="1:6" x14ac:dyDescent="0.25">
      <c r="A1068" s="9"/>
      <c r="B1068" s="9"/>
      <c r="D1068" s="9"/>
      <c r="E1068" s="10"/>
      <c r="F1068" s="8">
        <f>SUM(F1067)</f>
        <v>1950</v>
      </c>
    </row>
    <row r="1069" spans="1:6" x14ac:dyDescent="0.25">
      <c r="A1069" s="9"/>
      <c r="B1069" s="9"/>
      <c r="D1069" s="9"/>
      <c r="E1069" s="10"/>
      <c r="F1069" s="10"/>
    </row>
    <row r="1070" spans="1:6" x14ac:dyDescent="0.25">
      <c r="A1070" s="9" t="s">
        <v>46</v>
      </c>
      <c r="B1070" s="4">
        <v>45674</v>
      </c>
      <c r="C1070" s="5">
        <v>30</v>
      </c>
      <c r="D1070" s="9" t="s">
        <v>14</v>
      </c>
      <c r="E1070" s="10">
        <v>130</v>
      </c>
      <c r="F1070" s="10">
        <f>+C1070*E1070</f>
        <v>3900</v>
      </c>
    </row>
    <row r="1071" spans="1:6" x14ac:dyDescent="0.25">
      <c r="A1071" s="9"/>
      <c r="B1071" s="9"/>
      <c r="D1071" s="9"/>
      <c r="E1071" s="10"/>
      <c r="F1071" s="8">
        <f>SUM(F1070)</f>
        <v>3900</v>
      </c>
    </row>
    <row r="1072" spans="1:6" x14ac:dyDescent="0.25">
      <c r="A1072" s="9"/>
      <c r="B1072" s="9"/>
      <c r="D1072" s="9"/>
      <c r="E1072" s="10"/>
      <c r="F1072" s="10"/>
    </row>
    <row r="1073" spans="1:6" x14ac:dyDescent="0.25">
      <c r="A1073" s="9" t="s">
        <v>145</v>
      </c>
      <c r="B1073" s="4">
        <v>45674</v>
      </c>
      <c r="C1073" s="5">
        <v>19</v>
      </c>
      <c r="D1073" s="9" t="s">
        <v>14</v>
      </c>
      <c r="E1073" s="10">
        <v>125</v>
      </c>
      <c r="F1073" s="10">
        <f>+C1073*E1073</f>
        <v>2375</v>
      </c>
    </row>
    <row r="1074" spans="1:6" x14ac:dyDescent="0.25">
      <c r="A1074" s="9"/>
      <c r="B1074" s="9"/>
      <c r="D1074" s="9"/>
      <c r="E1074" s="10"/>
      <c r="F1074" s="8">
        <f>SUM(F1073)</f>
        <v>2375</v>
      </c>
    </row>
    <row r="1075" spans="1:6" x14ac:dyDescent="0.25">
      <c r="A1075" s="9"/>
      <c r="B1075" s="9"/>
      <c r="D1075" s="9"/>
      <c r="E1075" s="10"/>
      <c r="F1075" s="10"/>
    </row>
    <row r="1076" spans="1:6" x14ac:dyDescent="0.25">
      <c r="A1076" s="9" t="s">
        <v>47</v>
      </c>
      <c r="B1076" s="4">
        <v>45674</v>
      </c>
      <c r="C1076" s="5">
        <v>40</v>
      </c>
      <c r="D1076" s="9" t="s">
        <v>14</v>
      </c>
      <c r="E1076" s="10">
        <v>130</v>
      </c>
      <c r="F1076" s="10">
        <f>+C1076*E1076</f>
        <v>5200</v>
      </c>
    </row>
    <row r="1077" spans="1:6" x14ac:dyDescent="0.25">
      <c r="A1077" s="9"/>
      <c r="B1077" s="9"/>
      <c r="D1077" s="9"/>
      <c r="E1077" s="10"/>
      <c r="F1077" s="8">
        <f>SUM(F1076)</f>
        <v>5200</v>
      </c>
    </row>
    <row r="1078" spans="1:6" x14ac:dyDescent="0.25">
      <c r="A1078" s="9"/>
      <c r="B1078" s="9"/>
      <c r="D1078" s="9"/>
      <c r="E1078" s="10"/>
      <c r="F1078" s="10"/>
    </row>
    <row r="1079" spans="1:6" x14ac:dyDescent="0.25">
      <c r="A1079" s="9" t="s">
        <v>146</v>
      </c>
      <c r="B1079" s="4">
        <v>45674</v>
      </c>
      <c r="C1079" s="5">
        <v>10</v>
      </c>
      <c r="D1079" s="9" t="s">
        <v>11</v>
      </c>
      <c r="E1079" s="10">
        <v>120</v>
      </c>
      <c r="F1079" s="10">
        <f>+C1079*E1079</f>
        <v>1200</v>
      </c>
    </row>
    <row r="1080" spans="1:6" x14ac:dyDescent="0.25">
      <c r="A1080" s="9"/>
      <c r="B1080" s="9"/>
      <c r="D1080" s="9"/>
      <c r="E1080" s="10"/>
      <c r="F1080" s="8">
        <f>SUM(F1079)</f>
        <v>1200</v>
      </c>
    </row>
    <row r="1081" spans="1:6" x14ac:dyDescent="0.25">
      <c r="A1081" s="9"/>
      <c r="B1081" s="9"/>
      <c r="D1081" s="9"/>
      <c r="E1081" s="10"/>
      <c r="F1081" s="10"/>
    </row>
    <row r="1082" spans="1:6" x14ac:dyDescent="0.25">
      <c r="A1082" s="9" t="s">
        <v>133</v>
      </c>
      <c r="B1082" s="4">
        <v>45674</v>
      </c>
      <c r="C1082" s="5">
        <v>5</v>
      </c>
      <c r="D1082" s="9" t="s">
        <v>13</v>
      </c>
      <c r="E1082" s="10">
        <v>155</v>
      </c>
      <c r="F1082" s="10">
        <f>+C1082*E1082</f>
        <v>775</v>
      </c>
    </row>
    <row r="1083" spans="1:6" x14ac:dyDescent="0.25">
      <c r="A1083" s="9"/>
      <c r="B1083" s="9"/>
      <c r="D1083" s="9"/>
      <c r="E1083" s="10"/>
      <c r="F1083" s="8">
        <f>SUM(F1082)</f>
        <v>775</v>
      </c>
    </row>
    <row r="1084" spans="1:6" x14ac:dyDescent="0.25">
      <c r="A1084" s="9"/>
      <c r="B1084" s="9"/>
      <c r="D1084" s="9"/>
      <c r="E1084" s="10"/>
      <c r="F1084" s="10"/>
    </row>
    <row r="1085" spans="1:6" x14ac:dyDescent="0.25">
      <c r="A1085" s="9" t="s">
        <v>117</v>
      </c>
      <c r="B1085" s="4">
        <v>45674</v>
      </c>
      <c r="C1085" s="5">
        <v>10</v>
      </c>
      <c r="D1085" s="9" t="s">
        <v>13</v>
      </c>
      <c r="E1085" s="10">
        <v>155</v>
      </c>
      <c r="F1085" s="10">
        <f>+C1085*E1085</f>
        <v>1550</v>
      </c>
    </row>
    <row r="1086" spans="1:6" x14ac:dyDescent="0.25">
      <c r="A1086" s="9"/>
      <c r="B1086" s="9"/>
      <c r="D1086" s="9"/>
      <c r="E1086" s="10"/>
      <c r="F1086" s="8">
        <f>SUM(F1085)</f>
        <v>1550</v>
      </c>
    </row>
    <row r="1087" spans="1:6" x14ac:dyDescent="0.25">
      <c r="A1087" s="9"/>
      <c r="B1087" s="9"/>
      <c r="D1087" s="9"/>
      <c r="E1087" s="10"/>
      <c r="F1087" s="10"/>
    </row>
    <row r="1088" spans="1:6" x14ac:dyDescent="0.25">
      <c r="A1088" s="9" t="s">
        <v>147</v>
      </c>
      <c r="B1088" s="4">
        <v>45674</v>
      </c>
      <c r="C1088" s="5">
        <v>5</v>
      </c>
      <c r="D1088" s="9" t="s">
        <v>13</v>
      </c>
      <c r="E1088" s="10">
        <v>150</v>
      </c>
      <c r="F1088" s="10">
        <f t="shared" ref="F1088:F1149" si="16">+C1088*E1088</f>
        <v>750</v>
      </c>
    </row>
    <row r="1089" spans="1:6" x14ac:dyDescent="0.25">
      <c r="A1089" s="9"/>
      <c r="B1089" s="9"/>
      <c r="D1089" s="9"/>
      <c r="E1089" s="10"/>
      <c r="F1089" s="8">
        <f>SUM(F1088)</f>
        <v>750</v>
      </c>
    </row>
    <row r="1090" spans="1:6" x14ac:dyDescent="0.25">
      <c r="A1090" s="9"/>
      <c r="B1090" s="9"/>
      <c r="D1090" s="9"/>
      <c r="E1090" s="10"/>
      <c r="F1090" s="10"/>
    </row>
    <row r="1091" spans="1:6" x14ac:dyDescent="0.25">
      <c r="A1091" s="9" t="s">
        <v>29</v>
      </c>
      <c r="B1091" s="4">
        <v>45674</v>
      </c>
      <c r="C1091" s="5">
        <v>4</v>
      </c>
      <c r="D1091" s="9" t="s">
        <v>13</v>
      </c>
      <c r="E1091" s="10">
        <v>160</v>
      </c>
      <c r="F1091" s="10">
        <f t="shared" si="16"/>
        <v>640</v>
      </c>
    </row>
    <row r="1092" spans="1:6" x14ac:dyDescent="0.25">
      <c r="A1092" s="9"/>
      <c r="B1092" s="9"/>
      <c r="C1092" s="5">
        <v>6</v>
      </c>
      <c r="D1092" s="9" t="s">
        <v>110</v>
      </c>
      <c r="E1092" s="10">
        <v>3.3330000000000002</v>
      </c>
      <c r="F1092" s="10">
        <f t="shared" si="16"/>
        <v>19.998000000000001</v>
      </c>
    </row>
    <row r="1093" spans="1:6" x14ac:dyDescent="0.25">
      <c r="A1093" s="9"/>
      <c r="B1093" s="9"/>
      <c r="C1093" s="5">
        <v>5</v>
      </c>
      <c r="D1093" s="9" t="s">
        <v>12</v>
      </c>
      <c r="E1093" s="10">
        <v>140</v>
      </c>
      <c r="F1093" s="10">
        <f t="shared" si="16"/>
        <v>700</v>
      </c>
    </row>
    <row r="1094" spans="1:6" x14ac:dyDescent="0.25">
      <c r="A1094" s="9"/>
      <c r="B1094" s="9"/>
      <c r="C1094" s="5">
        <v>3</v>
      </c>
      <c r="D1094" s="9" t="s">
        <v>8</v>
      </c>
      <c r="E1094" s="10">
        <v>170</v>
      </c>
      <c r="F1094" s="10">
        <f t="shared" si="16"/>
        <v>510</v>
      </c>
    </row>
    <row r="1095" spans="1:6" x14ac:dyDescent="0.25">
      <c r="A1095" s="9"/>
      <c r="B1095" s="9"/>
      <c r="D1095" s="9"/>
      <c r="E1095" s="10"/>
      <c r="F1095" s="8">
        <f>SUM(F1091:F1094)</f>
        <v>1869.998</v>
      </c>
    </row>
    <row r="1096" spans="1:6" x14ac:dyDescent="0.25">
      <c r="A1096" s="9"/>
      <c r="B1096" s="9"/>
      <c r="D1096" s="9"/>
      <c r="E1096" s="10"/>
      <c r="F1096" s="10"/>
    </row>
    <row r="1097" spans="1:6" x14ac:dyDescent="0.25">
      <c r="A1097" s="9" t="s">
        <v>7</v>
      </c>
      <c r="B1097" s="4">
        <v>45674</v>
      </c>
      <c r="C1097" s="5">
        <v>1</v>
      </c>
      <c r="D1097" s="9" t="s">
        <v>8</v>
      </c>
      <c r="E1097" s="10">
        <v>170</v>
      </c>
      <c r="F1097" s="10">
        <f t="shared" si="16"/>
        <v>170</v>
      </c>
    </row>
    <row r="1098" spans="1:6" x14ac:dyDescent="0.25">
      <c r="A1098" s="9"/>
      <c r="B1098" s="9"/>
      <c r="C1098" s="11">
        <v>0.5</v>
      </c>
      <c r="D1098" s="9" t="s">
        <v>8</v>
      </c>
      <c r="E1098" s="10">
        <v>170</v>
      </c>
      <c r="F1098" s="10">
        <f t="shared" si="16"/>
        <v>85</v>
      </c>
    </row>
    <row r="1099" spans="1:6" x14ac:dyDescent="0.25">
      <c r="A1099" s="9"/>
      <c r="B1099" s="9"/>
      <c r="D1099" s="9"/>
      <c r="E1099" s="10"/>
      <c r="F1099" s="8">
        <f>SUM(F1097:F1098)</f>
        <v>255</v>
      </c>
    </row>
    <row r="1100" spans="1:6" x14ac:dyDescent="0.25">
      <c r="A1100" s="9"/>
      <c r="B1100" s="9"/>
      <c r="D1100" s="9"/>
      <c r="E1100" s="10"/>
      <c r="F1100" s="10"/>
    </row>
    <row r="1101" spans="1:6" x14ac:dyDescent="0.25">
      <c r="A1101" s="9" t="s">
        <v>20</v>
      </c>
      <c r="B1101" s="4">
        <v>45675</v>
      </c>
      <c r="C1101" s="5">
        <v>20</v>
      </c>
      <c r="D1101" s="9" t="s">
        <v>13</v>
      </c>
      <c r="E1101" s="10">
        <v>145</v>
      </c>
      <c r="F1101" s="10">
        <f t="shared" si="16"/>
        <v>2900</v>
      </c>
    </row>
    <row r="1102" spans="1:6" x14ac:dyDescent="0.25">
      <c r="A1102" s="9"/>
      <c r="B1102" s="9"/>
      <c r="D1102" s="9"/>
      <c r="E1102" s="10"/>
      <c r="F1102" s="8">
        <f>SUM(F1101)</f>
        <v>2900</v>
      </c>
    </row>
    <row r="1103" spans="1:6" x14ac:dyDescent="0.25">
      <c r="A1103" s="9"/>
      <c r="B1103" s="9"/>
      <c r="D1103" s="9"/>
      <c r="E1103" s="10"/>
      <c r="F1103" s="10"/>
    </row>
    <row r="1104" spans="1:6" x14ac:dyDescent="0.25">
      <c r="A1104" s="9" t="s">
        <v>148</v>
      </c>
      <c r="B1104" s="4">
        <v>45675</v>
      </c>
      <c r="C1104" s="5">
        <v>15</v>
      </c>
      <c r="D1104" s="9" t="s">
        <v>13</v>
      </c>
      <c r="E1104" s="10">
        <v>145</v>
      </c>
      <c r="F1104" s="10">
        <f t="shared" si="16"/>
        <v>2175</v>
      </c>
    </row>
    <row r="1105" spans="1:6" x14ac:dyDescent="0.25">
      <c r="A1105" s="9"/>
      <c r="B1105" s="9"/>
      <c r="C1105" s="5">
        <v>15</v>
      </c>
      <c r="D1105" s="9" t="s">
        <v>14</v>
      </c>
      <c r="E1105" s="10">
        <v>145</v>
      </c>
      <c r="F1105" s="10">
        <f t="shared" si="16"/>
        <v>2175</v>
      </c>
    </row>
    <row r="1106" spans="1:6" x14ac:dyDescent="0.25">
      <c r="A1106" s="9"/>
      <c r="B1106" s="9"/>
      <c r="D1106" s="9"/>
      <c r="E1106" s="10"/>
      <c r="F1106" s="8">
        <f>SUM(F1104:F1105)</f>
        <v>4350</v>
      </c>
    </row>
    <row r="1107" spans="1:6" x14ac:dyDescent="0.25">
      <c r="A1107" s="9"/>
      <c r="B1107" s="9"/>
      <c r="D1107" s="9"/>
      <c r="E1107" s="10"/>
      <c r="F1107" s="10"/>
    </row>
    <row r="1108" spans="1:6" x14ac:dyDescent="0.25">
      <c r="A1108" s="9" t="s">
        <v>21</v>
      </c>
      <c r="B1108" s="4">
        <v>45675</v>
      </c>
      <c r="C1108" s="5">
        <v>20</v>
      </c>
      <c r="D1108" s="9" t="s">
        <v>13</v>
      </c>
      <c r="E1108" s="10">
        <v>145</v>
      </c>
      <c r="F1108" s="10">
        <f t="shared" si="16"/>
        <v>2900</v>
      </c>
    </row>
    <row r="1109" spans="1:6" x14ac:dyDescent="0.25">
      <c r="A1109" s="9"/>
      <c r="B1109" s="9"/>
      <c r="C1109" s="5">
        <v>10</v>
      </c>
      <c r="D1109" s="9" t="s">
        <v>14</v>
      </c>
      <c r="E1109" s="10">
        <v>140</v>
      </c>
      <c r="F1109" s="10">
        <f t="shared" si="16"/>
        <v>1400</v>
      </c>
    </row>
    <row r="1110" spans="1:6" x14ac:dyDescent="0.25">
      <c r="A1110" s="9"/>
      <c r="B1110" s="9"/>
      <c r="C1110" s="5">
        <v>10</v>
      </c>
      <c r="D1110" s="9" t="s">
        <v>12</v>
      </c>
      <c r="E1110" s="10">
        <v>135</v>
      </c>
      <c r="F1110" s="10">
        <f t="shared" si="16"/>
        <v>1350</v>
      </c>
    </row>
    <row r="1111" spans="1:6" x14ac:dyDescent="0.25">
      <c r="A1111" s="9"/>
      <c r="B1111" s="9"/>
      <c r="C1111" s="5">
        <v>10</v>
      </c>
      <c r="D1111" s="9" t="s">
        <v>149</v>
      </c>
      <c r="E1111" s="10">
        <v>125</v>
      </c>
      <c r="F1111" s="10">
        <f t="shared" si="16"/>
        <v>1250</v>
      </c>
    </row>
    <row r="1112" spans="1:6" x14ac:dyDescent="0.25">
      <c r="A1112" s="9"/>
      <c r="B1112" s="9"/>
      <c r="D1112" s="9"/>
      <c r="E1112" s="10"/>
      <c r="F1112" s="8">
        <f>SUM(F1108:F1111)</f>
        <v>6900</v>
      </c>
    </row>
    <row r="1113" spans="1:6" x14ac:dyDescent="0.25">
      <c r="A1113" s="9"/>
      <c r="B1113" s="9"/>
      <c r="D1113" s="9"/>
      <c r="E1113" s="10"/>
      <c r="F1113" s="10"/>
    </row>
    <row r="1114" spans="1:6" x14ac:dyDescent="0.25">
      <c r="A1114" s="9" t="s">
        <v>38</v>
      </c>
      <c r="B1114" s="4">
        <v>45675</v>
      </c>
      <c r="C1114" s="5">
        <v>10</v>
      </c>
      <c r="D1114" s="9" t="s">
        <v>13</v>
      </c>
      <c r="E1114" s="10">
        <v>145</v>
      </c>
      <c r="F1114" s="10">
        <f t="shared" si="16"/>
        <v>1450</v>
      </c>
    </row>
    <row r="1115" spans="1:6" x14ac:dyDescent="0.25">
      <c r="A1115" s="9"/>
      <c r="B1115" s="9"/>
      <c r="C1115" s="5">
        <v>5</v>
      </c>
      <c r="D1115" s="9" t="s">
        <v>12</v>
      </c>
      <c r="E1115" s="10">
        <v>135</v>
      </c>
      <c r="F1115" s="10">
        <f t="shared" si="16"/>
        <v>675</v>
      </c>
    </row>
    <row r="1116" spans="1:6" x14ac:dyDescent="0.25">
      <c r="A1116" s="9"/>
      <c r="B1116" s="9"/>
      <c r="D1116" s="9"/>
      <c r="E1116" s="10"/>
      <c r="F1116" s="8">
        <f>SUM(F1114:F1115)</f>
        <v>2125</v>
      </c>
    </row>
    <row r="1117" spans="1:6" x14ac:dyDescent="0.25">
      <c r="A1117" s="9"/>
      <c r="B1117" s="9"/>
      <c r="D1117" s="9"/>
      <c r="E1117" s="10"/>
      <c r="F1117" s="10"/>
    </row>
    <row r="1118" spans="1:6" x14ac:dyDescent="0.25">
      <c r="A1118" s="9" t="s">
        <v>40</v>
      </c>
      <c r="B1118" s="4">
        <v>45675</v>
      </c>
      <c r="C1118" s="5">
        <v>12</v>
      </c>
      <c r="D1118" s="9" t="s">
        <v>13</v>
      </c>
      <c r="E1118" s="10">
        <v>140</v>
      </c>
      <c r="F1118" s="10">
        <f t="shared" si="16"/>
        <v>1680</v>
      </c>
    </row>
    <row r="1119" spans="1:6" x14ac:dyDescent="0.25">
      <c r="A1119" s="9"/>
      <c r="B1119" s="9"/>
      <c r="C1119" s="5">
        <v>13</v>
      </c>
      <c r="D1119" s="9" t="s">
        <v>14</v>
      </c>
      <c r="E1119" s="10">
        <v>135</v>
      </c>
      <c r="F1119" s="10">
        <f t="shared" si="16"/>
        <v>1755</v>
      </c>
    </row>
    <row r="1120" spans="1:6" x14ac:dyDescent="0.25">
      <c r="A1120" s="9"/>
      <c r="B1120" s="9"/>
      <c r="C1120" s="5">
        <v>6</v>
      </c>
      <c r="D1120" s="9" t="s">
        <v>12</v>
      </c>
      <c r="E1120" s="10">
        <v>135</v>
      </c>
      <c r="F1120" s="10">
        <f t="shared" si="16"/>
        <v>810</v>
      </c>
    </row>
    <row r="1121" spans="1:6" x14ac:dyDescent="0.25">
      <c r="A1121" s="9"/>
      <c r="B1121" s="9"/>
      <c r="C1121" s="5">
        <v>9</v>
      </c>
      <c r="D1121" s="9" t="s">
        <v>11</v>
      </c>
      <c r="E1121" s="10">
        <v>125</v>
      </c>
      <c r="F1121" s="10">
        <f t="shared" si="16"/>
        <v>1125</v>
      </c>
    </row>
    <row r="1122" spans="1:6" x14ac:dyDescent="0.25">
      <c r="A1122" s="9"/>
      <c r="B1122" s="9"/>
      <c r="D1122" s="9"/>
      <c r="E1122" s="10"/>
      <c r="F1122" s="8">
        <f>SUM(F1118:F1121)</f>
        <v>5370</v>
      </c>
    </row>
    <row r="1123" spans="1:6" x14ac:dyDescent="0.25">
      <c r="A1123" s="9"/>
      <c r="B1123" s="9"/>
      <c r="D1123" s="9"/>
      <c r="E1123" s="10"/>
      <c r="F1123" s="10"/>
    </row>
    <row r="1124" spans="1:6" x14ac:dyDescent="0.25">
      <c r="A1124" s="9" t="s">
        <v>80</v>
      </c>
      <c r="B1124" s="4">
        <v>45675</v>
      </c>
      <c r="C1124" s="5">
        <v>3</v>
      </c>
      <c r="D1124" s="9" t="s">
        <v>13</v>
      </c>
      <c r="E1124" s="10">
        <v>145</v>
      </c>
      <c r="F1124" s="10">
        <f t="shared" si="16"/>
        <v>435</v>
      </c>
    </row>
    <row r="1125" spans="1:6" x14ac:dyDescent="0.25">
      <c r="A1125" s="9"/>
      <c r="B1125" s="9"/>
      <c r="D1125" s="9"/>
      <c r="E1125" s="10"/>
      <c r="F1125" s="8">
        <f>SUM(F1124)</f>
        <v>435</v>
      </c>
    </row>
    <row r="1126" spans="1:6" x14ac:dyDescent="0.25">
      <c r="A1126" s="9"/>
      <c r="B1126" s="9"/>
      <c r="D1126" s="9"/>
      <c r="E1126" s="10"/>
      <c r="F1126" s="10"/>
    </row>
    <row r="1127" spans="1:6" x14ac:dyDescent="0.25">
      <c r="A1127" s="9" t="s">
        <v>17</v>
      </c>
      <c r="B1127" s="4">
        <v>45675</v>
      </c>
      <c r="C1127" s="5">
        <v>10</v>
      </c>
      <c r="D1127" s="9" t="s">
        <v>13</v>
      </c>
      <c r="E1127" s="10">
        <v>145</v>
      </c>
      <c r="F1127" s="10">
        <f t="shared" si="16"/>
        <v>1450</v>
      </c>
    </row>
    <row r="1128" spans="1:6" x14ac:dyDescent="0.25">
      <c r="A1128" s="9"/>
      <c r="B1128" s="9"/>
      <c r="D1128" s="9"/>
      <c r="E1128" s="10"/>
      <c r="F1128" s="8">
        <f>SUM(F1127)</f>
        <v>1450</v>
      </c>
    </row>
    <row r="1129" spans="1:6" x14ac:dyDescent="0.25">
      <c r="A1129" s="9"/>
      <c r="B1129" s="9"/>
      <c r="D1129" s="9"/>
      <c r="E1129" s="10"/>
      <c r="F1129" s="10"/>
    </row>
    <row r="1130" spans="1:6" x14ac:dyDescent="0.25">
      <c r="A1130" s="9" t="s">
        <v>65</v>
      </c>
      <c r="B1130" s="4">
        <v>45675</v>
      </c>
      <c r="C1130" s="5">
        <v>1950</v>
      </c>
      <c r="D1130" s="9" t="s">
        <v>12</v>
      </c>
      <c r="E1130" s="10">
        <v>132</v>
      </c>
      <c r="F1130" s="10">
        <f t="shared" si="16"/>
        <v>257400</v>
      </c>
    </row>
    <row r="1131" spans="1:6" x14ac:dyDescent="0.25">
      <c r="A1131" s="9"/>
      <c r="B1131" s="9"/>
      <c r="C1131" s="5">
        <v>50</v>
      </c>
      <c r="D1131" s="9" t="s">
        <v>22</v>
      </c>
      <c r="E1131" s="10">
        <v>120</v>
      </c>
      <c r="F1131" s="10">
        <f t="shared" si="16"/>
        <v>6000</v>
      </c>
    </row>
    <row r="1132" spans="1:6" x14ac:dyDescent="0.25">
      <c r="A1132" s="9"/>
      <c r="B1132" s="9"/>
      <c r="C1132" s="5">
        <v>13</v>
      </c>
      <c r="D1132" s="9" t="s">
        <v>50</v>
      </c>
      <c r="E1132" s="10">
        <v>120</v>
      </c>
      <c r="F1132" s="10">
        <f t="shared" si="16"/>
        <v>1560</v>
      </c>
    </row>
    <row r="1133" spans="1:6" x14ac:dyDescent="0.25">
      <c r="A1133" s="9"/>
      <c r="B1133" s="9"/>
      <c r="C1133" s="5">
        <v>200</v>
      </c>
      <c r="D1133" s="9" t="s">
        <v>13</v>
      </c>
      <c r="E1133" s="10">
        <v>132</v>
      </c>
      <c r="F1133" s="10">
        <f t="shared" si="16"/>
        <v>26400</v>
      </c>
    </row>
    <row r="1134" spans="1:6" x14ac:dyDescent="0.25">
      <c r="A1134" s="9"/>
      <c r="B1134" s="9"/>
      <c r="C1134" s="5">
        <v>350</v>
      </c>
      <c r="D1134" s="9" t="s">
        <v>11</v>
      </c>
      <c r="E1134" s="10">
        <v>127</v>
      </c>
      <c r="F1134" s="10">
        <f t="shared" si="16"/>
        <v>44450</v>
      </c>
    </row>
    <row r="1135" spans="1:6" x14ac:dyDescent="0.25">
      <c r="A1135" s="9"/>
      <c r="B1135" s="9"/>
      <c r="D1135" s="9"/>
      <c r="E1135" s="10"/>
      <c r="F1135" s="8">
        <f>SUM(F1130:F1134)</f>
        <v>335810</v>
      </c>
    </row>
    <row r="1136" spans="1:6" x14ac:dyDescent="0.25">
      <c r="A1136" s="9"/>
      <c r="B1136" s="9"/>
      <c r="D1136" s="9"/>
      <c r="E1136" s="10"/>
      <c r="F1136" s="10"/>
    </row>
    <row r="1137" spans="1:6" x14ac:dyDescent="0.25">
      <c r="A1137" s="9" t="s">
        <v>150</v>
      </c>
      <c r="B1137" s="4">
        <v>45675</v>
      </c>
      <c r="C1137" s="5">
        <v>8000</v>
      </c>
      <c r="D1137" s="9" t="s">
        <v>14</v>
      </c>
      <c r="E1137" s="10"/>
      <c r="F1137" s="10">
        <f t="shared" si="16"/>
        <v>0</v>
      </c>
    </row>
    <row r="1138" spans="1:6" x14ac:dyDescent="0.25">
      <c r="A1138" s="9"/>
      <c r="B1138" s="9"/>
      <c r="C1138" s="5">
        <v>250</v>
      </c>
      <c r="D1138" s="9" t="s">
        <v>12</v>
      </c>
      <c r="E1138" s="10"/>
      <c r="F1138" s="10">
        <f t="shared" si="16"/>
        <v>0</v>
      </c>
    </row>
    <row r="1139" spans="1:6" x14ac:dyDescent="0.25">
      <c r="A1139" s="9"/>
      <c r="B1139" s="9"/>
      <c r="C1139" s="5">
        <v>200</v>
      </c>
      <c r="D1139" s="9" t="s">
        <v>13</v>
      </c>
      <c r="E1139" s="10"/>
      <c r="F1139" s="10">
        <f t="shared" si="16"/>
        <v>0</v>
      </c>
    </row>
    <row r="1140" spans="1:6" x14ac:dyDescent="0.25">
      <c r="A1140" s="9"/>
      <c r="B1140" s="9"/>
      <c r="D1140" s="9"/>
      <c r="E1140" s="10"/>
      <c r="F1140" s="8">
        <f>SUM(F1137:F1139)</f>
        <v>0</v>
      </c>
    </row>
    <row r="1141" spans="1:6" x14ac:dyDescent="0.25">
      <c r="A1141" s="9"/>
      <c r="B1141" s="9"/>
      <c r="D1141" s="9"/>
      <c r="E1141" s="10"/>
      <c r="F1141" s="10"/>
    </row>
    <row r="1142" spans="1:6" x14ac:dyDescent="0.25">
      <c r="A1142" s="9" t="s">
        <v>151</v>
      </c>
      <c r="B1142" s="4">
        <v>45675</v>
      </c>
      <c r="C1142" s="5">
        <v>70</v>
      </c>
      <c r="D1142" s="9" t="s">
        <v>13</v>
      </c>
      <c r="E1142" s="10">
        <v>130</v>
      </c>
      <c r="F1142" s="10">
        <f t="shared" si="16"/>
        <v>9100</v>
      </c>
    </row>
    <row r="1143" spans="1:6" x14ac:dyDescent="0.25">
      <c r="A1143" s="9"/>
      <c r="B1143" s="9"/>
      <c r="C1143" s="5">
        <v>50</v>
      </c>
      <c r="D1143" s="9" t="s">
        <v>22</v>
      </c>
      <c r="E1143" s="10">
        <v>112</v>
      </c>
      <c r="F1143" s="10">
        <f t="shared" si="16"/>
        <v>5600</v>
      </c>
    </row>
    <row r="1144" spans="1:6" x14ac:dyDescent="0.25">
      <c r="A1144" s="9"/>
      <c r="B1144" s="9"/>
      <c r="D1144" s="9"/>
      <c r="E1144" s="10"/>
      <c r="F1144" s="8">
        <f>SUM(F1142:F1143)</f>
        <v>14700</v>
      </c>
    </row>
    <row r="1145" spans="1:6" x14ac:dyDescent="0.25">
      <c r="A1145" s="9"/>
      <c r="B1145" s="9"/>
      <c r="D1145" s="9"/>
      <c r="E1145" s="10"/>
      <c r="F1145" s="10"/>
    </row>
    <row r="1146" spans="1:6" x14ac:dyDescent="0.25">
      <c r="A1146" s="9" t="s">
        <v>152</v>
      </c>
      <c r="B1146" s="4">
        <v>45675</v>
      </c>
      <c r="C1146" s="5">
        <v>7</v>
      </c>
      <c r="D1146" s="9" t="s">
        <v>13</v>
      </c>
      <c r="E1146" s="10">
        <v>140</v>
      </c>
      <c r="F1146" s="10">
        <f t="shared" si="16"/>
        <v>980</v>
      </c>
    </row>
    <row r="1147" spans="1:6" x14ac:dyDescent="0.25">
      <c r="A1147" s="9"/>
      <c r="B1147" s="9"/>
      <c r="D1147" s="9"/>
      <c r="E1147" s="10"/>
      <c r="F1147" s="8">
        <f>SUM(F1146)</f>
        <v>980</v>
      </c>
    </row>
    <row r="1148" spans="1:6" x14ac:dyDescent="0.25">
      <c r="A1148" s="9"/>
      <c r="B1148" s="9"/>
      <c r="D1148" s="9"/>
      <c r="E1148" s="10"/>
      <c r="F1148" s="10"/>
    </row>
    <row r="1149" spans="1:6" x14ac:dyDescent="0.25">
      <c r="A1149" s="9" t="s">
        <v>113</v>
      </c>
      <c r="B1149" s="4">
        <v>45675</v>
      </c>
      <c r="C1149" s="5">
        <v>30</v>
      </c>
      <c r="D1149" s="9" t="s">
        <v>13</v>
      </c>
      <c r="E1149" s="10">
        <v>150</v>
      </c>
      <c r="F1149" s="10">
        <f t="shared" si="16"/>
        <v>4500</v>
      </c>
    </row>
    <row r="1150" spans="1:6" x14ac:dyDescent="0.25">
      <c r="A1150" s="9"/>
      <c r="B1150" s="9"/>
      <c r="D1150" s="9"/>
      <c r="E1150" s="10"/>
      <c r="F1150" s="8">
        <f>SUM(F1149)</f>
        <v>4500</v>
      </c>
    </row>
    <row r="1151" spans="1:6" x14ac:dyDescent="0.25">
      <c r="A1151" s="9"/>
      <c r="B1151" s="9"/>
      <c r="D1151" s="9"/>
      <c r="E1151" s="10"/>
      <c r="F1151" s="10"/>
    </row>
    <row r="1152" spans="1:6" x14ac:dyDescent="0.25">
      <c r="A1152" s="9" t="s">
        <v>66</v>
      </c>
      <c r="B1152" s="4">
        <v>45675</v>
      </c>
      <c r="C1152" s="5">
        <v>15</v>
      </c>
      <c r="D1152" s="9" t="s">
        <v>8</v>
      </c>
      <c r="E1152" s="10">
        <v>155</v>
      </c>
      <c r="F1152" s="10">
        <f t="shared" ref="F1152:F1219" si="17">+C1152*E1152</f>
        <v>2325</v>
      </c>
    </row>
    <row r="1153" spans="1:6" x14ac:dyDescent="0.25">
      <c r="A1153" s="9"/>
      <c r="B1153" s="9"/>
      <c r="C1153" s="5">
        <v>1</v>
      </c>
      <c r="D1153" s="9" t="s">
        <v>8</v>
      </c>
      <c r="E1153" s="10">
        <v>160</v>
      </c>
      <c r="F1153" s="10">
        <f t="shared" si="17"/>
        <v>160</v>
      </c>
    </row>
    <row r="1154" spans="1:6" x14ac:dyDescent="0.25">
      <c r="A1154" s="9"/>
      <c r="B1154" s="9"/>
      <c r="D1154" s="9"/>
      <c r="E1154" s="10"/>
      <c r="F1154" s="8">
        <f>SUM(F1152:F1153)</f>
        <v>2485</v>
      </c>
    </row>
    <row r="1155" spans="1:6" x14ac:dyDescent="0.25">
      <c r="A1155" s="9"/>
      <c r="B1155" s="9"/>
      <c r="D1155" s="9"/>
      <c r="E1155" s="10"/>
      <c r="F1155" s="10"/>
    </row>
    <row r="1156" spans="1:6" x14ac:dyDescent="0.25">
      <c r="A1156" s="9" t="s">
        <v>61</v>
      </c>
      <c r="B1156" s="4">
        <v>45675</v>
      </c>
      <c r="C1156" s="5">
        <v>60</v>
      </c>
      <c r="D1156" s="9" t="s">
        <v>13</v>
      </c>
      <c r="E1156" s="10">
        <v>150</v>
      </c>
      <c r="F1156" s="10">
        <f t="shared" si="17"/>
        <v>9000</v>
      </c>
    </row>
    <row r="1157" spans="1:6" x14ac:dyDescent="0.25">
      <c r="A1157" s="9"/>
      <c r="B1157" s="9"/>
      <c r="D1157" s="9"/>
      <c r="E1157" s="10"/>
      <c r="F1157" s="8">
        <f>SUM(F1156)</f>
        <v>9000</v>
      </c>
    </row>
    <row r="1158" spans="1:6" x14ac:dyDescent="0.25">
      <c r="A1158" s="9"/>
      <c r="B1158" s="9"/>
      <c r="D1158" s="9"/>
      <c r="E1158" s="10"/>
      <c r="F1158" s="10"/>
    </row>
    <row r="1159" spans="1:6" x14ac:dyDescent="0.25">
      <c r="A1159" s="9" t="s">
        <v>151</v>
      </c>
      <c r="B1159" s="4">
        <v>45675</v>
      </c>
      <c r="C1159" s="5">
        <v>60</v>
      </c>
      <c r="D1159" s="9" t="s">
        <v>13</v>
      </c>
      <c r="E1159" s="10">
        <v>130</v>
      </c>
      <c r="F1159" s="10">
        <f t="shared" si="17"/>
        <v>7800</v>
      </c>
    </row>
    <row r="1160" spans="1:6" x14ac:dyDescent="0.25">
      <c r="A1160" s="9"/>
      <c r="B1160" s="9"/>
      <c r="C1160" s="5">
        <v>40</v>
      </c>
      <c r="D1160" s="9" t="s">
        <v>8</v>
      </c>
      <c r="E1160" s="10">
        <v>140</v>
      </c>
      <c r="F1160" s="10">
        <f t="shared" si="17"/>
        <v>5600</v>
      </c>
    </row>
    <row r="1161" spans="1:6" x14ac:dyDescent="0.25">
      <c r="A1161" s="9"/>
      <c r="B1161" s="9"/>
      <c r="D1161" s="9"/>
      <c r="E1161" s="10"/>
      <c r="F1161" s="8">
        <f>SUM(F1159:F1160)</f>
        <v>13400</v>
      </c>
    </row>
    <row r="1162" spans="1:6" x14ac:dyDescent="0.25">
      <c r="A1162" s="9"/>
      <c r="B1162" s="9"/>
      <c r="D1162" s="9"/>
      <c r="E1162" s="10"/>
      <c r="F1162" s="10"/>
    </row>
    <row r="1163" spans="1:6" x14ac:dyDescent="0.25">
      <c r="A1163" s="9" t="s">
        <v>64</v>
      </c>
      <c r="B1163" s="4">
        <v>45675</v>
      </c>
      <c r="C1163" s="5">
        <v>40</v>
      </c>
      <c r="D1163" s="9" t="s">
        <v>22</v>
      </c>
      <c r="E1163" s="10">
        <v>115</v>
      </c>
      <c r="F1163" s="10">
        <f t="shared" si="17"/>
        <v>4600</v>
      </c>
    </row>
    <row r="1164" spans="1:6" x14ac:dyDescent="0.25">
      <c r="A1164" s="9"/>
      <c r="B1164" s="9"/>
      <c r="C1164" s="5">
        <v>20</v>
      </c>
      <c r="D1164" s="9" t="s">
        <v>13</v>
      </c>
      <c r="E1164" s="10">
        <v>145</v>
      </c>
      <c r="F1164" s="10">
        <f t="shared" si="17"/>
        <v>2900</v>
      </c>
    </row>
    <row r="1165" spans="1:6" x14ac:dyDescent="0.25">
      <c r="A1165" s="9"/>
      <c r="B1165" s="9"/>
      <c r="C1165" s="5">
        <v>15</v>
      </c>
      <c r="D1165" s="9" t="s">
        <v>8</v>
      </c>
      <c r="E1165" s="10">
        <v>155</v>
      </c>
      <c r="F1165" s="10">
        <f t="shared" si="17"/>
        <v>2325</v>
      </c>
    </row>
    <row r="1166" spans="1:6" x14ac:dyDescent="0.25">
      <c r="A1166" s="9"/>
      <c r="B1166" s="9"/>
      <c r="C1166" s="5">
        <v>20</v>
      </c>
      <c r="D1166" s="9" t="s">
        <v>14</v>
      </c>
      <c r="E1166" s="10">
        <v>135</v>
      </c>
      <c r="F1166" s="10">
        <f t="shared" si="17"/>
        <v>2700</v>
      </c>
    </row>
    <row r="1167" spans="1:6" x14ac:dyDescent="0.25">
      <c r="A1167" s="9"/>
      <c r="B1167" s="9"/>
      <c r="C1167" s="5">
        <v>20</v>
      </c>
      <c r="D1167" s="9" t="s">
        <v>11</v>
      </c>
      <c r="E1167" s="10">
        <v>125</v>
      </c>
      <c r="F1167" s="10">
        <f t="shared" si="17"/>
        <v>2500</v>
      </c>
    </row>
    <row r="1168" spans="1:6" x14ac:dyDescent="0.25">
      <c r="A1168" s="9"/>
      <c r="B1168" s="9"/>
      <c r="C1168" s="5">
        <v>20</v>
      </c>
      <c r="D1168" s="9" t="s">
        <v>49</v>
      </c>
      <c r="E1168" s="10">
        <v>150</v>
      </c>
      <c r="F1168" s="10">
        <f t="shared" si="17"/>
        <v>3000</v>
      </c>
    </row>
    <row r="1169" spans="1:6" x14ac:dyDescent="0.25">
      <c r="A1169" s="9"/>
      <c r="B1169" s="9"/>
      <c r="D1169" s="9"/>
      <c r="E1169" s="10"/>
      <c r="F1169" s="8">
        <f>SUM(F1163:F1168)</f>
        <v>18025</v>
      </c>
    </row>
    <row r="1170" spans="1:6" x14ac:dyDescent="0.25">
      <c r="A1170" s="9"/>
      <c r="B1170" s="9"/>
      <c r="D1170" s="9"/>
      <c r="E1170" s="10"/>
      <c r="F1170" s="10"/>
    </row>
    <row r="1171" spans="1:6" x14ac:dyDescent="0.25">
      <c r="A1171" s="9" t="s">
        <v>62</v>
      </c>
      <c r="B1171" s="4">
        <v>45675</v>
      </c>
      <c r="C1171" s="5">
        <v>20</v>
      </c>
      <c r="D1171" s="9" t="s">
        <v>13</v>
      </c>
      <c r="E1171" s="10">
        <v>150</v>
      </c>
      <c r="F1171" s="10">
        <f t="shared" si="17"/>
        <v>3000</v>
      </c>
    </row>
    <row r="1172" spans="1:6" x14ac:dyDescent="0.25">
      <c r="A1172" s="9"/>
      <c r="B1172" s="9"/>
      <c r="C1172" s="5">
        <v>20</v>
      </c>
      <c r="D1172" s="9" t="s">
        <v>12</v>
      </c>
      <c r="E1172" s="10">
        <v>140</v>
      </c>
      <c r="F1172" s="10">
        <f t="shared" si="17"/>
        <v>2800</v>
      </c>
    </row>
    <row r="1173" spans="1:6" x14ac:dyDescent="0.25">
      <c r="A1173" s="9"/>
      <c r="B1173" s="9"/>
      <c r="C1173" s="5">
        <v>10</v>
      </c>
      <c r="D1173" s="9" t="s">
        <v>22</v>
      </c>
      <c r="E1173" s="10">
        <v>115</v>
      </c>
      <c r="F1173" s="10">
        <f t="shared" si="17"/>
        <v>1150</v>
      </c>
    </row>
    <row r="1174" spans="1:6" x14ac:dyDescent="0.25">
      <c r="A1174" s="9"/>
      <c r="B1174" s="9"/>
      <c r="C1174" s="5">
        <v>80</v>
      </c>
      <c r="D1174" s="9" t="s">
        <v>8</v>
      </c>
      <c r="E1174" s="10">
        <v>160</v>
      </c>
      <c r="F1174" s="10">
        <f t="shared" si="17"/>
        <v>12800</v>
      </c>
    </row>
    <row r="1175" spans="1:6" x14ac:dyDescent="0.25">
      <c r="A1175" s="9"/>
      <c r="B1175" s="9"/>
      <c r="D1175" s="9"/>
      <c r="E1175" s="10"/>
      <c r="F1175" s="8">
        <f>SUM(F1171:F1174)</f>
        <v>19750</v>
      </c>
    </row>
    <row r="1176" spans="1:6" x14ac:dyDescent="0.25">
      <c r="A1176" s="9"/>
      <c r="B1176" s="9"/>
      <c r="D1176" s="9"/>
      <c r="E1176" s="10"/>
      <c r="F1176" s="10"/>
    </row>
    <row r="1177" spans="1:6" x14ac:dyDescent="0.25">
      <c r="A1177" s="9" t="s">
        <v>60</v>
      </c>
      <c r="B1177" s="4">
        <v>45675</v>
      </c>
      <c r="C1177" s="5">
        <v>20</v>
      </c>
      <c r="D1177" s="9" t="s">
        <v>13</v>
      </c>
      <c r="E1177" s="10">
        <v>150</v>
      </c>
      <c r="F1177" s="10">
        <f t="shared" si="17"/>
        <v>3000</v>
      </c>
    </row>
    <row r="1178" spans="1:6" x14ac:dyDescent="0.25">
      <c r="A1178" s="9"/>
      <c r="B1178" s="9"/>
      <c r="D1178" s="9"/>
      <c r="E1178" s="10"/>
      <c r="F1178" s="8">
        <f>SUM(F1177)</f>
        <v>3000</v>
      </c>
    </row>
    <row r="1179" spans="1:6" x14ac:dyDescent="0.25">
      <c r="A1179" s="9"/>
      <c r="B1179" s="9"/>
      <c r="D1179" s="9"/>
      <c r="E1179" s="10"/>
      <c r="F1179" s="10"/>
    </row>
    <row r="1180" spans="1:6" x14ac:dyDescent="0.25">
      <c r="A1180" s="9" t="s">
        <v>153</v>
      </c>
      <c r="B1180" s="4">
        <v>45675</v>
      </c>
      <c r="C1180" s="5">
        <v>60</v>
      </c>
      <c r="D1180" s="9" t="s">
        <v>12</v>
      </c>
      <c r="E1180" s="10">
        <v>140</v>
      </c>
      <c r="F1180" s="10">
        <f t="shared" si="17"/>
        <v>8400</v>
      </c>
    </row>
    <row r="1181" spans="1:6" x14ac:dyDescent="0.25">
      <c r="A1181" s="9"/>
      <c r="B1181" s="9"/>
      <c r="C1181" s="5">
        <v>60</v>
      </c>
      <c r="D1181" s="9" t="s">
        <v>22</v>
      </c>
      <c r="E1181" s="10">
        <v>125</v>
      </c>
      <c r="F1181" s="10">
        <f t="shared" si="17"/>
        <v>7500</v>
      </c>
    </row>
    <row r="1182" spans="1:6" x14ac:dyDescent="0.25">
      <c r="A1182" s="9"/>
      <c r="B1182" s="9"/>
      <c r="D1182" s="9"/>
      <c r="E1182" s="10"/>
      <c r="F1182" s="8">
        <f>SUM(F1180:F1181)</f>
        <v>15900</v>
      </c>
    </row>
    <row r="1183" spans="1:6" x14ac:dyDescent="0.25">
      <c r="A1183" s="9"/>
      <c r="B1183" s="9"/>
      <c r="D1183" s="9"/>
      <c r="E1183" s="10"/>
      <c r="F1183" s="10"/>
    </row>
    <row r="1184" spans="1:6" x14ac:dyDescent="0.25">
      <c r="A1184" s="9" t="s">
        <v>72</v>
      </c>
      <c r="B1184" s="4">
        <v>45675</v>
      </c>
      <c r="C1184" s="5">
        <v>300</v>
      </c>
      <c r="D1184" s="9" t="s">
        <v>13</v>
      </c>
      <c r="E1184" s="10">
        <v>133</v>
      </c>
      <c r="F1184" s="10">
        <f t="shared" si="17"/>
        <v>39900</v>
      </c>
    </row>
    <row r="1185" spans="1:6" x14ac:dyDescent="0.25">
      <c r="A1185" s="9"/>
      <c r="B1185" s="9"/>
      <c r="C1185" s="5">
        <v>180</v>
      </c>
      <c r="D1185" s="9" t="s">
        <v>12</v>
      </c>
      <c r="E1185" s="10">
        <v>128</v>
      </c>
      <c r="F1185" s="10">
        <f t="shared" si="17"/>
        <v>23040</v>
      </c>
    </row>
    <row r="1186" spans="1:6" x14ac:dyDescent="0.25">
      <c r="A1186" s="9"/>
      <c r="B1186" s="9"/>
      <c r="C1186" s="5">
        <v>30</v>
      </c>
      <c r="D1186" s="9" t="s">
        <v>14</v>
      </c>
      <c r="E1186" s="10">
        <v>135</v>
      </c>
      <c r="F1186" s="10">
        <f t="shared" si="17"/>
        <v>4050</v>
      </c>
    </row>
    <row r="1187" spans="1:6" x14ac:dyDescent="0.25">
      <c r="A1187" s="9"/>
      <c r="B1187" s="9"/>
      <c r="C1187" s="5">
        <v>90</v>
      </c>
      <c r="D1187" s="9" t="s">
        <v>11</v>
      </c>
      <c r="E1187" s="10">
        <v>130</v>
      </c>
      <c r="F1187" s="10">
        <f t="shared" si="17"/>
        <v>11700</v>
      </c>
    </row>
    <row r="1188" spans="1:6" x14ac:dyDescent="0.25">
      <c r="A1188" s="9"/>
      <c r="B1188" s="9"/>
      <c r="D1188" s="9"/>
      <c r="E1188" s="10"/>
      <c r="F1188" s="8">
        <f>SUM(F1184:F1187)</f>
        <v>78690</v>
      </c>
    </row>
    <row r="1189" spans="1:6" x14ac:dyDescent="0.25">
      <c r="A1189" s="9"/>
      <c r="B1189" s="9"/>
      <c r="D1189" s="9"/>
      <c r="E1189" s="10"/>
      <c r="F1189" s="10"/>
    </row>
    <row r="1190" spans="1:6" x14ac:dyDescent="0.25">
      <c r="A1190" s="9" t="s">
        <v>26</v>
      </c>
      <c r="B1190" s="4">
        <v>45675</v>
      </c>
      <c r="C1190" s="5">
        <v>90</v>
      </c>
      <c r="D1190" s="9" t="s">
        <v>13</v>
      </c>
      <c r="E1190" s="10">
        <v>145</v>
      </c>
      <c r="F1190" s="10">
        <f t="shared" si="17"/>
        <v>13050</v>
      </c>
    </row>
    <row r="1191" spans="1:6" x14ac:dyDescent="0.25">
      <c r="A1191" s="9"/>
      <c r="B1191" s="9"/>
      <c r="C1191" s="5">
        <v>10</v>
      </c>
      <c r="D1191" s="9" t="s">
        <v>14</v>
      </c>
      <c r="E1191" s="10">
        <v>135</v>
      </c>
      <c r="F1191" s="10">
        <f t="shared" si="17"/>
        <v>1350</v>
      </c>
    </row>
    <row r="1192" spans="1:6" x14ac:dyDescent="0.25">
      <c r="A1192" s="9"/>
      <c r="B1192" s="9"/>
      <c r="D1192" s="9"/>
      <c r="E1192" s="10"/>
      <c r="F1192" s="8">
        <f>SUM(F1190:F1191)</f>
        <v>14400</v>
      </c>
    </row>
    <row r="1193" spans="1:6" x14ac:dyDescent="0.25">
      <c r="A1193" s="9"/>
      <c r="B1193" s="9"/>
      <c r="D1193" s="9"/>
      <c r="E1193" s="10"/>
      <c r="F1193" s="10"/>
    </row>
    <row r="1194" spans="1:6" x14ac:dyDescent="0.25">
      <c r="A1194" s="9" t="s">
        <v>32</v>
      </c>
      <c r="B1194" s="4">
        <v>45675</v>
      </c>
      <c r="C1194" s="5">
        <v>15</v>
      </c>
      <c r="D1194" s="9" t="s">
        <v>13</v>
      </c>
      <c r="E1194" s="10">
        <v>150</v>
      </c>
      <c r="F1194" s="10">
        <f t="shared" si="17"/>
        <v>2250</v>
      </c>
    </row>
    <row r="1195" spans="1:6" x14ac:dyDescent="0.25">
      <c r="A1195" s="9"/>
      <c r="B1195" s="9"/>
      <c r="D1195" s="9"/>
      <c r="E1195" s="10"/>
      <c r="F1195" s="8">
        <f>SUM(F1194)</f>
        <v>2250</v>
      </c>
    </row>
    <row r="1196" spans="1:6" x14ac:dyDescent="0.25">
      <c r="A1196" s="9"/>
      <c r="B1196" s="9"/>
      <c r="D1196" s="9"/>
      <c r="E1196" s="10"/>
      <c r="F1196" s="10"/>
    </row>
    <row r="1197" spans="1:6" x14ac:dyDescent="0.25">
      <c r="A1197" s="9" t="s">
        <v>32</v>
      </c>
      <c r="B1197" s="4">
        <v>45675</v>
      </c>
      <c r="C1197" s="5">
        <v>35</v>
      </c>
      <c r="D1197" s="9" t="s">
        <v>13</v>
      </c>
      <c r="E1197" s="10">
        <v>150</v>
      </c>
      <c r="F1197" s="10">
        <f t="shared" si="17"/>
        <v>5250</v>
      </c>
    </row>
    <row r="1198" spans="1:6" x14ac:dyDescent="0.25">
      <c r="A1198" s="9"/>
      <c r="B1198" s="9"/>
      <c r="D1198" s="9"/>
      <c r="E1198" s="10"/>
      <c r="F1198" s="8">
        <f>SUM(F1197)</f>
        <v>5250</v>
      </c>
    </row>
    <row r="1199" spans="1:6" x14ac:dyDescent="0.25">
      <c r="A1199" s="9"/>
      <c r="B1199" s="9"/>
      <c r="D1199" s="9"/>
      <c r="E1199" s="10"/>
      <c r="F1199" s="10"/>
    </row>
    <row r="1200" spans="1:6" x14ac:dyDescent="0.25">
      <c r="A1200" s="9" t="s">
        <v>29</v>
      </c>
      <c r="B1200" s="4">
        <v>45675</v>
      </c>
      <c r="C1200" s="5">
        <v>10</v>
      </c>
      <c r="D1200" s="9" t="s">
        <v>13</v>
      </c>
      <c r="E1200" s="10">
        <v>150</v>
      </c>
      <c r="F1200" s="10">
        <f t="shared" si="17"/>
        <v>1500</v>
      </c>
    </row>
    <row r="1201" spans="1:6" x14ac:dyDescent="0.25">
      <c r="A1201" s="9"/>
      <c r="B1201" s="9"/>
      <c r="C1201" s="5">
        <v>1</v>
      </c>
      <c r="D1201" s="9" t="s">
        <v>8</v>
      </c>
      <c r="E1201" s="10">
        <v>170</v>
      </c>
      <c r="F1201" s="10">
        <f t="shared" si="17"/>
        <v>170</v>
      </c>
    </row>
    <row r="1202" spans="1:6" x14ac:dyDescent="0.25">
      <c r="A1202" s="9"/>
      <c r="B1202" s="9"/>
      <c r="C1202" s="5">
        <v>1</v>
      </c>
      <c r="D1202" s="9" t="s">
        <v>91</v>
      </c>
      <c r="E1202" s="10">
        <v>100</v>
      </c>
      <c r="F1202" s="10">
        <v>140</v>
      </c>
    </row>
    <row r="1203" spans="1:6" x14ac:dyDescent="0.25">
      <c r="A1203" s="9"/>
      <c r="B1203" s="9"/>
      <c r="C1203" s="5">
        <v>1</v>
      </c>
      <c r="D1203" s="9" t="s">
        <v>13</v>
      </c>
      <c r="E1203" s="10"/>
      <c r="F1203" s="8">
        <f>SUM(F1200:F1202)</f>
        <v>1810</v>
      </c>
    </row>
    <row r="1204" spans="1:6" x14ac:dyDescent="0.25">
      <c r="A1204" s="9"/>
      <c r="B1204" s="9"/>
      <c r="D1204" s="9"/>
      <c r="E1204" s="10"/>
      <c r="F1204" s="10"/>
    </row>
    <row r="1205" spans="1:6" x14ac:dyDescent="0.25">
      <c r="A1205" s="9" t="s">
        <v>7</v>
      </c>
      <c r="B1205" s="4">
        <v>45675</v>
      </c>
      <c r="C1205" s="5">
        <v>1</v>
      </c>
      <c r="D1205" s="9" t="s">
        <v>8</v>
      </c>
      <c r="E1205" s="10">
        <v>170</v>
      </c>
      <c r="F1205" s="10">
        <f t="shared" si="17"/>
        <v>170</v>
      </c>
    </row>
    <row r="1206" spans="1:6" x14ac:dyDescent="0.25">
      <c r="A1206" s="9"/>
      <c r="B1206" s="9"/>
      <c r="C1206" s="11">
        <v>1.5</v>
      </c>
      <c r="D1206" s="9" t="s">
        <v>8</v>
      </c>
      <c r="E1206" s="10">
        <v>170</v>
      </c>
      <c r="F1206" s="10">
        <f t="shared" si="17"/>
        <v>255</v>
      </c>
    </row>
    <row r="1207" spans="1:6" x14ac:dyDescent="0.25">
      <c r="A1207" s="9"/>
      <c r="B1207" s="9"/>
      <c r="C1207" s="5">
        <v>1</v>
      </c>
      <c r="D1207" s="9" t="s">
        <v>154</v>
      </c>
      <c r="E1207" s="10">
        <v>150</v>
      </c>
      <c r="F1207" s="10">
        <f t="shared" si="17"/>
        <v>150</v>
      </c>
    </row>
    <row r="1208" spans="1:6" x14ac:dyDescent="0.25">
      <c r="A1208" s="9"/>
      <c r="B1208" s="9"/>
      <c r="D1208" s="9"/>
      <c r="E1208" s="10"/>
      <c r="F1208" s="8">
        <f>SUM(F1205:F1207)</f>
        <v>575</v>
      </c>
    </row>
    <row r="1209" spans="1:6" x14ac:dyDescent="0.25">
      <c r="A1209" s="9"/>
      <c r="B1209" s="9"/>
      <c r="D1209" s="9"/>
      <c r="E1209" s="10"/>
      <c r="F1209" s="10"/>
    </row>
    <row r="1210" spans="1:6" s="9" customFormat="1" x14ac:dyDescent="0.25">
      <c r="A1210" s="9" t="s">
        <v>53</v>
      </c>
      <c r="B1210" s="4">
        <v>45675</v>
      </c>
      <c r="C1210" s="5">
        <v>45</v>
      </c>
      <c r="D1210" s="9" t="s">
        <v>13</v>
      </c>
      <c r="E1210" s="10">
        <v>150</v>
      </c>
      <c r="F1210" s="10">
        <f t="shared" si="17"/>
        <v>6750</v>
      </c>
    </row>
    <row r="1211" spans="1:6" s="9" customFormat="1" x14ac:dyDescent="0.25">
      <c r="C1211" s="5">
        <v>5</v>
      </c>
      <c r="D1211" s="9" t="s">
        <v>12</v>
      </c>
      <c r="E1211" s="10">
        <v>145</v>
      </c>
      <c r="F1211" s="10">
        <f t="shared" si="17"/>
        <v>725</v>
      </c>
    </row>
    <row r="1212" spans="1:6" s="9" customFormat="1" x14ac:dyDescent="0.25">
      <c r="C1212" s="5">
        <v>15</v>
      </c>
      <c r="D1212" s="9" t="s">
        <v>12</v>
      </c>
      <c r="E1212" s="10">
        <v>140</v>
      </c>
      <c r="F1212" s="10">
        <f t="shared" si="17"/>
        <v>2100</v>
      </c>
    </row>
    <row r="1213" spans="1:6" s="9" customFormat="1" x14ac:dyDescent="0.25">
      <c r="C1213" s="5">
        <v>5</v>
      </c>
      <c r="D1213" s="9" t="s">
        <v>8</v>
      </c>
      <c r="E1213" s="10">
        <v>160</v>
      </c>
      <c r="F1213" s="10">
        <f t="shared" si="17"/>
        <v>800</v>
      </c>
    </row>
    <row r="1214" spans="1:6" s="9" customFormat="1" x14ac:dyDescent="0.25">
      <c r="C1214" s="5"/>
      <c r="E1214" s="10"/>
      <c r="F1214" s="8">
        <f>SUM(F1210:F1213)</f>
        <v>10375</v>
      </c>
    </row>
    <row r="1215" spans="1:6" s="9" customFormat="1" x14ac:dyDescent="0.25">
      <c r="C1215" s="5"/>
      <c r="E1215" s="10"/>
      <c r="F1215" s="8"/>
    </row>
    <row r="1216" spans="1:6" x14ac:dyDescent="0.25">
      <c r="A1216" s="9" t="s">
        <v>7</v>
      </c>
      <c r="B1216" s="4">
        <v>45676</v>
      </c>
      <c r="C1216" s="5">
        <v>1</v>
      </c>
      <c r="D1216" s="9" t="s">
        <v>8</v>
      </c>
      <c r="E1216" s="10">
        <v>170</v>
      </c>
      <c r="F1216" s="10">
        <f t="shared" si="17"/>
        <v>170</v>
      </c>
    </row>
    <row r="1217" spans="1:6" x14ac:dyDescent="0.25">
      <c r="A1217" s="9"/>
      <c r="B1217" s="9"/>
      <c r="C1217" s="5">
        <v>4</v>
      </c>
      <c r="D1217" s="9" t="s">
        <v>8</v>
      </c>
      <c r="E1217" s="10">
        <v>160</v>
      </c>
      <c r="F1217" s="10">
        <f t="shared" si="17"/>
        <v>640</v>
      </c>
    </row>
    <row r="1218" spans="1:6" x14ac:dyDescent="0.25">
      <c r="A1218" s="9"/>
      <c r="B1218" s="9"/>
      <c r="C1218" s="5">
        <v>1</v>
      </c>
      <c r="D1218" s="9" t="s">
        <v>13</v>
      </c>
      <c r="E1218" s="10">
        <v>0</v>
      </c>
      <c r="F1218" s="10">
        <f t="shared" si="17"/>
        <v>0</v>
      </c>
    </row>
    <row r="1219" spans="1:6" x14ac:dyDescent="0.25">
      <c r="A1219" s="9"/>
      <c r="B1219" s="9"/>
      <c r="C1219" s="5">
        <v>1</v>
      </c>
      <c r="D1219" s="9" t="s">
        <v>8</v>
      </c>
      <c r="E1219" s="10">
        <v>150</v>
      </c>
      <c r="F1219" s="10">
        <f t="shared" si="17"/>
        <v>150</v>
      </c>
    </row>
    <row r="1220" spans="1:6" x14ac:dyDescent="0.25">
      <c r="A1220" s="9"/>
      <c r="B1220" s="9"/>
      <c r="D1220" s="9"/>
      <c r="E1220" s="10"/>
      <c r="F1220" s="8">
        <f>SUM(F1216:F1219)</f>
        <v>960</v>
      </c>
    </row>
    <row r="1221" spans="1:6" x14ac:dyDescent="0.25">
      <c r="A1221" s="9"/>
      <c r="B1221" s="9"/>
      <c r="D1221" s="9"/>
      <c r="E1221" s="10"/>
      <c r="F1221" s="10"/>
    </row>
    <row r="1222" spans="1:6" x14ac:dyDescent="0.25">
      <c r="A1222" s="9" t="s">
        <v>89</v>
      </c>
      <c r="B1222" s="4">
        <v>45677</v>
      </c>
      <c r="C1222" s="5">
        <v>30</v>
      </c>
      <c r="D1222" s="9" t="s">
        <v>13</v>
      </c>
      <c r="E1222" s="10">
        <v>135</v>
      </c>
      <c r="F1222" s="10">
        <f t="shared" ref="F1222:F1223" si="18">+C1222*E1222</f>
        <v>4050</v>
      </c>
    </row>
    <row r="1223" spans="1:6" x14ac:dyDescent="0.25">
      <c r="A1223" s="9"/>
      <c r="B1223" s="9"/>
      <c r="C1223" s="5">
        <v>70</v>
      </c>
      <c r="D1223" s="9" t="s">
        <v>12</v>
      </c>
      <c r="E1223" s="10">
        <v>130</v>
      </c>
      <c r="F1223" s="10">
        <f t="shared" si="18"/>
        <v>9100</v>
      </c>
    </row>
    <row r="1224" spans="1:6" x14ac:dyDescent="0.25">
      <c r="A1224" s="9"/>
      <c r="B1224" s="9"/>
      <c r="D1224" s="9"/>
      <c r="E1224" s="10"/>
      <c r="F1224" s="8">
        <f>SUM(F1222:F1223)</f>
        <v>13150</v>
      </c>
    </row>
    <row r="1225" spans="1:6" x14ac:dyDescent="0.25">
      <c r="A1225" s="9"/>
      <c r="B1225" s="9"/>
      <c r="D1225" s="9"/>
      <c r="E1225" s="10"/>
      <c r="F1225" s="10"/>
    </row>
    <row r="1226" spans="1:6" x14ac:dyDescent="0.25">
      <c r="A1226" s="9" t="s">
        <v>112</v>
      </c>
      <c r="B1226" s="4">
        <v>45677</v>
      </c>
      <c r="C1226" s="5">
        <v>50</v>
      </c>
      <c r="D1226" s="9" t="s">
        <v>13</v>
      </c>
      <c r="E1226" s="10">
        <v>130</v>
      </c>
      <c r="F1226" s="10">
        <f>+C1226*E1226</f>
        <v>6500</v>
      </c>
    </row>
    <row r="1227" spans="1:6" x14ac:dyDescent="0.25">
      <c r="A1227" s="9"/>
      <c r="B1227" s="9"/>
      <c r="C1227" s="5">
        <v>50</v>
      </c>
      <c r="D1227" s="9" t="s">
        <v>14</v>
      </c>
      <c r="E1227" s="10">
        <v>120</v>
      </c>
      <c r="F1227" s="10">
        <f>+C1227*E1227</f>
        <v>6000</v>
      </c>
    </row>
    <row r="1228" spans="1:6" x14ac:dyDescent="0.25">
      <c r="A1228" s="9"/>
      <c r="B1228" s="9"/>
      <c r="C1228" s="5">
        <v>50</v>
      </c>
      <c r="D1228" s="9" t="s">
        <v>22</v>
      </c>
      <c r="E1228" s="10">
        <v>112</v>
      </c>
      <c r="F1228" s="10">
        <f>+C1228*E1228</f>
        <v>5600</v>
      </c>
    </row>
    <row r="1229" spans="1:6" x14ac:dyDescent="0.25">
      <c r="A1229" s="9"/>
      <c r="B1229" s="9"/>
      <c r="D1229" s="9"/>
      <c r="E1229" s="10"/>
      <c r="F1229" s="8">
        <f>SUM(F1226:F1228)</f>
        <v>18100</v>
      </c>
    </row>
    <row r="1230" spans="1:6" x14ac:dyDescent="0.25">
      <c r="A1230" s="9"/>
      <c r="B1230" s="9"/>
      <c r="D1230" s="9"/>
      <c r="E1230" s="10"/>
      <c r="F1230" s="10"/>
    </row>
    <row r="1231" spans="1:6" x14ac:dyDescent="0.25">
      <c r="A1231" s="9" t="s">
        <v>67</v>
      </c>
      <c r="B1231" s="4">
        <v>45677</v>
      </c>
      <c r="C1231" s="5">
        <v>10</v>
      </c>
      <c r="D1231" s="9" t="s">
        <v>13</v>
      </c>
      <c r="E1231" s="10">
        <v>150</v>
      </c>
      <c r="F1231" s="10">
        <f>+C1231*E1231</f>
        <v>1500</v>
      </c>
    </row>
    <row r="1232" spans="1:6" x14ac:dyDescent="0.25">
      <c r="A1232" s="9"/>
      <c r="B1232" s="9"/>
      <c r="D1232" s="9"/>
      <c r="E1232" s="10"/>
      <c r="F1232" s="8">
        <f>SUM(F1231)</f>
        <v>1500</v>
      </c>
    </row>
    <row r="1233" spans="1:6" x14ac:dyDescent="0.25">
      <c r="A1233" s="9"/>
      <c r="B1233" s="9"/>
      <c r="D1233" s="9"/>
      <c r="E1233" s="10"/>
      <c r="F1233" s="10"/>
    </row>
    <row r="1234" spans="1:6" x14ac:dyDescent="0.25">
      <c r="A1234" s="9" t="s">
        <v>155</v>
      </c>
      <c r="B1234" s="4">
        <v>45677</v>
      </c>
      <c r="C1234" s="5">
        <v>10</v>
      </c>
      <c r="D1234" s="9" t="s">
        <v>13</v>
      </c>
      <c r="E1234" s="10">
        <v>140</v>
      </c>
      <c r="F1234" s="10">
        <f>+C1234*E1234</f>
        <v>1400</v>
      </c>
    </row>
    <row r="1235" spans="1:6" x14ac:dyDescent="0.25">
      <c r="A1235" s="9"/>
      <c r="B1235" s="9"/>
      <c r="D1235" s="9"/>
      <c r="E1235" s="10"/>
      <c r="F1235" s="8">
        <f>SUM(F1234)</f>
        <v>1400</v>
      </c>
    </row>
    <row r="1236" spans="1:6" x14ac:dyDescent="0.25">
      <c r="A1236" s="9"/>
      <c r="B1236" s="9"/>
      <c r="D1236" s="9"/>
      <c r="E1236" s="10"/>
      <c r="F1236" s="10"/>
    </row>
    <row r="1237" spans="1:6" x14ac:dyDescent="0.25">
      <c r="A1237" s="9" t="s">
        <v>26</v>
      </c>
      <c r="B1237" s="4">
        <v>45677</v>
      </c>
      <c r="C1237" s="5">
        <v>110</v>
      </c>
      <c r="D1237" s="9" t="s">
        <v>13</v>
      </c>
      <c r="E1237" s="10">
        <v>140</v>
      </c>
      <c r="F1237" s="10">
        <f>+C1237*E1237</f>
        <v>15400</v>
      </c>
    </row>
    <row r="1238" spans="1:6" x14ac:dyDescent="0.25">
      <c r="A1238" s="9"/>
      <c r="B1238" s="9"/>
      <c r="C1238" s="5">
        <v>30</v>
      </c>
      <c r="D1238" s="9" t="s">
        <v>14</v>
      </c>
      <c r="E1238" s="10">
        <v>130</v>
      </c>
      <c r="F1238" s="10">
        <f>+C1238*E1238</f>
        <v>3900</v>
      </c>
    </row>
    <row r="1239" spans="1:6" x14ac:dyDescent="0.25">
      <c r="A1239" s="9"/>
      <c r="B1239" s="9"/>
      <c r="D1239" s="9"/>
      <c r="E1239" s="10"/>
      <c r="F1239" s="8">
        <f>SUM(F1237:F1238)</f>
        <v>19300</v>
      </c>
    </row>
    <row r="1240" spans="1:6" x14ac:dyDescent="0.25">
      <c r="A1240" s="9"/>
      <c r="B1240" s="9"/>
      <c r="D1240" s="9"/>
      <c r="E1240" s="10"/>
      <c r="F1240" s="10"/>
    </row>
    <row r="1241" spans="1:6" x14ac:dyDescent="0.25">
      <c r="A1241" s="9" t="s">
        <v>95</v>
      </c>
      <c r="B1241" s="4">
        <v>45677</v>
      </c>
      <c r="C1241" s="5">
        <v>20</v>
      </c>
      <c r="D1241" s="9" t="s">
        <v>13</v>
      </c>
      <c r="E1241" s="10">
        <v>150</v>
      </c>
      <c r="F1241" s="10">
        <f>+C1241*E1241</f>
        <v>3000</v>
      </c>
    </row>
    <row r="1242" spans="1:6" x14ac:dyDescent="0.25">
      <c r="A1242" s="9"/>
      <c r="B1242" s="9"/>
      <c r="D1242" s="9"/>
      <c r="E1242" s="10"/>
      <c r="F1242" s="8">
        <f>SUM(F1241)</f>
        <v>3000</v>
      </c>
    </row>
    <row r="1243" spans="1:6" x14ac:dyDescent="0.25">
      <c r="A1243" s="9"/>
      <c r="B1243" s="9"/>
      <c r="D1243" s="9"/>
      <c r="E1243" s="10"/>
      <c r="F1243" s="10"/>
    </row>
    <row r="1244" spans="1:6" s="9" customFormat="1" x14ac:dyDescent="0.25">
      <c r="A1244" s="9" t="s">
        <v>15</v>
      </c>
      <c r="B1244" s="4">
        <v>45677</v>
      </c>
      <c r="C1244" s="5">
        <v>50</v>
      </c>
      <c r="D1244" s="9" t="s">
        <v>35</v>
      </c>
      <c r="E1244" s="10">
        <v>100</v>
      </c>
      <c r="F1244" s="10">
        <f t="shared" ref="F1244:F1262" si="19">+C1244*E1244</f>
        <v>5000</v>
      </c>
    </row>
    <row r="1245" spans="1:6" s="9" customFormat="1" x14ac:dyDescent="0.25">
      <c r="C1245" s="5"/>
      <c r="E1245" s="10"/>
      <c r="F1245" s="8">
        <f>SUM(F1244)</f>
        <v>5000</v>
      </c>
    </row>
    <row r="1246" spans="1:6" s="9" customFormat="1" x14ac:dyDescent="0.25">
      <c r="C1246" s="5"/>
      <c r="E1246" s="10"/>
      <c r="F1246" s="10"/>
    </row>
    <row r="1247" spans="1:6" s="9" customFormat="1" x14ac:dyDescent="0.25">
      <c r="A1247" s="9" t="s">
        <v>56</v>
      </c>
      <c r="B1247" s="4">
        <v>45677</v>
      </c>
      <c r="C1247" s="5">
        <v>10</v>
      </c>
      <c r="D1247" s="9" t="s">
        <v>36</v>
      </c>
      <c r="E1247" s="10">
        <v>100</v>
      </c>
      <c r="F1247" s="10">
        <f t="shared" si="19"/>
        <v>1000</v>
      </c>
    </row>
    <row r="1248" spans="1:6" s="9" customFormat="1" x14ac:dyDescent="0.25">
      <c r="C1248" s="5"/>
      <c r="E1248" s="10"/>
      <c r="F1248" s="8">
        <f>SUM(F1247)</f>
        <v>1000</v>
      </c>
    </row>
    <row r="1249" spans="1:6" s="9" customFormat="1" x14ac:dyDescent="0.25">
      <c r="C1249" s="5"/>
      <c r="E1249" s="10"/>
      <c r="F1249" s="10"/>
    </row>
    <row r="1250" spans="1:6" s="9" customFormat="1" x14ac:dyDescent="0.25">
      <c r="A1250" s="9" t="s">
        <v>58</v>
      </c>
      <c r="B1250" s="4">
        <v>45677</v>
      </c>
      <c r="C1250" s="5">
        <v>10</v>
      </c>
      <c r="D1250" s="9" t="s">
        <v>13</v>
      </c>
      <c r="E1250" s="10">
        <v>150</v>
      </c>
      <c r="F1250" s="10">
        <f t="shared" si="19"/>
        <v>1500</v>
      </c>
    </row>
    <row r="1251" spans="1:6" s="9" customFormat="1" x14ac:dyDescent="0.25">
      <c r="C1251" s="5"/>
      <c r="E1251" s="10"/>
      <c r="F1251" s="8">
        <f>SUM(F1250)</f>
        <v>1500</v>
      </c>
    </row>
    <row r="1252" spans="1:6" s="9" customFormat="1" x14ac:dyDescent="0.25">
      <c r="C1252" s="5"/>
      <c r="E1252" s="10"/>
      <c r="F1252" s="10"/>
    </row>
    <row r="1253" spans="1:6" s="9" customFormat="1" x14ac:dyDescent="0.25">
      <c r="A1253" s="9" t="s">
        <v>17</v>
      </c>
      <c r="B1253" s="4">
        <v>45677</v>
      </c>
      <c r="C1253" s="5">
        <v>10</v>
      </c>
      <c r="D1253" s="9" t="s">
        <v>13</v>
      </c>
      <c r="E1253" s="10">
        <v>145</v>
      </c>
      <c r="F1253" s="10">
        <f t="shared" si="19"/>
        <v>1450</v>
      </c>
    </row>
    <row r="1254" spans="1:6" s="9" customFormat="1" x14ac:dyDescent="0.25">
      <c r="C1254" s="5"/>
      <c r="E1254" s="10"/>
      <c r="F1254" s="8">
        <f>SUM(F1253)</f>
        <v>1450</v>
      </c>
    </row>
    <row r="1255" spans="1:6" s="9" customFormat="1" x14ac:dyDescent="0.25">
      <c r="C1255" s="5"/>
      <c r="E1255" s="10"/>
      <c r="F1255" s="10"/>
    </row>
    <row r="1256" spans="1:6" s="9" customFormat="1" x14ac:dyDescent="0.25">
      <c r="A1256" s="9" t="s">
        <v>18</v>
      </c>
      <c r="B1256" s="4">
        <v>45677</v>
      </c>
      <c r="C1256" s="5">
        <v>8</v>
      </c>
      <c r="D1256" s="9" t="s">
        <v>13</v>
      </c>
      <c r="E1256" s="10">
        <v>145</v>
      </c>
      <c r="F1256" s="10">
        <f t="shared" si="19"/>
        <v>1160</v>
      </c>
    </row>
    <row r="1257" spans="1:6" s="9" customFormat="1" x14ac:dyDescent="0.25">
      <c r="C1257" s="5"/>
      <c r="E1257" s="10"/>
      <c r="F1257" s="8">
        <f>SUM(F1256)</f>
        <v>1160</v>
      </c>
    </row>
    <row r="1258" spans="1:6" s="9" customFormat="1" x14ac:dyDescent="0.25">
      <c r="C1258" s="5"/>
      <c r="E1258" s="10"/>
      <c r="F1258" s="10"/>
    </row>
    <row r="1259" spans="1:6" s="9" customFormat="1" x14ac:dyDescent="0.25">
      <c r="A1259" s="9" t="s">
        <v>156</v>
      </c>
      <c r="B1259" s="4">
        <v>45677</v>
      </c>
      <c r="C1259" s="5">
        <v>5</v>
      </c>
      <c r="D1259" s="9" t="s">
        <v>13</v>
      </c>
      <c r="E1259" s="10">
        <v>145</v>
      </c>
      <c r="F1259" s="10">
        <f t="shared" si="19"/>
        <v>725</v>
      </c>
    </row>
    <row r="1260" spans="1:6" s="9" customFormat="1" x14ac:dyDescent="0.25">
      <c r="C1260" s="5"/>
      <c r="E1260" s="10"/>
      <c r="F1260" s="8">
        <f>SUM(F1259)</f>
        <v>725</v>
      </c>
    </row>
    <row r="1261" spans="1:6" s="9" customFormat="1" x14ac:dyDescent="0.25">
      <c r="C1261" s="5"/>
      <c r="E1261" s="10"/>
      <c r="F1261" s="10"/>
    </row>
    <row r="1262" spans="1:6" s="9" customFormat="1" x14ac:dyDescent="0.25">
      <c r="A1262" s="9" t="s">
        <v>157</v>
      </c>
      <c r="B1262" s="4">
        <v>45677</v>
      </c>
      <c r="C1262" s="5">
        <v>10</v>
      </c>
      <c r="D1262" s="9" t="s">
        <v>13</v>
      </c>
      <c r="E1262" s="10">
        <v>140</v>
      </c>
      <c r="F1262" s="10">
        <f t="shared" si="19"/>
        <v>1400</v>
      </c>
    </row>
    <row r="1263" spans="1:6" s="9" customFormat="1" x14ac:dyDescent="0.25">
      <c r="C1263" s="5"/>
      <c r="E1263" s="10"/>
      <c r="F1263" s="8">
        <f>SUM(F1262)</f>
        <v>1400</v>
      </c>
    </row>
    <row r="1264" spans="1:6" s="9" customFormat="1" x14ac:dyDescent="0.25">
      <c r="C1264" s="5"/>
      <c r="E1264" s="10"/>
      <c r="F1264" s="8"/>
    </row>
    <row r="1265" spans="1:6" s="9" customFormat="1" x14ac:dyDescent="0.25">
      <c r="A1265" s="9" t="s">
        <v>20</v>
      </c>
      <c r="B1265" s="4">
        <v>45677</v>
      </c>
      <c r="C1265" s="5">
        <v>10</v>
      </c>
      <c r="D1265" s="9" t="s">
        <v>13</v>
      </c>
      <c r="E1265" s="10">
        <v>145</v>
      </c>
      <c r="F1265" s="10">
        <f t="shared" ref="F1265:F1287" si="20">+C1265*E1265</f>
        <v>1450</v>
      </c>
    </row>
    <row r="1266" spans="1:6" s="9" customFormat="1" x14ac:dyDescent="0.25">
      <c r="C1266" s="5"/>
      <c r="E1266" s="10"/>
      <c r="F1266" s="8">
        <f>SUM(F1265)</f>
        <v>1450</v>
      </c>
    </row>
    <row r="1267" spans="1:6" s="9" customFormat="1" x14ac:dyDescent="0.25">
      <c r="C1267" s="5"/>
      <c r="E1267" s="10"/>
      <c r="F1267" s="10"/>
    </row>
    <row r="1268" spans="1:6" s="9" customFormat="1" x14ac:dyDescent="0.25">
      <c r="A1268" s="9" t="s">
        <v>21</v>
      </c>
      <c r="B1268" s="4">
        <v>45677</v>
      </c>
      <c r="C1268" s="5">
        <v>20</v>
      </c>
      <c r="D1268" s="9" t="s">
        <v>158</v>
      </c>
      <c r="E1268" s="10">
        <v>145</v>
      </c>
      <c r="F1268" s="10">
        <f t="shared" si="20"/>
        <v>2900</v>
      </c>
    </row>
    <row r="1269" spans="1:6" s="9" customFormat="1" x14ac:dyDescent="0.25">
      <c r="C1269" s="5">
        <v>20</v>
      </c>
      <c r="D1269" s="9" t="s">
        <v>12</v>
      </c>
      <c r="E1269" s="10">
        <v>135</v>
      </c>
      <c r="F1269" s="10">
        <f t="shared" si="20"/>
        <v>2700</v>
      </c>
    </row>
    <row r="1270" spans="1:6" s="9" customFormat="1" x14ac:dyDescent="0.25">
      <c r="C1270" s="5">
        <v>8</v>
      </c>
      <c r="D1270" s="9" t="s">
        <v>22</v>
      </c>
      <c r="E1270" s="10">
        <v>125</v>
      </c>
      <c r="F1270" s="10">
        <f t="shared" si="20"/>
        <v>1000</v>
      </c>
    </row>
    <row r="1271" spans="1:6" s="9" customFormat="1" x14ac:dyDescent="0.25">
      <c r="C1271" s="5"/>
      <c r="E1271" s="10"/>
      <c r="F1271" s="8">
        <f>SUM(F1268:F1270)</f>
        <v>6600</v>
      </c>
    </row>
    <row r="1272" spans="1:6" s="9" customFormat="1" x14ac:dyDescent="0.25">
      <c r="C1272" s="5"/>
      <c r="E1272" s="10"/>
      <c r="F1272" s="10"/>
    </row>
    <row r="1273" spans="1:6" s="9" customFormat="1" x14ac:dyDescent="0.25">
      <c r="A1273" s="9" t="s">
        <v>23</v>
      </c>
      <c r="B1273" s="4">
        <v>45677</v>
      </c>
      <c r="C1273" s="5">
        <v>12</v>
      </c>
      <c r="D1273" s="9" t="s">
        <v>13</v>
      </c>
      <c r="E1273" s="10">
        <v>145</v>
      </c>
      <c r="F1273" s="10">
        <f t="shared" si="20"/>
        <v>1740</v>
      </c>
    </row>
    <row r="1274" spans="1:6" s="9" customFormat="1" x14ac:dyDescent="0.25">
      <c r="C1274" s="5">
        <v>12</v>
      </c>
      <c r="D1274" s="9" t="s">
        <v>12</v>
      </c>
      <c r="E1274" s="10">
        <v>135</v>
      </c>
      <c r="F1274" s="10">
        <f t="shared" si="20"/>
        <v>1620</v>
      </c>
    </row>
    <row r="1275" spans="1:6" s="9" customFormat="1" x14ac:dyDescent="0.25">
      <c r="C1275" s="5">
        <v>12</v>
      </c>
      <c r="D1275" s="9" t="s">
        <v>22</v>
      </c>
      <c r="E1275" s="10">
        <v>125</v>
      </c>
      <c r="F1275" s="10">
        <f t="shared" si="20"/>
        <v>1500</v>
      </c>
    </row>
    <row r="1276" spans="1:6" s="9" customFormat="1" x14ac:dyDescent="0.25">
      <c r="C1276" s="5"/>
      <c r="E1276" s="10"/>
      <c r="F1276" s="8">
        <f>SUM(F1273:F1275)</f>
        <v>4860</v>
      </c>
    </row>
    <row r="1277" spans="1:6" s="9" customFormat="1" x14ac:dyDescent="0.25">
      <c r="C1277" s="5"/>
      <c r="E1277" s="10"/>
      <c r="F1277" s="10"/>
    </row>
    <row r="1278" spans="1:6" s="9" customFormat="1" x14ac:dyDescent="0.25">
      <c r="A1278" s="9" t="s">
        <v>40</v>
      </c>
      <c r="B1278" s="4">
        <v>45677</v>
      </c>
      <c r="C1278" s="5">
        <v>24</v>
      </c>
      <c r="D1278" s="9" t="s">
        <v>14</v>
      </c>
      <c r="E1278" s="10">
        <v>135</v>
      </c>
      <c r="F1278" s="10">
        <f t="shared" si="20"/>
        <v>3240</v>
      </c>
    </row>
    <row r="1279" spans="1:6" s="9" customFormat="1" x14ac:dyDescent="0.25">
      <c r="C1279" s="5">
        <v>10</v>
      </c>
      <c r="D1279" s="9" t="s">
        <v>13</v>
      </c>
      <c r="E1279" s="10">
        <v>140</v>
      </c>
      <c r="F1279" s="10">
        <f t="shared" si="20"/>
        <v>1400</v>
      </c>
    </row>
    <row r="1280" spans="1:6" s="9" customFormat="1" x14ac:dyDescent="0.25">
      <c r="C1280" s="5">
        <v>10</v>
      </c>
      <c r="D1280" s="9" t="s">
        <v>12</v>
      </c>
      <c r="E1280" s="10">
        <v>135</v>
      </c>
      <c r="F1280" s="10">
        <f t="shared" si="20"/>
        <v>1350</v>
      </c>
    </row>
    <row r="1281" spans="1:6" s="9" customFormat="1" x14ac:dyDescent="0.25">
      <c r="C1281" s="5">
        <v>10</v>
      </c>
      <c r="D1281" s="9" t="s">
        <v>11</v>
      </c>
      <c r="E1281" s="10">
        <v>135</v>
      </c>
      <c r="F1281" s="10">
        <f t="shared" si="20"/>
        <v>1350</v>
      </c>
    </row>
    <row r="1282" spans="1:6" s="9" customFormat="1" x14ac:dyDescent="0.25">
      <c r="C1282" s="5"/>
      <c r="E1282" s="10"/>
      <c r="F1282" s="8">
        <f>SUM(F1278:F1281)</f>
        <v>7340</v>
      </c>
    </row>
    <row r="1283" spans="1:6" s="9" customFormat="1" x14ac:dyDescent="0.25">
      <c r="C1283" s="5"/>
      <c r="E1283" s="10"/>
      <c r="F1283" s="10"/>
    </row>
    <row r="1284" spans="1:6" s="9" customFormat="1" x14ac:dyDescent="0.25">
      <c r="A1284" s="9" t="s">
        <v>57</v>
      </c>
      <c r="B1284" s="4">
        <v>45677</v>
      </c>
      <c r="C1284" s="5">
        <v>10</v>
      </c>
      <c r="D1284" s="9" t="s">
        <v>13</v>
      </c>
      <c r="E1284" s="10">
        <v>145</v>
      </c>
      <c r="F1284" s="10">
        <f t="shared" si="20"/>
        <v>1450</v>
      </c>
    </row>
    <row r="1285" spans="1:6" s="9" customFormat="1" x14ac:dyDescent="0.25">
      <c r="C1285" s="5"/>
      <c r="E1285" s="10"/>
      <c r="F1285" s="8">
        <f>SUM(F1284)</f>
        <v>1450</v>
      </c>
    </row>
    <row r="1286" spans="1:6" s="9" customFormat="1" x14ac:dyDescent="0.25">
      <c r="C1286" s="5"/>
      <c r="E1286" s="10"/>
      <c r="F1286" s="10"/>
    </row>
    <row r="1287" spans="1:6" s="9" customFormat="1" x14ac:dyDescent="0.25">
      <c r="A1287" s="9" t="s">
        <v>79</v>
      </c>
      <c r="B1287" s="4">
        <v>45677</v>
      </c>
      <c r="C1287" s="5">
        <v>20</v>
      </c>
      <c r="D1287" s="9" t="s">
        <v>13</v>
      </c>
      <c r="E1287" s="10">
        <v>150</v>
      </c>
      <c r="F1287" s="10">
        <f t="shared" si="20"/>
        <v>3000</v>
      </c>
    </row>
    <row r="1288" spans="1:6" s="9" customFormat="1" x14ac:dyDescent="0.25">
      <c r="C1288" s="5"/>
      <c r="E1288" s="10"/>
      <c r="F1288" s="8">
        <f>SUM(F1287)</f>
        <v>3000</v>
      </c>
    </row>
    <row r="1289" spans="1:6" s="9" customFormat="1" x14ac:dyDescent="0.25">
      <c r="C1289" s="5"/>
      <c r="E1289" s="10"/>
      <c r="F1289" s="10"/>
    </row>
    <row r="1290" spans="1:6" x14ac:dyDescent="0.25">
      <c r="A1290" s="9" t="s">
        <v>41</v>
      </c>
      <c r="B1290" s="4">
        <v>45677</v>
      </c>
      <c r="C1290" s="5">
        <v>30</v>
      </c>
      <c r="D1290" s="9" t="s">
        <v>14</v>
      </c>
      <c r="E1290" s="10">
        <v>140</v>
      </c>
      <c r="F1290" s="10">
        <f>+C1290*E1290</f>
        <v>4200</v>
      </c>
    </row>
    <row r="1291" spans="1:6" x14ac:dyDescent="0.25">
      <c r="A1291" s="9"/>
      <c r="B1291" s="9"/>
      <c r="D1291" s="9"/>
      <c r="E1291" s="10"/>
      <c r="F1291" s="8">
        <f>SUM(F1290)</f>
        <v>4200</v>
      </c>
    </row>
    <row r="1292" spans="1:6" x14ac:dyDescent="0.25">
      <c r="A1292" s="9"/>
      <c r="B1292" s="9"/>
      <c r="D1292" s="9"/>
      <c r="E1292" s="10"/>
      <c r="F1292" s="10"/>
    </row>
    <row r="1293" spans="1:6" x14ac:dyDescent="0.25">
      <c r="A1293" s="9" t="s">
        <v>84</v>
      </c>
      <c r="B1293" s="4">
        <v>45677</v>
      </c>
      <c r="C1293" s="5">
        <v>80</v>
      </c>
      <c r="D1293" s="9" t="s">
        <v>12</v>
      </c>
      <c r="E1293" s="10">
        <v>135</v>
      </c>
      <c r="F1293" s="10">
        <f>+C1293*E1293</f>
        <v>10800</v>
      </c>
    </row>
    <row r="1294" spans="1:6" x14ac:dyDescent="0.25">
      <c r="A1294" s="9"/>
      <c r="B1294" s="9"/>
      <c r="D1294" s="9"/>
      <c r="E1294" s="10"/>
      <c r="F1294" s="8">
        <f>SUM(F1293)</f>
        <v>10800</v>
      </c>
    </row>
    <row r="1295" spans="1:6" x14ac:dyDescent="0.25">
      <c r="A1295" s="9"/>
      <c r="B1295" s="9"/>
      <c r="D1295" s="9"/>
      <c r="E1295" s="10"/>
      <c r="F1295" s="10"/>
    </row>
    <row r="1296" spans="1:6" x14ac:dyDescent="0.25">
      <c r="A1296" s="9" t="s">
        <v>43</v>
      </c>
      <c r="B1296" s="4">
        <v>45677</v>
      </c>
      <c r="C1296" s="5">
        <v>30</v>
      </c>
      <c r="D1296" s="9" t="s">
        <v>14</v>
      </c>
      <c r="E1296" s="10">
        <v>125</v>
      </c>
      <c r="F1296" s="10">
        <f>+C1296*E1296</f>
        <v>3750</v>
      </c>
    </row>
    <row r="1297" spans="1:6" x14ac:dyDescent="0.25">
      <c r="A1297" s="9"/>
      <c r="B1297" s="9"/>
      <c r="D1297" s="9"/>
      <c r="E1297" s="10"/>
      <c r="F1297" s="8">
        <f>SUM(F1296)</f>
        <v>3750</v>
      </c>
    </row>
    <row r="1298" spans="1:6" x14ac:dyDescent="0.25">
      <c r="A1298" s="9"/>
      <c r="B1298" s="9"/>
      <c r="D1298" s="9"/>
      <c r="E1298" s="10"/>
      <c r="F1298" s="10"/>
    </row>
    <row r="1299" spans="1:6" x14ac:dyDescent="0.25">
      <c r="A1299" s="9" t="s">
        <v>145</v>
      </c>
      <c r="B1299" s="4">
        <v>45677</v>
      </c>
      <c r="C1299" s="5">
        <v>31</v>
      </c>
      <c r="D1299" s="9" t="s">
        <v>14</v>
      </c>
      <c r="E1299" s="10">
        <v>125</v>
      </c>
      <c r="F1299" s="10">
        <f>+C1299*E1299</f>
        <v>3875</v>
      </c>
    </row>
    <row r="1300" spans="1:6" x14ac:dyDescent="0.25">
      <c r="A1300" s="9"/>
      <c r="B1300" s="9"/>
      <c r="D1300" s="9"/>
      <c r="E1300" s="10"/>
      <c r="F1300" s="8">
        <f>SUM(F1299)</f>
        <v>3875</v>
      </c>
    </row>
    <row r="1301" spans="1:6" x14ac:dyDescent="0.25">
      <c r="A1301" s="9"/>
      <c r="B1301" s="9"/>
      <c r="D1301" s="9"/>
      <c r="E1301" s="10"/>
      <c r="F1301" s="10"/>
    </row>
    <row r="1302" spans="1:6" x14ac:dyDescent="0.25">
      <c r="A1302" s="9" t="s">
        <v>44</v>
      </c>
      <c r="B1302" s="4">
        <v>45677</v>
      </c>
      <c r="C1302" s="5">
        <v>60</v>
      </c>
      <c r="D1302" s="9" t="s">
        <v>14</v>
      </c>
      <c r="E1302" s="10">
        <v>125</v>
      </c>
      <c r="F1302" s="10">
        <f>+C1302*E1302</f>
        <v>7500</v>
      </c>
    </row>
    <row r="1303" spans="1:6" x14ac:dyDescent="0.25">
      <c r="A1303" s="9"/>
      <c r="B1303" s="9"/>
      <c r="D1303" s="9"/>
      <c r="E1303" s="10"/>
      <c r="F1303" s="8">
        <f>SUM(F1302)</f>
        <v>7500</v>
      </c>
    </row>
    <row r="1304" spans="1:6" x14ac:dyDescent="0.25">
      <c r="A1304" s="9"/>
      <c r="B1304" s="9"/>
      <c r="D1304" s="9"/>
      <c r="E1304" s="10"/>
      <c r="F1304" s="10"/>
    </row>
    <row r="1305" spans="1:6" x14ac:dyDescent="0.25">
      <c r="A1305" s="9" t="s">
        <v>18</v>
      </c>
      <c r="B1305" s="4">
        <v>45677</v>
      </c>
      <c r="C1305" s="5">
        <v>20</v>
      </c>
      <c r="D1305" s="9" t="s">
        <v>13</v>
      </c>
      <c r="E1305" s="10">
        <v>140</v>
      </c>
      <c r="F1305" s="10">
        <f>+C1305*E1305</f>
        <v>2800</v>
      </c>
    </row>
    <row r="1306" spans="1:6" x14ac:dyDescent="0.25">
      <c r="A1306" s="9"/>
      <c r="B1306" s="9"/>
      <c r="C1306" s="5">
        <v>20</v>
      </c>
      <c r="D1306" s="9" t="s">
        <v>14</v>
      </c>
      <c r="E1306" s="10">
        <v>125</v>
      </c>
      <c r="F1306" s="10">
        <f>+C1306*E1306</f>
        <v>2500</v>
      </c>
    </row>
    <row r="1307" spans="1:6" x14ac:dyDescent="0.25">
      <c r="A1307" s="9"/>
      <c r="B1307" s="9"/>
      <c r="D1307" s="9"/>
      <c r="E1307" s="10"/>
      <c r="F1307" s="8">
        <f>SUM(F1305:F1306)</f>
        <v>5300</v>
      </c>
    </row>
    <row r="1308" spans="1:6" x14ac:dyDescent="0.25">
      <c r="A1308" s="9"/>
      <c r="B1308" s="9"/>
      <c r="D1308" s="9"/>
      <c r="E1308" s="10"/>
      <c r="F1308" s="10"/>
    </row>
    <row r="1309" spans="1:6" x14ac:dyDescent="0.25">
      <c r="A1309" s="9" t="s">
        <v>46</v>
      </c>
      <c r="B1309" s="4">
        <v>45677</v>
      </c>
      <c r="C1309" s="5">
        <v>20</v>
      </c>
      <c r="D1309" s="9" t="s">
        <v>14</v>
      </c>
      <c r="E1309" s="10">
        <v>130</v>
      </c>
      <c r="F1309" s="10">
        <f>+C1309*E1309</f>
        <v>2600</v>
      </c>
    </row>
    <row r="1310" spans="1:6" x14ac:dyDescent="0.25">
      <c r="A1310" s="9"/>
      <c r="B1310" s="9"/>
      <c r="D1310" s="9"/>
      <c r="E1310" s="10"/>
      <c r="F1310" s="8">
        <f>SUM(F1309)</f>
        <v>2600</v>
      </c>
    </row>
    <row r="1311" spans="1:6" x14ac:dyDescent="0.25">
      <c r="A1311" s="9"/>
      <c r="B1311" s="9"/>
      <c r="D1311" s="9"/>
      <c r="E1311" s="10"/>
      <c r="F1311" s="10"/>
    </row>
    <row r="1312" spans="1:6" x14ac:dyDescent="0.25">
      <c r="A1312" s="9" t="s">
        <v>47</v>
      </c>
      <c r="B1312" s="4">
        <v>45677</v>
      </c>
      <c r="C1312" s="5">
        <v>50</v>
      </c>
      <c r="D1312" s="9" t="s">
        <v>14</v>
      </c>
      <c r="E1312" s="10">
        <v>130</v>
      </c>
      <c r="F1312" s="10">
        <f>+C1312*E1312</f>
        <v>6500</v>
      </c>
    </row>
    <row r="1313" spans="1:6" x14ac:dyDescent="0.25">
      <c r="A1313" s="9"/>
      <c r="B1313" s="9"/>
      <c r="D1313" s="9"/>
      <c r="E1313" s="10"/>
      <c r="F1313" s="8">
        <f>SUM(F1312)</f>
        <v>6500</v>
      </c>
    </row>
    <row r="1314" spans="1:6" x14ac:dyDescent="0.25">
      <c r="A1314" s="9"/>
      <c r="B1314" s="9"/>
      <c r="D1314" s="9"/>
      <c r="E1314" s="10"/>
      <c r="F1314" s="10"/>
    </row>
    <row r="1315" spans="1:6" x14ac:dyDescent="0.25">
      <c r="A1315" s="9" t="s">
        <v>29</v>
      </c>
      <c r="B1315" s="4">
        <v>45677</v>
      </c>
      <c r="C1315" s="5">
        <v>2</v>
      </c>
      <c r="D1315" s="9" t="s">
        <v>8</v>
      </c>
      <c r="E1315" s="10">
        <v>160</v>
      </c>
      <c r="F1315" s="10">
        <f>+C1315*E1315</f>
        <v>320</v>
      </c>
    </row>
    <row r="1316" spans="1:6" x14ac:dyDescent="0.25">
      <c r="A1316" s="9"/>
      <c r="B1316" s="9"/>
      <c r="C1316" s="5">
        <v>2</v>
      </c>
      <c r="D1316" s="9" t="s">
        <v>8</v>
      </c>
      <c r="E1316" s="10">
        <v>170</v>
      </c>
      <c r="F1316" s="10">
        <f>+C1316*E1316</f>
        <v>340</v>
      </c>
    </row>
    <row r="1317" spans="1:6" x14ac:dyDescent="0.25">
      <c r="A1317" s="9"/>
      <c r="B1317" s="9"/>
      <c r="D1317" s="9"/>
      <c r="E1317" s="10"/>
      <c r="F1317" s="8">
        <f>SUM(F1315:F1316)</f>
        <v>660</v>
      </c>
    </row>
    <row r="1318" spans="1:6" x14ac:dyDescent="0.25">
      <c r="A1318" s="9"/>
      <c r="B1318" s="9"/>
      <c r="D1318" s="9"/>
      <c r="E1318" s="10"/>
      <c r="F1318" s="10"/>
    </row>
    <row r="1319" spans="1:6" x14ac:dyDescent="0.25">
      <c r="A1319" s="9" t="s">
        <v>7</v>
      </c>
      <c r="B1319" s="4">
        <v>45677</v>
      </c>
      <c r="C1319" s="5">
        <v>4</v>
      </c>
      <c r="D1319" s="9" t="s">
        <v>8</v>
      </c>
      <c r="E1319" s="10">
        <v>155</v>
      </c>
      <c r="F1319" s="10">
        <f>+C1319*E1319</f>
        <v>620</v>
      </c>
    </row>
    <row r="1320" spans="1:6" x14ac:dyDescent="0.25">
      <c r="A1320" s="9"/>
      <c r="B1320" s="9"/>
      <c r="D1320" s="9"/>
      <c r="E1320" s="10"/>
      <c r="F1320" s="8">
        <f>SUM(F1319)</f>
        <v>620</v>
      </c>
    </row>
    <row r="1321" spans="1:6" x14ac:dyDescent="0.25">
      <c r="A1321" s="9"/>
      <c r="B1321" s="9"/>
      <c r="D1321" s="9"/>
      <c r="E1321" s="10"/>
      <c r="F1321" s="10"/>
    </row>
    <row r="1322" spans="1:6" x14ac:dyDescent="0.25">
      <c r="A1322" s="9" t="s">
        <v>151</v>
      </c>
      <c r="B1322" s="4">
        <v>45678</v>
      </c>
      <c r="C1322" s="5">
        <v>80</v>
      </c>
      <c r="D1322" s="9" t="s">
        <v>13</v>
      </c>
      <c r="E1322" s="10">
        <v>130</v>
      </c>
      <c r="F1322" s="10">
        <f>+C1322*E1322</f>
        <v>10400</v>
      </c>
    </row>
    <row r="1323" spans="1:6" x14ac:dyDescent="0.25">
      <c r="A1323" s="9"/>
      <c r="B1323" s="9"/>
      <c r="D1323" s="9"/>
      <c r="E1323" s="10"/>
      <c r="F1323" s="8">
        <f>SUM(F1322)</f>
        <v>10400</v>
      </c>
    </row>
    <row r="1324" spans="1:6" x14ac:dyDescent="0.25">
      <c r="A1324" s="9"/>
      <c r="B1324" s="9"/>
      <c r="D1324" s="9"/>
      <c r="E1324" s="10"/>
      <c r="F1324" s="10"/>
    </row>
    <row r="1325" spans="1:6" x14ac:dyDescent="0.25">
      <c r="A1325" s="9" t="s">
        <v>61</v>
      </c>
      <c r="B1325" s="4">
        <v>45678</v>
      </c>
      <c r="C1325" s="5">
        <v>20</v>
      </c>
      <c r="D1325" s="9" t="s">
        <v>13</v>
      </c>
      <c r="E1325" s="10">
        <v>140</v>
      </c>
      <c r="F1325" s="10">
        <f>+C1325*E1325</f>
        <v>2800</v>
      </c>
    </row>
    <row r="1326" spans="1:6" x14ac:dyDescent="0.25">
      <c r="A1326" s="9"/>
      <c r="B1326" s="9"/>
      <c r="D1326" s="9"/>
      <c r="E1326" s="10"/>
      <c r="F1326" s="8">
        <f>SUM(F1325)</f>
        <v>2800</v>
      </c>
    </row>
    <row r="1327" spans="1:6" x14ac:dyDescent="0.25">
      <c r="A1327" s="9"/>
      <c r="B1327" s="9"/>
      <c r="D1327" s="9"/>
      <c r="E1327" s="10"/>
      <c r="F1327" s="10"/>
    </row>
    <row r="1328" spans="1:6" x14ac:dyDescent="0.25">
      <c r="A1328" s="9" t="s">
        <v>60</v>
      </c>
      <c r="B1328" s="4">
        <v>45678</v>
      </c>
      <c r="C1328" s="5">
        <v>20</v>
      </c>
      <c r="D1328" s="9" t="s">
        <v>13</v>
      </c>
      <c r="E1328" s="10">
        <v>150</v>
      </c>
      <c r="F1328" s="10">
        <f>+C1328*E1328</f>
        <v>3000</v>
      </c>
    </row>
    <row r="1329" spans="1:6" x14ac:dyDescent="0.25">
      <c r="A1329" s="9"/>
      <c r="B1329" s="9"/>
      <c r="D1329" s="9"/>
      <c r="E1329" s="10"/>
      <c r="F1329" s="8">
        <f>SUM(F1328)</f>
        <v>3000</v>
      </c>
    </row>
    <row r="1330" spans="1:6" x14ac:dyDescent="0.25">
      <c r="A1330" s="9"/>
      <c r="B1330" s="9"/>
      <c r="D1330" s="9"/>
      <c r="E1330" s="10"/>
      <c r="F1330" s="10"/>
    </row>
    <row r="1331" spans="1:6" x14ac:dyDescent="0.25">
      <c r="A1331" s="9" t="s">
        <v>90</v>
      </c>
      <c r="B1331" s="4">
        <v>45678</v>
      </c>
      <c r="C1331" s="5">
        <v>30</v>
      </c>
      <c r="D1331" s="9" t="s">
        <v>12</v>
      </c>
      <c r="E1331" s="10">
        <v>135</v>
      </c>
      <c r="F1331" s="10">
        <f t="shared" ref="F1331:F1398" si="21">+C1331*E1331</f>
        <v>4050</v>
      </c>
    </row>
    <row r="1332" spans="1:6" x14ac:dyDescent="0.25">
      <c r="A1332" s="9"/>
      <c r="B1332" s="9"/>
      <c r="D1332" s="9"/>
      <c r="E1332" s="10"/>
      <c r="F1332" s="8">
        <f>SUM(F1331)</f>
        <v>4050</v>
      </c>
    </row>
    <row r="1333" spans="1:6" x14ac:dyDescent="0.25">
      <c r="A1333" s="9"/>
      <c r="B1333" s="9"/>
      <c r="D1333" s="9"/>
      <c r="E1333" s="10"/>
      <c r="F1333" s="10"/>
    </row>
    <row r="1334" spans="1:6" x14ac:dyDescent="0.25">
      <c r="A1334" s="9" t="s">
        <v>159</v>
      </c>
      <c r="B1334" s="4">
        <v>45678</v>
      </c>
      <c r="C1334" s="5">
        <v>5</v>
      </c>
      <c r="D1334" s="9" t="s">
        <v>13</v>
      </c>
      <c r="E1334" s="10">
        <v>155</v>
      </c>
      <c r="F1334" s="10">
        <f t="shared" si="21"/>
        <v>775</v>
      </c>
    </row>
    <row r="1335" spans="1:6" x14ac:dyDescent="0.25">
      <c r="A1335" s="9"/>
      <c r="B1335" s="9"/>
      <c r="D1335" s="9"/>
      <c r="E1335" s="10"/>
      <c r="F1335" s="8">
        <f>SUM(F1334)</f>
        <v>775</v>
      </c>
    </row>
    <row r="1336" spans="1:6" x14ac:dyDescent="0.25">
      <c r="A1336" s="9"/>
      <c r="B1336" s="9"/>
      <c r="D1336" s="9"/>
      <c r="E1336" s="10"/>
      <c r="F1336" s="10"/>
    </row>
    <row r="1337" spans="1:6" x14ac:dyDescent="0.25">
      <c r="A1337" s="9" t="s">
        <v>160</v>
      </c>
      <c r="B1337" s="4">
        <v>45678</v>
      </c>
      <c r="C1337" s="5">
        <v>5</v>
      </c>
      <c r="D1337" s="9" t="s">
        <v>12</v>
      </c>
      <c r="E1337" s="10">
        <v>140</v>
      </c>
      <c r="F1337" s="10">
        <f t="shared" si="21"/>
        <v>700</v>
      </c>
    </row>
    <row r="1338" spans="1:6" x14ac:dyDescent="0.25">
      <c r="A1338" s="9"/>
      <c r="B1338" s="9"/>
      <c r="D1338" s="9"/>
      <c r="E1338" s="10"/>
      <c r="F1338" s="8">
        <f>SUM(F1337)</f>
        <v>700</v>
      </c>
    </row>
    <row r="1339" spans="1:6" x14ac:dyDescent="0.25">
      <c r="A1339" s="9"/>
      <c r="B1339" s="9"/>
      <c r="D1339" s="9"/>
      <c r="E1339" s="10"/>
      <c r="F1339" s="10"/>
    </row>
    <row r="1340" spans="1:6" x14ac:dyDescent="0.25">
      <c r="A1340" s="9" t="s">
        <v>26</v>
      </c>
      <c r="B1340" s="4">
        <v>45678</v>
      </c>
      <c r="C1340" s="5">
        <v>50</v>
      </c>
      <c r="D1340" s="9" t="s">
        <v>13</v>
      </c>
      <c r="E1340" s="10">
        <v>140</v>
      </c>
      <c r="F1340" s="10">
        <f t="shared" si="21"/>
        <v>7000</v>
      </c>
    </row>
    <row r="1341" spans="1:6" x14ac:dyDescent="0.25">
      <c r="A1341" s="9"/>
      <c r="B1341" s="9"/>
      <c r="D1341" s="9"/>
      <c r="E1341" s="10"/>
      <c r="F1341" s="8">
        <f>SUM(F1340)</f>
        <v>7000</v>
      </c>
    </row>
    <row r="1342" spans="1:6" x14ac:dyDescent="0.25">
      <c r="A1342" s="9"/>
      <c r="B1342" s="9"/>
      <c r="D1342" s="9"/>
      <c r="E1342" s="10"/>
      <c r="F1342" s="10"/>
    </row>
    <row r="1343" spans="1:6" s="9" customFormat="1" x14ac:dyDescent="0.25">
      <c r="A1343" s="9" t="s">
        <v>53</v>
      </c>
      <c r="B1343" s="4">
        <v>45678</v>
      </c>
      <c r="C1343" s="5">
        <v>5</v>
      </c>
      <c r="D1343" s="9" t="s">
        <v>13</v>
      </c>
      <c r="E1343" s="10">
        <v>145</v>
      </c>
      <c r="F1343" s="10">
        <f t="shared" si="21"/>
        <v>725</v>
      </c>
    </row>
    <row r="1344" spans="1:6" s="9" customFormat="1" x14ac:dyDescent="0.25">
      <c r="C1344" s="5">
        <v>4</v>
      </c>
      <c r="D1344" s="9" t="s">
        <v>13</v>
      </c>
      <c r="E1344" s="10">
        <v>150</v>
      </c>
      <c r="F1344" s="10">
        <f t="shared" si="21"/>
        <v>600</v>
      </c>
    </row>
    <row r="1345" spans="1:6" s="9" customFormat="1" x14ac:dyDescent="0.25">
      <c r="C1345" s="5">
        <v>40</v>
      </c>
      <c r="D1345" s="9" t="s">
        <v>12</v>
      </c>
      <c r="E1345" s="10">
        <v>140</v>
      </c>
      <c r="F1345" s="10">
        <f t="shared" si="21"/>
        <v>5600</v>
      </c>
    </row>
    <row r="1346" spans="1:6" s="9" customFormat="1" x14ac:dyDescent="0.25">
      <c r="C1346" s="5">
        <v>20</v>
      </c>
      <c r="D1346" s="9" t="s">
        <v>8</v>
      </c>
      <c r="E1346" s="10">
        <v>155</v>
      </c>
      <c r="F1346" s="10">
        <f t="shared" si="21"/>
        <v>3100</v>
      </c>
    </row>
    <row r="1347" spans="1:6" s="9" customFormat="1" x14ac:dyDescent="0.25">
      <c r="C1347" s="5"/>
      <c r="E1347" s="10"/>
      <c r="F1347" s="8">
        <f>SUM(F1343:F1346)</f>
        <v>10025</v>
      </c>
    </row>
    <row r="1348" spans="1:6" s="9" customFormat="1" x14ac:dyDescent="0.25">
      <c r="C1348" s="5"/>
      <c r="E1348" s="10"/>
      <c r="F1348" s="10"/>
    </row>
    <row r="1349" spans="1:6" x14ac:dyDescent="0.25">
      <c r="A1349" s="9" t="s">
        <v>51</v>
      </c>
      <c r="B1349" s="4">
        <v>45678</v>
      </c>
      <c r="C1349" s="5">
        <v>165</v>
      </c>
      <c r="D1349" s="9" t="s">
        <v>14</v>
      </c>
      <c r="E1349" s="10"/>
      <c r="F1349" s="10">
        <f t="shared" si="21"/>
        <v>0</v>
      </c>
    </row>
    <row r="1350" spans="1:6" x14ac:dyDescent="0.25">
      <c r="A1350" s="9"/>
      <c r="B1350" s="9"/>
      <c r="C1350" s="5">
        <v>65</v>
      </c>
      <c r="D1350" s="9" t="s">
        <v>11</v>
      </c>
      <c r="E1350" s="10"/>
      <c r="F1350" s="10">
        <f t="shared" si="21"/>
        <v>0</v>
      </c>
    </row>
    <row r="1351" spans="1:6" x14ac:dyDescent="0.25">
      <c r="A1351" s="9"/>
      <c r="B1351" s="9"/>
      <c r="D1351" s="9"/>
      <c r="E1351" s="10"/>
      <c r="F1351" s="8">
        <f>SUM(F1349:F1350)</f>
        <v>0</v>
      </c>
    </row>
    <row r="1352" spans="1:6" x14ac:dyDescent="0.25">
      <c r="A1352" s="9"/>
      <c r="B1352" s="9"/>
      <c r="D1352" s="9"/>
      <c r="E1352" s="10"/>
      <c r="F1352" s="10"/>
    </row>
    <row r="1353" spans="1:6" x14ac:dyDescent="0.25">
      <c r="A1353" s="9" t="s">
        <v>150</v>
      </c>
      <c r="B1353" s="4">
        <v>45678</v>
      </c>
      <c r="C1353" s="5">
        <v>400</v>
      </c>
      <c r="D1353" s="9" t="s">
        <v>14</v>
      </c>
      <c r="E1353" s="10"/>
      <c r="F1353" s="10">
        <f t="shared" si="21"/>
        <v>0</v>
      </c>
    </row>
    <row r="1354" spans="1:6" x14ac:dyDescent="0.25">
      <c r="A1354" s="9"/>
      <c r="B1354" s="9"/>
      <c r="C1354" s="5">
        <v>100</v>
      </c>
      <c r="D1354" s="9" t="s">
        <v>11</v>
      </c>
      <c r="E1354" s="10"/>
      <c r="F1354" s="10">
        <f t="shared" si="21"/>
        <v>0</v>
      </c>
    </row>
    <row r="1355" spans="1:6" x14ac:dyDescent="0.25">
      <c r="A1355" s="9"/>
      <c r="B1355" s="9"/>
      <c r="C1355" s="5">
        <v>82</v>
      </c>
      <c r="D1355" s="9" t="s">
        <v>49</v>
      </c>
      <c r="E1355" s="10"/>
      <c r="F1355" s="10">
        <f t="shared" si="21"/>
        <v>0</v>
      </c>
    </row>
    <row r="1356" spans="1:6" x14ac:dyDescent="0.25">
      <c r="A1356" s="9"/>
      <c r="B1356" s="9"/>
      <c r="C1356" s="5">
        <v>27</v>
      </c>
      <c r="D1356" s="9" t="s">
        <v>50</v>
      </c>
      <c r="E1356" s="10"/>
      <c r="F1356" s="10">
        <f t="shared" si="21"/>
        <v>0</v>
      </c>
    </row>
    <row r="1357" spans="1:6" x14ac:dyDescent="0.25">
      <c r="A1357" s="9"/>
      <c r="B1357" s="9"/>
      <c r="C1357" s="5">
        <v>6</v>
      </c>
      <c r="D1357" s="9" t="s">
        <v>36</v>
      </c>
      <c r="E1357" s="10"/>
      <c r="F1357" s="10">
        <f t="shared" si="21"/>
        <v>0</v>
      </c>
    </row>
    <row r="1358" spans="1:6" x14ac:dyDescent="0.25">
      <c r="A1358" s="9"/>
      <c r="B1358" s="9"/>
      <c r="D1358" s="9"/>
      <c r="E1358" s="10"/>
      <c r="F1358" s="8">
        <f>SUM(F1353:F1357)</f>
        <v>0</v>
      </c>
    </row>
    <row r="1359" spans="1:6" x14ac:dyDescent="0.25">
      <c r="A1359" s="9"/>
      <c r="B1359" s="9"/>
      <c r="D1359" s="9"/>
      <c r="E1359" s="10"/>
      <c r="F1359" s="10"/>
    </row>
    <row r="1360" spans="1:6" x14ac:dyDescent="0.25">
      <c r="A1360" s="9" t="s">
        <v>116</v>
      </c>
      <c r="B1360" s="4">
        <v>45678</v>
      </c>
      <c r="C1360" s="5">
        <v>50</v>
      </c>
      <c r="D1360" s="9" t="s">
        <v>98</v>
      </c>
      <c r="E1360" s="10"/>
      <c r="F1360" s="10">
        <f t="shared" si="21"/>
        <v>0</v>
      </c>
    </row>
    <row r="1361" spans="1:6" x14ac:dyDescent="0.25">
      <c r="A1361" s="9"/>
      <c r="B1361" s="9"/>
      <c r="D1361" s="9"/>
      <c r="E1361" s="10"/>
      <c r="F1361" s="8">
        <f>SUM(F1360)</f>
        <v>0</v>
      </c>
    </row>
    <row r="1362" spans="1:6" x14ac:dyDescent="0.25">
      <c r="A1362" s="9"/>
      <c r="B1362" s="9"/>
      <c r="D1362" s="9"/>
      <c r="E1362" s="10"/>
      <c r="F1362" s="10"/>
    </row>
    <row r="1363" spans="1:6" x14ac:dyDescent="0.25">
      <c r="A1363" s="9" t="s">
        <v>29</v>
      </c>
      <c r="B1363" s="4">
        <v>45678</v>
      </c>
      <c r="C1363" s="5">
        <v>1</v>
      </c>
      <c r="D1363" s="9" t="s">
        <v>13</v>
      </c>
      <c r="E1363" s="10">
        <v>160</v>
      </c>
      <c r="F1363" s="10">
        <f t="shared" si="21"/>
        <v>160</v>
      </c>
    </row>
    <row r="1364" spans="1:6" x14ac:dyDescent="0.25">
      <c r="A1364" s="9"/>
      <c r="B1364" s="9"/>
      <c r="C1364" s="5">
        <v>3</v>
      </c>
      <c r="D1364" s="9" t="s">
        <v>9</v>
      </c>
      <c r="E1364" s="10">
        <v>3.3333330000000001</v>
      </c>
      <c r="F1364" s="10">
        <f t="shared" si="21"/>
        <v>9.9999990000000007</v>
      </c>
    </row>
    <row r="1365" spans="1:6" x14ac:dyDescent="0.25">
      <c r="A1365" s="9"/>
      <c r="B1365" s="9"/>
      <c r="C1365" s="5">
        <v>3</v>
      </c>
      <c r="D1365" s="9" t="s">
        <v>8</v>
      </c>
      <c r="E1365" s="10">
        <v>170</v>
      </c>
      <c r="F1365" s="10">
        <f t="shared" si="21"/>
        <v>510</v>
      </c>
    </row>
    <row r="1366" spans="1:6" x14ac:dyDescent="0.25">
      <c r="A1366" s="9"/>
      <c r="B1366" s="9"/>
      <c r="D1366" s="9"/>
      <c r="E1366" s="10"/>
      <c r="F1366" s="8">
        <f>SUM(F1363:F1365)</f>
        <v>679.999999</v>
      </c>
    </row>
    <row r="1367" spans="1:6" x14ac:dyDescent="0.25">
      <c r="A1367" s="9"/>
      <c r="B1367" s="9"/>
      <c r="D1367" s="9"/>
      <c r="E1367" s="10"/>
      <c r="F1367" s="10"/>
    </row>
    <row r="1368" spans="1:6" x14ac:dyDescent="0.25">
      <c r="A1368" s="9" t="s">
        <v>7</v>
      </c>
      <c r="B1368" s="4">
        <v>45678</v>
      </c>
      <c r="C1368" s="5">
        <v>1</v>
      </c>
      <c r="D1368" s="9" t="s">
        <v>8</v>
      </c>
      <c r="E1368" s="10">
        <v>170</v>
      </c>
      <c r="F1368" s="10">
        <f t="shared" si="21"/>
        <v>170</v>
      </c>
    </row>
    <row r="1369" spans="1:6" x14ac:dyDescent="0.25">
      <c r="A1369" s="9"/>
      <c r="B1369" s="9"/>
      <c r="C1369" s="5">
        <v>2</v>
      </c>
      <c r="D1369" s="9" t="s">
        <v>8</v>
      </c>
      <c r="E1369" s="10">
        <v>170</v>
      </c>
      <c r="F1369" s="10">
        <f t="shared" si="21"/>
        <v>340</v>
      </c>
    </row>
    <row r="1370" spans="1:6" x14ac:dyDescent="0.25">
      <c r="A1370" s="9"/>
      <c r="B1370" s="9"/>
      <c r="C1370" s="5">
        <v>10</v>
      </c>
      <c r="D1370" s="9" t="s">
        <v>161</v>
      </c>
      <c r="E1370" s="10">
        <v>140</v>
      </c>
      <c r="F1370" s="10">
        <f t="shared" si="21"/>
        <v>1400</v>
      </c>
    </row>
    <row r="1371" spans="1:6" x14ac:dyDescent="0.25">
      <c r="A1371" s="9"/>
      <c r="B1371" s="9"/>
      <c r="C1371" s="5">
        <v>3</v>
      </c>
      <c r="D1371" s="9" t="s">
        <v>13</v>
      </c>
      <c r="E1371" s="10">
        <v>160</v>
      </c>
      <c r="F1371" s="10">
        <f t="shared" si="21"/>
        <v>480</v>
      </c>
    </row>
    <row r="1372" spans="1:6" x14ac:dyDescent="0.25">
      <c r="A1372" s="9"/>
      <c r="B1372" s="9"/>
      <c r="C1372" s="5">
        <v>1</v>
      </c>
      <c r="D1372" s="9" t="s">
        <v>13</v>
      </c>
      <c r="E1372" s="10">
        <v>160</v>
      </c>
      <c r="F1372" s="10">
        <f t="shared" si="21"/>
        <v>160</v>
      </c>
    </row>
    <row r="1373" spans="1:6" x14ac:dyDescent="0.25">
      <c r="A1373" s="9"/>
      <c r="B1373" s="9"/>
      <c r="C1373" s="5">
        <v>1</v>
      </c>
      <c r="D1373" s="9" t="s">
        <v>8</v>
      </c>
      <c r="E1373" s="10">
        <v>170</v>
      </c>
      <c r="F1373" s="10">
        <f t="shared" si="21"/>
        <v>170</v>
      </c>
    </row>
    <row r="1374" spans="1:6" x14ac:dyDescent="0.25">
      <c r="A1374" s="9"/>
      <c r="B1374" s="9"/>
      <c r="C1374" s="5">
        <v>2</v>
      </c>
      <c r="D1374" s="9" t="s">
        <v>162</v>
      </c>
      <c r="E1374" s="10">
        <v>140</v>
      </c>
      <c r="F1374" s="10">
        <f t="shared" si="21"/>
        <v>280</v>
      </c>
    </row>
    <row r="1375" spans="1:6" x14ac:dyDescent="0.25">
      <c r="A1375" s="9"/>
      <c r="B1375" s="9"/>
      <c r="C1375" s="5">
        <v>1</v>
      </c>
      <c r="D1375" s="9" t="s">
        <v>139</v>
      </c>
      <c r="E1375" s="10">
        <v>140</v>
      </c>
      <c r="F1375" s="10">
        <f t="shared" si="21"/>
        <v>140</v>
      </c>
    </row>
    <row r="1376" spans="1:6" x14ac:dyDescent="0.25">
      <c r="A1376" s="9"/>
      <c r="B1376" s="9"/>
      <c r="D1376" s="9"/>
      <c r="E1376" s="10"/>
      <c r="F1376" s="8">
        <f>SUM(F1368:F1375)</f>
        <v>3140</v>
      </c>
    </row>
    <row r="1377" spans="1:6" x14ac:dyDescent="0.25">
      <c r="A1377" s="9"/>
      <c r="B1377" s="9"/>
      <c r="D1377" s="9"/>
      <c r="E1377" s="10"/>
      <c r="F1377" s="10"/>
    </row>
    <row r="1378" spans="1:6" x14ac:dyDescent="0.25">
      <c r="A1378" s="9" t="s">
        <v>127</v>
      </c>
      <c r="B1378" s="4">
        <v>45679</v>
      </c>
      <c r="C1378" s="5">
        <v>30</v>
      </c>
      <c r="D1378" s="9" t="s">
        <v>13</v>
      </c>
      <c r="E1378" s="10">
        <v>145</v>
      </c>
      <c r="F1378" s="10">
        <f t="shared" si="21"/>
        <v>4350</v>
      </c>
    </row>
    <row r="1379" spans="1:6" x14ac:dyDescent="0.25">
      <c r="A1379" s="9"/>
      <c r="B1379" s="9"/>
      <c r="D1379" s="9"/>
      <c r="E1379" s="10"/>
      <c r="F1379" s="8">
        <f>SUM(F1378)</f>
        <v>4350</v>
      </c>
    </row>
    <row r="1380" spans="1:6" x14ac:dyDescent="0.25">
      <c r="A1380" s="9"/>
      <c r="B1380" s="9"/>
      <c r="D1380" s="9"/>
      <c r="E1380" s="10"/>
      <c r="F1380" s="10"/>
    </row>
    <row r="1381" spans="1:6" x14ac:dyDescent="0.25">
      <c r="A1381" s="9" t="s">
        <v>62</v>
      </c>
      <c r="B1381" s="4">
        <v>45679</v>
      </c>
      <c r="C1381" s="5">
        <v>140</v>
      </c>
      <c r="D1381" s="9" t="s">
        <v>8</v>
      </c>
      <c r="E1381" s="10">
        <v>155</v>
      </c>
      <c r="F1381" s="10">
        <f t="shared" si="21"/>
        <v>21700</v>
      </c>
    </row>
    <row r="1382" spans="1:6" x14ac:dyDescent="0.25">
      <c r="A1382" s="9"/>
      <c r="B1382" s="9"/>
      <c r="C1382" s="5">
        <v>20</v>
      </c>
      <c r="D1382" s="9" t="s">
        <v>13</v>
      </c>
      <c r="E1382" s="10">
        <v>145</v>
      </c>
      <c r="F1382" s="10">
        <f t="shared" si="21"/>
        <v>2900</v>
      </c>
    </row>
    <row r="1383" spans="1:6" x14ac:dyDescent="0.25">
      <c r="A1383" s="9"/>
      <c r="B1383" s="9"/>
      <c r="C1383" s="5">
        <v>20</v>
      </c>
      <c r="D1383" s="9" t="s">
        <v>12</v>
      </c>
      <c r="E1383" s="10">
        <v>135</v>
      </c>
      <c r="F1383" s="10">
        <f t="shared" si="21"/>
        <v>2700</v>
      </c>
    </row>
    <row r="1384" spans="1:6" x14ac:dyDescent="0.25">
      <c r="A1384" s="9"/>
      <c r="B1384" s="9"/>
      <c r="D1384" s="9"/>
      <c r="E1384" s="10"/>
      <c r="F1384" s="8">
        <f>SUM(F1381:F1383)</f>
        <v>27300</v>
      </c>
    </row>
    <row r="1385" spans="1:6" x14ac:dyDescent="0.25">
      <c r="A1385" s="9"/>
      <c r="B1385" s="9"/>
      <c r="D1385" s="9"/>
      <c r="E1385" s="10"/>
      <c r="F1385" s="10"/>
    </row>
    <row r="1386" spans="1:6" x14ac:dyDescent="0.25">
      <c r="A1386" s="9" t="s">
        <v>163</v>
      </c>
      <c r="B1386" s="4">
        <v>45679</v>
      </c>
      <c r="C1386" s="5">
        <v>5</v>
      </c>
      <c r="D1386" s="9" t="s">
        <v>13</v>
      </c>
      <c r="E1386" s="10">
        <v>140</v>
      </c>
      <c r="F1386" s="10">
        <f t="shared" si="21"/>
        <v>700</v>
      </c>
    </row>
    <row r="1387" spans="1:6" x14ac:dyDescent="0.25">
      <c r="A1387" s="9"/>
      <c r="B1387" s="9"/>
      <c r="D1387" s="9"/>
      <c r="E1387" s="10"/>
      <c r="F1387" s="8">
        <f>SUM(F1386)</f>
        <v>700</v>
      </c>
    </row>
    <row r="1388" spans="1:6" x14ac:dyDescent="0.25">
      <c r="A1388" s="9"/>
      <c r="B1388" s="9"/>
      <c r="D1388" s="9"/>
      <c r="E1388" s="10"/>
      <c r="F1388" s="10"/>
    </row>
    <row r="1389" spans="1:6" x14ac:dyDescent="0.25">
      <c r="A1389" s="9" t="s">
        <v>164</v>
      </c>
      <c r="B1389" s="4">
        <v>45679</v>
      </c>
      <c r="C1389" s="5">
        <v>5</v>
      </c>
      <c r="D1389" s="9" t="s">
        <v>8</v>
      </c>
      <c r="E1389" s="10">
        <v>170</v>
      </c>
      <c r="F1389" s="10">
        <f t="shared" si="21"/>
        <v>850</v>
      </c>
    </row>
    <row r="1390" spans="1:6" x14ac:dyDescent="0.25">
      <c r="A1390" s="9"/>
      <c r="B1390" s="9"/>
      <c r="D1390" s="9"/>
      <c r="E1390" s="10"/>
      <c r="F1390" s="8">
        <f>SUM(F1389)</f>
        <v>850</v>
      </c>
    </row>
    <row r="1391" spans="1:6" x14ac:dyDescent="0.25">
      <c r="A1391" s="9"/>
      <c r="B1391" s="9"/>
      <c r="D1391" s="9"/>
      <c r="E1391" s="10"/>
      <c r="F1391" s="10"/>
    </row>
    <row r="1392" spans="1:6" x14ac:dyDescent="0.25">
      <c r="A1392" s="9" t="s">
        <v>56</v>
      </c>
      <c r="B1392" s="4">
        <v>45679</v>
      </c>
      <c r="C1392" s="5">
        <v>10</v>
      </c>
      <c r="D1392" s="9" t="s">
        <v>16</v>
      </c>
      <c r="E1392" s="10">
        <v>100</v>
      </c>
      <c r="F1392" s="10">
        <f t="shared" si="21"/>
        <v>1000</v>
      </c>
    </row>
    <row r="1393" spans="1:6" x14ac:dyDescent="0.25">
      <c r="A1393" s="9"/>
      <c r="B1393" s="9"/>
      <c r="D1393" s="9"/>
      <c r="E1393" s="10"/>
      <c r="F1393" s="8">
        <f>SUM(F1392)</f>
        <v>1000</v>
      </c>
    </row>
    <row r="1394" spans="1:6" x14ac:dyDescent="0.25">
      <c r="A1394" s="9"/>
      <c r="B1394" s="9"/>
      <c r="D1394" s="9"/>
      <c r="E1394" s="10"/>
      <c r="F1394" s="10"/>
    </row>
    <row r="1395" spans="1:6" x14ac:dyDescent="0.25">
      <c r="A1395" s="9" t="s">
        <v>157</v>
      </c>
      <c r="B1395" s="4">
        <v>45679</v>
      </c>
      <c r="C1395" s="5">
        <v>10</v>
      </c>
      <c r="D1395" s="9" t="s">
        <v>13</v>
      </c>
      <c r="E1395" s="10">
        <v>140</v>
      </c>
      <c r="F1395" s="10">
        <f t="shared" si="21"/>
        <v>1400</v>
      </c>
    </row>
    <row r="1396" spans="1:6" x14ac:dyDescent="0.25">
      <c r="A1396" s="9"/>
      <c r="B1396" s="9"/>
      <c r="D1396" s="9"/>
      <c r="E1396" s="10"/>
      <c r="F1396" s="8">
        <f>SUM(F1395)</f>
        <v>1400</v>
      </c>
    </row>
    <row r="1397" spans="1:6" x14ac:dyDescent="0.25">
      <c r="A1397" s="9"/>
      <c r="B1397" s="9"/>
      <c r="D1397" s="9"/>
      <c r="E1397" s="10"/>
      <c r="F1397" s="10"/>
    </row>
    <row r="1398" spans="1:6" x14ac:dyDescent="0.25">
      <c r="A1398" s="9" t="s">
        <v>17</v>
      </c>
      <c r="B1398" s="4">
        <v>45679</v>
      </c>
      <c r="C1398" s="5">
        <v>10</v>
      </c>
      <c r="D1398" s="9" t="s">
        <v>13</v>
      </c>
      <c r="E1398" s="10">
        <v>145</v>
      </c>
      <c r="F1398" s="10">
        <f t="shared" si="21"/>
        <v>1450</v>
      </c>
    </row>
    <row r="1399" spans="1:6" x14ac:dyDescent="0.25">
      <c r="A1399" s="9"/>
      <c r="B1399" s="9"/>
      <c r="D1399" s="9"/>
      <c r="E1399" s="10"/>
      <c r="F1399" s="8">
        <f>SUM(F1398)</f>
        <v>1450</v>
      </c>
    </row>
    <row r="1400" spans="1:6" x14ac:dyDescent="0.25">
      <c r="A1400" s="9"/>
      <c r="B1400" s="9"/>
      <c r="D1400" s="9"/>
      <c r="E1400" s="10"/>
      <c r="F1400" s="10"/>
    </row>
    <row r="1401" spans="1:6" x14ac:dyDescent="0.25">
      <c r="A1401" s="9" t="s">
        <v>20</v>
      </c>
      <c r="B1401" s="4">
        <v>45679</v>
      </c>
      <c r="C1401" s="5">
        <v>20</v>
      </c>
      <c r="D1401" s="9" t="s">
        <v>13</v>
      </c>
      <c r="E1401" s="10">
        <v>145</v>
      </c>
      <c r="F1401" s="10">
        <f t="shared" ref="F1401:F1461" si="22">+C1401*E1401</f>
        <v>2900</v>
      </c>
    </row>
    <row r="1402" spans="1:6" x14ac:dyDescent="0.25">
      <c r="A1402" s="9"/>
      <c r="B1402" s="9"/>
      <c r="D1402" s="9"/>
      <c r="E1402" s="10"/>
      <c r="F1402" s="8">
        <f>SUM(F1401)</f>
        <v>2900</v>
      </c>
    </row>
    <row r="1403" spans="1:6" x14ac:dyDescent="0.25">
      <c r="A1403" s="9"/>
      <c r="B1403" s="9"/>
      <c r="D1403" s="9"/>
      <c r="E1403" s="10"/>
      <c r="F1403" s="10"/>
    </row>
    <row r="1404" spans="1:6" x14ac:dyDescent="0.25">
      <c r="A1404" s="9" t="s">
        <v>38</v>
      </c>
      <c r="B1404" s="4">
        <v>45679</v>
      </c>
      <c r="C1404" s="5">
        <v>10</v>
      </c>
      <c r="D1404" s="9" t="s">
        <v>13</v>
      </c>
      <c r="E1404" s="10">
        <v>145</v>
      </c>
      <c r="F1404" s="10">
        <f t="shared" si="22"/>
        <v>1450</v>
      </c>
    </row>
    <row r="1405" spans="1:6" x14ac:dyDescent="0.25">
      <c r="A1405" s="9"/>
      <c r="B1405" s="9"/>
      <c r="C1405" s="5">
        <v>10</v>
      </c>
      <c r="D1405" s="9" t="s">
        <v>12</v>
      </c>
      <c r="E1405" s="10">
        <v>135</v>
      </c>
      <c r="F1405" s="10">
        <f t="shared" si="22"/>
        <v>1350</v>
      </c>
    </row>
    <row r="1406" spans="1:6" x14ac:dyDescent="0.25">
      <c r="A1406" s="9"/>
      <c r="B1406" s="9"/>
      <c r="D1406" s="9"/>
      <c r="E1406" s="10"/>
      <c r="F1406" s="8">
        <f>SUM(F1404:F1405)</f>
        <v>2800</v>
      </c>
    </row>
    <row r="1407" spans="1:6" x14ac:dyDescent="0.25">
      <c r="A1407" s="9"/>
      <c r="B1407" s="9"/>
      <c r="D1407" s="9"/>
      <c r="E1407" s="10"/>
      <c r="F1407" s="10"/>
    </row>
    <row r="1408" spans="1:6" x14ac:dyDescent="0.25">
      <c r="A1408" s="9" t="s">
        <v>57</v>
      </c>
      <c r="B1408" s="4">
        <v>45679</v>
      </c>
      <c r="C1408" s="5">
        <v>10</v>
      </c>
      <c r="D1408" s="9" t="s">
        <v>165</v>
      </c>
      <c r="E1408" s="10">
        <v>145</v>
      </c>
      <c r="F1408" s="10">
        <f t="shared" si="22"/>
        <v>1450</v>
      </c>
    </row>
    <row r="1409" spans="1:6" x14ac:dyDescent="0.25">
      <c r="A1409" s="9"/>
      <c r="B1409" s="9"/>
      <c r="D1409" s="9"/>
      <c r="E1409" s="10"/>
      <c r="F1409" s="8">
        <f>SUM(F1408)</f>
        <v>1450</v>
      </c>
    </row>
    <row r="1410" spans="1:6" x14ac:dyDescent="0.25">
      <c r="A1410" s="9"/>
      <c r="B1410" s="9"/>
      <c r="D1410" s="9"/>
      <c r="E1410" s="10"/>
      <c r="F1410" s="10"/>
    </row>
    <row r="1411" spans="1:6" x14ac:dyDescent="0.25">
      <c r="A1411" s="9" t="s">
        <v>21</v>
      </c>
      <c r="B1411" s="4">
        <v>45679</v>
      </c>
      <c r="C1411" s="5">
        <v>20</v>
      </c>
      <c r="D1411" s="9" t="s">
        <v>22</v>
      </c>
      <c r="E1411" s="10">
        <v>150</v>
      </c>
      <c r="F1411" s="10">
        <f t="shared" si="22"/>
        <v>3000</v>
      </c>
    </row>
    <row r="1412" spans="1:6" x14ac:dyDescent="0.25">
      <c r="A1412" s="9"/>
      <c r="B1412" s="9"/>
      <c r="C1412" s="5">
        <v>10</v>
      </c>
      <c r="D1412" s="9" t="s">
        <v>12</v>
      </c>
      <c r="E1412" s="10">
        <v>135</v>
      </c>
      <c r="F1412" s="10">
        <f t="shared" si="22"/>
        <v>1350</v>
      </c>
    </row>
    <row r="1413" spans="1:6" x14ac:dyDescent="0.25">
      <c r="A1413" s="9"/>
      <c r="B1413" s="9"/>
      <c r="D1413" s="9"/>
      <c r="E1413" s="10"/>
      <c r="F1413" s="8">
        <f>SUM(F1411:F1412)</f>
        <v>4350</v>
      </c>
    </row>
    <row r="1414" spans="1:6" x14ac:dyDescent="0.25">
      <c r="A1414" s="9"/>
      <c r="B1414" s="9"/>
      <c r="D1414" s="9"/>
      <c r="E1414" s="10"/>
      <c r="F1414" s="10"/>
    </row>
    <row r="1415" spans="1:6" x14ac:dyDescent="0.25">
      <c r="A1415" s="9" t="s">
        <v>40</v>
      </c>
      <c r="B1415" s="4">
        <v>45679</v>
      </c>
      <c r="C1415" s="5">
        <v>19</v>
      </c>
      <c r="D1415" s="9" t="s">
        <v>13</v>
      </c>
      <c r="E1415" s="10">
        <v>140</v>
      </c>
      <c r="F1415" s="10">
        <f t="shared" si="22"/>
        <v>2660</v>
      </c>
    </row>
    <row r="1416" spans="1:6" x14ac:dyDescent="0.25">
      <c r="A1416" s="9"/>
      <c r="B1416" s="9"/>
      <c r="C1416" s="5">
        <v>13</v>
      </c>
      <c r="D1416" s="9" t="s">
        <v>14</v>
      </c>
      <c r="E1416" s="10">
        <v>135</v>
      </c>
      <c r="F1416" s="10">
        <f t="shared" si="22"/>
        <v>1755</v>
      </c>
    </row>
    <row r="1417" spans="1:6" x14ac:dyDescent="0.25">
      <c r="A1417" s="9"/>
      <c r="B1417" s="9"/>
      <c r="C1417" s="5">
        <v>13</v>
      </c>
      <c r="D1417" s="9" t="s">
        <v>12</v>
      </c>
      <c r="E1417" s="10">
        <v>135</v>
      </c>
      <c r="F1417" s="10">
        <f t="shared" si="22"/>
        <v>1755</v>
      </c>
    </row>
    <row r="1418" spans="1:6" x14ac:dyDescent="0.25">
      <c r="A1418" s="9"/>
      <c r="B1418" s="9"/>
      <c r="C1418" s="5">
        <v>13</v>
      </c>
      <c r="D1418" s="9" t="s">
        <v>166</v>
      </c>
      <c r="E1418" s="10">
        <v>125</v>
      </c>
      <c r="F1418" s="10">
        <f t="shared" si="22"/>
        <v>1625</v>
      </c>
    </row>
    <row r="1419" spans="1:6" x14ac:dyDescent="0.25">
      <c r="A1419" s="9"/>
      <c r="B1419" s="9"/>
      <c r="D1419" s="9"/>
      <c r="E1419" s="10"/>
      <c r="F1419" s="8">
        <f>SUM(F1415:F1418)</f>
        <v>7795</v>
      </c>
    </row>
    <row r="1420" spans="1:6" x14ac:dyDescent="0.25">
      <c r="A1420" s="9"/>
      <c r="B1420" s="9"/>
      <c r="D1420" s="9"/>
      <c r="E1420" s="10"/>
      <c r="F1420" s="10"/>
    </row>
    <row r="1421" spans="1:6" x14ac:dyDescent="0.25">
      <c r="A1421" s="9" t="s">
        <v>15</v>
      </c>
      <c r="B1421" s="4">
        <v>45679</v>
      </c>
      <c r="C1421" s="5">
        <v>50</v>
      </c>
      <c r="D1421" s="9" t="s">
        <v>36</v>
      </c>
      <c r="E1421" s="10">
        <v>100</v>
      </c>
      <c r="F1421" s="10">
        <f t="shared" si="22"/>
        <v>5000</v>
      </c>
    </row>
    <row r="1422" spans="1:6" x14ac:dyDescent="0.25">
      <c r="A1422" s="9"/>
      <c r="B1422" s="9"/>
      <c r="D1422" s="9"/>
      <c r="E1422" s="10"/>
      <c r="F1422" s="8">
        <f>SUM(F1421)</f>
        <v>5000</v>
      </c>
    </row>
    <row r="1423" spans="1:6" x14ac:dyDescent="0.25">
      <c r="A1423" s="9"/>
      <c r="B1423" s="9"/>
      <c r="D1423" s="9"/>
      <c r="E1423" s="10"/>
      <c r="F1423" s="10"/>
    </row>
    <row r="1424" spans="1:6" x14ac:dyDescent="0.25">
      <c r="A1424" s="9" t="s">
        <v>41</v>
      </c>
      <c r="B1424" s="4">
        <v>45679</v>
      </c>
      <c r="C1424" s="5">
        <v>35</v>
      </c>
      <c r="D1424" s="9" t="s">
        <v>14</v>
      </c>
      <c r="E1424" s="10">
        <v>140</v>
      </c>
      <c r="F1424" s="10">
        <f t="shared" si="22"/>
        <v>4900</v>
      </c>
    </row>
    <row r="1425" spans="1:6" x14ac:dyDescent="0.25">
      <c r="A1425" s="9"/>
      <c r="B1425" s="9"/>
      <c r="D1425" s="9"/>
      <c r="E1425" s="10"/>
      <c r="F1425" s="8">
        <f>SUM(F1424)</f>
        <v>4900</v>
      </c>
    </row>
    <row r="1426" spans="1:6" x14ac:dyDescent="0.25">
      <c r="A1426" s="9"/>
      <c r="B1426" s="9"/>
      <c r="D1426" s="9"/>
      <c r="E1426" s="10"/>
      <c r="F1426" s="10"/>
    </row>
    <row r="1427" spans="1:6" x14ac:dyDescent="0.25">
      <c r="A1427" s="9" t="s">
        <v>107</v>
      </c>
      <c r="B1427" s="4">
        <v>45679</v>
      </c>
      <c r="C1427" s="5">
        <v>64</v>
      </c>
      <c r="D1427" s="9" t="s">
        <v>14</v>
      </c>
      <c r="E1427" s="10">
        <v>140</v>
      </c>
      <c r="F1427" s="10">
        <f t="shared" si="22"/>
        <v>8960</v>
      </c>
    </row>
    <row r="1428" spans="1:6" x14ac:dyDescent="0.25">
      <c r="A1428" s="9"/>
      <c r="B1428" s="9"/>
      <c r="D1428" s="9"/>
      <c r="E1428" s="10"/>
      <c r="F1428" s="8">
        <f>SUM(F1427)</f>
        <v>8960</v>
      </c>
    </row>
    <row r="1429" spans="1:6" x14ac:dyDescent="0.25">
      <c r="A1429" s="9"/>
      <c r="B1429" s="9"/>
      <c r="D1429" s="9"/>
      <c r="E1429" s="10"/>
      <c r="F1429" s="10"/>
    </row>
    <row r="1430" spans="1:6" x14ac:dyDescent="0.25">
      <c r="A1430" s="9" t="s">
        <v>43</v>
      </c>
      <c r="B1430" s="4">
        <v>45679</v>
      </c>
      <c r="C1430" s="5">
        <v>20</v>
      </c>
      <c r="D1430" s="9" t="s">
        <v>14</v>
      </c>
      <c r="E1430" s="10">
        <v>125</v>
      </c>
      <c r="F1430" s="10">
        <f t="shared" si="22"/>
        <v>2500</v>
      </c>
    </row>
    <row r="1431" spans="1:6" x14ac:dyDescent="0.25">
      <c r="A1431" s="9"/>
      <c r="B1431" s="9"/>
      <c r="D1431" s="9"/>
      <c r="E1431" s="10"/>
      <c r="F1431" s="8">
        <f>SUM(F1430)</f>
        <v>2500</v>
      </c>
    </row>
    <row r="1432" spans="1:6" x14ac:dyDescent="0.25">
      <c r="A1432" s="9"/>
      <c r="B1432" s="9"/>
      <c r="D1432" s="9"/>
      <c r="E1432" s="10"/>
      <c r="F1432" s="10"/>
    </row>
    <row r="1433" spans="1:6" x14ac:dyDescent="0.25">
      <c r="A1433" s="9" t="s">
        <v>44</v>
      </c>
      <c r="B1433" s="4">
        <v>45679</v>
      </c>
      <c r="C1433" s="5">
        <v>20</v>
      </c>
      <c r="D1433" s="9" t="s">
        <v>14</v>
      </c>
      <c r="E1433" s="10">
        <v>125</v>
      </c>
      <c r="F1433" s="10">
        <f t="shared" si="22"/>
        <v>2500</v>
      </c>
    </row>
    <row r="1434" spans="1:6" x14ac:dyDescent="0.25">
      <c r="A1434" s="9"/>
      <c r="B1434" s="9"/>
      <c r="D1434" s="9"/>
      <c r="E1434" s="10"/>
      <c r="F1434" s="8">
        <f>SUM(F1433)</f>
        <v>2500</v>
      </c>
    </row>
    <row r="1435" spans="1:6" x14ac:dyDescent="0.25">
      <c r="A1435" s="9"/>
      <c r="B1435" s="9"/>
      <c r="D1435" s="9"/>
      <c r="E1435" s="10"/>
      <c r="F1435" s="10"/>
    </row>
    <row r="1436" spans="1:6" x14ac:dyDescent="0.25">
      <c r="A1436" s="9" t="s">
        <v>18</v>
      </c>
      <c r="B1436" s="4">
        <v>45679</v>
      </c>
      <c r="C1436" s="5">
        <v>10</v>
      </c>
      <c r="D1436" s="9" t="s">
        <v>14</v>
      </c>
      <c r="E1436" s="10">
        <v>125</v>
      </c>
      <c r="F1436" s="10">
        <f t="shared" si="22"/>
        <v>1250</v>
      </c>
    </row>
    <row r="1437" spans="1:6" x14ac:dyDescent="0.25">
      <c r="A1437" s="9"/>
      <c r="B1437" s="9"/>
      <c r="D1437" s="9"/>
      <c r="E1437" s="10"/>
      <c r="F1437" s="8">
        <f>SUM(F1436)</f>
        <v>1250</v>
      </c>
    </row>
    <row r="1438" spans="1:6" x14ac:dyDescent="0.25">
      <c r="A1438" s="9"/>
      <c r="B1438" s="9"/>
      <c r="D1438" s="9"/>
      <c r="E1438" s="10"/>
      <c r="F1438" s="10"/>
    </row>
    <row r="1439" spans="1:6" x14ac:dyDescent="0.25">
      <c r="A1439" s="9" t="s">
        <v>138</v>
      </c>
      <c r="B1439" s="4">
        <v>45679</v>
      </c>
      <c r="C1439" s="5">
        <v>30</v>
      </c>
      <c r="D1439" s="9" t="s">
        <v>14</v>
      </c>
      <c r="E1439" s="10">
        <v>130</v>
      </c>
      <c r="F1439" s="10">
        <f t="shared" si="22"/>
        <v>3900</v>
      </c>
    </row>
    <row r="1440" spans="1:6" x14ac:dyDescent="0.25">
      <c r="A1440" s="9"/>
      <c r="B1440" s="9"/>
      <c r="D1440" s="9"/>
      <c r="E1440" s="10"/>
      <c r="F1440" s="8">
        <f>SUM(F1439)</f>
        <v>3900</v>
      </c>
    </row>
    <row r="1441" spans="1:6" x14ac:dyDescent="0.25">
      <c r="A1441" s="9"/>
      <c r="B1441" s="9"/>
      <c r="D1441" s="9"/>
      <c r="E1441" s="10"/>
      <c r="F1441" s="10"/>
    </row>
    <row r="1442" spans="1:6" x14ac:dyDescent="0.25">
      <c r="A1442" s="9" t="s">
        <v>45</v>
      </c>
      <c r="B1442" s="4">
        <v>45679</v>
      </c>
      <c r="C1442" s="5">
        <v>2</v>
      </c>
      <c r="D1442" s="9" t="s">
        <v>14</v>
      </c>
      <c r="E1442" s="10">
        <v>130</v>
      </c>
      <c r="F1442" s="10">
        <f t="shared" si="22"/>
        <v>260</v>
      </c>
    </row>
    <row r="1443" spans="1:6" x14ac:dyDescent="0.25">
      <c r="A1443" s="9"/>
      <c r="B1443" s="9"/>
      <c r="D1443" s="9"/>
      <c r="E1443" s="10"/>
      <c r="F1443" s="8">
        <f>SUM(F1442)</f>
        <v>260</v>
      </c>
    </row>
    <row r="1444" spans="1:6" x14ac:dyDescent="0.25">
      <c r="A1444" s="9"/>
      <c r="B1444" s="9"/>
      <c r="D1444" s="9"/>
      <c r="E1444" s="10"/>
      <c r="F1444" s="10"/>
    </row>
    <row r="1445" spans="1:6" x14ac:dyDescent="0.25">
      <c r="A1445" s="9" t="s">
        <v>151</v>
      </c>
      <c r="B1445" s="4">
        <v>45679</v>
      </c>
      <c r="C1445" s="5">
        <v>100</v>
      </c>
      <c r="D1445" s="9" t="s">
        <v>13</v>
      </c>
      <c r="E1445" s="10">
        <v>130</v>
      </c>
      <c r="F1445" s="10">
        <f t="shared" si="22"/>
        <v>13000</v>
      </c>
    </row>
    <row r="1446" spans="1:6" x14ac:dyDescent="0.25">
      <c r="A1446" s="9"/>
      <c r="B1446" s="9"/>
      <c r="C1446" s="5">
        <v>50</v>
      </c>
      <c r="D1446" s="9" t="s">
        <v>12</v>
      </c>
      <c r="E1446" s="10">
        <v>125</v>
      </c>
      <c r="F1446" s="10">
        <f t="shared" si="22"/>
        <v>6250</v>
      </c>
    </row>
    <row r="1447" spans="1:6" x14ac:dyDescent="0.25">
      <c r="A1447" s="9"/>
      <c r="B1447" s="9"/>
      <c r="D1447" s="9"/>
      <c r="E1447" s="10"/>
      <c r="F1447" s="8">
        <f>SUM(F1445:F1446)</f>
        <v>19250</v>
      </c>
    </row>
    <row r="1448" spans="1:6" x14ac:dyDescent="0.25">
      <c r="A1448" s="9"/>
      <c r="B1448" s="9"/>
      <c r="D1448" s="9"/>
      <c r="E1448" s="10"/>
      <c r="F1448" s="10"/>
    </row>
    <row r="1449" spans="1:6" x14ac:dyDescent="0.25">
      <c r="A1449" s="9" t="s">
        <v>167</v>
      </c>
      <c r="B1449" s="4">
        <v>45679</v>
      </c>
      <c r="C1449" s="5">
        <v>15</v>
      </c>
      <c r="D1449" s="9" t="s">
        <v>13</v>
      </c>
      <c r="E1449" s="10">
        <v>150</v>
      </c>
      <c r="F1449" s="10">
        <f t="shared" si="22"/>
        <v>2250</v>
      </c>
    </row>
    <row r="1450" spans="1:6" x14ac:dyDescent="0.25">
      <c r="A1450" s="9"/>
      <c r="B1450" s="9"/>
      <c r="D1450" s="9"/>
      <c r="E1450" s="10"/>
      <c r="F1450" s="8">
        <f>SUM(F1449)</f>
        <v>2250</v>
      </c>
    </row>
    <row r="1451" spans="1:6" x14ac:dyDescent="0.25">
      <c r="A1451" s="9"/>
      <c r="B1451" s="9"/>
      <c r="D1451" s="9"/>
      <c r="E1451" s="10"/>
      <c r="F1451" s="10"/>
    </row>
    <row r="1452" spans="1:6" x14ac:dyDescent="0.25">
      <c r="A1452" s="9" t="s">
        <v>114</v>
      </c>
      <c r="B1452" s="4">
        <v>45679</v>
      </c>
      <c r="C1452" s="5">
        <v>4</v>
      </c>
      <c r="D1452" s="9" t="s">
        <v>13</v>
      </c>
      <c r="E1452" s="10">
        <v>150</v>
      </c>
      <c r="F1452" s="10">
        <f t="shared" si="22"/>
        <v>600</v>
      </c>
    </row>
    <row r="1453" spans="1:6" x14ac:dyDescent="0.25">
      <c r="A1453" s="9"/>
      <c r="B1453" s="9"/>
      <c r="D1453" s="9"/>
      <c r="E1453" s="10"/>
      <c r="F1453" s="8">
        <f>SUM(F1452)</f>
        <v>600</v>
      </c>
    </row>
    <row r="1454" spans="1:6" x14ac:dyDescent="0.25">
      <c r="A1454" s="9"/>
      <c r="B1454" s="9"/>
      <c r="D1454" s="9"/>
      <c r="E1454" s="10"/>
      <c r="F1454" s="10"/>
    </row>
    <row r="1455" spans="1:6" x14ac:dyDescent="0.25">
      <c r="A1455" s="9" t="s">
        <v>32</v>
      </c>
      <c r="B1455" s="4">
        <v>45679</v>
      </c>
      <c r="C1455" s="5">
        <v>50</v>
      </c>
      <c r="D1455" s="9" t="s">
        <v>13</v>
      </c>
      <c r="E1455" s="10">
        <v>150</v>
      </c>
      <c r="F1455" s="10">
        <f t="shared" si="22"/>
        <v>7500</v>
      </c>
    </row>
    <row r="1456" spans="1:6" x14ac:dyDescent="0.25">
      <c r="A1456" s="9"/>
      <c r="B1456" s="9"/>
      <c r="D1456" s="9"/>
      <c r="E1456" s="10"/>
      <c r="F1456" s="8">
        <f>SUM(F1455)</f>
        <v>7500</v>
      </c>
    </row>
    <row r="1457" spans="1:6" x14ac:dyDescent="0.25">
      <c r="A1457" s="9"/>
      <c r="B1457" s="9"/>
      <c r="D1457" s="9"/>
      <c r="E1457" s="10"/>
      <c r="F1457" s="10"/>
    </row>
    <row r="1458" spans="1:6" x14ac:dyDescent="0.25">
      <c r="A1458" s="9" t="s">
        <v>72</v>
      </c>
      <c r="B1458" s="4">
        <v>45679</v>
      </c>
      <c r="C1458" s="5">
        <v>200</v>
      </c>
      <c r="D1458" s="9" t="s">
        <v>13</v>
      </c>
      <c r="E1458" s="10">
        <v>133</v>
      </c>
      <c r="F1458" s="10">
        <f t="shared" si="22"/>
        <v>26600</v>
      </c>
    </row>
    <row r="1459" spans="1:6" x14ac:dyDescent="0.25">
      <c r="A1459" s="9"/>
      <c r="B1459" s="9"/>
      <c r="C1459" s="5">
        <v>120</v>
      </c>
      <c r="D1459" s="9" t="s">
        <v>12</v>
      </c>
      <c r="E1459" s="10">
        <v>128</v>
      </c>
      <c r="F1459" s="10">
        <f t="shared" si="22"/>
        <v>15360</v>
      </c>
    </row>
    <row r="1460" spans="1:6" x14ac:dyDescent="0.25">
      <c r="A1460" s="9"/>
      <c r="B1460" s="9"/>
      <c r="C1460" s="5">
        <v>110</v>
      </c>
      <c r="D1460" s="9" t="s">
        <v>14</v>
      </c>
      <c r="E1460" s="10">
        <v>135</v>
      </c>
      <c r="F1460" s="10">
        <f t="shared" si="22"/>
        <v>14850</v>
      </c>
    </row>
    <row r="1461" spans="1:6" x14ac:dyDescent="0.25">
      <c r="A1461" s="9"/>
      <c r="B1461" s="9"/>
      <c r="C1461" s="5">
        <v>20</v>
      </c>
      <c r="D1461" s="9" t="s">
        <v>11</v>
      </c>
      <c r="E1461" s="10">
        <v>130</v>
      </c>
      <c r="F1461" s="10">
        <f t="shared" si="22"/>
        <v>2600</v>
      </c>
    </row>
    <row r="1462" spans="1:6" x14ac:dyDescent="0.25">
      <c r="A1462" s="9"/>
      <c r="B1462" s="9"/>
      <c r="D1462" s="9"/>
      <c r="E1462" s="10"/>
      <c r="F1462" s="8">
        <f>SUM(F1458:F1461)</f>
        <v>59410</v>
      </c>
    </row>
    <row r="1463" spans="1:6" x14ac:dyDescent="0.25">
      <c r="A1463" s="9"/>
      <c r="B1463" s="9"/>
      <c r="D1463" s="9"/>
      <c r="E1463" s="10"/>
      <c r="F1463" s="10"/>
    </row>
    <row r="1464" spans="1:6" x14ac:dyDescent="0.25">
      <c r="A1464" s="9" t="s">
        <v>26</v>
      </c>
      <c r="B1464" s="4">
        <v>45679</v>
      </c>
      <c r="C1464" s="5">
        <v>60</v>
      </c>
      <c r="D1464" s="9" t="s">
        <v>13</v>
      </c>
      <c r="E1464" s="10">
        <v>140</v>
      </c>
      <c r="F1464" s="10">
        <f t="shared" ref="F1464:F1527" si="23">+C1464*E1464</f>
        <v>8400</v>
      </c>
    </row>
    <row r="1465" spans="1:6" x14ac:dyDescent="0.25">
      <c r="A1465" s="9"/>
      <c r="B1465" s="9"/>
      <c r="C1465" s="5">
        <v>10</v>
      </c>
      <c r="D1465" s="9" t="s">
        <v>14</v>
      </c>
      <c r="E1465" s="10">
        <v>130</v>
      </c>
      <c r="F1465" s="10">
        <f t="shared" si="23"/>
        <v>1300</v>
      </c>
    </row>
    <row r="1466" spans="1:6" x14ac:dyDescent="0.25">
      <c r="A1466" s="9"/>
      <c r="B1466" s="9"/>
      <c r="D1466" s="9"/>
      <c r="E1466" s="10"/>
      <c r="F1466" s="8">
        <f>SUM(F1464:F1465)</f>
        <v>9700</v>
      </c>
    </row>
    <row r="1467" spans="1:6" x14ac:dyDescent="0.25">
      <c r="A1467" s="9"/>
      <c r="B1467" s="9"/>
      <c r="D1467" s="9"/>
      <c r="E1467" s="10"/>
      <c r="F1467" s="10"/>
    </row>
    <row r="1468" spans="1:6" x14ac:dyDescent="0.25">
      <c r="A1468" s="9" t="s">
        <v>29</v>
      </c>
      <c r="B1468" s="4">
        <v>45679</v>
      </c>
      <c r="C1468" s="5">
        <v>1</v>
      </c>
      <c r="D1468" s="9" t="s">
        <v>8</v>
      </c>
      <c r="E1468" s="10">
        <v>170</v>
      </c>
      <c r="F1468" s="10">
        <f t="shared" si="23"/>
        <v>170</v>
      </c>
    </row>
    <row r="1469" spans="1:6" x14ac:dyDescent="0.25">
      <c r="A1469" s="9"/>
      <c r="B1469" s="9"/>
      <c r="C1469" s="5">
        <v>5</v>
      </c>
      <c r="D1469" s="9" t="s">
        <v>168</v>
      </c>
      <c r="E1469" s="10">
        <v>150</v>
      </c>
      <c r="F1469" s="10">
        <f t="shared" si="23"/>
        <v>750</v>
      </c>
    </row>
    <row r="1470" spans="1:6" x14ac:dyDescent="0.25">
      <c r="A1470" s="9"/>
      <c r="B1470" s="9"/>
      <c r="D1470" s="9"/>
      <c r="E1470" s="10"/>
      <c r="F1470" s="8">
        <f>SUM(F1468:F1469)</f>
        <v>920</v>
      </c>
    </row>
    <row r="1471" spans="1:6" x14ac:dyDescent="0.25">
      <c r="A1471" s="9"/>
      <c r="B1471" s="9"/>
      <c r="D1471" s="9"/>
      <c r="E1471" s="10"/>
      <c r="F1471" s="10"/>
    </row>
    <row r="1472" spans="1:6" x14ac:dyDescent="0.25">
      <c r="A1472" s="9" t="s">
        <v>7</v>
      </c>
      <c r="B1472" s="4">
        <v>45679</v>
      </c>
      <c r="C1472" s="5">
        <v>5</v>
      </c>
      <c r="D1472" s="9" t="s">
        <v>169</v>
      </c>
      <c r="E1472" s="10">
        <v>0</v>
      </c>
      <c r="F1472" s="10">
        <f t="shared" si="23"/>
        <v>0</v>
      </c>
    </row>
    <row r="1473" spans="1:6" x14ac:dyDescent="0.25">
      <c r="A1473" s="9"/>
      <c r="B1473" s="9"/>
      <c r="C1473" s="5">
        <v>1</v>
      </c>
      <c r="D1473" s="9" t="s">
        <v>13</v>
      </c>
      <c r="E1473" s="10">
        <v>160</v>
      </c>
      <c r="F1473" s="10">
        <f t="shared" si="23"/>
        <v>160</v>
      </c>
    </row>
    <row r="1474" spans="1:6" x14ac:dyDescent="0.25">
      <c r="A1474" s="9"/>
      <c r="B1474" s="9"/>
      <c r="D1474" s="9"/>
      <c r="E1474" s="10"/>
      <c r="F1474" s="8">
        <f>SUM(F1472:F1473)</f>
        <v>160</v>
      </c>
    </row>
    <row r="1475" spans="1:6" x14ac:dyDescent="0.25">
      <c r="A1475" s="9"/>
      <c r="B1475" s="9"/>
      <c r="D1475" s="9"/>
      <c r="E1475" s="10"/>
      <c r="F1475" s="10"/>
    </row>
    <row r="1476" spans="1:6" x14ac:dyDescent="0.25">
      <c r="A1476" s="9" t="s">
        <v>61</v>
      </c>
      <c r="B1476" s="4">
        <v>45680</v>
      </c>
      <c r="C1476" s="5">
        <v>40</v>
      </c>
      <c r="D1476" s="9" t="s">
        <v>13</v>
      </c>
      <c r="E1476" s="10">
        <v>140</v>
      </c>
      <c r="F1476" s="10">
        <f t="shared" si="23"/>
        <v>5600</v>
      </c>
    </row>
    <row r="1477" spans="1:6" x14ac:dyDescent="0.25">
      <c r="A1477" s="9"/>
      <c r="B1477" s="9"/>
      <c r="D1477" s="9"/>
      <c r="E1477" s="10"/>
      <c r="F1477" s="8">
        <f>SUM(F1476)</f>
        <v>5600</v>
      </c>
    </row>
    <row r="1478" spans="1:6" x14ac:dyDescent="0.25">
      <c r="A1478" s="9"/>
      <c r="B1478" s="9"/>
      <c r="D1478" s="9"/>
      <c r="E1478" s="10"/>
      <c r="F1478" s="10"/>
    </row>
    <row r="1479" spans="1:6" x14ac:dyDescent="0.25">
      <c r="A1479" s="9" t="s">
        <v>60</v>
      </c>
      <c r="B1479" s="4">
        <v>45680</v>
      </c>
      <c r="C1479" s="5">
        <v>20</v>
      </c>
      <c r="D1479" s="9" t="s">
        <v>13</v>
      </c>
      <c r="E1479" s="10">
        <v>145</v>
      </c>
      <c r="F1479" s="10">
        <f t="shared" si="23"/>
        <v>2900</v>
      </c>
    </row>
    <row r="1480" spans="1:6" x14ac:dyDescent="0.25">
      <c r="A1480" s="9"/>
      <c r="B1480" s="9"/>
      <c r="D1480" s="9"/>
      <c r="E1480" s="10"/>
      <c r="F1480" s="8">
        <f>SUM(F1479)</f>
        <v>2900</v>
      </c>
    </row>
    <row r="1481" spans="1:6" x14ac:dyDescent="0.25">
      <c r="A1481" s="9"/>
      <c r="B1481" s="9"/>
      <c r="D1481" s="9"/>
      <c r="E1481" s="10"/>
      <c r="F1481" s="10"/>
    </row>
    <row r="1482" spans="1:6" x14ac:dyDescent="0.25">
      <c r="A1482" s="9" t="s">
        <v>113</v>
      </c>
      <c r="B1482" s="4">
        <v>45680</v>
      </c>
      <c r="C1482" s="5">
        <v>20</v>
      </c>
      <c r="D1482" s="9" t="s">
        <v>13</v>
      </c>
      <c r="E1482" s="10">
        <v>150</v>
      </c>
      <c r="F1482" s="13">
        <f t="shared" si="23"/>
        <v>3000</v>
      </c>
    </row>
    <row r="1483" spans="1:6" x14ac:dyDescent="0.25">
      <c r="A1483" s="9"/>
      <c r="B1483" s="9"/>
      <c r="D1483" s="9"/>
      <c r="E1483" s="10"/>
      <c r="F1483" s="8">
        <f>SUM(F1482)</f>
        <v>3000</v>
      </c>
    </row>
    <row r="1484" spans="1:6" x14ac:dyDescent="0.25">
      <c r="A1484" s="9"/>
      <c r="B1484" s="9"/>
      <c r="D1484" s="9"/>
      <c r="E1484" s="10"/>
      <c r="F1484" s="10"/>
    </row>
    <row r="1485" spans="1:6" x14ac:dyDescent="0.25">
      <c r="A1485" s="9" t="s">
        <v>112</v>
      </c>
      <c r="B1485" s="4">
        <v>45680</v>
      </c>
      <c r="C1485" s="5">
        <v>50</v>
      </c>
      <c r="D1485" s="9" t="s">
        <v>14</v>
      </c>
      <c r="E1485" s="10">
        <v>120</v>
      </c>
      <c r="F1485" s="10">
        <f t="shared" si="23"/>
        <v>6000</v>
      </c>
    </row>
    <row r="1486" spans="1:6" x14ac:dyDescent="0.25">
      <c r="A1486" s="9"/>
      <c r="B1486" s="9"/>
      <c r="C1486" s="5">
        <v>20</v>
      </c>
      <c r="D1486" s="9" t="s">
        <v>12</v>
      </c>
      <c r="E1486" s="10">
        <v>120</v>
      </c>
      <c r="F1486" s="10">
        <f t="shared" si="23"/>
        <v>2400</v>
      </c>
    </row>
    <row r="1487" spans="1:6" x14ac:dyDescent="0.25">
      <c r="A1487" s="9"/>
      <c r="B1487" s="9"/>
      <c r="D1487" s="9"/>
      <c r="E1487" s="10"/>
      <c r="F1487" s="8">
        <f>SUM(F1485:F1486)</f>
        <v>8400</v>
      </c>
    </row>
    <row r="1488" spans="1:6" x14ac:dyDescent="0.25">
      <c r="A1488" s="9"/>
      <c r="B1488" s="9"/>
      <c r="D1488" s="9"/>
      <c r="E1488" s="10"/>
      <c r="F1488" s="10"/>
    </row>
    <row r="1489" spans="1:6" x14ac:dyDescent="0.25">
      <c r="A1489" s="9" t="s">
        <v>89</v>
      </c>
      <c r="B1489" s="4">
        <v>45680</v>
      </c>
      <c r="C1489" s="5">
        <v>30</v>
      </c>
      <c r="D1489" s="9" t="s">
        <v>13</v>
      </c>
      <c r="E1489" s="10">
        <v>135</v>
      </c>
      <c r="F1489" s="10">
        <f t="shared" si="23"/>
        <v>4050</v>
      </c>
    </row>
    <row r="1490" spans="1:6" x14ac:dyDescent="0.25">
      <c r="A1490" s="9"/>
      <c r="B1490" s="9"/>
      <c r="C1490" s="5">
        <v>70</v>
      </c>
      <c r="D1490" s="9" t="s">
        <v>12</v>
      </c>
      <c r="E1490" s="10">
        <v>130</v>
      </c>
      <c r="F1490" s="10">
        <f t="shared" si="23"/>
        <v>9100</v>
      </c>
    </row>
    <row r="1491" spans="1:6" x14ac:dyDescent="0.25">
      <c r="A1491" s="9"/>
      <c r="B1491" s="9"/>
      <c r="D1491" s="9"/>
      <c r="E1491" s="10"/>
      <c r="F1491" s="8">
        <f>SUM(F1489:F1490)</f>
        <v>13150</v>
      </c>
    </row>
    <row r="1492" spans="1:6" x14ac:dyDescent="0.25">
      <c r="A1492" s="9"/>
      <c r="B1492" s="9"/>
      <c r="D1492" s="9"/>
      <c r="E1492" s="10"/>
      <c r="F1492" s="10"/>
    </row>
    <row r="1493" spans="1:6" x14ac:dyDescent="0.25">
      <c r="A1493" s="9" t="s">
        <v>68</v>
      </c>
      <c r="B1493" s="4">
        <v>45680</v>
      </c>
      <c r="C1493" s="5">
        <v>5</v>
      </c>
      <c r="D1493" s="9" t="s">
        <v>13</v>
      </c>
      <c r="E1493" s="10">
        <v>150</v>
      </c>
      <c r="F1493" s="10">
        <f t="shared" si="23"/>
        <v>750</v>
      </c>
    </row>
    <row r="1494" spans="1:6" x14ac:dyDescent="0.25">
      <c r="A1494" s="9"/>
      <c r="B1494" s="9"/>
      <c r="D1494" s="9"/>
      <c r="E1494" s="10"/>
      <c r="F1494" s="8">
        <f>SUM(F1493)</f>
        <v>750</v>
      </c>
    </row>
    <row r="1495" spans="1:6" x14ac:dyDescent="0.25">
      <c r="A1495" s="9"/>
      <c r="B1495" s="9"/>
      <c r="D1495" s="9"/>
      <c r="E1495" s="10"/>
      <c r="F1495" s="10"/>
    </row>
    <row r="1496" spans="1:6" x14ac:dyDescent="0.25">
      <c r="A1496" s="9" t="s">
        <v>51</v>
      </c>
      <c r="B1496" s="4">
        <v>45680</v>
      </c>
      <c r="C1496" s="5">
        <v>350</v>
      </c>
      <c r="D1496" s="9" t="s">
        <v>13</v>
      </c>
      <c r="E1496" s="10">
        <v>125</v>
      </c>
      <c r="F1496" s="10">
        <f t="shared" si="23"/>
        <v>43750</v>
      </c>
    </row>
    <row r="1497" spans="1:6" x14ac:dyDescent="0.25">
      <c r="A1497" s="9"/>
      <c r="B1497" s="9"/>
      <c r="D1497" s="9"/>
      <c r="E1497" s="10"/>
      <c r="F1497" s="8">
        <f>SUM(F1496)</f>
        <v>43750</v>
      </c>
    </row>
    <row r="1498" spans="1:6" x14ac:dyDescent="0.25">
      <c r="A1498" s="9"/>
      <c r="B1498" s="9"/>
      <c r="D1498" s="9"/>
      <c r="E1498" s="10"/>
      <c r="F1498" s="10"/>
    </row>
    <row r="1499" spans="1:6" x14ac:dyDescent="0.25">
      <c r="A1499" s="9" t="s">
        <v>140</v>
      </c>
      <c r="B1499" s="4">
        <v>45680</v>
      </c>
      <c r="C1499" s="5">
        <v>200</v>
      </c>
      <c r="D1499" s="9" t="s">
        <v>12</v>
      </c>
      <c r="E1499" s="10">
        <v>130</v>
      </c>
      <c r="F1499" s="10">
        <f t="shared" si="23"/>
        <v>26000</v>
      </c>
    </row>
    <row r="1500" spans="1:6" x14ac:dyDescent="0.25">
      <c r="A1500" s="9"/>
      <c r="B1500" s="9"/>
      <c r="C1500" s="5">
        <v>250</v>
      </c>
      <c r="D1500" s="9" t="s">
        <v>13</v>
      </c>
      <c r="E1500" s="10">
        <v>140</v>
      </c>
      <c r="F1500" s="10">
        <f t="shared" si="23"/>
        <v>35000</v>
      </c>
    </row>
    <row r="1501" spans="1:6" x14ac:dyDescent="0.25">
      <c r="A1501" s="9"/>
      <c r="B1501" s="9"/>
      <c r="C1501" s="5">
        <v>150</v>
      </c>
      <c r="D1501" s="9" t="s">
        <v>14</v>
      </c>
      <c r="E1501" s="10">
        <v>130</v>
      </c>
      <c r="F1501" s="10">
        <f t="shared" si="23"/>
        <v>19500</v>
      </c>
    </row>
    <row r="1502" spans="1:6" x14ac:dyDescent="0.25">
      <c r="A1502" s="9"/>
      <c r="B1502" s="9"/>
      <c r="C1502" s="5">
        <v>10</v>
      </c>
      <c r="D1502" s="9" t="s">
        <v>8</v>
      </c>
      <c r="E1502" s="10">
        <v>155</v>
      </c>
      <c r="F1502" s="10">
        <f t="shared" si="23"/>
        <v>1550</v>
      </c>
    </row>
    <row r="1503" spans="1:6" x14ac:dyDescent="0.25">
      <c r="A1503" s="9"/>
      <c r="B1503" s="9"/>
      <c r="D1503" s="9"/>
      <c r="E1503" s="10"/>
      <c r="F1503" s="8">
        <f>SUM(F1499:F1502)</f>
        <v>82050</v>
      </c>
    </row>
    <row r="1504" spans="1:6" x14ac:dyDescent="0.25">
      <c r="A1504" s="9"/>
      <c r="B1504" s="9"/>
      <c r="D1504" s="9"/>
      <c r="E1504" s="10"/>
      <c r="F1504" s="10"/>
    </row>
    <row r="1505" spans="1:6" x14ac:dyDescent="0.25">
      <c r="A1505" s="9" t="s">
        <v>7</v>
      </c>
      <c r="B1505" s="4">
        <v>45680</v>
      </c>
      <c r="C1505" s="5">
        <v>1</v>
      </c>
      <c r="D1505" s="9" t="s">
        <v>8</v>
      </c>
      <c r="E1505" s="10">
        <v>170</v>
      </c>
      <c r="F1505" s="10">
        <f t="shared" si="23"/>
        <v>170</v>
      </c>
    </row>
    <row r="1506" spans="1:6" x14ac:dyDescent="0.25">
      <c r="A1506" s="9"/>
      <c r="B1506" s="9"/>
      <c r="C1506" s="5">
        <v>1</v>
      </c>
      <c r="D1506" s="9" t="s">
        <v>13</v>
      </c>
      <c r="E1506" s="10">
        <v>160</v>
      </c>
      <c r="F1506" s="10">
        <f t="shared" si="23"/>
        <v>160</v>
      </c>
    </row>
    <row r="1507" spans="1:6" x14ac:dyDescent="0.25">
      <c r="A1507" s="9"/>
      <c r="B1507" s="9"/>
      <c r="C1507" s="5">
        <v>6</v>
      </c>
      <c r="D1507" s="9" t="s">
        <v>110</v>
      </c>
      <c r="E1507" s="10">
        <v>3.3332999999999999</v>
      </c>
      <c r="F1507" s="10">
        <f t="shared" si="23"/>
        <v>19.9998</v>
      </c>
    </row>
    <row r="1508" spans="1:6" x14ac:dyDescent="0.25">
      <c r="A1508" s="9"/>
      <c r="B1508" s="9"/>
      <c r="D1508" s="9"/>
      <c r="E1508" s="10"/>
      <c r="F1508" s="8">
        <f>SUM(F1505:F1507)</f>
        <v>349.99979999999999</v>
      </c>
    </row>
    <row r="1509" spans="1:6" x14ac:dyDescent="0.25">
      <c r="A1509" s="9"/>
      <c r="B1509" s="9"/>
      <c r="D1509" s="9"/>
      <c r="E1509" s="10"/>
      <c r="F1509" s="10"/>
    </row>
    <row r="1510" spans="1:6" x14ac:dyDescent="0.25">
      <c r="A1510" s="9" t="s">
        <v>15</v>
      </c>
      <c r="B1510" s="4">
        <v>45681</v>
      </c>
      <c r="C1510" s="5">
        <v>60</v>
      </c>
      <c r="D1510" s="9" t="s">
        <v>36</v>
      </c>
      <c r="E1510" s="10">
        <v>100</v>
      </c>
      <c r="F1510" s="10">
        <f t="shared" si="23"/>
        <v>6000</v>
      </c>
    </row>
    <row r="1511" spans="1:6" x14ac:dyDescent="0.25">
      <c r="A1511" s="9"/>
      <c r="B1511" s="9"/>
      <c r="D1511" s="9"/>
      <c r="E1511" s="10"/>
      <c r="F1511" s="8">
        <f>SUM(F1510)</f>
        <v>6000</v>
      </c>
    </row>
    <row r="1512" spans="1:6" x14ac:dyDescent="0.25">
      <c r="A1512" s="9"/>
      <c r="B1512" s="9"/>
      <c r="D1512" s="9"/>
      <c r="E1512" s="10"/>
      <c r="F1512" s="10"/>
    </row>
    <row r="1513" spans="1:6" x14ac:dyDescent="0.25">
      <c r="A1513" s="9" t="s">
        <v>19</v>
      </c>
      <c r="B1513" s="4">
        <v>45681</v>
      </c>
      <c r="C1513" s="5">
        <v>10</v>
      </c>
      <c r="D1513" s="9" t="s">
        <v>13</v>
      </c>
      <c r="E1513" s="10">
        <v>145</v>
      </c>
      <c r="F1513" s="10">
        <f t="shared" si="23"/>
        <v>1450</v>
      </c>
    </row>
    <row r="1514" spans="1:6" x14ac:dyDescent="0.25">
      <c r="A1514" s="9"/>
      <c r="B1514" s="9"/>
      <c r="D1514" s="9"/>
      <c r="E1514" s="10"/>
      <c r="F1514" s="8">
        <f>SUM(F1513)</f>
        <v>1450</v>
      </c>
    </row>
    <row r="1515" spans="1:6" x14ac:dyDescent="0.25">
      <c r="A1515" s="9"/>
      <c r="B1515" s="9"/>
      <c r="D1515" s="9"/>
      <c r="E1515" s="10"/>
      <c r="F1515" s="10"/>
    </row>
    <row r="1516" spans="1:6" x14ac:dyDescent="0.25">
      <c r="A1516" s="9" t="s">
        <v>18</v>
      </c>
      <c r="B1516" s="4">
        <v>45681</v>
      </c>
      <c r="C1516" s="5">
        <v>5</v>
      </c>
      <c r="D1516" s="9" t="s">
        <v>13</v>
      </c>
      <c r="E1516" s="10">
        <v>145</v>
      </c>
      <c r="F1516" s="10">
        <f t="shared" si="23"/>
        <v>725</v>
      </c>
    </row>
    <row r="1517" spans="1:6" x14ac:dyDescent="0.25">
      <c r="A1517" s="9"/>
      <c r="B1517" s="9"/>
      <c r="D1517" s="9"/>
      <c r="E1517" s="10"/>
      <c r="F1517" s="8">
        <f>SUM(F1516)</f>
        <v>725</v>
      </c>
    </row>
    <row r="1518" spans="1:6" x14ac:dyDescent="0.25">
      <c r="A1518" s="9"/>
      <c r="B1518" s="9"/>
      <c r="D1518" s="9"/>
      <c r="E1518" s="10"/>
      <c r="F1518" s="10"/>
    </row>
    <row r="1519" spans="1:6" x14ac:dyDescent="0.25">
      <c r="A1519" s="9" t="s">
        <v>20</v>
      </c>
      <c r="B1519" s="4">
        <v>45681</v>
      </c>
      <c r="C1519" s="5">
        <v>20</v>
      </c>
      <c r="D1519" s="9" t="s">
        <v>13</v>
      </c>
      <c r="E1519" s="10">
        <v>145</v>
      </c>
      <c r="F1519" s="10">
        <f t="shared" si="23"/>
        <v>2900</v>
      </c>
    </row>
    <row r="1520" spans="1:6" x14ac:dyDescent="0.25">
      <c r="A1520" s="9"/>
      <c r="B1520" s="9"/>
      <c r="D1520" s="9"/>
      <c r="E1520" s="10"/>
      <c r="F1520" s="8">
        <f>SUM(F1519)</f>
        <v>2900</v>
      </c>
    </row>
    <row r="1521" spans="1:6" x14ac:dyDescent="0.25">
      <c r="A1521" s="9"/>
      <c r="B1521" s="9"/>
      <c r="D1521" s="9"/>
      <c r="E1521" s="10"/>
      <c r="F1521" s="10"/>
    </row>
    <row r="1522" spans="1:6" x14ac:dyDescent="0.25">
      <c r="A1522" s="9" t="s">
        <v>37</v>
      </c>
      <c r="B1522" s="4">
        <v>45681</v>
      </c>
      <c r="C1522" s="5">
        <v>20</v>
      </c>
      <c r="D1522" s="9" t="s">
        <v>12</v>
      </c>
      <c r="E1522" s="10">
        <v>135</v>
      </c>
      <c r="F1522" s="10">
        <f t="shared" si="23"/>
        <v>2700</v>
      </c>
    </row>
    <row r="1523" spans="1:6" x14ac:dyDescent="0.25">
      <c r="A1523" s="9"/>
      <c r="B1523" s="9"/>
      <c r="D1523" s="9"/>
      <c r="E1523" s="10"/>
      <c r="F1523" s="8">
        <f>SUM(F1522)</f>
        <v>2700</v>
      </c>
    </row>
    <row r="1524" spans="1:6" x14ac:dyDescent="0.25">
      <c r="A1524" s="9"/>
      <c r="B1524" s="9"/>
      <c r="D1524" s="9"/>
      <c r="E1524" s="10"/>
      <c r="F1524" s="10"/>
    </row>
    <row r="1525" spans="1:6" x14ac:dyDescent="0.25">
      <c r="A1525" s="9" t="s">
        <v>21</v>
      </c>
      <c r="B1525" s="4">
        <v>45681</v>
      </c>
      <c r="C1525" s="5">
        <v>10</v>
      </c>
      <c r="D1525" s="9" t="s">
        <v>13</v>
      </c>
      <c r="E1525" s="10">
        <v>145</v>
      </c>
      <c r="F1525" s="10">
        <f t="shared" si="23"/>
        <v>1450</v>
      </c>
    </row>
    <row r="1526" spans="1:6" x14ac:dyDescent="0.25">
      <c r="A1526" s="9"/>
      <c r="B1526" s="9"/>
      <c r="C1526" s="5">
        <v>10</v>
      </c>
      <c r="D1526" s="9" t="s">
        <v>12</v>
      </c>
      <c r="E1526" s="10">
        <v>135</v>
      </c>
      <c r="F1526" s="10">
        <f t="shared" si="23"/>
        <v>1350</v>
      </c>
    </row>
    <row r="1527" spans="1:6" x14ac:dyDescent="0.25">
      <c r="A1527" s="9"/>
      <c r="B1527" s="9"/>
      <c r="C1527" s="5">
        <v>10</v>
      </c>
      <c r="D1527" s="9" t="s">
        <v>22</v>
      </c>
      <c r="E1527" s="10">
        <v>125</v>
      </c>
      <c r="F1527" s="10">
        <f t="shared" si="23"/>
        <v>1250</v>
      </c>
    </row>
    <row r="1528" spans="1:6" x14ac:dyDescent="0.25">
      <c r="A1528" s="9"/>
      <c r="B1528" s="9"/>
      <c r="D1528" s="9"/>
      <c r="E1528" s="10"/>
      <c r="F1528" s="8">
        <f>SUM(F1525:F1527)</f>
        <v>4050</v>
      </c>
    </row>
    <row r="1529" spans="1:6" x14ac:dyDescent="0.25">
      <c r="A1529" s="9"/>
      <c r="B1529" s="9"/>
      <c r="D1529" s="9"/>
      <c r="E1529" s="10"/>
      <c r="F1529" s="10"/>
    </row>
    <row r="1530" spans="1:6" x14ac:dyDescent="0.25">
      <c r="A1530" s="9" t="s">
        <v>80</v>
      </c>
      <c r="B1530" s="4">
        <v>45681</v>
      </c>
      <c r="C1530" s="5">
        <v>10</v>
      </c>
      <c r="D1530" s="9" t="s">
        <v>13</v>
      </c>
      <c r="E1530" s="10">
        <v>145</v>
      </c>
      <c r="F1530" s="10">
        <f t="shared" ref="F1530:F1591" si="24">+C1530*E1530</f>
        <v>1450</v>
      </c>
    </row>
    <row r="1531" spans="1:6" x14ac:dyDescent="0.25">
      <c r="A1531" s="9"/>
      <c r="B1531" s="9"/>
      <c r="D1531" s="9"/>
      <c r="E1531" s="10"/>
      <c r="F1531" s="8">
        <f>SUM(F1530)</f>
        <v>1450</v>
      </c>
    </row>
    <row r="1532" spans="1:6" x14ac:dyDescent="0.25">
      <c r="A1532" s="9"/>
      <c r="B1532" s="9"/>
      <c r="D1532" s="9"/>
      <c r="E1532" s="10"/>
      <c r="F1532" s="10"/>
    </row>
    <row r="1533" spans="1:6" x14ac:dyDescent="0.25">
      <c r="A1533" s="9" t="s">
        <v>157</v>
      </c>
      <c r="B1533" s="4">
        <v>45681</v>
      </c>
      <c r="C1533" s="5">
        <v>10</v>
      </c>
      <c r="D1533" s="9" t="s">
        <v>13</v>
      </c>
      <c r="E1533" s="10">
        <v>140</v>
      </c>
      <c r="F1533" s="10">
        <f t="shared" si="24"/>
        <v>1400</v>
      </c>
    </row>
    <row r="1534" spans="1:6" x14ac:dyDescent="0.25">
      <c r="A1534" s="9"/>
      <c r="B1534" s="9"/>
      <c r="D1534" s="9"/>
      <c r="E1534" s="10"/>
      <c r="F1534" s="8">
        <f>SUM(F1533)</f>
        <v>1400</v>
      </c>
    </row>
    <row r="1535" spans="1:6" x14ac:dyDescent="0.25">
      <c r="A1535" s="9"/>
      <c r="B1535" s="9"/>
      <c r="D1535" s="9"/>
      <c r="E1535" s="10"/>
      <c r="F1535" s="10"/>
    </row>
    <row r="1536" spans="1:6" x14ac:dyDescent="0.25">
      <c r="A1536" s="9" t="s">
        <v>40</v>
      </c>
      <c r="B1536" s="4">
        <v>45681</v>
      </c>
      <c r="C1536" s="5">
        <v>8</v>
      </c>
      <c r="D1536" s="9" t="s">
        <v>13</v>
      </c>
      <c r="E1536" s="10">
        <v>140</v>
      </c>
      <c r="F1536" s="10">
        <f t="shared" si="24"/>
        <v>1120</v>
      </c>
    </row>
    <row r="1537" spans="1:6" x14ac:dyDescent="0.25">
      <c r="A1537" s="9"/>
      <c r="B1537" s="9"/>
      <c r="C1537" s="5">
        <v>8</v>
      </c>
      <c r="D1537" s="9" t="s">
        <v>14</v>
      </c>
      <c r="E1537" s="10">
        <v>135</v>
      </c>
      <c r="F1537" s="10">
        <f t="shared" si="24"/>
        <v>1080</v>
      </c>
    </row>
    <row r="1538" spans="1:6" x14ac:dyDescent="0.25">
      <c r="A1538" s="9"/>
      <c r="B1538" s="9"/>
      <c r="C1538" s="5">
        <v>5</v>
      </c>
      <c r="D1538" s="9" t="s">
        <v>12</v>
      </c>
      <c r="E1538" s="10">
        <v>135</v>
      </c>
      <c r="F1538" s="10">
        <f t="shared" si="24"/>
        <v>675</v>
      </c>
    </row>
    <row r="1539" spans="1:6" x14ac:dyDescent="0.25">
      <c r="A1539" s="9"/>
      <c r="B1539" s="9"/>
      <c r="C1539" s="5">
        <v>11</v>
      </c>
      <c r="D1539" s="9" t="s">
        <v>11</v>
      </c>
      <c r="E1539" s="10">
        <v>125</v>
      </c>
      <c r="F1539" s="10">
        <f t="shared" si="24"/>
        <v>1375</v>
      </c>
    </row>
    <row r="1540" spans="1:6" x14ac:dyDescent="0.25">
      <c r="A1540" s="9"/>
      <c r="B1540" s="9"/>
      <c r="D1540" s="9"/>
      <c r="E1540" s="10"/>
      <c r="F1540" s="8">
        <f>SUM(F1536:F1539)</f>
        <v>4250</v>
      </c>
    </row>
    <row r="1541" spans="1:6" x14ac:dyDescent="0.25">
      <c r="A1541" s="9"/>
      <c r="B1541" s="9"/>
      <c r="D1541" s="9"/>
      <c r="E1541" s="10"/>
      <c r="F1541" s="10"/>
    </row>
    <row r="1542" spans="1:6" x14ac:dyDescent="0.25">
      <c r="A1542" s="9" t="s">
        <v>58</v>
      </c>
      <c r="B1542" s="4">
        <v>45681</v>
      </c>
      <c r="C1542" s="5">
        <v>15</v>
      </c>
      <c r="D1542" s="9" t="s">
        <v>13</v>
      </c>
      <c r="E1542" s="10">
        <v>150</v>
      </c>
      <c r="F1542" s="10">
        <f t="shared" si="24"/>
        <v>2250</v>
      </c>
    </row>
    <row r="1543" spans="1:6" x14ac:dyDescent="0.25">
      <c r="A1543" s="9"/>
      <c r="B1543" s="9"/>
      <c r="D1543" s="9"/>
      <c r="E1543" s="10"/>
      <c r="F1543" s="8">
        <f>SUM(F1542)</f>
        <v>2250</v>
      </c>
    </row>
    <row r="1544" spans="1:6" x14ac:dyDescent="0.25">
      <c r="A1544" s="9"/>
      <c r="B1544" s="9"/>
      <c r="D1544" s="9"/>
      <c r="E1544" s="10"/>
      <c r="F1544" s="10"/>
    </row>
    <row r="1545" spans="1:6" x14ac:dyDescent="0.25">
      <c r="A1545" s="9" t="s">
        <v>41</v>
      </c>
      <c r="B1545" s="4">
        <v>45681</v>
      </c>
      <c r="C1545" s="5">
        <v>35</v>
      </c>
      <c r="D1545" s="9" t="s">
        <v>14</v>
      </c>
      <c r="E1545" s="10">
        <v>140</v>
      </c>
      <c r="F1545" s="10">
        <f t="shared" si="24"/>
        <v>4900</v>
      </c>
    </row>
    <row r="1546" spans="1:6" x14ac:dyDescent="0.25">
      <c r="A1546" s="9"/>
      <c r="B1546" s="9"/>
      <c r="D1546" s="9"/>
      <c r="E1546" s="10"/>
      <c r="F1546" s="8">
        <f>SUM(F1545)</f>
        <v>4900</v>
      </c>
    </row>
    <row r="1547" spans="1:6" x14ac:dyDescent="0.25">
      <c r="A1547" s="9"/>
      <c r="B1547" s="9"/>
      <c r="D1547" s="9"/>
      <c r="E1547" s="10"/>
      <c r="F1547" s="10"/>
    </row>
    <row r="1548" spans="1:6" x14ac:dyDescent="0.25">
      <c r="A1548" s="9" t="s">
        <v>43</v>
      </c>
      <c r="B1548" s="4">
        <v>45681</v>
      </c>
      <c r="C1548" s="5">
        <v>20</v>
      </c>
      <c r="D1548" s="9" t="s">
        <v>14</v>
      </c>
      <c r="E1548" s="10">
        <v>125</v>
      </c>
      <c r="F1548" s="10">
        <f t="shared" si="24"/>
        <v>2500</v>
      </c>
    </row>
    <row r="1549" spans="1:6" x14ac:dyDescent="0.25">
      <c r="A1549" s="9"/>
      <c r="B1549" s="9"/>
      <c r="C1549" s="5">
        <v>20</v>
      </c>
      <c r="D1549" s="9" t="s">
        <v>14</v>
      </c>
      <c r="E1549" s="10">
        <v>125</v>
      </c>
      <c r="F1549" s="10">
        <f t="shared" si="24"/>
        <v>2500</v>
      </c>
    </row>
    <row r="1550" spans="1:6" x14ac:dyDescent="0.25">
      <c r="A1550" s="9"/>
      <c r="B1550" s="9"/>
      <c r="D1550" s="9"/>
      <c r="E1550" s="10"/>
      <c r="F1550" s="8">
        <f>SUM(F1548:F1549)</f>
        <v>5000</v>
      </c>
    </row>
    <row r="1551" spans="1:6" x14ac:dyDescent="0.25">
      <c r="A1551" s="9"/>
      <c r="B1551" s="9"/>
      <c r="D1551" s="9"/>
      <c r="E1551" s="10"/>
      <c r="F1551" s="10"/>
    </row>
    <row r="1552" spans="1:6" x14ac:dyDescent="0.25">
      <c r="A1552" s="9" t="s">
        <v>44</v>
      </c>
      <c r="B1552" s="4">
        <v>45681</v>
      </c>
      <c r="C1552" s="5">
        <v>50</v>
      </c>
      <c r="D1552" s="9" t="s">
        <v>14</v>
      </c>
      <c r="E1552" s="10">
        <v>125</v>
      </c>
      <c r="F1552" s="10">
        <f t="shared" si="24"/>
        <v>6250</v>
      </c>
    </row>
    <row r="1553" spans="1:6" x14ac:dyDescent="0.25">
      <c r="A1553" s="9"/>
      <c r="B1553" s="9"/>
      <c r="D1553" s="9"/>
      <c r="E1553" s="10"/>
      <c r="F1553" s="8">
        <f>SUM(F1552)</f>
        <v>6250</v>
      </c>
    </row>
    <row r="1554" spans="1:6" x14ac:dyDescent="0.25">
      <c r="A1554" s="9"/>
      <c r="B1554" s="9"/>
      <c r="D1554" s="9"/>
      <c r="E1554" s="10"/>
      <c r="F1554" s="10"/>
    </row>
    <row r="1555" spans="1:6" x14ac:dyDescent="0.25">
      <c r="A1555" s="9" t="s">
        <v>18</v>
      </c>
      <c r="B1555" s="4">
        <v>45681</v>
      </c>
      <c r="C1555" s="5">
        <v>30</v>
      </c>
      <c r="D1555" s="9" t="s">
        <v>14</v>
      </c>
      <c r="E1555" s="10">
        <v>125</v>
      </c>
      <c r="F1555" s="10">
        <f t="shared" si="24"/>
        <v>3750</v>
      </c>
    </row>
    <row r="1556" spans="1:6" x14ac:dyDescent="0.25">
      <c r="A1556" s="9"/>
      <c r="B1556" s="9"/>
      <c r="C1556" s="5">
        <v>10</v>
      </c>
      <c r="D1556" s="9" t="s">
        <v>12</v>
      </c>
      <c r="E1556" s="10">
        <v>135</v>
      </c>
      <c r="F1556" s="10">
        <f t="shared" si="24"/>
        <v>1350</v>
      </c>
    </row>
    <row r="1557" spans="1:6" x14ac:dyDescent="0.25">
      <c r="A1557" s="9"/>
      <c r="B1557" s="9"/>
      <c r="D1557" s="9"/>
      <c r="E1557" s="10"/>
      <c r="F1557" s="8">
        <f>SUM(F1555:F1556)</f>
        <v>5100</v>
      </c>
    </row>
    <row r="1558" spans="1:6" x14ac:dyDescent="0.25">
      <c r="A1558" s="9"/>
      <c r="B1558" s="9"/>
      <c r="D1558" s="9"/>
      <c r="E1558" s="10"/>
      <c r="F1558" s="10"/>
    </row>
    <row r="1559" spans="1:6" x14ac:dyDescent="0.25">
      <c r="A1559" s="9" t="s">
        <v>45</v>
      </c>
      <c r="B1559" s="4">
        <v>45681</v>
      </c>
      <c r="C1559" s="5">
        <v>11</v>
      </c>
      <c r="D1559" s="9" t="s">
        <v>14</v>
      </c>
      <c r="E1559" s="10">
        <v>125</v>
      </c>
      <c r="F1559" s="10">
        <f t="shared" si="24"/>
        <v>1375</v>
      </c>
    </row>
    <row r="1560" spans="1:6" x14ac:dyDescent="0.25">
      <c r="A1560" s="9"/>
      <c r="B1560" s="9"/>
      <c r="D1560" s="9"/>
      <c r="E1560" s="10"/>
      <c r="F1560" s="8">
        <f>SUM(F1559)</f>
        <v>1375</v>
      </c>
    </row>
    <row r="1561" spans="1:6" x14ac:dyDescent="0.25">
      <c r="A1561" s="9"/>
      <c r="B1561" s="9"/>
      <c r="D1561" s="9"/>
      <c r="E1561" s="10"/>
      <c r="F1561" s="10"/>
    </row>
    <row r="1562" spans="1:6" x14ac:dyDescent="0.25">
      <c r="A1562" s="9" t="s">
        <v>138</v>
      </c>
      <c r="B1562" s="4">
        <v>45681</v>
      </c>
      <c r="C1562" s="5">
        <v>10</v>
      </c>
      <c r="D1562" s="9" t="s">
        <v>14</v>
      </c>
      <c r="E1562" s="10">
        <v>130</v>
      </c>
      <c r="F1562" s="10">
        <f t="shared" si="24"/>
        <v>1300</v>
      </c>
    </row>
    <row r="1563" spans="1:6" x14ac:dyDescent="0.25">
      <c r="A1563" s="9"/>
      <c r="B1563" s="9"/>
      <c r="D1563" s="9"/>
      <c r="E1563" s="10"/>
      <c r="F1563" s="8">
        <f>SUM(F1562)</f>
        <v>1300</v>
      </c>
    </row>
    <row r="1564" spans="1:6" x14ac:dyDescent="0.25">
      <c r="A1564" s="9"/>
      <c r="B1564" s="9"/>
      <c r="D1564" s="9"/>
      <c r="E1564" s="10"/>
      <c r="F1564" s="10"/>
    </row>
    <row r="1565" spans="1:6" x14ac:dyDescent="0.25">
      <c r="A1565" s="9" t="s">
        <v>47</v>
      </c>
      <c r="B1565" s="4">
        <v>45681</v>
      </c>
      <c r="C1565" s="5">
        <v>10</v>
      </c>
      <c r="D1565" s="9" t="s">
        <v>11</v>
      </c>
      <c r="E1565" s="10">
        <v>120</v>
      </c>
      <c r="F1565" s="10">
        <f t="shared" si="24"/>
        <v>1200</v>
      </c>
    </row>
    <row r="1566" spans="1:6" x14ac:dyDescent="0.25">
      <c r="A1566" s="9"/>
      <c r="B1566" s="9"/>
      <c r="D1566" s="9"/>
      <c r="E1566" s="10"/>
      <c r="F1566" s="8">
        <f>SUM(F1565)</f>
        <v>1200</v>
      </c>
    </row>
    <row r="1567" spans="1:6" x14ac:dyDescent="0.25">
      <c r="A1567" s="9"/>
      <c r="B1567" s="9"/>
      <c r="D1567" s="9"/>
      <c r="E1567" s="10"/>
      <c r="F1567" s="10"/>
    </row>
    <row r="1568" spans="1:6" x14ac:dyDescent="0.25">
      <c r="A1568" s="9" t="s">
        <v>106</v>
      </c>
      <c r="B1568" s="4">
        <v>45681</v>
      </c>
      <c r="C1568" s="5">
        <v>70</v>
      </c>
      <c r="D1568" s="9" t="s">
        <v>12</v>
      </c>
      <c r="E1568" s="10">
        <v>135</v>
      </c>
      <c r="F1568" s="10">
        <f t="shared" si="24"/>
        <v>9450</v>
      </c>
    </row>
    <row r="1569" spans="1:6" x14ac:dyDescent="0.25">
      <c r="A1569" s="9"/>
      <c r="B1569" s="9"/>
      <c r="D1569" s="9"/>
      <c r="E1569" s="10"/>
      <c r="F1569" s="8">
        <f>SUM(F1568)</f>
        <v>9450</v>
      </c>
    </row>
    <row r="1570" spans="1:6" x14ac:dyDescent="0.25">
      <c r="A1570" s="9"/>
      <c r="B1570" s="9"/>
      <c r="D1570" s="9"/>
      <c r="E1570" s="10"/>
      <c r="F1570" s="10"/>
    </row>
    <row r="1571" spans="1:6" x14ac:dyDescent="0.25">
      <c r="A1571" s="9" t="s">
        <v>48</v>
      </c>
      <c r="B1571" s="4">
        <v>45681</v>
      </c>
      <c r="C1571" s="5">
        <v>250</v>
      </c>
      <c r="D1571" s="9" t="s">
        <v>14</v>
      </c>
      <c r="E1571" s="10"/>
      <c r="F1571" s="10">
        <f t="shared" si="24"/>
        <v>0</v>
      </c>
    </row>
    <row r="1572" spans="1:6" x14ac:dyDescent="0.25">
      <c r="A1572" s="9"/>
      <c r="B1572" s="9"/>
      <c r="C1572" s="5">
        <v>50</v>
      </c>
      <c r="D1572" s="9" t="s">
        <v>11</v>
      </c>
      <c r="E1572" s="10"/>
      <c r="F1572" s="10">
        <f t="shared" si="24"/>
        <v>0</v>
      </c>
    </row>
    <row r="1573" spans="1:6" x14ac:dyDescent="0.25">
      <c r="A1573" s="9"/>
      <c r="B1573" s="9"/>
      <c r="C1573" s="5">
        <v>50</v>
      </c>
      <c r="D1573" s="9" t="s">
        <v>49</v>
      </c>
      <c r="E1573" s="10"/>
      <c r="F1573" s="10">
        <f t="shared" si="24"/>
        <v>0</v>
      </c>
    </row>
    <row r="1574" spans="1:6" x14ac:dyDescent="0.25">
      <c r="A1574" s="9"/>
      <c r="B1574" s="9"/>
      <c r="C1574" s="5">
        <v>37</v>
      </c>
      <c r="D1574" s="9" t="s">
        <v>50</v>
      </c>
      <c r="E1574" s="10"/>
      <c r="F1574" s="10">
        <f t="shared" si="24"/>
        <v>0</v>
      </c>
    </row>
    <row r="1575" spans="1:6" x14ac:dyDescent="0.25">
      <c r="A1575" s="9"/>
      <c r="B1575" s="9"/>
      <c r="C1575" s="5">
        <v>44</v>
      </c>
      <c r="D1575" s="9" t="s">
        <v>22</v>
      </c>
      <c r="E1575" s="10"/>
      <c r="F1575" s="10">
        <f t="shared" si="24"/>
        <v>0</v>
      </c>
    </row>
    <row r="1576" spans="1:6" x14ac:dyDescent="0.25">
      <c r="A1576" s="9"/>
      <c r="B1576" s="9"/>
      <c r="C1576" s="5">
        <v>11</v>
      </c>
      <c r="D1576" s="9" t="s">
        <v>13</v>
      </c>
      <c r="E1576" s="10"/>
      <c r="F1576" s="10">
        <f t="shared" si="24"/>
        <v>0</v>
      </c>
    </row>
    <row r="1577" spans="1:6" x14ac:dyDescent="0.25">
      <c r="A1577" s="9"/>
      <c r="B1577" s="9"/>
      <c r="C1577" s="5">
        <v>9</v>
      </c>
      <c r="D1577" s="9" t="s">
        <v>16</v>
      </c>
      <c r="E1577" s="10"/>
      <c r="F1577" s="10">
        <f t="shared" si="24"/>
        <v>0</v>
      </c>
    </row>
    <row r="1578" spans="1:6" x14ac:dyDescent="0.25">
      <c r="A1578" s="9"/>
      <c r="B1578" s="9"/>
      <c r="D1578" s="9"/>
      <c r="E1578" s="10"/>
      <c r="F1578" s="8">
        <f>SUM(F1571:F1577)</f>
        <v>0</v>
      </c>
    </row>
    <row r="1579" spans="1:6" x14ac:dyDescent="0.25">
      <c r="A1579" s="9"/>
      <c r="B1579" s="9"/>
      <c r="D1579" s="9"/>
      <c r="E1579" s="10"/>
      <c r="F1579" s="10"/>
    </row>
    <row r="1580" spans="1:6" x14ac:dyDescent="0.25">
      <c r="A1580" s="9" t="s">
        <v>51</v>
      </c>
      <c r="B1580" s="4">
        <v>45681</v>
      </c>
      <c r="C1580" s="5">
        <v>187</v>
      </c>
      <c r="D1580" s="9" t="s">
        <v>14</v>
      </c>
      <c r="E1580" s="10"/>
      <c r="F1580" s="10">
        <f t="shared" si="24"/>
        <v>0</v>
      </c>
    </row>
    <row r="1581" spans="1:6" x14ac:dyDescent="0.25">
      <c r="A1581" s="9"/>
      <c r="B1581" s="9"/>
      <c r="C1581" s="5">
        <v>52</v>
      </c>
      <c r="D1581" s="9" t="s">
        <v>11</v>
      </c>
      <c r="E1581" s="10"/>
      <c r="F1581" s="10">
        <f t="shared" si="24"/>
        <v>0</v>
      </c>
    </row>
    <row r="1582" spans="1:6" x14ac:dyDescent="0.25">
      <c r="A1582" s="9"/>
      <c r="B1582" s="9"/>
      <c r="D1582" s="9"/>
      <c r="E1582" s="10"/>
      <c r="F1582" s="8">
        <f>SUM(F1580:F1581)</f>
        <v>0</v>
      </c>
    </row>
    <row r="1583" spans="1:6" x14ac:dyDescent="0.25">
      <c r="A1583" s="9"/>
      <c r="B1583" s="9"/>
      <c r="D1583" s="9"/>
      <c r="E1583" s="10"/>
      <c r="F1583" s="10"/>
    </row>
    <row r="1584" spans="1:6" x14ac:dyDescent="0.25">
      <c r="A1584" s="9" t="s">
        <v>26</v>
      </c>
      <c r="B1584" s="4">
        <v>45681</v>
      </c>
      <c r="C1584" s="5">
        <v>80</v>
      </c>
      <c r="D1584" s="9" t="s">
        <v>13</v>
      </c>
      <c r="E1584" s="10">
        <v>140</v>
      </c>
      <c r="F1584" s="10">
        <f t="shared" si="24"/>
        <v>11200</v>
      </c>
    </row>
    <row r="1585" spans="1:6" x14ac:dyDescent="0.25">
      <c r="A1585" s="9"/>
      <c r="B1585" s="9"/>
      <c r="D1585" s="9"/>
      <c r="E1585" s="10"/>
      <c r="F1585" s="8">
        <f>SUM(F1584)</f>
        <v>11200</v>
      </c>
    </row>
    <row r="1586" spans="1:6" x14ac:dyDescent="0.25">
      <c r="A1586" s="9"/>
      <c r="B1586" s="9"/>
      <c r="D1586" s="9"/>
      <c r="E1586" s="10"/>
      <c r="F1586" s="10"/>
    </row>
    <row r="1587" spans="1:6" x14ac:dyDescent="0.25">
      <c r="A1587" s="9" t="s">
        <v>108</v>
      </c>
      <c r="B1587" s="4">
        <v>45681</v>
      </c>
      <c r="C1587" s="5">
        <v>100</v>
      </c>
      <c r="D1587" s="9" t="s">
        <v>13</v>
      </c>
      <c r="E1587" s="10">
        <v>140</v>
      </c>
      <c r="F1587" s="10">
        <f t="shared" si="24"/>
        <v>14000</v>
      </c>
    </row>
    <row r="1588" spans="1:6" x14ac:dyDescent="0.25">
      <c r="A1588" s="9"/>
      <c r="B1588" s="9"/>
      <c r="D1588" s="9"/>
      <c r="E1588" s="10"/>
      <c r="F1588" s="8">
        <f>SUM(F1587)</f>
        <v>14000</v>
      </c>
    </row>
    <row r="1589" spans="1:6" x14ac:dyDescent="0.25">
      <c r="A1589" s="9"/>
      <c r="B1589" s="9"/>
      <c r="D1589" s="9"/>
      <c r="E1589" s="10"/>
      <c r="F1589" s="10"/>
    </row>
    <row r="1590" spans="1:6" x14ac:dyDescent="0.25">
      <c r="A1590" s="9" t="s">
        <v>29</v>
      </c>
      <c r="B1590" s="4">
        <v>45681</v>
      </c>
      <c r="C1590" s="5">
        <v>2</v>
      </c>
      <c r="D1590" s="9" t="s">
        <v>13</v>
      </c>
      <c r="E1590" s="10">
        <v>160</v>
      </c>
      <c r="F1590" s="10">
        <f t="shared" si="24"/>
        <v>320</v>
      </c>
    </row>
    <row r="1591" spans="1:6" x14ac:dyDescent="0.25">
      <c r="A1591" s="9"/>
      <c r="B1591" s="9"/>
      <c r="C1591" s="5">
        <v>1</v>
      </c>
      <c r="D1591" s="9" t="s">
        <v>170</v>
      </c>
      <c r="E1591" s="10">
        <v>100</v>
      </c>
      <c r="F1591" s="10">
        <f t="shared" si="24"/>
        <v>100</v>
      </c>
    </row>
    <row r="1592" spans="1:6" x14ac:dyDescent="0.25">
      <c r="A1592" s="9"/>
      <c r="B1592" s="9"/>
      <c r="C1592" s="5">
        <v>1</v>
      </c>
      <c r="D1592" s="9" t="s">
        <v>171</v>
      </c>
      <c r="E1592" s="10">
        <v>140</v>
      </c>
      <c r="F1592" s="10">
        <f t="shared" ref="F1592:F1655" si="25">+C1592*E1592</f>
        <v>140</v>
      </c>
    </row>
    <row r="1593" spans="1:6" x14ac:dyDescent="0.25">
      <c r="A1593" s="9"/>
      <c r="B1593" s="9"/>
      <c r="C1593" s="11">
        <v>0.5</v>
      </c>
      <c r="D1593" s="9" t="s">
        <v>8</v>
      </c>
      <c r="E1593" s="10">
        <v>170</v>
      </c>
      <c r="F1593" s="10">
        <f t="shared" si="25"/>
        <v>85</v>
      </c>
    </row>
    <row r="1594" spans="1:6" x14ac:dyDescent="0.25">
      <c r="A1594" s="9"/>
      <c r="B1594" s="9"/>
      <c r="C1594" s="5">
        <v>1</v>
      </c>
      <c r="D1594" s="9" t="s">
        <v>8</v>
      </c>
      <c r="E1594" s="10">
        <v>170</v>
      </c>
      <c r="F1594" s="10">
        <f t="shared" si="25"/>
        <v>170</v>
      </c>
    </row>
    <row r="1595" spans="1:6" x14ac:dyDescent="0.25">
      <c r="A1595" s="9"/>
      <c r="B1595" s="9"/>
      <c r="C1595" s="5">
        <v>4</v>
      </c>
      <c r="D1595" s="9" t="s">
        <v>13</v>
      </c>
      <c r="E1595" s="10">
        <v>150</v>
      </c>
      <c r="F1595" s="10">
        <f t="shared" si="25"/>
        <v>600</v>
      </c>
    </row>
    <row r="1596" spans="1:6" x14ac:dyDescent="0.25">
      <c r="A1596" s="9"/>
      <c r="B1596" s="9"/>
      <c r="C1596" s="5">
        <v>5</v>
      </c>
      <c r="D1596" s="9" t="s">
        <v>168</v>
      </c>
      <c r="E1596" s="10">
        <v>150</v>
      </c>
      <c r="F1596" s="10">
        <f t="shared" si="25"/>
        <v>750</v>
      </c>
    </row>
    <row r="1597" spans="1:6" x14ac:dyDescent="0.25">
      <c r="A1597" s="9"/>
      <c r="B1597" s="9"/>
      <c r="C1597" s="5">
        <v>1</v>
      </c>
      <c r="D1597" s="9" t="s">
        <v>8</v>
      </c>
      <c r="E1597" s="10">
        <v>150</v>
      </c>
      <c r="F1597" s="10">
        <f t="shared" si="25"/>
        <v>150</v>
      </c>
    </row>
    <row r="1598" spans="1:6" x14ac:dyDescent="0.25">
      <c r="A1598" s="9"/>
      <c r="B1598" s="9"/>
      <c r="D1598" s="9"/>
      <c r="E1598" s="10"/>
      <c r="F1598" s="8">
        <f>SUM(F1590:F1597)</f>
        <v>2315</v>
      </c>
    </row>
    <row r="1599" spans="1:6" x14ac:dyDescent="0.25">
      <c r="A1599" s="9"/>
      <c r="B1599" s="9"/>
      <c r="D1599" s="9"/>
      <c r="E1599" s="10"/>
      <c r="F1599" s="10"/>
    </row>
    <row r="1600" spans="1:6" x14ac:dyDescent="0.25">
      <c r="A1600" s="9" t="s">
        <v>7</v>
      </c>
      <c r="B1600" s="4">
        <v>45681</v>
      </c>
      <c r="C1600" s="5">
        <v>10</v>
      </c>
      <c r="D1600" s="9" t="s">
        <v>13</v>
      </c>
      <c r="E1600" s="10">
        <v>150</v>
      </c>
      <c r="F1600" s="10">
        <f t="shared" si="25"/>
        <v>1500</v>
      </c>
    </row>
    <row r="1601" spans="1:6" x14ac:dyDescent="0.25">
      <c r="A1601" s="9"/>
      <c r="B1601" s="9"/>
      <c r="C1601" s="5">
        <v>5</v>
      </c>
      <c r="D1601" s="9" t="s">
        <v>13</v>
      </c>
      <c r="E1601" s="10">
        <v>140</v>
      </c>
      <c r="F1601" s="10">
        <f t="shared" si="25"/>
        <v>700</v>
      </c>
    </row>
    <row r="1602" spans="1:6" x14ac:dyDescent="0.25">
      <c r="A1602" s="9"/>
      <c r="B1602" s="9"/>
      <c r="D1602" s="9"/>
      <c r="E1602" s="10"/>
      <c r="F1602" s="8">
        <f>SUM(F1600:F1601)</f>
        <v>2200</v>
      </c>
    </row>
    <row r="1603" spans="1:6" x14ac:dyDescent="0.25">
      <c r="A1603" s="9"/>
      <c r="B1603" s="9"/>
      <c r="D1603" s="9"/>
      <c r="E1603" s="10"/>
      <c r="F1603" s="10"/>
    </row>
    <row r="1604" spans="1:6" x14ac:dyDescent="0.25">
      <c r="A1604" s="9" t="s">
        <v>17</v>
      </c>
      <c r="B1604" s="4">
        <v>45682</v>
      </c>
      <c r="C1604" s="5">
        <v>20</v>
      </c>
      <c r="D1604" s="9" t="s">
        <v>13</v>
      </c>
      <c r="E1604" s="10">
        <v>145</v>
      </c>
      <c r="F1604" s="10">
        <f t="shared" si="25"/>
        <v>2900</v>
      </c>
    </row>
    <row r="1605" spans="1:6" x14ac:dyDescent="0.25">
      <c r="A1605" s="9"/>
      <c r="B1605" s="9"/>
      <c r="D1605" s="9"/>
      <c r="E1605" s="10"/>
      <c r="F1605" s="8">
        <f>SUM(F1604)</f>
        <v>2900</v>
      </c>
    </row>
    <row r="1606" spans="1:6" x14ac:dyDescent="0.25">
      <c r="A1606" s="9"/>
      <c r="B1606" s="9"/>
      <c r="D1606" s="9"/>
      <c r="E1606" s="10"/>
      <c r="F1606" s="10"/>
    </row>
    <row r="1607" spans="1:6" x14ac:dyDescent="0.25">
      <c r="A1607" s="9" t="s">
        <v>21</v>
      </c>
      <c r="B1607" s="4">
        <v>45682</v>
      </c>
      <c r="C1607" s="5">
        <v>20</v>
      </c>
      <c r="D1607" s="9" t="s">
        <v>13</v>
      </c>
      <c r="E1607" s="10">
        <v>145</v>
      </c>
      <c r="F1607" s="10">
        <f t="shared" si="25"/>
        <v>2900</v>
      </c>
    </row>
    <row r="1608" spans="1:6" x14ac:dyDescent="0.25">
      <c r="A1608" s="9"/>
      <c r="B1608" s="9"/>
      <c r="C1608" s="5">
        <v>10</v>
      </c>
      <c r="D1608" s="9" t="s">
        <v>22</v>
      </c>
      <c r="E1608" s="10">
        <v>125</v>
      </c>
      <c r="F1608" s="10">
        <f t="shared" si="25"/>
        <v>1250</v>
      </c>
    </row>
    <row r="1609" spans="1:6" x14ac:dyDescent="0.25">
      <c r="A1609" s="9"/>
      <c r="B1609" s="9"/>
      <c r="D1609" s="9"/>
      <c r="E1609" s="10"/>
      <c r="F1609" s="8">
        <f>SUM(F1607:F1608)</f>
        <v>4150</v>
      </c>
    </row>
    <row r="1610" spans="1:6" x14ac:dyDescent="0.25">
      <c r="A1610" s="9"/>
      <c r="B1610" s="9"/>
      <c r="D1610" s="9"/>
      <c r="E1610" s="10"/>
      <c r="F1610" s="10"/>
    </row>
    <row r="1611" spans="1:6" x14ac:dyDescent="0.25">
      <c r="A1611" s="9" t="s">
        <v>58</v>
      </c>
      <c r="B1611" s="4">
        <v>45682</v>
      </c>
      <c r="C1611" s="5">
        <v>8</v>
      </c>
      <c r="D1611" s="9" t="s">
        <v>13</v>
      </c>
      <c r="E1611" s="10">
        <v>150</v>
      </c>
      <c r="F1611" s="10">
        <f t="shared" si="25"/>
        <v>1200</v>
      </c>
    </row>
    <row r="1612" spans="1:6" x14ac:dyDescent="0.25">
      <c r="A1612" s="9"/>
      <c r="B1612" s="9"/>
      <c r="D1612" s="9"/>
      <c r="E1612" s="10"/>
      <c r="F1612" s="8">
        <f>SUM(F1611)</f>
        <v>1200</v>
      </c>
    </row>
    <row r="1613" spans="1:6" x14ac:dyDescent="0.25">
      <c r="A1613" s="9"/>
      <c r="B1613" s="9"/>
      <c r="D1613" s="9"/>
      <c r="E1613" s="10"/>
      <c r="F1613" s="10"/>
    </row>
    <row r="1614" spans="1:6" x14ac:dyDescent="0.25">
      <c r="A1614" s="9" t="s">
        <v>126</v>
      </c>
      <c r="B1614" s="4">
        <v>45682</v>
      </c>
      <c r="C1614" s="5">
        <v>4</v>
      </c>
      <c r="D1614" s="9" t="s">
        <v>13</v>
      </c>
      <c r="E1614" s="10">
        <v>145</v>
      </c>
      <c r="F1614" s="10">
        <f t="shared" si="25"/>
        <v>580</v>
      </c>
    </row>
    <row r="1615" spans="1:6" x14ac:dyDescent="0.25">
      <c r="A1615" s="9"/>
      <c r="B1615" s="9"/>
      <c r="D1615" s="9"/>
      <c r="E1615" s="10"/>
      <c r="F1615" s="8">
        <f>SUM(F1614)</f>
        <v>580</v>
      </c>
    </row>
    <row r="1616" spans="1:6" x14ac:dyDescent="0.25">
      <c r="A1616" s="9"/>
      <c r="B1616" s="9"/>
      <c r="D1616" s="9"/>
      <c r="E1616" s="10"/>
      <c r="F1616" s="10"/>
    </row>
    <row r="1617" spans="1:6" x14ac:dyDescent="0.25">
      <c r="A1617" s="9" t="s">
        <v>20</v>
      </c>
      <c r="B1617" s="4">
        <v>45682</v>
      </c>
      <c r="C1617" s="5">
        <v>10</v>
      </c>
      <c r="D1617" s="9" t="s">
        <v>13</v>
      </c>
      <c r="E1617" s="10">
        <v>140</v>
      </c>
      <c r="F1617" s="10">
        <f t="shared" si="25"/>
        <v>1400</v>
      </c>
    </row>
    <row r="1618" spans="1:6" x14ac:dyDescent="0.25">
      <c r="A1618" s="9"/>
      <c r="B1618" s="9"/>
      <c r="D1618" s="9"/>
      <c r="E1618" s="10"/>
      <c r="F1618" s="8">
        <f>SUM(F1617)</f>
        <v>1400</v>
      </c>
    </row>
    <row r="1619" spans="1:6" x14ac:dyDescent="0.25">
      <c r="A1619" s="9"/>
      <c r="B1619" s="9"/>
      <c r="D1619" s="9"/>
      <c r="E1619" s="10"/>
      <c r="F1619" s="10"/>
    </row>
    <row r="1620" spans="1:6" x14ac:dyDescent="0.25">
      <c r="A1620" s="9" t="s">
        <v>57</v>
      </c>
      <c r="B1620" s="4">
        <v>45682</v>
      </c>
      <c r="C1620" s="5">
        <v>15</v>
      </c>
      <c r="D1620" s="9" t="s">
        <v>13</v>
      </c>
      <c r="E1620" s="10">
        <v>145</v>
      </c>
      <c r="F1620" s="10">
        <f t="shared" si="25"/>
        <v>2175</v>
      </c>
    </row>
    <row r="1621" spans="1:6" x14ac:dyDescent="0.25">
      <c r="A1621" s="9"/>
      <c r="B1621" s="9"/>
      <c r="C1621" s="5">
        <v>15</v>
      </c>
      <c r="D1621" s="9" t="s">
        <v>172</v>
      </c>
      <c r="E1621" s="10">
        <v>145</v>
      </c>
      <c r="F1621" s="10">
        <f t="shared" si="25"/>
        <v>2175</v>
      </c>
    </row>
    <row r="1622" spans="1:6" x14ac:dyDescent="0.25">
      <c r="A1622" s="9"/>
      <c r="B1622" s="9"/>
      <c r="D1622" s="9"/>
      <c r="E1622" s="10"/>
      <c r="F1622" s="8">
        <f>SUM(F1620:F1621)</f>
        <v>4350</v>
      </c>
    </row>
    <row r="1623" spans="1:6" x14ac:dyDescent="0.25">
      <c r="A1623" s="9"/>
      <c r="B1623" s="9"/>
      <c r="D1623" s="9"/>
      <c r="E1623" s="10"/>
      <c r="F1623" s="10"/>
    </row>
    <row r="1624" spans="1:6" x14ac:dyDescent="0.25">
      <c r="A1624" s="9" t="s">
        <v>40</v>
      </c>
      <c r="B1624" s="4">
        <v>45682</v>
      </c>
      <c r="C1624" s="5">
        <v>16</v>
      </c>
      <c r="D1624" s="9" t="s">
        <v>13</v>
      </c>
      <c r="E1624" s="10">
        <v>135</v>
      </c>
      <c r="F1624" s="10">
        <f t="shared" si="25"/>
        <v>2160</v>
      </c>
    </row>
    <row r="1625" spans="1:6" x14ac:dyDescent="0.25">
      <c r="A1625" s="9"/>
      <c r="B1625" s="9"/>
      <c r="C1625" s="5">
        <v>10</v>
      </c>
      <c r="D1625" s="9" t="s">
        <v>12</v>
      </c>
      <c r="E1625" s="10">
        <v>130</v>
      </c>
      <c r="F1625" s="10">
        <f t="shared" si="25"/>
        <v>1300</v>
      </c>
    </row>
    <row r="1626" spans="1:6" x14ac:dyDescent="0.25">
      <c r="A1626" s="9"/>
      <c r="B1626" s="9"/>
      <c r="C1626" s="5">
        <v>10</v>
      </c>
      <c r="D1626" s="9" t="s">
        <v>11</v>
      </c>
      <c r="E1626" s="10">
        <v>125</v>
      </c>
      <c r="F1626" s="10">
        <f t="shared" si="25"/>
        <v>1250</v>
      </c>
    </row>
    <row r="1627" spans="1:6" x14ac:dyDescent="0.25">
      <c r="A1627" s="9"/>
      <c r="B1627" s="9"/>
      <c r="D1627" s="9"/>
      <c r="E1627" s="10"/>
      <c r="F1627" s="8">
        <f>SUM(F1624:F1626)</f>
        <v>4710</v>
      </c>
    </row>
    <row r="1628" spans="1:6" x14ac:dyDescent="0.25">
      <c r="A1628" s="9"/>
      <c r="B1628" s="9"/>
      <c r="D1628" s="9"/>
      <c r="E1628" s="10"/>
      <c r="F1628" s="10"/>
    </row>
    <row r="1629" spans="1:6" x14ac:dyDescent="0.25">
      <c r="A1629" s="9" t="s">
        <v>65</v>
      </c>
      <c r="B1629" s="4">
        <v>45682</v>
      </c>
      <c r="C1629" s="5">
        <v>160</v>
      </c>
      <c r="D1629" s="9" t="s">
        <v>11</v>
      </c>
      <c r="E1629" s="10">
        <v>125</v>
      </c>
      <c r="F1629" s="10">
        <f t="shared" si="25"/>
        <v>20000</v>
      </c>
    </row>
    <row r="1630" spans="1:6" x14ac:dyDescent="0.25">
      <c r="A1630" s="9"/>
      <c r="B1630" s="9"/>
      <c r="C1630" s="5">
        <v>1900</v>
      </c>
      <c r="D1630" s="9" t="s">
        <v>12</v>
      </c>
      <c r="E1630" s="10">
        <v>130</v>
      </c>
      <c r="F1630" s="10">
        <f t="shared" si="25"/>
        <v>247000</v>
      </c>
    </row>
    <row r="1631" spans="1:6" x14ac:dyDescent="0.25">
      <c r="A1631" s="9"/>
      <c r="B1631" s="9"/>
      <c r="C1631" s="5">
        <v>190</v>
      </c>
      <c r="D1631" s="9" t="s">
        <v>22</v>
      </c>
      <c r="E1631" s="10">
        <v>120</v>
      </c>
      <c r="F1631" s="10">
        <f t="shared" si="25"/>
        <v>22800</v>
      </c>
    </row>
    <row r="1632" spans="1:6" x14ac:dyDescent="0.25">
      <c r="A1632" s="9"/>
      <c r="B1632" s="9"/>
      <c r="C1632" s="5">
        <v>290</v>
      </c>
      <c r="D1632" s="9" t="s">
        <v>173</v>
      </c>
      <c r="E1632" s="10">
        <v>130</v>
      </c>
      <c r="F1632" s="10">
        <f t="shared" si="25"/>
        <v>37700</v>
      </c>
    </row>
    <row r="1633" spans="1:6" x14ac:dyDescent="0.25">
      <c r="A1633" s="9"/>
      <c r="B1633" s="9"/>
      <c r="D1633" s="9"/>
      <c r="E1633" s="10"/>
      <c r="F1633" s="8">
        <f>SUM(F1629:F1632)</f>
        <v>327500</v>
      </c>
    </row>
    <row r="1634" spans="1:6" x14ac:dyDescent="0.25">
      <c r="A1634" s="9"/>
      <c r="B1634" s="9"/>
      <c r="D1634" s="9"/>
      <c r="E1634" s="10"/>
      <c r="F1634" s="10"/>
    </row>
    <row r="1635" spans="1:6" x14ac:dyDescent="0.25">
      <c r="A1635" s="9" t="s">
        <v>174</v>
      </c>
      <c r="B1635" s="4">
        <v>45682</v>
      </c>
      <c r="C1635" s="5">
        <v>28</v>
      </c>
      <c r="D1635" s="9" t="s">
        <v>22</v>
      </c>
      <c r="E1635" s="10">
        <v>125</v>
      </c>
      <c r="F1635" s="10">
        <f t="shared" si="25"/>
        <v>3500</v>
      </c>
    </row>
    <row r="1636" spans="1:6" x14ac:dyDescent="0.25">
      <c r="A1636" s="9"/>
      <c r="B1636" s="9"/>
      <c r="C1636" s="5">
        <v>92</v>
      </c>
      <c r="D1636" s="9" t="s">
        <v>12</v>
      </c>
      <c r="E1636" s="10">
        <v>140</v>
      </c>
      <c r="F1636" s="10">
        <f t="shared" si="25"/>
        <v>12880</v>
      </c>
    </row>
    <row r="1637" spans="1:6" x14ac:dyDescent="0.25">
      <c r="A1637" s="9"/>
      <c r="B1637" s="9"/>
      <c r="D1637" s="9"/>
      <c r="E1637" s="10"/>
      <c r="F1637" s="8">
        <f>SUM(F1635:F1636)</f>
        <v>16380</v>
      </c>
    </row>
    <row r="1638" spans="1:6" x14ac:dyDescent="0.25">
      <c r="A1638" s="9"/>
      <c r="B1638" s="9"/>
      <c r="D1638" s="9"/>
      <c r="E1638" s="10"/>
      <c r="F1638" s="10"/>
    </row>
    <row r="1639" spans="1:6" x14ac:dyDescent="0.25">
      <c r="A1639" s="9" t="s">
        <v>175</v>
      </c>
      <c r="B1639" s="4">
        <v>45682</v>
      </c>
      <c r="C1639" s="5">
        <v>10</v>
      </c>
      <c r="D1639" s="9" t="s">
        <v>13</v>
      </c>
      <c r="E1639" s="10">
        <v>150</v>
      </c>
      <c r="F1639" s="10">
        <f t="shared" si="25"/>
        <v>1500</v>
      </c>
    </row>
    <row r="1640" spans="1:6" x14ac:dyDescent="0.25">
      <c r="A1640" s="9"/>
      <c r="B1640" s="9"/>
      <c r="D1640" s="9"/>
      <c r="E1640" s="10"/>
      <c r="F1640" s="8">
        <f>SUM(F1639)</f>
        <v>1500</v>
      </c>
    </row>
    <row r="1641" spans="1:6" x14ac:dyDescent="0.25">
      <c r="A1641" s="9"/>
      <c r="B1641" s="9"/>
      <c r="D1641" s="9"/>
      <c r="E1641" s="10"/>
      <c r="F1641" s="10"/>
    </row>
    <row r="1642" spans="1:6" x14ac:dyDescent="0.25">
      <c r="A1642" s="9" t="s">
        <v>151</v>
      </c>
      <c r="B1642" s="4">
        <v>45682</v>
      </c>
      <c r="C1642" s="5">
        <v>100</v>
      </c>
      <c r="D1642" s="9" t="s">
        <v>8</v>
      </c>
      <c r="E1642" s="10">
        <v>140</v>
      </c>
      <c r="F1642" s="10">
        <f t="shared" si="25"/>
        <v>14000</v>
      </c>
    </row>
    <row r="1643" spans="1:6" x14ac:dyDescent="0.25">
      <c r="A1643" s="9"/>
      <c r="B1643" s="9"/>
      <c r="D1643" s="9"/>
      <c r="E1643" s="10"/>
      <c r="F1643" s="8">
        <f>SUM(F1642)</f>
        <v>14000</v>
      </c>
    </row>
    <row r="1644" spans="1:6" x14ac:dyDescent="0.25">
      <c r="A1644" s="9"/>
      <c r="B1644" s="9"/>
      <c r="D1644" s="9"/>
      <c r="E1644" s="10"/>
      <c r="F1644" s="10"/>
    </row>
    <row r="1645" spans="1:6" x14ac:dyDescent="0.25">
      <c r="A1645" s="9" t="s">
        <v>60</v>
      </c>
      <c r="B1645" s="4">
        <v>45682</v>
      </c>
      <c r="C1645" s="5">
        <v>30</v>
      </c>
      <c r="D1645" s="9" t="s">
        <v>13</v>
      </c>
      <c r="E1645" s="10">
        <v>145</v>
      </c>
      <c r="F1645" s="10">
        <f t="shared" si="25"/>
        <v>4350</v>
      </c>
    </row>
    <row r="1646" spans="1:6" x14ac:dyDescent="0.25">
      <c r="A1646" s="9"/>
      <c r="B1646" s="9"/>
      <c r="D1646" s="9"/>
      <c r="E1646" s="10"/>
      <c r="F1646" s="8">
        <f>SUM(F1645)</f>
        <v>4350</v>
      </c>
    </row>
    <row r="1647" spans="1:6" x14ac:dyDescent="0.25">
      <c r="A1647" s="9"/>
      <c r="B1647" s="9"/>
      <c r="D1647" s="9"/>
      <c r="E1647" s="10"/>
      <c r="F1647" s="10"/>
    </row>
    <row r="1648" spans="1:6" x14ac:dyDescent="0.25">
      <c r="A1648" s="9" t="s">
        <v>27</v>
      </c>
      <c r="B1648" s="4">
        <v>45682</v>
      </c>
      <c r="C1648" s="5">
        <v>3</v>
      </c>
      <c r="D1648" s="9" t="s">
        <v>13</v>
      </c>
      <c r="E1648" s="10">
        <v>150</v>
      </c>
      <c r="F1648" s="10">
        <f t="shared" si="25"/>
        <v>450</v>
      </c>
    </row>
    <row r="1649" spans="1:6" x14ac:dyDescent="0.25">
      <c r="A1649" s="9"/>
      <c r="B1649" s="9"/>
      <c r="C1649" s="5">
        <v>3</v>
      </c>
      <c r="D1649" s="9" t="s">
        <v>12</v>
      </c>
      <c r="E1649" s="10">
        <v>140</v>
      </c>
      <c r="F1649" s="10">
        <f t="shared" si="25"/>
        <v>420</v>
      </c>
    </row>
    <row r="1650" spans="1:6" x14ac:dyDescent="0.25">
      <c r="A1650" s="9"/>
      <c r="B1650" s="9"/>
      <c r="D1650" s="9"/>
      <c r="E1650" s="10"/>
      <c r="F1650" s="8">
        <f>SUM(F1648:F1649)</f>
        <v>870</v>
      </c>
    </row>
    <row r="1651" spans="1:6" x14ac:dyDescent="0.25">
      <c r="A1651" s="9"/>
      <c r="B1651" s="9"/>
      <c r="D1651" s="9"/>
      <c r="E1651" s="10"/>
      <c r="F1651" s="10"/>
    </row>
    <row r="1652" spans="1:6" x14ac:dyDescent="0.25">
      <c r="A1652" s="9" t="s">
        <v>176</v>
      </c>
      <c r="B1652" s="4">
        <v>45682</v>
      </c>
      <c r="C1652" s="5">
        <v>10</v>
      </c>
      <c r="D1652" s="9" t="s">
        <v>14</v>
      </c>
      <c r="E1652" s="10">
        <v>135</v>
      </c>
      <c r="F1652" s="10">
        <f t="shared" si="25"/>
        <v>1350</v>
      </c>
    </row>
    <row r="1653" spans="1:6" x14ac:dyDescent="0.25">
      <c r="A1653" s="9"/>
      <c r="B1653" s="9"/>
      <c r="C1653" s="5">
        <v>10</v>
      </c>
      <c r="D1653" s="9" t="s">
        <v>11</v>
      </c>
      <c r="E1653" s="10">
        <v>125</v>
      </c>
      <c r="F1653" s="10">
        <f t="shared" si="25"/>
        <v>1250</v>
      </c>
    </row>
    <row r="1654" spans="1:6" x14ac:dyDescent="0.25">
      <c r="A1654" s="9"/>
      <c r="B1654" s="9"/>
      <c r="C1654" s="5">
        <v>10</v>
      </c>
      <c r="D1654" s="9" t="s">
        <v>8</v>
      </c>
      <c r="E1654" s="10">
        <v>155</v>
      </c>
      <c r="F1654" s="10">
        <f t="shared" si="25"/>
        <v>1550</v>
      </c>
    </row>
    <row r="1655" spans="1:6" x14ac:dyDescent="0.25">
      <c r="A1655" s="9"/>
      <c r="B1655" s="9"/>
      <c r="C1655" s="5">
        <v>10</v>
      </c>
      <c r="D1655" s="9" t="s">
        <v>13</v>
      </c>
      <c r="E1655" s="10">
        <v>145</v>
      </c>
      <c r="F1655" s="10">
        <f t="shared" si="25"/>
        <v>1450</v>
      </c>
    </row>
    <row r="1656" spans="1:6" x14ac:dyDescent="0.25">
      <c r="A1656" s="9"/>
      <c r="B1656" s="9"/>
      <c r="D1656" s="9"/>
      <c r="E1656" s="10"/>
      <c r="F1656" s="8">
        <f>SUM(F1652:F1655)</f>
        <v>5600</v>
      </c>
    </row>
    <row r="1657" spans="1:6" x14ac:dyDescent="0.25">
      <c r="A1657" s="9"/>
      <c r="B1657" s="9"/>
      <c r="D1657" s="9"/>
      <c r="E1657" s="10"/>
      <c r="F1657" s="10"/>
    </row>
    <row r="1658" spans="1:6" x14ac:dyDescent="0.25">
      <c r="A1658" s="9" t="s">
        <v>66</v>
      </c>
      <c r="B1658" s="4">
        <v>45682</v>
      </c>
      <c r="C1658" s="5">
        <v>20</v>
      </c>
      <c r="D1658" s="9" t="s">
        <v>8</v>
      </c>
      <c r="E1658" s="10">
        <v>155</v>
      </c>
      <c r="F1658" s="10">
        <f t="shared" ref="F1658:F1721" si="26">+C1658*E1658</f>
        <v>3100</v>
      </c>
    </row>
    <row r="1659" spans="1:6" x14ac:dyDescent="0.25">
      <c r="A1659" s="9"/>
      <c r="B1659" s="9"/>
      <c r="D1659" s="9"/>
      <c r="E1659" s="10"/>
      <c r="F1659" s="8">
        <f>SUM(F1658)</f>
        <v>3100</v>
      </c>
    </row>
    <row r="1660" spans="1:6" x14ac:dyDescent="0.25">
      <c r="A1660" s="9"/>
      <c r="B1660" s="9"/>
      <c r="D1660" s="9"/>
      <c r="E1660" s="10"/>
      <c r="F1660" s="10"/>
    </row>
    <row r="1661" spans="1:6" x14ac:dyDescent="0.25">
      <c r="A1661" s="9" t="s">
        <v>127</v>
      </c>
      <c r="B1661" s="4">
        <v>45682</v>
      </c>
      <c r="C1661" s="5">
        <v>70</v>
      </c>
      <c r="D1661" s="9" t="s">
        <v>13</v>
      </c>
      <c r="E1661" s="10">
        <v>140</v>
      </c>
      <c r="F1661" s="10">
        <f t="shared" si="26"/>
        <v>9800</v>
      </c>
    </row>
    <row r="1662" spans="1:6" x14ac:dyDescent="0.25">
      <c r="A1662" s="9"/>
      <c r="B1662" s="9"/>
      <c r="D1662" s="9"/>
      <c r="E1662" s="10"/>
      <c r="F1662" s="8">
        <f>SUM(F1661)</f>
        <v>9800</v>
      </c>
    </row>
    <row r="1663" spans="1:6" x14ac:dyDescent="0.25">
      <c r="A1663" s="9"/>
      <c r="B1663" s="9"/>
      <c r="D1663" s="9"/>
      <c r="E1663" s="10"/>
      <c r="F1663" s="10"/>
    </row>
    <row r="1664" spans="1:6" x14ac:dyDescent="0.25">
      <c r="A1664" s="9" t="s">
        <v>26</v>
      </c>
      <c r="B1664" s="4">
        <v>45682</v>
      </c>
      <c r="C1664" s="5">
        <v>100</v>
      </c>
      <c r="D1664" s="9" t="s">
        <v>13</v>
      </c>
      <c r="E1664" s="10">
        <v>140</v>
      </c>
      <c r="F1664" s="10">
        <f t="shared" si="26"/>
        <v>14000</v>
      </c>
    </row>
    <row r="1665" spans="1:6" x14ac:dyDescent="0.25">
      <c r="A1665" s="9"/>
      <c r="B1665" s="9"/>
      <c r="C1665" s="5">
        <v>30</v>
      </c>
      <c r="D1665" s="9" t="s">
        <v>14</v>
      </c>
      <c r="E1665" s="10">
        <v>130</v>
      </c>
      <c r="F1665" s="10">
        <f t="shared" si="26"/>
        <v>3900</v>
      </c>
    </row>
    <row r="1666" spans="1:6" x14ac:dyDescent="0.25">
      <c r="A1666" s="9"/>
      <c r="B1666" s="9"/>
      <c r="D1666" s="9"/>
      <c r="E1666" s="10"/>
      <c r="F1666" s="8">
        <f>SUM(F1664:F1665)</f>
        <v>17900</v>
      </c>
    </row>
    <row r="1667" spans="1:6" x14ac:dyDescent="0.25">
      <c r="A1667" s="9"/>
      <c r="B1667" s="9"/>
      <c r="D1667" s="9"/>
      <c r="E1667" s="10"/>
      <c r="F1667" s="10"/>
    </row>
    <row r="1668" spans="1:6" x14ac:dyDescent="0.25">
      <c r="A1668" s="4" t="s">
        <v>72</v>
      </c>
      <c r="B1668" s="4">
        <v>45682</v>
      </c>
      <c r="C1668" s="5">
        <v>340</v>
      </c>
      <c r="D1668" s="9" t="s">
        <v>13</v>
      </c>
      <c r="E1668" s="10">
        <v>130</v>
      </c>
      <c r="F1668" s="10">
        <f t="shared" si="26"/>
        <v>44200</v>
      </c>
    </row>
    <row r="1669" spans="1:6" x14ac:dyDescent="0.25">
      <c r="A1669" s="9"/>
      <c r="B1669" s="9"/>
      <c r="C1669" s="5">
        <v>90</v>
      </c>
      <c r="D1669" s="9" t="s">
        <v>12</v>
      </c>
      <c r="E1669" s="10">
        <v>125</v>
      </c>
      <c r="F1669" s="10">
        <f t="shared" si="26"/>
        <v>11250</v>
      </c>
    </row>
    <row r="1670" spans="1:6" x14ac:dyDescent="0.25">
      <c r="A1670" s="9"/>
      <c r="B1670" s="9"/>
      <c r="C1670" s="5">
        <v>77</v>
      </c>
      <c r="D1670" s="9" t="s">
        <v>14</v>
      </c>
      <c r="E1670" s="10">
        <v>130</v>
      </c>
      <c r="F1670" s="10">
        <f t="shared" si="26"/>
        <v>10010</v>
      </c>
    </row>
    <row r="1671" spans="1:6" x14ac:dyDescent="0.25">
      <c r="A1671" s="9"/>
      <c r="B1671" s="9"/>
      <c r="C1671" s="5">
        <v>43</v>
      </c>
      <c r="D1671" s="9" t="s">
        <v>11</v>
      </c>
      <c r="E1671" s="10">
        <v>125</v>
      </c>
      <c r="F1671" s="10">
        <f t="shared" si="26"/>
        <v>5375</v>
      </c>
    </row>
    <row r="1672" spans="1:6" x14ac:dyDescent="0.25">
      <c r="A1672" s="9"/>
      <c r="B1672" s="9"/>
      <c r="D1672" s="9"/>
      <c r="E1672" s="10"/>
      <c r="F1672" s="8">
        <f>SUM(F1668:F1671)</f>
        <v>70835</v>
      </c>
    </row>
    <row r="1673" spans="1:6" x14ac:dyDescent="0.25">
      <c r="A1673" s="9"/>
      <c r="B1673" s="9"/>
      <c r="D1673" s="9"/>
      <c r="E1673" s="10"/>
      <c r="F1673" s="10"/>
    </row>
    <row r="1674" spans="1:6" x14ac:dyDescent="0.25">
      <c r="A1674" s="9" t="s">
        <v>51</v>
      </c>
      <c r="B1674" s="4">
        <v>45682</v>
      </c>
      <c r="C1674" s="5">
        <v>500</v>
      </c>
      <c r="D1674" s="9" t="s">
        <v>13</v>
      </c>
      <c r="E1674" s="10"/>
      <c r="F1674" s="10">
        <f t="shared" si="26"/>
        <v>0</v>
      </c>
    </row>
    <row r="1675" spans="1:6" x14ac:dyDescent="0.25">
      <c r="A1675" s="9"/>
      <c r="B1675" s="9"/>
      <c r="D1675" s="9"/>
      <c r="E1675" s="10"/>
      <c r="F1675" s="8">
        <f>SUM(F1674)</f>
        <v>0</v>
      </c>
    </row>
    <row r="1676" spans="1:6" x14ac:dyDescent="0.25">
      <c r="A1676" s="9"/>
      <c r="B1676" s="9"/>
      <c r="D1676" s="9"/>
      <c r="E1676" s="10"/>
      <c r="F1676" s="10"/>
    </row>
    <row r="1677" spans="1:6" s="9" customFormat="1" x14ac:dyDescent="0.25">
      <c r="A1677" s="9" t="s">
        <v>177</v>
      </c>
      <c r="B1677" s="4">
        <v>45682</v>
      </c>
      <c r="C1677" s="5">
        <v>200</v>
      </c>
      <c r="D1677" s="9" t="s">
        <v>13</v>
      </c>
      <c r="E1677" s="10">
        <v>120</v>
      </c>
      <c r="F1677" s="10">
        <f t="shared" si="26"/>
        <v>24000</v>
      </c>
    </row>
    <row r="1678" spans="1:6" s="9" customFormat="1" x14ac:dyDescent="0.25">
      <c r="C1678" s="5">
        <v>87</v>
      </c>
      <c r="D1678" s="9" t="s">
        <v>12</v>
      </c>
      <c r="E1678" s="10">
        <v>115</v>
      </c>
      <c r="F1678" s="10">
        <f t="shared" si="26"/>
        <v>10005</v>
      </c>
    </row>
    <row r="1679" spans="1:6" s="9" customFormat="1" x14ac:dyDescent="0.25">
      <c r="C1679" s="5"/>
      <c r="E1679" s="10"/>
      <c r="F1679" s="8">
        <f>SUM(F1677:F1678)</f>
        <v>34005</v>
      </c>
    </row>
    <row r="1680" spans="1:6" s="9" customFormat="1" x14ac:dyDescent="0.25">
      <c r="C1680" s="5"/>
      <c r="E1680" s="10"/>
      <c r="F1680" s="8"/>
    </row>
    <row r="1681" spans="1:6" x14ac:dyDescent="0.25">
      <c r="A1681" s="9" t="s">
        <v>32</v>
      </c>
      <c r="B1681" s="4">
        <v>45682</v>
      </c>
      <c r="C1681" s="5">
        <v>30</v>
      </c>
      <c r="D1681" s="9" t="s">
        <v>13</v>
      </c>
      <c r="E1681" s="10">
        <v>150</v>
      </c>
      <c r="F1681" s="10">
        <f t="shared" si="26"/>
        <v>4500</v>
      </c>
    </row>
    <row r="1682" spans="1:6" x14ac:dyDescent="0.25">
      <c r="A1682" s="9"/>
      <c r="B1682" s="9"/>
      <c r="D1682" s="9"/>
      <c r="E1682" s="10"/>
      <c r="F1682" s="8">
        <f>SUM(F1681)</f>
        <v>4500</v>
      </c>
    </row>
    <row r="1683" spans="1:6" x14ac:dyDescent="0.25">
      <c r="A1683" s="9"/>
      <c r="B1683" s="9"/>
      <c r="D1683" s="9"/>
      <c r="E1683" s="10"/>
      <c r="F1683" s="10"/>
    </row>
    <row r="1684" spans="1:6" x14ac:dyDescent="0.25">
      <c r="A1684" s="9" t="s">
        <v>67</v>
      </c>
      <c r="B1684" s="4">
        <v>45682</v>
      </c>
      <c r="C1684" s="5">
        <v>15</v>
      </c>
      <c r="D1684" s="9" t="s">
        <v>13</v>
      </c>
      <c r="E1684" s="10">
        <v>150</v>
      </c>
      <c r="F1684" s="10">
        <f>+C1684*E1684</f>
        <v>2250</v>
      </c>
    </row>
    <row r="1685" spans="1:6" x14ac:dyDescent="0.25">
      <c r="A1685" s="9"/>
      <c r="B1685" s="9"/>
      <c r="C1685" s="5">
        <v>15</v>
      </c>
      <c r="D1685" s="9" t="s">
        <v>12</v>
      </c>
      <c r="E1685" s="10">
        <v>140</v>
      </c>
      <c r="F1685" s="10">
        <f t="shared" si="26"/>
        <v>2100</v>
      </c>
    </row>
    <row r="1686" spans="1:6" x14ac:dyDescent="0.25">
      <c r="A1686" s="9"/>
      <c r="B1686" s="9"/>
      <c r="D1686" s="9"/>
      <c r="E1686" s="10"/>
      <c r="F1686" s="8">
        <f>SUM(F1684:F1685)</f>
        <v>4350</v>
      </c>
    </row>
    <row r="1687" spans="1:6" x14ac:dyDescent="0.25">
      <c r="A1687" s="9"/>
      <c r="B1687" s="9"/>
      <c r="D1687" s="9"/>
      <c r="E1687" s="10"/>
      <c r="F1687" s="10"/>
    </row>
    <row r="1688" spans="1:6" x14ac:dyDescent="0.25">
      <c r="A1688" s="9" t="s">
        <v>178</v>
      </c>
      <c r="B1688" s="4">
        <v>45682</v>
      </c>
      <c r="C1688" s="5">
        <v>5</v>
      </c>
      <c r="D1688" s="9" t="s">
        <v>13</v>
      </c>
      <c r="E1688" s="10">
        <v>150</v>
      </c>
      <c r="F1688" s="10">
        <f t="shared" si="26"/>
        <v>750</v>
      </c>
    </row>
    <row r="1689" spans="1:6" x14ac:dyDescent="0.25">
      <c r="A1689" s="9"/>
      <c r="B1689" s="9"/>
      <c r="C1689" s="5">
        <v>5</v>
      </c>
      <c r="D1689" s="9" t="s">
        <v>16</v>
      </c>
      <c r="E1689" s="10">
        <v>100</v>
      </c>
      <c r="F1689" s="10">
        <f t="shared" si="26"/>
        <v>500</v>
      </c>
    </row>
    <row r="1690" spans="1:6" x14ac:dyDescent="0.25">
      <c r="A1690" s="9"/>
      <c r="B1690" s="9"/>
      <c r="D1690" s="9"/>
      <c r="E1690" s="10"/>
      <c r="F1690" s="8">
        <f>SUM(F1688:F1689)</f>
        <v>1250</v>
      </c>
    </row>
    <row r="1691" spans="1:6" x14ac:dyDescent="0.25">
      <c r="A1691" s="9"/>
      <c r="B1691" s="9"/>
      <c r="D1691" s="9"/>
      <c r="E1691" s="10"/>
      <c r="F1691" s="10"/>
    </row>
    <row r="1692" spans="1:6" x14ac:dyDescent="0.25">
      <c r="A1692" s="9" t="s">
        <v>7</v>
      </c>
      <c r="B1692" s="4">
        <v>45682</v>
      </c>
      <c r="C1692" s="5">
        <v>2</v>
      </c>
      <c r="D1692" s="9" t="s">
        <v>8</v>
      </c>
      <c r="E1692" s="10">
        <v>170</v>
      </c>
      <c r="F1692" s="10">
        <f t="shared" si="26"/>
        <v>340</v>
      </c>
    </row>
    <row r="1693" spans="1:6" x14ac:dyDescent="0.25">
      <c r="A1693" s="9"/>
      <c r="B1693" s="9"/>
      <c r="C1693" s="5">
        <v>1</v>
      </c>
      <c r="D1693" s="9" t="s">
        <v>8</v>
      </c>
      <c r="E1693" s="10">
        <v>150</v>
      </c>
      <c r="F1693" s="10">
        <f t="shared" si="26"/>
        <v>150</v>
      </c>
    </row>
    <row r="1694" spans="1:6" x14ac:dyDescent="0.25">
      <c r="A1694" s="9"/>
      <c r="B1694" s="9"/>
      <c r="C1694" s="5">
        <v>1</v>
      </c>
      <c r="D1694" s="9" t="s">
        <v>179</v>
      </c>
      <c r="E1694" s="10">
        <v>140</v>
      </c>
      <c r="F1694" s="10">
        <f t="shared" si="26"/>
        <v>140</v>
      </c>
    </row>
    <row r="1695" spans="1:6" x14ac:dyDescent="0.25">
      <c r="A1695" s="9"/>
      <c r="B1695" s="9"/>
      <c r="D1695" s="9"/>
      <c r="E1695" s="10"/>
      <c r="F1695" s="8">
        <f>SUM(F1692:F1694)</f>
        <v>630</v>
      </c>
    </row>
    <row r="1696" spans="1:6" x14ac:dyDescent="0.25">
      <c r="A1696" s="9"/>
      <c r="B1696" s="9"/>
      <c r="D1696" s="9"/>
      <c r="E1696" s="10"/>
      <c r="F1696" s="10"/>
    </row>
    <row r="1697" spans="1:6" x14ac:dyDescent="0.25">
      <c r="A1697" s="9" t="s">
        <v>150</v>
      </c>
      <c r="B1697" s="4">
        <v>45683</v>
      </c>
      <c r="C1697" s="5">
        <v>230</v>
      </c>
      <c r="D1697" s="9" t="s">
        <v>14</v>
      </c>
      <c r="E1697" s="10"/>
      <c r="F1697" s="10">
        <f t="shared" si="26"/>
        <v>0</v>
      </c>
    </row>
    <row r="1698" spans="1:6" x14ac:dyDescent="0.25">
      <c r="A1698" s="9"/>
      <c r="B1698" s="9"/>
      <c r="C1698" s="5">
        <v>80</v>
      </c>
      <c r="D1698" s="9" t="s">
        <v>11</v>
      </c>
      <c r="E1698" s="10"/>
      <c r="F1698" s="10">
        <f t="shared" si="26"/>
        <v>0</v>
      </c>
    </row>
    <row r="1699" spans="1:6" x14ac:dyDescent="0.25">
      <c r="A1699" s="9"/>
      <c r="B1699" s="9"/>
      <c r="D1699" s="9"/>
      <c r="E1699" s="10"/>
      <c r="F1699" s="8">
        <f>SUM(F1697:F1698)</f>
        <v>0</v>
      </c>
    </row>
    <row r="1700" spans="1:6" x14ac:dyDescent="0.25">
      <c r="A1700" s="9"/>
      <c r="B1700" s="9"/>
      <c r="D1700" s="9"/>
      <c r="E1700" s="10"/>
      <c r="F1700" s="10"/>
    </row>
    <row r="1701" spans="1:6" x14ac:dyDescent="0.25">
      <c r="A1701" s="9" t="s">
        <v>180</v>
      </c>
      <c r="B1701" s="4">
        <v>45683</v>
      </c>
      <c r="C1701" s="5">
        <v>89</v>
      </c>
      <c r="D1701" s="9" t="s">
        <v>13</v>
      </c>
      <c r="E1701" s="10">
        <v>140</v>
      </c>
      <c r="F1701" s="10">
        <f t="shared" si="26"/>
        <v>12460</v>
      </c>
    </row>
    <row r="1702" spans="1:6" x14ac:dyDescent="0.25">
      <c r="A1702" s="9"/>
      <c r="B1702" s="9"/>
      <c r="D1702" s="9"/>
      <c r="E1702" s="10"/>
      <c r="F1702" s="8">
        <f>SUM(F1701)</f>
        <v>12460</v>
      </c>
    </row>
    <row r="1703" spans="1:6" x14ac:dyDescent="0.25">
      <c r="A1703" s="9"/>
      <c r="B1703" s="9"/>
      <c r="D1703" s="9"/>
      <c r="E1703" s="10"/>
      <c r="F1703" s="10"/>
    </row>
    <row r="1704" spans="1:6" x14ac:dyDescent="0.25">
      <c r="A1704" s="9" t="s">
        <v>29</v>
      </c>
      <c r="B1704" s="4">
        <v>45683</v>
      </c>
      <c r="C1704" s="5">
        <v>3</v>
      </c>
      <c r="D1704" s="9" t="s">
        <v>8</v>
      </c>
      <c r="E1704" s="10">
        <v>170</v>
      </c>
      <c r="F1704" s="10">
        <f t="shared" si="26"/>
        <v>510</v>
      </c>
    </row>
    <row r="1705" spans="1:6" x14ac:dyDescent="0.25">
      <c r="A1705" s="9"/>
      <c r="B1705" s="9"/>
      <c r="D1705" s="9"/>
      <c r="E1705" s="10"/>
      <c r="F1705" s="8">
        <f>SUM(F1704)</f>
        <v>510</v>
      </c>
    </row>
    <row r="1706" spans="1:6" x14ac:dyDescent="0.25">
      <c r="A1706" s="9"/>
      <c r="B1706" s="9"/>
      <c r="D1706" s="9"/>
      <c r="E1706" s="10"/>
      <c r="F1706" s="10"/>
    </row>
    <row r="1707" spans="1:6" x14ac:dyDescent="0.25">
      <c r="A1707" s="9" t="s">
        <v>181</v>
      </c>
      <c r="B1707" s="4">
        <v>45683</v>
      </c>
      <c r="C1707" s="5">
        <v>2</v>
      </c>
      <c r="D1707" s="9" t="s">
        <v>12</v>
      </c>
      <c r="E1707" s="10">
        <v>150</v>
      </c>
      <c r="F1707" s="10">
        <f t="shared" si="26"/>
        <v>300</v>
      </c>
    </row>
    <row r="1708" spans="1:6" x14ac:dyDescent="0.25">
      <c r="A1708" s="9"/>
      <c r="B1708" s="9"/>
      <c r="C1708" s="5">
        <v>1</v>
      </c>
      <c r="D1708" s="9" t="s">
        <v>8</v>
      </c>
      <c r="E1708" s="10">
        <v>170</v>
      </c>
      <c r="F1708" s="10">
        <f t="shared" si="26"/>
        <v>170</v>
      </c>
    </row>
    <row r="1709" spans="1:6" x14ac:dyDescent="0.25">
      <c r="A1709" s="9"/>
      <c r="B1709" s="9"/>
      <c r="C1709" s="5">
        <v>1</v>
      </c>
      <c r="D1709" s="9" t="s">
        <v>8</v>
      </c>
      <c r="E1709" s="10">
        <v>170</v>
      </c>
      <c r="F1709" s="10">
        <f t="shared" si="26"/>
        <v>170</v>
      </c>
    </row>
    <row r="1710" spans="1:6" x14ac:dyDescent="0.25">
      <c r="A1710" s="9"/>
      <c r="B1710" s="9"/>
      <c r="D1710" s="9"/>
      <c r="E1710" s="10"/>
      <c r="F1710" s="8">
        <f>SUM(F1707:F1709)</f>
        <v>640</v>
      </c>
    </row>
    <row r="1711" spans="1:6" x14ac:dyDescent="0.25">
      <c r="A1711" s="9"/>
      <c r="B1711" s="9"/>
      <c r="D1711" s="9"/>
      <c r="E1711" s="10"/>
      <c r="F1711" s="10"/>
    </row>
    <row r="1712" spans="1:6" x14ac:dyDescent="0.25">
      <c r="A1712" s="9" t="s">
        <v>79</v>
      </c>
      <c r="B1712" s="4">
        <v>45684</v>
      </c>
      <c r="C1712" s="5">
        <v>25</v>
      </c>
      <c r="D1712" s="9" t="s">
        <v>13</v>
      </c>
      <c r="E1712" s="10">
        <v>150</v>
      </c>
      <c r="F1712" s="10">
        <f t="shared" si="26"/>
        <v>3750</v>
      </c>
    </row>
    <row r="1713" spans="1:6" x14ac:dyDescent="0.25">
      <c r="A1713" s="9"/>
      <c r="B1713" s="9"/>
      <c r="D1713" s="9"/>
      <c r="E1713" s="10"/>
      <c r="F1713" s="8">
        <f>SUM(F1712)</f>
        <v>3750</v>
      </c>
    </row>
    <row r="1714" spans="1:6" x14ac:dyDescent="0.25">
      <c r="A1714" s="9"/>
      <c r="B1714" s="9"/>
      <c r="D1714" s="9"/>
      <c r="E1714" s="10"/>
      <c r="F1714" s="10"/>
    </row>
    <row r="1715" spans="1:6" x14ac:dyDescent="0.25">
      <c r="A1715" s="9" t="s">
        <v>182</v>
      </c>
      <c r="B1715" s="4">
        <v>45684</v>
      </c>
      <c r="C1715" s="5">
        <v>15</v>
      </c>
      <c r="D1715" s="9" t="s">
        <v>16</v>
      </c>
      <c r="E1715" s="10">
        <v>100</v>
      </c>
      <c r="F1715" s="10">
        <f t="shared" si="26"/>
        <v>1500</v>
      </c>
    </row>
    <row r="1716" spans="1:6" x14ac:dyDescent="0.25">
      <c r="A1716" s="9"/>
      <c r="B1716" s="9"/>
      <c r="D1716" s="9"/>
      <c r="E1716" s="10"/>
      <c r="F1716" s="8">
        <f>SUM(F1715)</f>
        <v>1500</v>
      </c>
    </row>
    <row r="1717" spans="1:6" x14ac:dyDescent="0.25">
      <c r="A1717" s="9"/>
      <c r="B1717" s="9"/>
      <c r="D1717" s="9"/>
      <c r="E1717" s="10"/>
      <c r="F1717" s="10"/>
    </row>
    <row r="1718" spans="1:6" x14ac:dyDescent="0.25">
      <c r="A1718" s="9" t="s">
        <v>15</v>
      </c>
      <c r="B1718" s="4">
        <v>45684</v>
      </c>
      <c r="C1718" s="5">
        <v>52</v>
      </c>
      <c r="D1718" s="9" t="s">
        <v>36</v>
      </c>
      <c r="E1718" s="10">
        <v>100</v>
      </c>
      <c r="F1718" s="10">
        <f t="shared" si="26"/>
        <v>5200</v>
      </c>
    </row>
    <row r="1719" spans="1:6" x14ac:dyDescent="0.25">
      <c r="A1719" s="9"/>
      <c r="B1719" s="9"/>
      <c r="D1719" s="9"/>
      <c r="E1719" s="10"/>
      <c r="F1719" s="8">
        <f>SUM(F1718)</f>
        <v>5200</v>
      </c>
    </row>
    <row r="1720" spans="1:6" x14ac:dyDescent="0.25">
      <c r="A1720" s="9"/>
      <c r="B1720" s="9"/>
      <c r="D1720" s="9"/>
      <c r="E1720" s="10"/>
      <c r="F1720" s="10"/>
    </row>
    <row r="1721" spans="1:6" x14ac:dyDescent="0.25">
      <c r="A1721" s="9" t="s">
        <v>20</v>
      </c>
      <c r="B1721" s="4">
        <v>45684</v>
      </c>
      <c r="C1721" s="5">
        <v>20</v>
      </c>
      <c r="D1721" s="9" t="s">
        <v>13</v>
      </c>
      <c r="E1721" s="10">
        <v>140</v>
      </c>
      <c r="F1721" s="10">
        <f t="shared" si="26"/>
        <v>2800</v>
      </c>
    </row>
    <row r="1722" spans="1:6" x14ac:dyDescent="0.25">
      <c r="A1722" s="9"/>
      <c r="B1722" s="9"/>
      <c r="D1722" s="9"/>
      <c r="E1722" s="10"/>
      <c r="F1722" s="8">
        <f>SUM(F1721)</f>
        <v>2800</v>
      </c>
    </row>
    <row r="1723" spans="1:6" x14ac:dyDescent="0.25">
      <c r="A1723" s="9"/>
      <c r="B1723" s="9"/>
      <c r="D1723" s="9"/>
      <c r="E1723" s="10"/>
      <c r="F1723" s="10"/>
    </row>
    <row r="1724" spans="1:6" x14ac:dyDescent="0.25">
      <c r="A1724" s="9" t="s">
        <v>21</v>
      </c>
      <c r="B1724" s="4">
        <v>45684</v>
      </c>
      <c r="C1724" s="5">
        <v>20</v>
      </c>
      <c r="D1724" s="9" t="s">
        <v>13</v>
      </c>
      <c r="E1724" s="10">
        <v>140</v>
      </c>
      <c r="F1724" s="10">
        <f t="shared" ref="F1724:F1785" si="27">+C1724*E1724</f>
        <v>2800</v>
      </c>
    </row>
    <row r="1725" spans="1:6" x14ac:dyDescent="0.25">
      <c r="A1725" s="9"/>
      <c r="B1725" s="9"/>
      <c r="C1725" s="5">
        <v>10</v>
      </c>
      <c r="D1725" s="9" t="s">
        <v>12</v>
      </c>
      <c r="E1725" s="10">
        <v>135</v>
      </c>
      <c r="F1725" s="10">
        <f t="shared" si="27"/>
        <v>1350</v>
      </c>
    </row>
    <row r="1726" spans="1:6" x14ac:dyDescent="0.25">
      <c r="A1726" s="9"/>
      <c r="B1726" s="9"/>
      <c r="C1726" s="5">
        <v>10</v>
      </c>
      <c r="D1726" s="9" t="s">
        <v>22</v>
      </c>
      <c r="E1726" s="10">
        <v>125</v>
      </c>
      <c r="F1726" s="10">
        <f t="shared" si="27"/>
        <v>1250</v>
      </c>
    </row>
    <row r="1727" spans="1:6" x14ac:dyDescent="0.25">
      <c r="A1727" s="9"/>
      <c r="B1727" s="9"/>
      <c r="C1727" s="5">
        <v>5</v>
      </c>
      <c r="D1727" s="9" t="s">
        <v>11</v>
      </c>
      <c r="E1727" s="10">
        <v>125</v>
      </c>
      <c r="F1727" s="10">
        <f t="shared" si="27"/>
        <v>625</v>
      </c>
    </row>
    <row r="1728" spans="1:6" x14ac:dyDescent="0.25">
      <c r="A1728" s="9"/>
      <c r="B1728" s="9"/>
      <c r="D1728" s="9"/>
      <c r="E1728" s="10"/>
      <c r="F1728" s="8">
        <f>SUM(F1724:F1727)</f>
        <v>6025</v>
      </c>
    </row>
    <row r="1729" spans="1:6" x14ac:dyDescent="0.25">
      <c r="A1729" s="9"/>
      <c r="B1729" s="9"/>
      <c r="D1729" s="9"/>
      <c r="E1729" s="10"/>
      <c r="F1729" s="10"/>
    </row>
    <row r="1730" spans="1:6" x14ac:dyDescent="0.25">
      <c r="A1730" s="9" t="s">
        <v>57</v>
      </c>
      <c r="B1730" s="4">
        <v>45684</v>
      </c>
      <c r="C1730" s="5">
        <v>10</v>
      </c>
      <c r="D1730" s="9" t="s">
        <v>165</v>
      </c>
      <c r="E1730" s="10">
        <v>140</v>
      </c>
      <c r="F1730" s="10">
        <f t="shared" si="27"/>
        <v>1400</v>
      </c>
    </row>
    <row r="1731" spans="1:6" x14ac:dyDescent="0.25">
      <c r="A1731" s="9"/>
      <c r="B1731" s="9"/>
      <c r="D1731" s="9"/>
      <c r="E1731" s="10"/>
      <c r="F1731" s="8">
        <f>SUM(F1730)</f>
        <v>1400</v>
      </c>
    </row>
    <row r="1732" spans="1:6" x14ac:dyDescent="0.25">
      <c r="A1732" s="9"/>
      <c r="B1732" s="9"/>
      <c r="D1732" s="9"/>
      <c r="E1732" s="10"/>
      <c r="F1732" s="10"/>
    </row>
    <row r="1733" spans="1:6" x14ac:dyDescent="0.25">
      <c r="A1733" s="9" t="s">
        <v>23</v>
      </c>
      <c r="B1733" s="4">
        <v>45684</v>
      </c>
      <c r="C1733" s="5">
        <v>20</v>
      </c>
      <c r="D1733" s="9" t="s">
        <v>13</v>
      </c>
      <c r="E1733" s="10">
        <v>140</v>
      </c>
      <c r="F1733" s="10">
        <f t="shared" si="27"/>
        <v>2800</v>
      </c>
    </row>
    <row r="1734" spans="1:6" x14ac:dyDescent="0.25">
      <c r="A1734" s="9"/>
      <c r="B1734" s="9"/>
      <c r="D1734" s="9"/>
      <c r="E1734" s="10"/>
      <c r="F1734" s="8">
        <f>SUM(F1733)</f>
        <v>2800</v>
      </c>
    </row>
    <row r="1735" spans="1:6" x14ac:dyDescent="0.25">
      <c r="A1735" s="9"/>
      <c r="B1735" s="9"/>
      <c r="D1735" s="9"/>
      <c r="E1735" s="10"/>
      <c r="F1735" s="10"/>
    </row>
    <row r="1736" spans="1:6" x14ac:dyDescent="0.25">
      <c r="A1736" s="9" t="s">
        <v>25</v>
      </c>
      <c r="B1736" s="4">
        <v>45684</v>
      </c>
      <c r="C1736" s="5">
        <v>12</v>
      </c>
      <c r="D1736" s="9" t="s">
        <v>13</v>
      </c>
      <c r="E1736" s="10">
        <v>140</v>
      </c>
      <c r="F1736" s="10">
        <f t="shared" si="27"/>
        <v>1680</v>
      </c>
    </row>
    <row r="1737" spans="1:6" x14ac:dyDescent="0.25">
      <c r="A1737" s="9"/>
      <c r="B1737" s="9"/>
      <c r="D1737" s="9"/>
      <c r="E1737" s="10"/>
      <c r="F1737" s="8">
        <f>SUM(F1736)</f>
        <v>1680</v>
      </c>
    </row>
    <row r="1738" spans="1:6" x14ac:dyDescent="0.25">
      <c r="A1738" s="9"/>
      <c r="B1738" s="9"/>
      <c r="D1738" s="9"/>
      <c r="E1738" s="10"/>
      <c r="F1738" s="10"/>
    </row>
    <row r="1739" spans="1:6" x14ac:dyDescent="0.25">
      <c r="A1739" s="9" t="s">
        <v>40</v>
      </c>
      <c r="B1739" s="4">
        <v>45684</v>
      </c>
      <c r="C1739" s="5">
        <v>15</v>
      </c>
      <c r="D1739" s="9" t="s">
        <v>13</v>
      </c>
      <c r="E1739" s="10">
        <v>135</v>
      </c>
      <c r="F1739" s="10">
        <f t="shared" si="27"/>
        <v>2025</v>
      </c>
    </row>
    <row r="1740" spans="1:6" x14ac:dyDescent="0.25">
      <c r="A1740" s="9"/>
      <c r="B1740" s="9"/>
      <c r="C1740" s="5">
        <v>16</v>
      </c>
      <c r="D1740" s="9" t="s">
        <v>14</v>
      </c>
      <c r="E1740" s="10">
        <v>135</v>
      </c>
      <c r="F1740" s="10">
        <f t="shared" si="27"/>
        <v>2160</v>
      </c>
    </row>
    <row r="1741" spans="1:6" x14ac:dyDescent="0.25">
      <c r="A1741" s="9"/>
      <c r="B1741" s="9"/>
      <c r="C1741" s="5">
        <v>10</v>
      </c>
      <c r="D1741" s="9" t="s">
        <v>12</v>
      </c>
      <c r="E1741" s="10">
        <v>130</v>
      </c>
      <c r="F1741" s="10">
        <f t="shared" si="27"/>
        <v>1300</v>
      </c>
    </row>
    <row r="1742" spans="1:6" x14ac:dyDescent="0.25">
      <c r="A1742" s="9"/>
      <c r="B1742" s="9"/>
      <c r="C1742" s="5">
        <v>15</v>
      </c>
      <c r="D1742" s="9" t="s">
        <v>11</v>
      </c>
      <c r="E1742" s="10">
        <v>125</v>
      </c>
      <c r="F1742" s="10">
        <f t="shared" si="27"/>
        <v>1875</v>
      </c>
    </row>
    <row r="1743" spans="1:6" x14ac:dyDescent="0.25">
      <c r="A1743" s="9"/>
      <c r="B1743" s="9"/>
      <c r="D1743" s="9"/>
      <c r="E1743" s="10"/>
      <c r="F1743" s="8">
        <f>SUM(F1739:F1742)</f>
        <v>7360</v>
      </c>
    </row>
    <row r="1744" spans="1:6" x14ac:dyDescent="0.25">
      <c r="A1744" s="9"/>
      <c r="B1744" s="9"/>
      <c r="D1744" s="9"/>
      <c r="E1744" s="10"/>
      <c r="F1744" s="10"/>
    </row>
    <row r="1745" spans="1:6" x14ac:dyDescent="0.25">
      <c r="A1745" s="9" t="s">
        <v>58</v>
      </c>
      <c r="B1745" s="4">
        <v>45684</v>
      </c>
      <c r="C1745" s="5">
        <v>8</v>
      </c>
      <c r="D1745" s="9" t="s">
        <v>13</v>
      </c>
      <c r="E1745" s="10">
        <v>150</v>
      </c>
      <c r="F1745" s="10">
        <f t="shared" si="27"/>
        <v>1200</v>
      </c>
    </row>
    <row r="1746" spans="1:6" x14ac:dyDescent="0.25">
      <c r="A1746" s="9"/>
      <c r="B1746" s="9"/>
      <c r="D1746" s="9"/>
      <c r="E1746" s="10"/>
      <c r="F1746" s="8">
        <f>SUM(F1745)</f>
        <v>1200</v>
      </c>
    </row>
    <row r="1747" spans="1:6" x14ac:dyDescent="0.25">
      <c r="A1747" s="9"/>
      <c r="B1747" s="9"/>
      <c r="D1747" s="9"/>
      <c r="E1747" s="10"/>
      <c r="F1747" s="10"/>
    </row>
    <row r="1748" spans="1:6" x14ac:dyDescent="0.25">
      <c r="A1748" s="9" t="s">
        <v>18</v>
      </c>
      <c r="B1748" s="4">
        <v>45684</v>
      </c>
      <c r="C1748" s="5">
        <v>7</v>
      </c>
      <c r="D1748" s="9" t="s">
        <v>13</v>
      </c>
      <c r="E1748" s="10">
        <v>145</v>
      </c>
      <c r="F1748" s="10">
        <f t="shared" si="27"/>
        <v>1015</v>
      </c>
    </row>
    <row r="1749" spans="1:6" x14ac:dyDescent="0.25">
      <c r="A1749" s="9"/>
      <c r="B1749" s="9"/>
      <c r="D1749" s="9"/>
      <c r="E1749" s="10"/>
      <c r="F1749" s="8">
        <f>SUM(F1748)</f>
        <v>1015</v>
      </c>
    </row>
    <row r="1750" spans="1:6" x14ac:dyDescent="0.25">
      <c r="A1750" s="9"/>
      <c r="B1750" s="9"/>
      <c r="D1750" s="9"/>
      <c r="E1750" s="10"/>
      <c r="F1750" s="10"/>
    </row>
    <row r="1751" spans="1:6" x14ac:dyDescent="0.25">
      <c r="A1751" s="9" t="s">
        <v>17</v>
      </c>
      <c r="B1751" s="4">
        <v>45684</v>
      </c>
      <c r="C1751" s="5">
        <v>10</v>
      </c>
      <c r="D1751" s="9" t="s">
        <v>13</v>
      </c>
      <c r="E1751" s="10">
        <v>145</v>
      </c>
      <c r="F1751" s="10">
        <f t="shared" si="27"/>
        <v>1450</v>
      </c>
    </row>
    <row r="1752" spans="1:6" x14ac:dyDescent="0.25">
      <c r="A1752" s="9"/>
      <c r="B1752" s="9"/>
      <c r="D1752" s="9"/>
      <c r="E1752" s="10"/>
      <c r="F1752" s="8">
        <f>SUM(F1751)</f>
        <v>1450</v>
      </c>
    </row>
    <row r="1753" spans="1:6" x14ac:dyDescent="0.25">
      <c r="A1753" s="9"/>
      <c r="B1753" s="9"/>
      <c r="D1753" s="9"/>
      <c r="E1753" s="10"/>
      <c r="F1753" s="10"/>
    </row>
    <row r="1754" spans="1:6" x14ac:dyDescent="0.25">
      <c r="A1754" s="9" t="s">
        <v>183</v>
      </c>
      <c r="B1754" s="4">
        <v>45684</v>
      </c>
      <c r="C1754" s="5">
        <v>2</v>
      </c>
      <c r="D1754" s="9" t="s">
        <v>36</v>
      </c>
      <c r="E1754" s="10">
        <v>100</v>
      </c>
      <c r="F1754" s="10">
        <f t="shared" si="27"/>
        <v>200</v>
      </c>
    </row>
    <row r="1755" spans="1:6" x14ac:dyDescent="0.25">
      <c r="A1755" s="9"/>
      <c r="B1755" s="9"/>
      <c r="D1755" s="9"/>
      <c r="E1755" s="10"/>
      <c r="F1755" s="8">
        <f>SUM(F1754)</f>
        <v>200</v>
      </c>
    </row>
    <row r="1756" spans="1:6" x14ac:dyDescent="0.25">
      <c r="A1756" s="9"/>
      <c r="B1756" s="9"/>
      <c r="D1756" s="9"/>
      <c r="E1756" s="10"/>
      <c r="F1756" s="10"/>
    </row>
    <row r="1757" spans="1:6" x14ac:dyDescent="0.25">
      <c r="A1757" s="9" t="s">
        <v>69</v>
      </c>
      <c r="B1757" s="4">
        <v>45684</v>
      </c>
      <c r="C1757" s="5">
        <v>20</v>
      </c>
      <c r="D1757" s="9" t="s">
        <v>13</v>
      </c>
      <c r="E1757" s="10">
        <v>155</v>
      </c>
      <c r="F1757" s="10">
        <f t="shared" si="27"/>
        <v>3100</v>
      </c>
    </row>
    <row r="1758" spans="1:6" x14ac:dyDescent="0.25">
      <c r="A1758" s="9"/>
      <c r="B1758" s="9"/>
      <c r="D1758" s="9"/>
      <c r="E1758" s="10"/>
      <c r="F1758" s="8">
        <f>SUM(F1757)</f>
        <v>3100</v>
      </c>
    </row>
    <row r="1759" spans="1:6" x14ac:dyDescent="0.25">
      <c r="A1759" s="9"/>
      <c r="B1759" s="9"/>
      <c r="D1759" s="9"/>
      <c r="E1759" s="10"/>
      <c r="F1759" s="10"/>
    </row>
    <row r="1760" spans="1:6" x14ac:dyDescent="0.25">
      <c r="A1760" s="9" t="s">
        <v>41</v>
      </c>
      <c r="B1760" s="4">
        <v>45684</v>
      </c>
      <c r="C1760" s="5">
        <v>45</v>
      </c>
      <c r="D1760" s="9" t="s">
        <v>14</v>
      </c>
      <c r="E1760" s="10">
        <v>135</v>
      </c>
      <c r="F1760" s="10">
        <f t="shared" si="27"/>
        <v>6075</v>
      </c>
    </row>
    <row r="1761" spans="1:6" x14ac:dyDescent="0.25">
      <c r="A1761" s="9"/>
      <c r="B1761" s="9"/>
      <c r="D1761" s="9"/>
      <c r="E1761" s="10"/>
      <c r="F1761" s="8">
        <f>SUM(F1760)</f>
        <v>6075</v>
      </c>
    </row>
    <row r="1762" spans="1:6" x14ac:dyDescent="0.25">
      <c r="A1762" s="9"/>
      <c r="B1762" s="9"/>
      <c r="D1762" s="9"/>
      <c r="E1762" s="10"/>
      <c r="F1762" s="10"/>
    </row>
    <row r="1763" spans="1:6" x14ac:dyDescent="0.25">
      <c r="A1763" s="9" t="s">
        <v>43</v>
      </c>
      <c r="B1763" s="4">
        <v>45684</v>
      </c>
      <c r="C1763" s="5">
        <v>10</v>
      </c>
      <c r="D1763" s="9" t="s">
        <v>14</v>
      </c>
      <c r="E1763" s="10">
        <v>125</v>
      </c>
      <c r="F1763" s="10">
        <f t="shared" si="27"/>
        <v>1250</v>
      </c>
    </row>
    <row r="1764" spans="1:6" x14ac:dyDescent="0.25">
      <c r="A1764" s="9"/>
      <c r="B1764" s="9"/>
      <c r="D1764" s="9"/>
      <c r="E1764" s="10"/>
      <c r="F1764" s="8">
        <f>SUM(F1763)</f>
        <v>1250</v>
      </c>
    </row>
    <row r="1765" spans="1:6" x14ac:dyDescent="0.25">
      <c r="A1765" s="9"/>
      <c r="B1765" s="9"/>
      <c r="D1765" s="9"/>
      <c r="E1765" s="10"/>
      <c r="F1765" s="10"/>
    </row>
    <row r="1766" spans="1:6" x14ac:dyDescent="0.25">
      <c r="A1766" s="9" t="s">
        <v>44</v>
      </c>
      <c r="B1766" s="4">
        <v>45684</v>
      </c>
      <c r="C1766" s="5">
        <v>80</v>
      </c>
      <c r="D1766" s="9" t="s">
        <v>14</v>
      </c>
      <c r="E1766" s="10">
        <v>125</v>
      </c>
      <c r="F1766" s="10">
        <f t="shared" si="27"/>
        <v>10000</v>
      </c>
    </row>
    <row r="1767" spans="1:6" x14ac:dyDescent="0.25">
      <c r="A1767" s="9"/>
      <c r="B1767" s="9"/>
      <c r="D1767" s="9"/>
      <c r="E1767" s="10"/>
      <c r="F1767" s="8">
        <f>SUM(F1766)</f>
        <v>10000</v>
      </c>
    </row>
    <row r="1768" spans="1:6" x14ac:dyDescent="0.25">
      <c r="A1768" s="9"/>
      <c r="B1768" s="9"/>
      <c r="D1768" s="9"/>
      <c r="E1768" s="10"/>
      <c r="F1768" s="10"/>
    </row>
    <row r="1769" spans="1:6" x14ac:dyDescent="0.25">
      <c r="A1769" s="9" t="s">
        <v>18</v>
      </c>
      <c r="B1769" s="4">
        <v>45684</v>
      </c>
      <c r="C1769" s="5">
        <v>20</v>
      </c>
      <c r="D1769" s="9" t="s">
        <v>14</v>
      </c>
      <c r="E1769" s="10">
        <v>125</v>
      </c>
      <c r="F1769" s="10">
        <f t="shared" si="27"/>
        <v>2500</v>
      </c>
    </row>
    <row r="1770" spans="1:6" x14ac:dyDescent="0.25">
      <c r="A1770" s="9"/>
      <c r="B1770" s="9"/>
      <c r="D1770" s="9"/>
      <c r="E1770" s="10"/>
      <c r="F1770" s="8">
        <f>SUM(F1769)</f>
        <v>2500</v>
      </c>
    </row>
    <row r="1771" spans="1:6" x14ac:dyDescent="0.25">
      <c r="A1771" s="9"/>
      <c r="B1771" s="9"/>
      <c r="D1771" s="9"/>
      <c r="E1771" s="10"/>
      <c r="F1771" s="10"/>
    </row>
    <row r="1772" spans="1:6" x14ac:dyDescent="0.25">
      <c r="A1772" s="9" t="s">
        <v>143</v>
      </c>
      <c r="B1772" s="4">
        <v>45684</v>
      </c>
      <c r="C1772" s="5">
        <v>10</v>
      </c>
      <c r="D1772" s="9" t="s">
        <v>14</v>
      </c>
      <c r="E1772" s="10">
        <v>125</v>
      </c>
      <c r="F1772" s="10">
        <f t="shared" si="27"/>
        <v>1250</v>
      </c>
    </row>
    <row r="1773" spans="1:6" x14ac:dyDescent="0.25">
      <c r="A1773" s="9"/>
      <c r="B1773" s="9"/>
      <c r="D1773" s="9"/>
      <c r="E1773" s="10"/>
      <c r="F1773" s="8">
        <f>SUM(F1772)</f>
        <v>1250</v>
      </c>
    </row>
    <row r="1774" spans="1:6" x14ac:dyDescent="0.25">
      <c r="A1774" s="9"/>
      <c r="B1774" s="9"/>
      <c r="D1774" s="9"/>
      <c r="E1774" s="10"/>
      <c r="F1774" s="10"/>
    </row>
    <row r="1775" spans="1:6" x14ac:dyDescent="0.25">
      <c r="A1775" s="9" t="s">
        <v>46</v>
      </c>
      <c r="B1775" s="4">
        <v>45684</v>
      </c>
      <c r="C1775" s="5">
        <v>20</v>
      </c>
      <c r="D1775" s="9" t="s">
        <v>14</v>
      </c>
      <c r="E1775" s="10">
        <v>125</v>
      </c>
      <c r="F1775" s="10">
        <f t="shared" si="27"/>
        <v>2500</v>
      </c>
    </row>
    <row r="1776" spans="1:6" x14ac:dyDescent="0.25">
      <c r="A1776" s="9"/>
      <c r="B1776" s="9"/>
      <c r="D1776" s="9"/>
      <c r="E1776" s="10"/>
      <c r="F1776" s="8">
        <f>SUM(F1775)</f>
        <v>2500</v>
      </c>
    </row>
    <row r="1777" spans="1:6" x14ac:dyDescent="0.25">
      <c r="A1777" s="9"/>
      <c r="B1777" s="9"/>
      <c r="D1777" s="9"/>
      <c r="E1777" s="10"/>
      <c r="F1777" s="10"/>
    </row>
    <row r="1778" spans="1:6" x14ac:dyDescent="0.25">
      <c r="A1778" s="9" t="s">
        <v>47</v>
      </c>
      <c r="B1778" s="4">
        <v>45684</v>
      </c>
      <c r="C1778" s="5">
        <v>50</v>
      </c>
      <c r="D1778" s="9" t="s">
        <v>14</v>
      </c>
      <c r="E1778" s="10">
        <v>125</v>
      </c>
      <c r="F1778" s="10">
        <f t="shared" si="27"/>
        <v>6250</v>
      </c>
    </row>
    <row r="1779" spans="1:6" x14ac:dyDescent="0.25">
      <c r="A1779" s="9"/>
      <c r="B1779" s="9"/>
      <c r="D1779" s="9"/>
      <c r="E1779" s="10"/>
      <c r="F1779" s="8">
        <f>SUM(F1778)</f>
        <v>6250</v>
      </c>
    </row>
    <row r="1780" spans="1:6" x14ac:dyDescent="0.25">
      <c r="A1780" s="9"/>
      <c r="B1780" s="9"/>
      <c r="D1780" s="9"/>
      <c r="E1780" s="10"/>
      <c r="F1780" s="10"/>
    </row>
    <row r="1781" spans="1:6" x14ac:dyDescent="0.25">
      <c r="A1781" s="9" t="s">
        <v>89</v>
      </c>
      <c r="B1781" s="4">
        <v>45684</v>
      </c>
      <c r="C1781" s="5">
        <v>30</v>
      </c>
      <c r="D1781" s="9" t="s">
        <v>13</v>
      </c>
      <c r="E1781" s="10">
        <v>135</v>
      </c>
      <c r="F1781" s="10">
        <f t="shared" si="27"/>
        <v>4050</v>
      </c>
    </row>
    <row r="1782" spans="1:6" x14ac:dyDescent="0.25">
      <c r="A1782" s="9"/>
      <c r="B1782" s="9"/>
      <c r="C1782" s="5">
        <v>70</v>
      </c>
      <c r="D1782" s="9" t="s">
        <v>12</v>
      </c>
      <c r="E1782" s="10">
        <v>130</v>
      </c>
      <c r="F1782" s="10">
        <f t="shared" si="27"/>
        <v>9100</v>
      </c>
    </row>
    <row r="1783" spans="1:6" x14ac:dyDescent="0.25">
      <c r="A1783" s="9"/>
      <c r="B1783" s="9"/>
      <c r="D1783" s="9"/>
      <c r="E1783" s="10"/>
      <c r="F1783" s="8">
        <f>SUM(F1781:F1782)</f>
        <v>13150</v>
      </c>
    </row>
    <row r="1784" spans="1:6" x14ac:dyDescent="0.25">
      <c r="A1784" s="9"/>
      <c r="B1784" s="9"/>
      <c r="D1784" s="9"/>
      <c r="E1784" s="10"/>
      <c r="F1784" s="10"/>
    </row>
    <row r="1785" spans="1:6" x14ac:dyDescent="0.25">
      <c r="A1785" s="9" t="s">
        <v>184</v>
      </c>
      <c r="B1785" s="4">
        <v>45684</v>
      </c>
      <c r="C1785" s="5">
        <v>5</v>
      </c>
      <c r="D1785" s="9" t="s">
        <v>185</v>
      </c>
      <c r="E1785" s="10">
        <v>155</v>
      </c>
      <c r="F1785" s="10">
        <f t="shared" si="27"/>
        <v>775</v>
      </c>
    </row>
    <row r="1786" spans="1:6" x14ac:dyDescent="0.25">
      <c r="A1786" s="9"/>
      <c r="B1786" s="9"/>
      <c r="D1786" s="9"/>
      <c r="E1786" s="10"/>
      <c r="F1786" s="8">
        <f>SUM(F1785)</f>
        <v>775</v>
      </c>
    </row>
    <row r="1787" spans="1:6" x14ac:dyDescent="0.25">
      <c r="A1787" s="9"/>
      <c r="B1787" s="9"/>
      <c r="D1787" s="9"/>
      <c r="E1787" s="10"/>
      <c r="F1787" s="10"/>
    </row>
    <row r="1788" spans="1:6" x14ac:dyDescent="0.25">
      <c r="A1788" s="9" t="s">
        <v>186</v>
      </c>
      <c r="B1788" s="4">
        <v>45684</v>
      </c>
      <c r="C1788" s="5">
        <v>5</v>
      </c>
      <c r="D1788" s="9" t="s">
        <v>13</v>
      </c>
      <c r="E1788" s="10">
        <v>155</v>
      </c>
      <c r="F1788" s="10">
        <f t="shared" ref="F1788:F1850" si="28">+C1788*E1788</f>
        <v>775</v>
      </c>
    </row>
    <row r="1789" spans="1:6" x14ac:dyDescent="0.25">
      <c r="A1789" s="9"/>
      <c r="B1789" s="9"/>
      <c r="D1789" s="9"/>
      <c r="E1789" s="10"/>
      <c r="F1789" s="8">
        <f>SUM(F1788)</f>
        <v>775</v>
      </c>
    </row>
    <row r="1790" spans="1:6" x14ac:dyDescent="0.25">
      <c r="A1790" s="9"/>
      <c r="B1790" s="9"/>
      <c r="D1790" s="9"/>
      <c r="E1790" s="10"/>
      <c r="F1790" s="10"/>
    </row>
    <row r="1791" spans="1:6" x14ac:dyDescent="0.25">
      <c r="A1791" s="9" t="s">
        <v>100</v>
      </c>
      <c r="B1791" s="4">
        <v>45684</v>
      </c>
      <c r="C1791" s="5">
        <v>10</v>
      </c>
      <c r="D1791" s="9" t="s">
        <v>13</v>
      </c>
      <c r="E1791" s="10">
        <v>140</v>
      </c>
      <c r="F1791" s="10">
        <f t="shared" si="28"/>
        <v>1400</v>
      </c>
    </row>
    <row r="1792" spans="1:6" x14ac:dyDescent="0.25">
      <c r="A1792" s="9"/>
      <c r="B1792" s="9"/>
      <c r="D1792" s="9"/>
      <c r="E1792" s="10"/>
      <c r="F1792" s="8">
        <f>SUM(F1791)</f>
        <v>1400</v>
      </c>
    </row>
    <row r="1793" spans="1:6" x14ac:dyDescent="0.25">
      <c r="A1793" s="9"/>
      <c r="B1793" s="9"/>
      <c r="D1793" s="9"/>
      <c r="E1793" s="10"/>
      <c r="F1793" s="10"/>
    </row>
    <row r="1794" spans="1:6" x14ac:dyDescent="0.25">
      <c r="A1794" s="9" t="s">
        <v>26</v>
      </c>
      <c r="B1794" s="4">
        <v>45684</v>
      </c>
      <c r="C1794" s="5">
        <v>60</v>
      </c>
      <c r="D1794" s="9" t="s">
        <v>13</v>
      </c>
      <c r="E1794" s="10">
        <v>140</v>
      </c>
      <c r="F1794" s="10">
        <f t="shared" si="28"/>
        <v>8400</v>
      </c>
    </row>
    <row r="1795" spans="1:6" x14ac:dyDescent="0.25">
      <c r="A1795" s="9"/>
      <c r="B1795" s="9"/>
      <c r="C1795" s="5">
        <v>10</v>
      </c>
      <c r="D1795" s="9" t="s">
        <v>187</v>
      </c>
      <c r="E1795" s="10">
        <v>130</v>
      </c>
      <c r="F1795" s="10">
        <f t="shared" si="28"/>
        <v>1300</v>
      </c>
    </row>
    <row r="1796" spans="1:6" x14ac:dyDescent="0.25">
      <c r="A1796" s="9"/>
      <c r="B1796" s="9"/>
      <c r="D1796" s="9"/>
      <c r="E1796" s="10"/>
      <c r="F1796" s="8">
        <f>SUM(F1794:F1795)</f>
        <v>9700</v>
      </c>
    </row>
    <row r="1797" spans="1:6" x14ac:dyDescent="0.25">
      <c r="A1797" s="9"/>
      <c r="B1797" s="9"/>
      <c r="D1797" s="9"/>
      <c r="E1797" s="10"/>
      <c r="F1797" s="10"/>
    </row>
    <row r="1798" spans="1:6" x14ac:dyDescent="0.25">
      <c r="A1798" s="9" t="s">
        <v>103</v>
      </c>
      <c r="B1798" s="4">
        <v>45684</v>
      </c>
      <c r="C1798" s="5">
        <v>4</v>
      </c>
      <c r="D1798" s="9" t="s">
        <v>13</v>
      </c>
      <c r="E1798" s="10">
        <v>155</v>
      </c>
      <c r="F1798" s="10">
        <f t="shared" si="28"/>
        <v>620</v>
      </c>
    </row>
    <row r="1799" spans="1:6" x14ac:dyDescent="0.25">
      <c r="A1799" s="9"/>
      <c r="B1799" s="9"/>
      <c r="D1799" s="9"/>
      <c r="E1799" s="10"/>
      <c r="F1799" s="8">
        <f>SUM(F1798)</f>
        <v>620</v>
      </c>
    </row>
    <row r="1800" spans="1:6" x14ac:dyDescent="0.25">
      <c r="A1800" s="9"/>
      <c r="B1800" s="9"/>
      <c r="D1800" s="9"/>
      <c r="E1800" s="10"/>
      <c r="F1800" s="10"/>
    </row>
    <row r="1801" spans="1:6" x14ac:dyDescent="0.25">
      <c r="A1801" s="9" t="s">
        <v>29</v>
      </c>
      <c r="B1801" s="4">
        <v>45684</v>
      </c>
      <c r="C1801" s="5">
        <v>2</v>
      </c>
      <c r="D1801" s="9" t="s">
        <v>8</v>
      </c>
      <c r="E1801" s="10">
        <v>170</v>
      </c>
      <c r="F1801" s="10">
        <f t="shared" si="28"/>
        <v>340</v>
      </c>
    </row>
    <row r="1802" spans="1:6" x14ac:dyDescent="0.25">
      <c r="A1802" s="9"/>
      <c r="B1802" s="9"/>
      <c r="D1802" s="9"/>
      <c r="E1802" s="10"/>
      <c r="F1802" s="8">
        <f>SUM(F1801)</f>
        <v>340</v>
      </c>
    </row>
    <row r="1803" spans="1:6" x14ac:dyDescent="0.25">
      <c r="A1803" s="9"/>
      <c r="B1803" s="9"/>
      <c r="D1803" s="9"/>
      <c r="E1803" s="10"/>
      <c r="F1803" s="10"/>
    </row>
    <row r="1804" spans="1:6" x14ac:dyDescent="0.25">
      <c r="A1804" s="9" t="s">
        <v>7</v>
      </c>
      <c r="B1804" s="4">
        <v>45684</v>
      </c>
      <c r="C1804" s="5">
        <v>1</v>
      </c>
      <c r="D1804" s="9" t="s">
        <v>8</v>
      </c>
      <c r="E1804" s="10">
        <v>140</v>
      </c>
      <c r="F1804" s="10">
        <f t="shared" si="28"/>
        <v>140</v>
      </c>
    </row>
    <row r="1805" spans="1:6" x14ac:dyDescent="0.25">
      <c r="A1805" s="9"/>
      <c r="B1805" s="9"/>
      <c r="C1805" s="5">
        <v>2</v>
      </c>
      <c r="D1805" s="9" t="s">
        <v>188</v>
      </c>
      <c r="E1805" s="10">
        <v>140</v>
      </c>
      <c r="F1805" s="10">
        <f t="shared" si="28"/>
        <v>280</v>
      </c>
    </row>
    <row r="1806" spans="1:6" x14ac:dyDescent="0.25">
      <c r="A1806" s="9"/>
      <c r="B1806" s="9"/>
      <c r="C1806" s="5">
        <v>1</v>
      </c>
      <c r="D1806" s="9" t="s">
        <v>13</v>
      </c>
      <c r="E1806" s="10">
        <v>160</v>
      </c>
      <c r="F1806" s="10">
        <f t="shared" si="28"/>
        <v>160</v>
      </c>
    </row>
    <row r="1807" spans="1:6" x14ac:dyDescent="0.25">
      <c r="A1807" s="9"/>
      <c r="B1807" s="9"/>
      <c r="C1807" s="5">
        <v>2</v>
      </c>
      <c r="D1807" s="9" t="s">
        <v>189</v>
      </c>
      <c r="E1807" s="10">
        <v>160</v>
      </c>
      <c r="F1807" s="10">
        <f t="shared" si="28"/>
        <v>320</v>
      </c>
    </row>
    <row r="1808" spans="1:6" x14ac:dyDescent="0.25">
      <c r="A1808" s="9"/>
      <c r="B1808" s="9"/>
      <c r="C1808" s="5">
        <v>2</v>
      </c>
      <c r="D1808" s="9" t="s">
        <v>13</v>
      </c>
      <c r="E1808" s="10">
        <v>140</v>
      </c>
      <c r="F1808" s="10">
        <f t="shared" si="28"/>
        <v>280</v>
      </c>
    </row>
    <row r="1809" spans="1:6" x14ac:dyDescent="0.25">
      <c r="A1809" s="9"/>
      <c r="B1809" s="9"/>
      <c r="C1809" s="5">
        <v>5</v>
      </c>
      <c r="D1809" s="9" t="s">
        <v>12</v>
      </c>
      <c r="E1809" s="10">
        <v>140</v>
      </c>
      <c r="F1809" s="10">
        <f t="shared" si="28"/>
        <v>700</v>
      </c>
    </row>
    <row r="1810" spans="1:6" x14ac:dyDescent="0.25">
      <c r="A1810" s="9"/>
      <c r="B1810" s="9"/>
      <c r="C1810" s="5">
        <v>2</v>
      </c>
      <c r="D1810" s="9" t="s">
        <v>12</v>
      </c>
      <c r="E1810" s="10">
        <v>150</v>
      </c>
      <c r="F1810" s="10">
        <f t="shared" si="28"/>
        <v>300</v>
      </c>
    </row>
    <row r="1811" spans="1:6" x14ac:dyDescent="0.25">
      <c r="A1811" s="9"/>
      <c r="B1811" s="9"/>
      <c r="C1811" s="5">
        <v>5</v>
      </c>
      <c r="D1811" s="9" t="s">
        <v>168</v>
      </c>
      <c r="E1811" s="10">
        <v>150</v>
      </c>
      <c r="F1811" s="10">
        <f t="shared" si="28"/>
        <v>750</v>
      </c>
    </row>
    <row r="1812" spans="1:6" x14ac:dyDescent="0.25">
      <c r="A1812" s="9"/>
      <c r="B1812" s="9"/>
      <c r="D1812" s="9"/>
      <c r="E1812" s="10"/>
      <c r="F1812" s="8">
        <f>SUM(F1804:F1811)</f>
        <v>2930</v>
      </c>
    </row>
    <row r="1813" spans="1:6" x14ac:dyDescent="0.25">
      <c r="A1813" s="9"/>
      <c r="B1813" s="9"/>
      <c r="D1813" s="9"/>
      <c r="E1813" s="10"/>
      <c r="F1813" s="10"/>
    </row>
    <row r="1814" spans="1:6" x14ac:dyDescent="0.25">
      <c r="A1814" s="9" t="s">
        <v>61</v>
      </c>
      <c r="B1814" s="4">
        <v>45685</v>
      </c>
      <c r="C1814" s="5">
        <v>60</v>
      </c>
      <c r="D1814" s="9" t="s">
        <v>13</v>
      </c>
      <c r="E1814" s="10">
        <v>140</v>
      </c>
      <c r="F1814" s="10">
        <f t="shared" si="28"/>
        <v>8400</v>
      </c>
    </row>
    <row r="1815" spans="1:6" x14ac:dyDescent="0.25">
      <c r="A1815" s="9"/>
      <c r="B1815" s="9"/>
      <c r="D1815" s="9"/>
      <c r="E1815" s="10"/>
      <c r="F1815" s="8">
        <f>SUM(F1814)</f>
        <v>8400</v>
      </c>
    </row>
    <row r="1816" spans="1:6" x14ac:dyDescent="0.25">
      <c r="A1816" s="9"/>
      <c r="B1816" s="9"/>
      <c r="D1816" s="9"/>
      <c r="E1816" s="10"/>
      <c r="F1816" s="10"/>
    </row>
    <row r="1817" spans="1:6" x14ac:dyDescent="0.25">
      <c r="A1817" s="9" t="s">
        <v>60</v>
      </c>
      <c r="B1817" s="4">
        <v>45685</v>
      </c>
      <c r="C1817" s="5">
        <v>30</v>
      </c>
      <c r="D1817" s="9" t="s">
        <v>13</v>
      </c>
      <c r="E1817" s="10">
        <v>145</v>
      </c>
      <c r="F1817" s="10">
        <f t="shared" si="28"/>
        <v>4350</v>
      </c>
    </row>
    <row r="1818" spans="1:6" x14ac:dyDescent="0.25">
      <c r="A1818" s="9"/>
      <c r="B1818" s="9"/>
      <c r="D1818" s="9"/>
      <c r="E1818" s="10"/>
      <c r="F1818" s="8">
        <f>SUM(F1817)</f>
        <v>4350</v>
      </c>
    </row>
    <row r="1819" spans="1:6" x14ac:dyDescent="0.25">
      <c r="A1819" s="9"/>
      <c r="B1819" s="9"/>
      <c r="D1819" s="9"/>
      <c r="E1819" s="10"/>
      <c r="F1819" s="10"/>
    </row>
    <row r="1820" spans="1:6" x14ac:dyDescent="0.25">
      <c r="A1820" s="9" t="s">
        <v>62</v>
      </c>
      <c r="B1820" s="4">
        <v>45685</v>
      </c>
      <c r="C1820" s="5">
        <v>40</v>
      </c>
      <c r="D1820" s="9" t="s">
        <v>8</v>
      </c>
      <c r="E1820" s="10">
        <v>155</v>
      </c>
      <c r="F1820" s="10">
        <f t="shared" si="28"/>
        <v>6200</v>
      </c>
    </row>
    <row r="1821" spans="1:6" x14ac:dyDescent="0.25">
      <c r="A1821" s="9"/>
      <c r="B1821" s="9"/>
      <c r="C1821" s="5">
        <v>30</v>
      </c>
      <c r="D1821" s="9" t="s">
        <v>12</v>
      </c>
      <c r="E1821" s="10">
        <v>135</v>
      </c>
      <c r="F1821" s="10">
        <f t="shared" si="28"/>
        <v>4050</v>
      </c>
    </row>
    <row r="1822" spans="1:6" x14ac:dyDescent="0.25">
      <c r="A1822" s="9"/>
      <c r="B1822" s="9"/>
      <c r="D1822" s="9"/>
      <c r="E1822" s="10"/>
      <c r="F1822" s="8">
        <f>SUM(F1820:F1821)</f>
        <v>10250</v>
      </c>
    </row>
    <row r="1823" spans="1:6" x14ac:dyDescent="0.25">
      <c r="A1823" s="9"/>
      <c r="B1823" s="9"/>
      <c r="D1823" s="9"/>
      <c r="E1823" s="10"/>
      <c r="F1823" s="10"/>
    </row>
    <row r="1824" spans="1:6" x14ac:dyDescent="0.25">
      <c r="A1824" s="9" t="s">
        <v>112</v>
      </c>
      <c r="B1824" s="4">
        <v>45685</v>
      </c>
      <c r="C1824" s="5">
        <v>100</v>
      </c>
      <c r="D1824" s="9" t="s">
        <v>13</v>
      </c>
      <c r="E1824" s="10">
        <v>130</v>
      </c>
      <c r="F1824" s="10">
        <f t="shared" si="28"/>
        <v>13000</v>
      </c>
    </row>
    <row r="1825" spans="1:6" x14ac:dyDescent="0.25">
      <c r="A1825" s="9"/>
      <c r="B1825" s="9"/>
      <c r="C1825" s="5">
        <v>60</v>
      </c>
      <c r="D1825" s="9" t="s">
        <v>12</v>
      </c>
      <c r="E1825" s="10">
        <v>120</v>
      </c>
      <c r="F1825" s="10">
        <f t="shared" si="28"/>
        <v>7200</v>
      </c>
    </row>
    <row r="1826" spans="1:6" x14ac:dyDescent="0.25">
      <c r="A1826" s="9"/>
      <c r="B1826" s="9"/>
      <c r="D1826" s="9"/>
      <c r="E1826" s="10"/>
      <c r="F1826" s="8">
        <f>SUM(F1824:F1825)</f>
        <v>20200</v>
      </c>
    </row>
    <row r="1827" spans="1:6" x14ac:dyDescent="0.25">
      <c r="A1827" s="9"/>
      <c r="B1827" s="9"/>
      <c r="D1827" s="9"/>
      <c r="E1827" s="10"/>
      <c r="F1827" s="10"/>
    </row>
    <row r="1828" spans="1:6" x14ac:dyDescent="0.25">
      <c r="A1828" s="9" t="s">
        <v>64</v>
      </c>
      <c r="B1828" s="4">
        <v>45685</v>
      </c>
      <c r="C1828" s="5">
        <v>30</v>
      </c>
      <c r="D1828" s="9" t="s">
        <v>8</v>
      </c>
      <c r="E1828" s="10">
        <v>155</v>
      </c>
      <c r="F1828" s="10">
        <f t="shared" si="28"/>
        <v>4650</v>
      </c>
    </row>
    <row r="1829" spans="1:6" x14ac:dyDescent="0.25">
      <c r="A1829" s="9"/>
      <c r="B1829" s="9"/>
      <c r="C1829" s="5">
        <v>30</v>
      </c>
      <c r="D1829" s="9" t="s">
        <v>13</v>
      </c>
      <c r="E1829" s="10">
        <v>145</v>
      </c>
      <c r="F1829" s="10">
        <f t="shared" si="28"/>
        <v>4350</v>
      </c>
    </row>
    <row r="1830" spans="1:6" x14ac:dyDescent="0.25">
      <c r="A1830" s="9"/>
      <c r="B1830" s="9"/>
      <c r="C1830" s="5">
        <v>20</v>
      </c>
      <c r="D1830" s="9" t="s">
        <v>12</v>
      </c>
      <c r="E1830" s="10">
        <v>135</v>
      </c>
      <c r="F1830" s="10">
        <f t="shared" si="28"/>
        <v>2700</v>
      </c>
    </row>
    <row r="1831" spans="1:6" x14ac:dyDescent="0.25">
      <c r="A1831" s="9"/>
      <c r="B1831" s="9"/>
      <c r="C1831" s="5">
        <v>30</v>
      </c>
      <c r="D1831" s="9" t="s">
        <v>22</v>
      </c>
      <c r="E1831" s="10">
        <v>120</v>
      </c>
      <c r="F1831" s="10">
        <f t="shared" si="28"/>
        <v>3600</v>
      </c>
    </row>
    <row r="1832" spans="1:6" x14ac:dyDescent="0.25">
      <c r="A1832" s="9"/>
      <c r="B1832" s="9"/>
      <c r="C1832" s="5">
        <v>20</v>
      </c>
      <c r="D1832" s="9" t="s">
        <v>49</v>
      </c>
      <c r="E1832" s="10">
        <v>145</v>
      </c>
      <c r="F1832" s="10">
        <f t="shared" si="28"/>
        <v>2900</v>
      </c>
    </row>
    <row r="1833" spans="1:6" x14ac:dyDescent="0.25">
      <c r="A1833" s="9"/>
      <c r="B1833" s="9"/>
      <c r="C1833" s="5">
        <v>15</v>
      </c>
      <c r="D1833" s="9" t="s">
        <v>14</v>
      </c>
      <c r="E1833" s="10">
        <v>135</v>
      </c>
      <c r="F1833" s="10">
        <f t="shared" si="28"/>
        <v>2025</v>
      </c>
    </row>
    <row r="1834" spans="1:6" x14ac:dyDescent="0.25">
      <c r="A1834" s="9"/>
      <c r="B1834" s="9"/>
      <c r="C1834" s="5">
        <v>15</v>
      </c>
      <c r="D1834" s="9" t="s">
        <v>11</v>
      </c>
      <c r="E1834" s="10">
        <v>125</v>
      </c>
      <c r="F1834" s="10">
        <f t="shared" si="28"/>
        <v>1875</v>
      </c>
    </row>
    <row r="1835" spans="1:6" x14ac:dyDescent="0.25">
      <c r="A1835" s="9"/>
      <c r="B1835" s="9"/>
      <c r="D1835" s="9"/>
      <c r="E1835" s="10"/>
      <c r="F1835" s="8">
        <f>SUM(F1828:F1834)</f>
        <v>22100</v>
      </c>
    </row>
    <row r="1836" spans="1:6" x14ac:dyDescent="0.25">
      <c r="A1836" s="9"/>
      <c r="B1836" s="9"/>
      <c r="D1836" s="9"/>
      <c r="E1836" s="10"/>
      <c r="F1836" s="10"/>
    </row>
    <row r="1837" spans="1:6" x14ac:dyDescent="0.25">
      <c r="A1837" s="9" t="s">
        <v>72</v>
      </c>
      <c r="B1837" s="4">
        <v>45685</v>
      </c>
      <c r="C1837" s="5">
        <v>200</v>
      </c>
      <c r="D1837" s="9" t="s">
        <v>13</v>
      </c>
      <c r="E1837" s="10">
        <v>130</v>
      </c>
      <c r="F1837" s="10">
        <f t="shared" si="28"/>
        <v>26000</v>
      </c>
    </row>
    <row r="1838" spans="1:6" x14ac:dyDescent="0.25">
      <c r="A1838" s="9"/>
      <c r="B1838" s="9"/>
      <c r="C1838" s="5">
        <v>130</v>
      </c>
      <c r="D1838" s="9" t="s">
        <v>12</v>
      </c>
      <c r="E1838" s="10">
        <v>125</v>
      </c>
      <c r="F1838" s="10">
        <f t="shared" si="28"/>
        <v>16250</v>
      </c>
    </row>
    <row r="1839" spans="1:6" x14ac:dyDescent="0.25">
      <c r="A1839" s="9"/>
      <c r="B1839" s="9"/>
      <c r="C1839" s="5">
        <v>100</v>
      </c>
      <c r="D1839" s="9" t="s">
        <v>11</v>
      </c>
      <c r="E1839" s="10">
        <v>125</v>
      </c>
      <c r="F1839" s="10">
        <f t="shared" si="28"/>
        <v>12500</v>
      </c>
    </row>
    <row r="1840" spans="1:6" x14ac:dyDescent="0.25">
      <c r="A1840" s="9"/>
      <c r="B1840" s="9"/>
      <c r="C1840" s="5">
        <v>20</v>
      </c>
      <c r="D1840" s="9" t="s">
        <v>14</v>
      </c>
      <c r="E1840" s="10">
        <v>130</v>
      </c>
      <c r="F1840" s="10">
        <f t="shared" si="28"/>
        <v>2600</v>
      </c>
    </row>
    <row r="1841" spans="1:6" x14ac:dyDescent="0.25">
      <c r="A1841" s="9"/>
      <c r="B1841" s="9"/>
      <c r="D1841" s="9"/>
      <c r="E1841" s="10"/>
      <c r="F1841" s="8">
        <f>SUM(F1837:F1840)</f>
        <v>57350</v>
      </c>
    </row>
    <row r="1842" spans="1:6" x14ac:dyDescent="0.25">
      <c r="A1842" s="9"/>
      <c r="B1842" s="9"/>
      <c r="D1842" s="9"/>
      <c r="E1842" s="10"/>
      <c r="F1842" s="10"/>
    </row>
    <row r="1843" spans="1:6" x14ac:dyDescent="0.25">
      <c r="A1843" s="9" t="s">
        <v>53</v>
      </c>
      <c r="B1843" s="4">
        <v>45685</v>
      </c>
      <c r="C1843" s="5">
        <v>20</v>
      </c>
      <c r="D1843" s="9" t="s">
        <v>13</v>
      </c>
      <c r="E1843" s="10">
        <v>145</v>
      </c>
      <c r="F1843" s="10">
        <f t="shared" si="28"/>
        <v>2900</v>
      </c>
    </row>
    <row r="1844" spans="1:6" x14ac:dyDescent="0.25">
      <c r="A1844" s="9"/>
      <c r="B1844" s="9"/>
      <c r="C1844" s="5">
        <v>16</v>
      </c>
      <c r="D1844" s="9" t="s">
        <v>13</v>
      </c>
      <c r="E1844" s="10">
        <v>150</v>
      </c>
      <c r="F1844" s="10">
        <f t="shared" si="28"/>
        <v>2400</v>
      </c>
    </row>
    <row r="1845" spans="1:6" x14ac:dyDescent="0.25">
      <c r="A1845" s="9"/>
      <c r="B1845" s="9"/>
      <c r="C1845" s="5">
        <v>50</v>
      </c>
      <c r="D1845" s="9" t="s">
        <v>8</v>
      </c>
      <c r="E1845" s="10">
        <v>140</v>
      </c>
      <c r="F1845" s="10">
        <f t="shared" si="28"/>
        <v>7000</v>
      </c>
    </row>
    <row r="1846" spans="1:6" x14ac:dyDescent="0.25">
      <c r="A1846" s="9"/>
      <c r="B1846" s="9"/>
      <c r="D1846" s="9"/>
      <c r="E1846" s="10"/>
      <c r="F1846" s="8">
        <f>SUM(F1843:F1845)</f>
        <v>12300</v>
      </c>
    </row>
    <row r="1847" spans="1:6" x14ac:dyDescent="0.25">
      <c r="A1847" s="9"/>
      <c r="B1847" s="9"/>
      <c r="D1847" s="9"/>
      <c r="E1847" s="10"/>
      <c r="F1847" s="10"/>
    </row>
    <row r="1848" spans="1:6" x14ac:dyDescent="0.25">
      <c r="A1848" s="9" t="s">
        <v>29</v>
      </c>
      <c r="B1848" s="4">
        <v>45685</v>
      </c>
      <c r="C1848" s="5">
        <v>10</v>
      </c>
      <c r="D1848" s="9" t="s">
        <v>8</v>
      </c>
      <c r="E1848" s="10">
        <v>160</v>
      </c>
      <c r="F1848" s="10">
        <f t="shared" si="28"/>
        <v>1600</v>
      </c>
    </row>
    <row r="1849" spans="1:6" x14ac:dyDescent="0.25">
      <c r="A1849" s="9"/>
      <c r="B1849" s="9"/>
      <c r="C1849" s="5">
        <v>1</v>
      </c>
      <c r="D1849" s="9" t="s">
        <v>13</v>
      </c>
      <c r="E1849" s="10">
        <v>160</v>
      </c>
      <c r="F1849" s="10">
        <f t="shared" si="28"/>
        <v>160</v>
      </c>
    </row>
    <row r="1850" spans="1:6" x14ac:dyDescent="0.25">
      <c r="A1850" s="9"/>
      <c r="B1850" s="9"/>
      <c r="C1850" s="5">
        <v>1</v>
      </c>
      <c r="D1850" s="9" t="s">
        <v>13</v>
      </c>
      <c r="E1850" s="10">
        <v>160</v>
      </c>
      <c r="F1850" s="10">
        <f t="shared" si="28"/>
        <v>160</v>
      </c>
    </row>
    <row r="1851" spans="1:6" x14ac:dyDescent="0.25">
      <c r="A1851" s="9"/>
      <c r="B1851" s="9"/>
      <c r="D1851" s="9"/>
      <c r="E1851" s="10"/>
      <c r="F1851" s="8">
        <f>SUM(F1848:F1850)</f>
        <v>1920</v>
      </c>
    </row>
    <row r="1852" spans="1:6" x14ac:dyDescent="0.25">
      <c r="A1852" s="9"/>
      <c r="B1852" s="9"/>
      <c r="D1852" s="9"/>
      <c r="E1852" s="10"/>
      <c r="F1852" s="10"/>
    </row>
    <row r="1853" spans="1:6" x14ac:dyDescent="0.25">
      <c r="A1853" s="9" t="s">
        <v>7</v>
      </c>
      <c r="B1853" s="4">
        <v>45685</v>
      </c>
      <c r="C1853" s="5">
        <v>1</v>
      </c>
      <c r="D1853" s="9" t="s">
        <v>8</v>
      </c>
      <c r="E1853" s="10">
        <v>170</v>
      </c>
      <c r="F1853" s="10">
        <f t="shared" ref="F1853:F1915" si="29">+C1853*E1853</f>
        <v>170</v>
      </c>
    </row>
    <row r="1854" spans="1:6" x14ac:dyDescent="0.25">
      <c r="A1854" s="9"/>
      <c r="B1854" s="9"/>
      <c r="C1854" s="11">
        <v>0.5</v>
      </c>
      <c r="D1854" s="9" t="s">
        <v>8</v>
      </c>
      <c r="E1854" s="10">
        <v>170</v>
      </c>
      <c r="F1854" s="10">
        <f t="shared" si="29"/>
        <v>85</v>
      </c>
    </row>
    <row r="1855" spans="1:6" x14ac:dyDescent="0.25">
      <c r="A1855" s="9"/>
      <c r="B1855" s="9"/>
      <c r="C1855" s="5">
        <v>2</v>
      </c>
      <c r="D1855" s="9" t="s">
        <v>8</v>
      </c>
      <c r="E1855" s="10">
        <v>170</v>
      </c>
      <c r="F1855" s="10">
        <f t="shared" si="29"/>
        <v>340</v>
      </c>
    </row>
    <row r="1856" spans="1:6" x14ac:dyDescent="0.25">
      <c r="A1856" s="9"/>
      <c r="B1856" s="9"/>
      <c r="C1856" s="5">
        <v>9</v>
      </c>
      <c r="D1856" s="9" t="s">
        <v>110</v>
      </c>
      <c r="E1856" s="10">
        <v>3.3333330000000001</v>
      </c>
      <c r="F1856" s="10">
        <f t="shared" si="29"/>
        <v>29.999997</v>
      </c>
    </row>
    <row r="1857" spans="1:6" x14ac:dyDescent="0.25">
      <c r="A1857" s="9"/>
      <c r="B1857" s="9"/>
      <c r="C1857" s="5">
        <v>1</v>
      </c>
      <c r="D1857" s="9" t="s">
        <v>8</v>
      </c>
      <c r="E1857" s="10">
        <v>170</v>
      </c>
      <c r="F1857" s="10">
        <f t="shared" si="29"/>
        <v>170</v>
      </c>
    </row>
    <row r="1858" spans="1:6" x14ac:dyDescent="0.25">
      <c r="A1858" s="9"/>
      <c r="B1858" s="9"/>
      <c r="D1858" s="9"/>
      <c r="E1858" s="10"/>
      <c r="F1858" s="8">
        <f>SUM(F1853:F1857)</f>
        <v>794.99999700000001</v>
      </c>
    </row>
    <row r="1859" spans="1:6" x14ac:dyDescent="0.25">
      <c r="A1859" s="9"/>
      <c r="B1859" s="9"/>
      <c r="D1859" s="9"/>
      <c r="E1859" s="10"/>
      <c r="F1859" s="10"/>
    </row>
    <row r="1860" spans="1:6" x14ac:dyDescent="0.25">
      <c r="A1860" s="9" t="s">
        <v>38</v>
      </c>
      <c r="B1860" s="4">
        <v>45686</v>
      </c>
      <c r="C1860" s="5">
        <v>10</v>
      </c>
      <c r="D1860" s="9" t="s">
        <v>13</v>
      </c>
      <c r="E1860" s="10">
        <v>145</v>
      </c>
      <c r="F1860" s="10">
        <f t="shared" si="29"/>
        <v>1450</v>
      </c>
    </row>
    <row r="1861" spans="1:6" x14ac:dyDescent="0.25">
      <c r="A1861" s="9"/>
      <c r="B1861" s="9"/>
      <c r="D1861" s="9"/>
      <c r="E1861" s="10"/>
      <c r="F1861" s="8">
        <f>SUM(F1860)</f>
        <v>1450</v>
      </c>
    </row>
    <row r="1862" spans="1:6" x14ac:dyDescent="0.25">
      <c r="A1862" s="9"/>
      <c r="B1862" s="9"/>
      <c r="D1862" s="9"/>
      <c r="E1862" s="10"/>
      <c r="F1862" s="10"/>
    </row>
    <row r="1863" spans="1:6" x14ac:dyDescent="0.25">
      <c r="A1863" s="9" t="s">
        <v>183</v>
      </c>
      <c r="B1863" s="4">
        <v>45686</v>
      </c>
      <c r="C1863" s="5">
        <v>9</v>
      </c>
      <c r="D1863" s="9" t="s">
        <v>13</v>
      </c>
      <c r="E1863" s="10">
        <v>145</v>
      </c>
      <c r="F1863" s="10">
        <f t="shared" si="29"/>
        <v>1305</v>
      </c>
    </row>
    <row r="1864" spans="1:6" x14ac:dyDescent="0.25">
      <c r="A1864" s="9"/>
      <c r="B1864" s="9"/>
      <c r="D1864" s="9"/>
      <c r="E1864" s="10"/>
      <c r="F1864" s="8">
        <f>SUM(F1863)</f>
        <v>1305</v>
      </c>
    </row>
    <row r="1865" spans="1:6" x14ac:dyDescent="0.25">
      <c r="A1865" s="9"/>
      <c r="B1865" s="9"/>
      <c r="D1865" s="9"/>
      <c r="E1865" s="10"/>
      <c r="F1865" s="10"/>
    </row>
    <row r="1866" spans="1:6" x14ac:dyDescent="0.25">
      <c r="A1866" s="9" t="s">
        <v>20</v>
      </c>
      <c r="B1866" s="4">
        <v>45686</v>
      </c>
      <c r="C1866" s="5">
        <v>10</v>
      </c>
      <c r="D1866" s="9" t="s">
        <v>13</v>
      </c>
      <c r="E1866" s="10">
        <v>140</v>
      </c>
      <c r="F1866" s="10">
        <f t="shared" si="29"/>
        <v>1400</v>
      </c>
    </row>
    <row r="1867" spans="1:6" x14ac:dyDescent="0.25">
      <c r="A1867" s="9"/>
      <c r="B1867" s="9"/>
      <c r="D1867" s="9"/>
      <c r="E1867" s="10"/>
      <c r="F1867" s="8">
        <f>SUM(F1866)</f>
        <v>1400</v>
      </c>
    </row>
    <row r="1868" spans="1:6" x14ac:dyDescent="0.25">
      <c r="A1868" s="9"/>
      <c r="B1868" s="9"/>
      <c r="D1868" s="9"/>
      <c r="E1868" s="10"/>
      <c r="F1868" s="10"/>
    </row>
    <row r="1869" spans="1:6" x14ac:dyDescent="0.25">
      <c r="A1869" s="9" t="s">
        <v>57</v>
      </c>
      <c r="B1869" s="4">
        <v>45686</v>
      </c>
      <c r="C1869" s="5">
        <v>15</v>
      </c>
      <c r="D1869" s="9" t="s">
        <v>13</v>
      </c>
      <c r="E1869" s="10">
        <v>140</v>
      </c>
      <c r="F1869" s="10">
        <f t="shared" si="29"/>
        <v>2100</v>
      </c>
    </row>
    <row r="1870" spans="1:6" x14ac:dyDescent="0.25">
      <c r="A1870" s="9"/>
      <c r="B1870" s="9"/>
      <c r="C1870" s="5">
        <v>5</v>
      </c>
      <c r="D1870" s="9" t="s">
        <v>14</v>
      </c>
      <c r="E1870" s="10">
        <v>140</v>
      </c>
      <c r="F1870" s="10">
        <f t="shared" si="29"/>
        <v>700</v>
      </c>
    </row>
    <row r="1871" spans="1:6" x14ac:dyDescent="0.25">
      <c r="A1871" s="9"/>
      <c r="B1871" s="9"/>
      <c r="D1871" s="9"/>
      <c r="E1871" s="10"/>
      <c r="F1871" s="8">
        <f>SUM(F1869:F1870)</f>
        <v>2800</v>
      </c>
    </row>
    <row r="1872" spans="1:6" x14ac:dyDescent="0.25">
      <c r="A1872" s="9"/>
      <c r="B1872" s="9"/>
      <c r="D1872" s="9"/>
      <c r="E1872" s="10"/>
      <c r="F1872" s="10"/>
    </row>
    <row r="1873" spans="1:6" x14ac:dyDescent="0.25">
      <c r="A1873" s="9" t="s">
        <v>40</v>
      </c>
      <c r="B1873" s="4">
        <v>45686</v>
      </c>
      <c r="C1873" s="5">
        <v>15</v>
      </c>
      <c r="D1873" s="9" t="s">
        <v>13</v>
      </c>
      <c r="E1873" s="10">
        <v>135</v>
      </c>
      <c r="F1873" s="10">
        <f t="shared" si="29"/>
        <v>2025</v>
      </c>
    </row>
    <row r="1874" spans="1:6" x14ac:dyDescent="0.25">
      <c r="A1874" s="9"/>
      <c r="B1874" s="9"/>
      <c r="C1874" s="5">
        <v>10</v>
      </c>
      <c r="D1874" s="9" t="s">
        <v>14</v>
      </c>
      <c r="E1874" s="10">
        <v>135</v>
      </c>
      <c r="F1874" s="10">
        <f t="shared" si="29"/>
        <v>1350</v>
      </c>
    </row>
    <row r="1875" spans="1:6" x14ac:dyDescent="0.25">
      <c r="A1875" s="9"/>
      <c r="B1875" s="9"/>
      <c r="C1875" s="5">
        <v>15</v>
      </c>
      <c r="D1875" s="9" t="s">
        <v>12</v>
      </c>
      <c r="E1875" s="10">
        <v>130</v>
      </c>
      <c r="F1875" s="10">
        <f t="shared" si="29"/>
        <v>1950</v>
      </c>
    </row>
    <row r="1876" spans="1:6" x14ac:dyDescent="0.25">
      <c r="A1876" s="9"/>
      <c r="B1876" s="9"/>
      <c r="C1876" s="5">
        <v>15</v>
      </c>
      <c r="D1876" s="9" t="s">
        <v>11</v>
      </c>
      <c r="E1876" s="10">
        <v>125</v>
      </c>
      <c r="F1876" s="10">
        <f t="shared" si="29"/>
        <v>1875</v>
      </c>
    </row>
    <row r="1877" spans="1:6" x14ac:dyDescent="0.25">
      <c r="A1877" s="9"/>
      <c r="B1877" s="9"/>
      <c r="D1877" s="9"/>
      <c r="E1877" s="10"/>
      <c r="F1877" s="8">
        <f>SUM(F1873:F1876)</f>
        <v>7200</v>
      </c>
    </row>
    <row r="1878" spans="1:6" x14ac:dyDescent="0.25">
      <c r="A1878" s="9"/>
      <c r="B1878" s="9"/>
      <c r="D1878" s="9"/>
      <c r="E1878" s="10"/>
      <c r="F1878" s="10"/>
    </row>
    <row r="1879" spans="1:6" x14ac:dyDescent="0.25">
      <c r="A1879" s="9" t="s">
        <v>56</v>
      </c>
      <c r="B1879" s="4">
        <v>45686</v>
      </c>
      <c r="C1879" s="5">
        <v>10</v>
      </c>
      <c r="D1879" s="9" t="s">
        <v>16</v>
      </c>
      <c r="E1879" s="10">
        <v>100</v>
      </c>
      <c r="F1879" s="10">
        <f t="shared" si="29"/>
        <v>1000</v>
      </c>
    </row>
    <row r="1880" spans="1:6" x14ac:dyDescent="0.25">
      <c r="A1880" s="9"/>
      <c r="B1880" s="9"/>
      <c r="D1880" s="9"/>
      <c r="E1880" s="10"/>
      <c r="F1880" s="8">
        <f>SUM(F1879)</f>
        <v>1000</v>
      </c>
    </row>
    <row r="1881" spans="1:6" x14ac:dyDescent="0.25">
      <c r="A1881" s="9"/>
      <c r="B1881" s="9"/>
      <c r="D1881" s="9"/>
      <c r="E1881" s="10"/>
      <c r="F1881" s="10"/>
    </row>
    <row r="1882" spans="1:6" x14ac:dyDescent="0.25">
      <c r="A1882" s="9" t="s">
        <v>15</v>
      </c>
      <c r="B1882" s="4">
        <v>45686</v>
      </c>
      <c r="C1882" s="5">
        <v>66</v>
      </c>
      <c r="D1882" s="9" t="s">
        <v>16</v>
      </c>
      <c r="E1882" s="10">
        <v>100</v>
      </c>
      <c r="F1882" s="10">
        <f t="shared" si="29"/>
        <v>6600</v>
      </c>
    </row>
    <row r="1883" spans="1:6" x14ac:dyDescent="0.25">
      <c r="A1883" s="9"/>
      <c r="B1883" s="9"/>
      <c r="D1883" s="9"/>
      <c r="E1883" s="10"/>
      <c r="F1883" s="8">
        <f>SUM(F1882)</f>
        <v>6600</v>
      </c>
    </row>
    <row r="1884" spans="1:6" x14ac:dyDescent="0.25">
      <c r="A1884" s="9"/>
      <c r="B1884" s="9"/>
      <c r="D1884" s="9"/>
      <c r="E1884" s="10"/>
      <c r="F1884" s="10"/>
    </row>
    <row r="1885" spans="1:6" x14ac:dyDescent="0.25">
      <c r="A1885" s="9" t="s">
        <v>58</v>
      </c>
      <c r="B1885" s="4">
        <v>45686</v>
      </c>
      <c r="C1885" s="5">
        <v>10</v>
      </c>
      <c r="D1885" s="9" t="s">
        <v>13</v>
      </c>
      <c r="E1885" s="10">
        <v>150</v>
      </c>
      <c r="F1885" s="10">
        <f t="shared" si="29"/>
        <v>1500</v>
      </c>
    </row>
    <row r="1886" spans="1:6" x14ac:dyDescent="0.25">
      <c r="A1886" s="9"/>
      <c r="B1886" s="9"/>
      <c r="D1886" s="9"/>
      <c r="E1886" s="10"/>
      <c r="F1886" s="8">
        <f>SUM(F1885)</f>
        <v>1500</v>
      </c>
    </row>
    <row r="1887" spans="1:6" x14ac:dyDescent="0.25">
      <c r="A1887" s="9"/>
      <c r="B1887" s="9"/>
      <c r="D1887" s="9"/>
      <c r="E1887" s="10"/>
      <c r="F1887" s="10"/>
    </row>
    <row r="1888" spans="1:6" x14ac:dyDescent="0.25">
      <c r="A1888" s="9" t="s">
        <v>41</v>
      </c>
      <c r="B1888" s="4">
        <v>45686</v>
      </c>
      <c r="C1888" s="5">
        <v>30</v>
      </c>
      <c r="D1888" s="9" t="s">
        <v>14</v>
      </c>
      <c r="E1888" s="10">
        <v>135</v>
      </c>
      <c r="F1888" s="10">
        <f t="shared" si="29"/>
        <v>4050</v>
      </c>
    </row>
    <row r="1889" spans="1:6" x14ac:dyDescent="0.25">
      <c r="A1889" s="9"/>
      <c r="B1889" s="9"/>
      <c r="D1889" s="9"/>
      <c r="E1889" s="10"/>
      <c r="F1889" s="8">
        <f>SUM(F1888)</f>
        <v>4050</v>
      </c>
    </row>
    <row r="1890" spans="1:6" x14ac:dyDescent="0.25">
      <c r="A1890" s="9"/>
      <c r="B1890" s="9"/>
      <c r="D1890" s="9"/>
      <c r="E1890" s="10"/>
      <c r="F1890" s="10"/>
    </row>
    <row r="1891" spans="1:6" x14ac:dyDescent="0.25">
      <c r="A1891" s="9" t="s">
        <v>43</v>
      </c>
      <c r="B1891" s="4">
        <v>45686</v>
      </c>
      <c r="C1891" s="5">
        <v>30</v>
      </c>
      <c r="D1891" s="9" t="s">
        <v>14</v>
      </c>
      <c r="E1891" s="10">
        <v>125</v>
      </c>
      <c r="F1891" s="10">
        <f t="shared" si="29"/>
        <v>3750</v>
      </c>
    </row>
    <row r="1892" spans="1:6" x14ac:dyDescent="0.25">
      <c r="A1892" s="9"/>
      <c r="B1892" s="9"/>
      <c r="D1892" s="9"/>
      <c r="E1892" s="10"/>
      <c r="F1892" s="8">
        <f>SUM(F1891)</f>
        <v>3750</v>
      </c>
    </row>
    <row r="1893" spans="1:6" x14ac:dyDescent="0.25">
      <c r="A1893" s="9"/>
      <c r="B1893" s="9"/>
      <c r="D1893" s="9"/>
      <c r="E1893" s="10"/>
      <c r="F1893" s="10"/>
    </row>
    <row r="1894" spans="1:6" x14ac:dyDescent="0.25">
      <c r="A1894" s="9" t="s">
        <v>44</v>
      </c>
      <c r="B1894" s="4">
        <v>45686</v>
      </c>
      <c r="C1894" s="5">
        <v>30</v>
      </c>
      <c r="D1894" s="9" t="s">
        <v>14</v>
      </c>
      <c r="E1894" s="10">
        <v>125</v>
      </c>
      <c r="F1894" s="10">
        <f t="shared" si="29"/>
        <v>3750</v>
      </c>
    </row>
    <row r="1895" spans="1:6" x14ac:dyDescent="0.25">
      <c r="A1895" s="9"/>
      <c r="B1895" s="9"/>
      <c r="D1895" s="9"/>
      <c r="E1895" s="10"/>
      <c r="F1895" s="8">
        <f>SUM(F1894)</f>
        <v>3750</v>
      </c>
    </row>
    <row r="1896" spans="1:6" x14ac:dyDescent="0.25">
      <c r="A1896" s="9"/>
      <c r="B1896" s="9"/>
      <c r="D1896" s="9"/>
      <c r="E1896" s="10"/>
      <c r="F1896" s="10"/>
    </row>
    <row r="1897" spans="1:6" x14ac:dyDescent="0.25">
      <c r="A1897" s="9" t="s">
        <v>18</v>
      </c>
      <c r="B1897" s="4">
        <v>45686</v>
      </c>
      <c r="C1897" s="5">
        <v>40</v>
      </c>
      <c r="D1897" s="9" t="s">
        <v>14</v>
      </c>
      <c r="E1897" s="10">
        <v>125</v>
      </c>
      <c r="F1897" s="10">
        <f t="shared" si="29"/>
        <v>5000</v>
      </c>
    </row>
    <row r="1898" spans="1:6" x14ac:dyDescent="0.25">
      <c r="A1898" s="9"/>
      <c r="B1898" s="9"/>
      <c r="D1898" s="9"/>
      <c r="E1898" s="10"/>
      <c r="F1898" s="8">
        <f>SUM(F1897)</f>
        <v>5000</v>
      </c>
    </row>
    <row r="1899" spans="1:6" x14ac:dyDescent="0.25">
      <c r="A1899" s="9"/>
      <c r="B1899" s="9"/>
      <c r="D1899" s="9"/>
      <c r="E1899" s="10"/>
      <c r="F1899" s="10"/>
    </row>
    <row r="1900" spans="1:6" x14ac:dyDescent="0.25">
      <c r="A1900" s="9" t="s">
        <v>46</v>
      </c>
      <c r="B1900" s="4">
        <v>45686</v>
      </c>
      <c r="C1900" s="5">
        <v>10</v>
      </c>
      <c r="D1900" s="9" t="s">
        <v>14</v>
      </c>
      <c r="E1900" s="10">
        <v>130</v>
      </c>
      <c r="F1900" s="10">
        <f t="shared" si="29"/>
        <v>1300</v>
      </c>
    </row>
    <row r="1901" spans="1:6" x14ac:dyDescent="0.25">
      <c r="A1901" s="9"/>
      <c r="B1901" s="9"/>
      <c r="D1901" s="9"/>
      <c r="E1901" s="10"/>
      <c r="F1901" s="8">
        <f>SUM(F1900)</f>
        <v>1300</v>
      </c>
    </row>
    <row r="1902" spans="1:6" x14ac:dyDescent="0.25">
      <c r="A1902" s="9"/>
      <c r="B1902" s="9"/>
      <c r="D1902" s="9"/>
      <c r="E1902" s="10"/>
      <c r="F1902" s="10"/>
    </row>
    <row r="1903" spans="1:6" x14ac:dyDescent="0.25">
      <c r="A1903" s="9" t="s">
        <v>47</v>
      </c>
      <c r="B1903" s="4">
        <v>45686</v>
      </c>
      <c r="C1903" s="5">
        <v>40</v>
      </c>
      <c r="D1903" s="9" t="s">
        <v>11</v>
      </c>
      <c r="E1903" s="10">
        <v>125</v>
      </c>
      <c r="F1903" s="10">
        <f t="shared" si="29"/>
        <v>5000</v>
      </c>
    </row>
    <row r="1904" spans="1:6" x14ac:dyDescent="0.25">
      <c r="A1904" s="9"/>
      <c r="B1904" s="9"/>
      <c r="D1904" s="9"/>
      <c r="E1904" s="10"/>
      <c r="F1904" s="8">
        <f>SUM(F1903)</f>
        <v>5000</v>
      </c>
    </row>
    <row r="1905" spans="1:6" x14ac:dyDescent="0.25">
      <c r="A1905" s="9"/>
      <c r="B1905" s="9"/>
      <c r="D1905" s="9"/>
      <c r="E1905" s="10"/>
      <c r="F1905" s="10"/>
    </row>
    <row r="1906" spans="1:6" x14ac:dyDescent="0.25">
      <c r="A1906" s="9" t="s">
        <v>143</v>
      </c>
      <c r="B1906" s="4">
        <v>45686</v>
      </c>
      <c r="C1906" s="5">
        <v>7</v>
      </c>
      <c r="D1906" s="9" t="s">
        <v>14</v>
      </c>
      <c r="E1906" s="10">
        <v>125</v>
      </c>
      <c r="F1906" s="10">
        <f t="shared" si="29"/>
        <v>875</v>
      </c>
    </row>
    <row r="1907" spans="1:6" x14ac:dyDescent="0.25">
      <c r="A1907" s="9"/>
      <c r="B1907" s="9"/>
      <c r="D1907" s="9"/>
      <c r="E1907" s="10"/>
      <c r="F1907" s="8">
        <f>SUM(F1906)</f>
        <v>875</v>
      </c>
    </row>
    <row r="1908" spans="1:6" x14ac:dyDescent="0.25">
      <c r="A1908" s="9"/>
      <c r="B1908" s="9"/>
      <c r="D1908" s="9"/>
      <c r="E1908" s="10"/>
      <c r="F1908" s="10"/>
    </row>
    <row r="1909" spans="1:6" x14ac:dyDescent="0.25">
      <c r="A1909" s="9" t="s">
        <v>45</v>
      </c>
      <c r="B1909" s="4">
        <v>45686</v>
      </c>
      <c r="C1909" s="5">
        <v>4</v>
      </c>
      <c r="D1909" s="9" t="s">
        <v>14</v>
      </c>
      <c r="E1909" s="10">
        <v>125</v>
      </c>
      <c r="F1909" s="10">
        <f t="shared" si="29"/>
        <v>500</v>
      </c>
    </row>
    <row r="1910" spans="1:6" x14ac:dyDescent="0.25">
      <c r="A1910" s="9"/>
      <c r="B1910" s="9"/>
      <c r="D1910" s="9"/>
      <c r="E1910" s="10"/>
      <c r="F1910" s="8">
        <f>SUM(F1909)</f>
        <v>500</v>
      </c>
    </row>
    <row r="1911" spans="1:6" x14ac:dyDescent="0.25">
      <c r="A1911" s="9"/>
      <c r="B1911" s="9"/>
      <c r="D1911" s="9"/>
      <c r="E1911" s="10"/>
      <c r="F1911" s="10"/>
    </row>
    <row r="1912" spans="1:6" x14ac:dyDescent="0.25">
      <c r="A1912" s="9" t="s">
        <v>107</v>
      </c>
      <c r="B1912" s="4">
        <v>45686</v>
      </c>
      <c r="C1912" s="5">
        <v>48</v>
      </c>
      <c r="D1912" s="9" t="s">
        <v>14</v>
      </c>
      <c r="E1912" s="10">
        <v>140</v>
      </c>
      <c r="F1912" s="10">
        <f t="shared" si="29"/>
        <v>6720</v>
      </c>
    </row>
    <row r="1913" spans="1:6" x14ac:dyDescent="0.25">
      <c r="A1913" s="9"/>
      <c r="B1913" s="9"/>
      <c r="D1913" s="9"/>
      <c r="E1913" s="10"/>
      <c r="F1913" s="8">
        <f>SUM(F1912)</f>
        <v>6720</v>
      </c>
    </row>
    <row r="1914" spans="1:6" x14ac:dyDescent="0.25">
      <c r="A1914" s="9"/>
      <c r="B1914" s="9"/>
      <c r="D1914" s="9"/>
      <c r="E1914" s="10"/>
      <c r="F1914" s="10"/>
    </row>
    <row r="1915" spans="1:6" x14ac:dyDescent="0.25">
      <c r="A1915" s="9" t="s">
        <v>190</v>
      </c>
      <c r="B1915" s="4">
        <v>45686</v>
      </c>
      <c r="C1915" s="5">
        <v>5</v>
      </c>
      <c r="D1915" s="9" t="s">
        <v>13</v>
      </c>
      <c r="E1915" s="10">
        <v>155</v>
      </c>
      <c r="F1915" s="10">
        <f t="shared" si="29"/>
        <v>775</v>
      </c>
    </row>
    <row r="1916" spans="1:6" x14ac:dyDescent="0.25">
      <c r="A1916" s="9"/>
      <c r="B1916" s="9"/>
      <c r="D1916" s="9"/>
      <c r="E1916" s="10"/>
      <c r="F1916" s="8">
        <f>SUM(F1915)</f>
        <v>775</v>
      </c>
    </row>
    <row r="1917" spans="1:6" x14ac:dyDescent="0.25">
      <c r="A1917" s="9"/>
      <c r="B1917" s="9"/>
      <c r="D1917" s="9"/>
      <c r="E1917" s="10"/>
      <c r="F1917" s="10"/>
    </row>
    <row r="1918" spans="1:6" x14ac:dyDescent="0.25">
      <c r="A1918" s="9" t="s">
        <v>117</v>
      </c>
      <c r="B1918" s="4">
        <v>45686</v>
      </c>
      <c r="C1918" s="5">
        <v>5</v>
      </c>
      <c r="D1918" s="9" t="s">
        <v>13</v>
      </c>
      <c r="E1918" s="10">
        <v>155</v>
      </c>
      <c r="F1918" s="10">
        <f t="shared" ref="F1918:F1978" si="30">+C1918*E1918</f>
        <v>775</v>
      </c>
    </row>
    <row r="1919" spans="1:6" x14ac:dyDescent="0.25">
      <c r="A1919" s="9"/>
      <c r="B1919" s="9"/>
      <c r="D1919" s="9"/>
      <c r="E1919" s="10"/>
      <c r="F1919" s="8">
        <f>SUM(F1918)</f>
        <v>775</v>
      </c>
    </row>
    <row r="1920" spans="1:6" x14ac:dyDescent="0.25">
      <c r="A1920" s="9"/>
      <c r="B1920" s="9"/>
      <c r="D1920" s="9"/>
      <c r="E1920" s="10"/>
      <c r="F1920" s="10"/>
    </row>
    <row r="1921" spans="1:6" x14ac:dyDescent="0.25">
      <c r="A1921" s="9" t="s">
        <v>26</v>
      </c>
      <c r="B1921" s="4">
        <v>45686</v>
      </c>
      <c r="C1921" s="5">
        <v>120</v>
      </c>
      <c r="D1921" s="9" t="s">
        <v>13</v>
      </c>
      <c r="E1921" s="10">
        <v>140</v>
      </c>
      <c r="F1921" s="10">
        <f t="shared" si="30"/>
        <v>16800</v>
      </c>
    </row>
    <row r="1922" spans="1:6" x14ac:dyDescent="0.25">
      <c r="A1922" s="9"/>
      <c r="B1922" s="9"/>
      <c r="C1922" s="5">
        <v>30</v>
      </c>
      <c r="D1922" s="9" t="s">
        <v>14</v>
      </c>
      <c r="E1922" s="10">
        <v>130</v>
      </c>
      <c r="F1922" s="10">
        <f t="shared" si="30"/>
        <v>3900</v>
      </c>
    </row>
    <row r="1923" spans="1:6" x14ac:dyDescent="0.25">
      <c r="A1923" s="9"/>
      <c r="B1923" s="9"/>
      <c r="D1923" s="9"/>
      <c r="E1923" s="10"/>
      <c r="F1923" s="8">
        <f>SUM(F1921:F1922)</f>
        <v>20700</v>
      </c>
    </row>
    <row r="1924" spans="1:6" x14ac:dyDescent="0.25">
      <c r="A1924" s="9"/>
      <c r="B1924" s="9"/>
      <c r="D1924" s="9"/>
      <c r="E1924" s="10"/>
      <c r="F1924" s="10"/>
    </row>
    <row r="1925" spans="1:6" x14ac:dyDescent="0.25">
      <c r="A1925" s="9" t="s">
        <v>76</v>
      </c>
      <c r="B1925" s="4">
        <v>45686</v>
      </c>
      <c r="C1925" s="5">
        <v>600</v>
      </c>
      <c r="D1925" s="9" t="s">
        <v>14</v>
      </c>
      <c r="E1925" s="10">
        <v>117</v>
      </c>
      <c r="F1925" s="10">
        <f t="shared" si="30"/>
        <v>70200</v>
      </c>
    </row>
    <row r="1926" spans="1:6" x14ac:dyDescent="0.25">
      <c r="A1926" s="9"/>
      <c r="B1926" s="9"/>
      <c r="C1926" s="5">
        <v>200</v>
      </c>
      <c r="D1926" s="9" t="s">
        <v>11</v>
      </c>
      <c r="E1926" s="10">
        <v>113</v>
      </c>
      <c r="F1926" s="10">
        <f t="shared" si="30"/>
        <v>22600</v>
      </c>
    </row>
    <row r="1927" spans="1:6" x14ac:dyDescent="0.25">
      <c r="A1927" s="9"/>
      <c r="B1927" s="9"/>
      <c r="C1927" s="5">
        <v>100</v>
      </c>
      <c r="D1927" s="9" t="s">
        <v>13</v>
      </c>
      <c r="E1927" s="10">
        <v>130</v>
      </c>
      <c r="F1927" s="10">
        <f t="shared" si="30"/>
        <v>13000</v>
      </c>
    </row>
    <row r="1928" spans="1:6" x14ac:dyDescent="0.25">
      <c r="A1928" s="9"/>
      <c r="B1928" s="9"/>
      <c r="D1928" s="9"/>
      <c r="E1928" s="10"/>
      <c r="F1928" s="8">
        <f>SUM(F1925:F1927)</f>
        <v>105800</v>
      </c>
    </row>
    <row r="1929" spans="1:6" x14ac:dyDescent="0.25">
      <c r="A1929" s="9"/>
      <c r="B1929" s="9"/>
      <c r="D1929" s="9"/>
      <c r="E1929" s="10"/>
      <c r="F1929" s="10"/>
    </row>
    <row r="1930" spans="1:6" x14ac:dyDescent="0.25">
      <c r="A1930" s="9" t="s">
        <v>191</v>
      </c>
      <c r="B1930" s="4">
        <v>45686</v>
      </c>
      <c r="C1930" s="5">
        <v>300</v>
      </c>
      <c r="D1930" s="9" t="s">
        <v>14</v>
      </c>
      <c r="E1930" s="10">
        <v>120</v>
      </c>
      <c r="F1930" s="10">
        <f t="shared" si="30"/>
        <v>36000</v>
      </c>
    </row>
    <row r="1931" spans="1:6" x14ac:dyDescent="0.25">
      <c r="A1931" s="9"/>
      <c r="B1931" s="9"/>
      <c r="D1931" s="9"/>
      <c r="E1931" s="10"/>
      <c r="F1931" s="8">
        <f>SUM(F1930)</f>
        <v>36000</v>
      </c>
    </row>
    <row r="1932" spans="1:6" x14ac:dyDescent="0.25">
      <c r="A1932" s="9"/>
      <c r="B1932" s="9"/>
      <c r="D1932" s="9"/>
      <c r="E1932" s="10"/>
      <c r="F1932" s="10"/>
    </row>
    <row r="1933" spans="1:6" x14ac:dyDescent="0.25">
      <c r="A1933" s="9" t="s">
        <v>101</v>
      </c>
      <c r="B1933" s="4">
        <v>45686</v>
      </c>
      <c r="C1933" s="5">
        <v>15</v>
      </c>
      <c r="D1933" s="9" t="s">
        <v>13</v>
      </c>
      <c r="E1933" s="10">
        <v>150</v>
      </c>
      <c r="F1933" s="10">
        <f t="shared" si="30"/>
        <v>2250</v>
      </c>
    </row>
    <row r="1934" spans="1:6" x14ac:dyDescent="0.25">
      <c r="A1934" s="9"/>
      <c r="B1934" s="9"/>
      <c r="C1934" s="5">
        <v>3</v>
      </c>
      <c r="D1934" s="9" t="s">
        <v>110</v>
      </c>
      <c r="E1934" s="10">
        <v>3.3333330000000001</v>
      </c>
      <c r="F1934" s="10">
        <f t="shared" si="30"/>
        <v>9.9999990000000007</v>
      </c>
    </row>
    <row r="1935" spans="1:6" x14ac:dyDescent="0.25">
      <c r="A1935" s="9"/>
      <c r="B1935" s="9"/>
      <c r="C1935" s="5">
        <v>1</v>
      </c>
      <c r="D1935" s="9" t="s">
        <v>8</v>
      </c>
      <c r="E1935" s="10">
        <v>170</v>
      </c>
      <c r="F1935" s="10">
        <f t="shared" si="30"/>
        <v>170</v>
      </c>
    </row>
    <row r="1936" spans="1:6" x14ac:dyDescent="0.25">
      <c r="A1936" s="9"/>
      <c r="B1936" s="9"/>
      <c r="C1936" s="5">
        <v>3</v>
      </c>
      <c r="D1936" s="9" t="s">
        <v>8</v>
      </c>
      <c r="E1936" s="10">
        <v>150</v>
      </c>
      <c r="F1936" s="10">
        <f t="shared" si="30"/>
        <v>450</v>
      </c>
    </row>
    <row r="1937" spans="1:6" x14ac:dyDescent="0.25">
      <c r="A1937" s="9"/>
      <c r="B1937" s="9"/>
      <c r="D1937" s="9"/>
      <c r="E1937" s="10"/>
      <c r="F1937" s="8">
        <f>SUM(F1933:F1936)</f>
        <v>2879.9999990000001</v>
      </c>
    </row>
    <row r="1938" spans="1:6" x14ac:dyDescent="0.25">
      <c r="A1938" s="9"/>
      <c r="B1938" s="9"/>
      <c r="D1938" s="9"/>
      <c r="E1938" s="10"/>
      <c r="F1938" s="10"/>
    </row>
    <row r="1939" spans="1:6" x14ac:dyDescent="0.25">
      <c r="A1939" s="9" t="s">
        <v>7</v>
      </c>
      <c r="B1939" s="4">
        <v>45686</v>
      </c>
      <c r="C1939" s="5">
        <v>5</v>
      </c>
      <c r="D1939" s="9" t="s">
        <v>13</v>
      </c>
      <c r="E1939" s="10">
        <v>150</v>
      </c>
      <c r="F1939" s="10">
        <f t="shared" si="30"/>
        <v>750</v>
      </c>
    </row>
    <row r="1940" spans="1:6" x14ac:dyDescent="0.25">
      <c r="A1940" s="9"/>
      <c r="B1940" s="9"/>
      <c r="C1940" s="5">
        <v>1</v>
      </c>
      <c r="D1940" s="9" t="s">
        <v>22</v>
      </c>
      <c r="E1940" s="10">
        <v>130</v>
      </c>
      <c r="F1940" s="10">
        <f t="shared" si="30"/>
        <v>130</v>
      </c>
    </row>
    <row r="1941" spans="1:6" x14ac:dyDescent="0.25">
      <c r="A1941" s="9"/>
      <c r="B1941" s="9"/>
      <c r="C1941" s="5">
        <v>3</v>
      </c>
      <c r="D1941" s="9" t="s">
        <v>192</v>
      </c>
      <c r="E1941" s="10">
        <v>150</v>
      </c>
      <c r="F1941" s="10">
        <f t="shared" si="30"/>
        <v>450</v>
      </c>
    </row>
    <row r="1942" spans="1:6" x14ac:dyDescent="0.25">
      <c r="A1942" s="9"/>
      <c r="B1942" s="9"/>
      <c r="C1942" s="5">
        <v>5</v>
      </c>
      <c r="D1942" s="9" t="s">
        <v>13</v>
      </c>
      <c r="E1942" s="10">
        <v>150</v>
      </c>
      <c r="F1942" s="10">
        <f t="shared" si="30"/>
        <v>750</v>
      </c>
    </row>
    <row r="1943" spans="1:6" x14ac:dyDescent="0.25">
      <c r="A1943" s="9"/>
      <c r="B1943" s="9"/>
      <c r="C1943" s="5">
        <v>3</v>
      </c>
      <c r="D1943" s="9" t="s">
        <v>8</v>
      </c>
      <c r="E1943" s="10">
        <v>170</v>
      </c>
      <c r="F1943" s="10">
        <f t="shared" si="30"/>
        <v>510</v>
      </c>
    </row>
    <row r="1944" spans="1:6" x14ac:dyDescent="0.25">
      <c r="A1944" s="9"/>
      <c r="B1944" s="9"/>
      <c r="C1944" s="5">
        <v>1</v>
      </c>
      <c r="D1944" s="9" t="s">
        <v>8</v>
      </c>
      <c r="E1944" s="10">
        <v>170</v>
      </c>
      <c r="F1944" s="10">
        <f t="shared" si="30"/>
        <v>170</v>
      </c>
    </row>
    <row r="1945" spans="1:6" x14ac:dyDescent="0.25">
      <c r="A1945" s="9"/>
      <c r="B1945" s="9"/>
      <c r="C1945" s="5">
        <v>2</v>
      </c>
      <c r="D1945" s="9" t="s">
        <v>8</v>
      </c>
      <c r="E1945" s="10">
        <v>150</v>
      </c>
      <c r="F1945" s="10">
        <f t="shared" si="30"/>
        <v>300</v>
      </c>
    </row>
    <row r="1946" spans="1:6" x14ac:dyDescent="0.25">
      <c r="A1946" s="9"/>
      <c r="B1946" s="9"/>
      <c r="C1946" s="5">
        <v>2</v>
      </c>
      <c r="D1946" s="9" t="s">
        <v>193</v>
      </c>
      <c r="E1946" s="10">
        <v>150</v>
      </c>
      <c r="F1946" s="10">
        <f t="shared" si="30"/>
        <v>300</v>
      </c>
    </row>
    <row r="1947" spans="1:6" x14ac:dyDescent="0.25">
      <c r="A1947" s="9"/>
      <c r="B1947" s="9"/>
      <c r="D1947" s="9"/>
      <c r="E1947" s="10"/>
      <c r="F1947" s="8">
        <f>SUM(F1939:F1946)</f>
        <v>3360</v>
      </c>
    </row>
    <row r="1948" spans="1:6" x14ac:dyDescent="0.25">
      <c r="A1948" s="9"/>
      <c r="B1948" s="9"/>
      <c r="D1948" s="9"/>
      <c r="E1948" s="10"/>
      <c r="F1948" s="10"/>
    </row>
    <row r="1949" spans="1:6" x14ac:dyDescent="0.25">
      <c r="A1949" s="9" t="s">
        <v>151</v>
      </c>
      <c r="B1949" s="4">
        <v>45687</v>
      </c>
      <c r="C1949" s="5">
        <v>100</v>
      </c>
      <c r="D1949" s="9" t="s">
        <v>13</v>
      </c>
      <c r="E1949" s="10">
        <v>130</v>
      </c>
      <c r="F1949" s="10">
        <f t="shared" si="30"/>
        <v>13000</v>
      </c>
    </row>
    <row r="1950" spans="1:6" x14ac:dyDescent="0.25">
      <c r="A1950" s="9"/>
      <c r="B1950" s="9"/>
      <c r="C1950" s="5">
        <v>60</v>
      </c>
      <c r="D1950" s="9" t="s">
        <v>14</v>
      </c>
      <c r="E1950" s="10">
        <v>120</v>
      </c>
      <c r="F1950" s="10">
        <f t="shared" si="30"/>
        <v>7200</v>
      </c>
    </row>
    <row r="1951" spans="1:6" x14ac:dyDescent="0.25">
      <c r="A1951" s="9"/>
      <c r="B1951" s="9"/>
      <c r="C1951" s="5">
        <v>50</v>
      </c>
      <c r="D1951" s="9" t="s">
        <v>12</v>
      </c>
      <c r="E1951" s="10">
        <v>120</v>
      </c>
      <c r="F1951" s="10">
        <f t="shared" si="30"/>
        <v>6000</v>
      </c>
    </row>
    <row r="1952" spans="1:6" x14ac:dyDescent="0.25">
      <c r="A1952" s="9"/>
      <c r="B1952" s="9"/>
      <c r="C1952" s="5">
        <v>30</v>
      </c>
      <c r="D1952" s="9" t="s">
        <v>8</v>
      </c>
      <c r="E1952" s="10">
        <v>150</v>
      </c>
      <c r="F1952" s="10">
        <f t="shared" si="30"/>
        <v>4500</v>
      </c>
    </row>
    <row r="1953" spans="1:6" x14ac:dyDescent="0.25">
      <c r="A1953" s="9"/>
      <c r="B1953" s="9"/>
      <c r="D1953" s="9"/>
      <c r="E1953" s="10"/>
      <c r="F1953" s="8">
        <f>SUM(F1949:F1952)</f>
        <v>30700</v>
      </c>
    </row>
    <row r="1954" spans="1:6" x14ac:dyDescent="0.25">
      <c r="A1954" s="9"/>
      <c r="B1954" s="9"/>
      <c r="D1954" s="9"/>
      <c r="E1954" s="10"/>
      <c r="F1954" s="10"/>
    </row>
    <row r="1955" spans="1:6" x14ac:dyDescent="0.25">
      <c r="A1955" s="9" t="s">
        <v>89</v>
      </c>
      <c r="B1955" s="4">
        <v>45687</v>
      </c>
      <c r="C1955" s="5">
        <v>30</v>
      </c>
      <c r="D1955" s="9" t="s">
        <v>13</v>
      </c>
      <c r="E1955" s="10">
        <v>130</v>
      </c>
      <c r="F1955" s="10">
        <f t="shared" si="30"/>
        <v>3900</v>
      </c>
    </row>
    <row r="1956" spans="1:6" x14ac:dyDescent="0.25">
      <c r="A1956" s="9"/>
      <c r="B1956" s="9"/>
      <c r="C1956" s="5">
        <v>70</v>
      </c>
      <c r="D1956" s="9" t="s">
        <v>12</v>
      </c>
      <c r="E1956" s="10">
        <v>125</v>
      </c>
      <c r="F1956" s="10">
        <f t="shared" si="30"/>
        <v>8750</v>
      </c>
    </row>
    <row r="1957" spans="1:6" x14ac:dyDescent="0.25">
      <c r="A1957" s="9"/>
      <c r="B1957" s="9"/>
      <c r="D1957" s="9"/>
      <c r="E1957" s="10"/>
      <c r="F1957" s="8">
        <f>SUM(F1955:F1956)</f>
        <v>12650</v>
      </c>
    </row>
    <row r="1958" spans="1:6" x14ac:dyDescent="0.25">
      <c r="A1958" s="9"/>
      <c r="B1958" s="9"/>
      <c r="D1958" s="9"/>
      <c r="E1958" s="10"/>
      <c r="F1958" s="10"/>
    </row>
    <row r="1959" spans="1:6" x14ac:dyDescent="0.25">
      <c r="A1959" s="9" t="s">
        <v>51</v>
      </c>
      <c r="B1959" s="4">
        <v>45687</v>
      </c>
      <c r="C1959" s="5">
        <v>100</v>
      </c>
      <c r="D1959" s="9" t="s">
        <v>13</v>
      </c>
      <c r="E1959" s="10">
        <v>130</v>
      </c>
      <c r="F1959" s="10">
        <f t="shared" si="30"/>
        <v>13000</v>
      </c>
    </row>
    <row r="1960" spans="1:6" x14ac:dyDescent="0.25">
      <c r="A1960" s="9"/>
      <c r="B1960" s="9"/>
      <c r="D1960" s="9"/>
      <c r="E1960" s="10"/>
      <c r="F1960" s="8">
        <f>SUM(F1959)</f>
        <v>13000</v>
      </c>
    </row>
    <row r="1961" spans="1:6" x14ac:dyDescent="0.25">
      <c r="A1961" s="9"/>
      <c r="B1961" s="9"/>
      <c r="D1961" s="9"/>
      <c r="E1961" s="10"/>
      <c r="F1961" s="10"/>
    </row>
    <row r="1962" spans="1:6" x14ac:dyDescent="0.25">
      <c r="A1962" s="9" t="s">
        <v>167</v>
      </c>
      <c r="B1962" s="4">
        <v>45687</v>
      </c>
      <c r="C1962" s="5">
        <v>15</v>
      </c>
      <c r="D1962" s="9" t="s">
        <v>13</v>
      </c>
      <c r="E1962" s="10">
        <v>150</v>
      </c>
      <c r="F1962" s="10">
        <f t="shared" si="30"/>
        <v>2250</v>
      </c>
    </row>
    <row r="1963" spans="1:6" x14ac:dyDescent="0.25">
      <c r="A1963" s="9"/>
      <c r="B1963" s="9"/>
      <c r="D1963" s="9"/>
      <c r="E1963" s="10"/>
      <c r="F1963" s="8">
        <f>SUM(F1962)</f>
        <v>2250</v>
      </c>
    </row>
    <row r="1964" spans="1:6" x14ac:dyDescent="0.25">
      <c r="A1964" s="9"/>
      <c r="B1964" s="9"/>
      <c r="D1964" s="9"/>
      <c r="E1964" s="10"/>
      <c r="F1964" s="10"/>
    </row>
    <row r="1965" spans="1:6" x14ac:dyDescent="0.25">
      <c r="A1965" s="9" t="s">
        <v>114</v>
      </c>
      <c r="B1965" s="4">
        <v>45687</v>
      </c>
      <c r="C1965" s="5">
        <v>4</v>
      </c>
      <c r="D1965" s="9" t="s">
        <v>13</v>
      </c>
      <c r="E1965" s="10">
        <v>150</v>
      </c>
      <c r="F1965" s="10">
        <f t="shared" si="30"/>
        <v>600</v>
      </c>
    </row>
    <row r="1966" spans="1:6" x14ac:dyDescent="0.25">
      <c r="A1966" s="9"/>
      <c r="B1966" s="9"/>
      <c r="D1966" s="9"/>
      <c r="E1966" s="10"/>
      <c r="F1966" s="8">
        <f>SUM(F1965)</f>
        <v>600</v>
      </c>
    </row>
    <row r="1967" spans="1:6" x14ac:dyDescent="0.25">
      <c r="A1967" s="9"/>
      <c r="B1967" s="9"/>
      <c r="D1967" s="9"/>
      <c r="E1967" s="10"/>
      <c r="F1967" s="10"/>
    </row>
    <row r="1968" spans="1:6" x14ac:dyDescent="0.25">
      <c r="A1968" s="9" t="s">
        <v>51</v>
      </c>
      <c r="B1968" s="4">
        <v>45687</v>
      </c>
      <c r="C1968" s="5">
        <v>200</v>
      </c>
      <c r="D1968" s="9" t="s">
        <v>12</v>
      </c>
      <c r="E1968" s="10">
        <v>120</v>
      </c>
      <c r="F1968" s="10">
        <f t="shared" si="30"/>
        <v>24000</v>
      </c>
    </row>
    <row r="1969" spans="1:6" x14ac:dyDescent="0.25">
      <c r="A1969" s="9"/>
      <c r="B1969" s="9"/>
      <c r="D1969" s="9"/>
      <c r="E1969" s="10"/>
      <c r="F1969" s="8">
        <f>SUM(F1968)</f>
        <v>24000</v>
      </c>
    </row>
    <row r="1970" spans="1:6" x14ac:dyDescent="0.25">
      <c r="A1970" s="9"/>
      <c r="B1970" s="9"/>
      <c r="D1970" s="9"/>
      <c r="E1970" s="10"/>
      <c r="F1970" s="10"/>
    </row>
    <row r="1971" spans="1:6" x14ac:dyDescent="0.25">
      <c r="A1971" s="9" t="s">
        <v>133</v>
      </c>
      <c r="B1971" s="4">
        <v>45687</v>
      </c>
      <c r="C1971" s="5">
        <v>5</v>
      </c>
      <c r="D1971" s="9" t="s">
        <v>13</v>
      </c>
      <c r="E1971" s="10">
        <v>155</v>
      </c>
      <c r="F1971" s="10">
        <f t="shared" si="30"/>
        <v>775</v>
      </c>
    </row>
    <row r="1972" spans="1:6" x14ac:dyDescent="0.25">
      <c r="A1972" s="9"/>
      <c r="B1972" s="9"/>
      <c r="D1972" s="9"/>
      <c r="E1972" s="10"/>
      <c r="F1972" s="8">
        <f>SUM(F1971)</f>
        <v>775</v>
      </c>
    </row>
    <row r="1973" spans="1:6" x14ac:dyDescent="0.25">
      <c r="A1973" s="9"/>
      <c r="B1973" s="9"/>
      <c r="D1973" s="9"/>
      <c r="E1973" s="10"/>
      <c r="F1973" s="10"/>
    </row>
    <row r="1974" spans="1:6" x14ac:dyDescent="0.25">
      <c r="A1974" s="9" t="s">
        <v>194</v>
      </c>
      <c r="B1974" s="4">
        <v>45687</v>
      </c>
      <c r="C1974" s="5">
        <v>600</v>
      </c>
      <c r="D1974" s="9" t="s">
        <v>14</v>
      </c>
      <c r="E1974" s="10">
        <v>120</v>
      </c>
      <c r="F1974" s="10">
        <f t="shared" si="30"/>
        <v>72000</v>
      </c>
    </row>
    <row r="1975" spans="1:6" x14ac:dyDescent="0.25">
      <c r="A1975" s="9"/>
      <c r="B1975" s="9"/>
      <c r="D1975" s="9"/>
      <c r="E1975" s="10"/>
      <c r="F1975" s="8">
        <f>SUM(F1974)</f>
        <v>72000</v>
      </c>
    </row>
    <row r="1976" spans="1:6" x14ac:dyDescent="0.25">
      <c r="A1976" s="9"/>
      <c r="B1976" s="9"/>
      <c r="D1976" s="9"/>
      <c r="E1976" s="10"/>
      <c r="F1976" s="10"/>
    </row>
    <row r="1977" spans="1:6" x14ac:dyDescent="0.25">
      <c r="A1977" s="9" t="s">
        <v>53</v>
      </c>
      <c r="B1977" s="4">
        <v>45687</v>
      </c>
      <c r="C1977" s="5">
        <v>130</v>
      </c>
      <c r="D1977" s="9" t="s">
        <v>13</v>
      </c>
      <c r="E1977" s="10">
        <v>135</v>
      </c>
      <c r="F1977" s="10">
        <f t="shared" si="30"/>
        <v>17550</v>
      </c>
    </row>
    <row r="1978" spans="1:6" x14ac:dyDescent="0.25">
      <c r="A1978" s="9"/>
      <c r="B1978" s="9"/>
      <c r="C1978" s="5">
        <v>20</v>
      </c>
      <c r="D1978" s="9" t="s">
        <v>8</v>
      </c>
      <c r="E1978" s="10">
        <v>145</v>
      </c>
      <c r="F1978" s="10">
        <f t="shared" si="30"/>
        <v>2900</v>
      </c>
    </row>
    <row r="1979" spans="1:6" x14ac:dyDescent="0.25">
      <c r="A1979" s="9"/>
      <c r="B1979" s="9"/>
      <c r="C1979" s="5">
        <v>40</v>
      </c>
      <c r="D1979" s="9" t="s">
        <v>49</v>
      </c>
      <c r="E1979" s="10">
        <v>145</v>
      </c>
      <c r="F1979" s="10">
        <f t="shared" ref="F1979:F2041" si="31">+C1979*E1979</f>
        <v>5800</v>
      </c>
    </row>
    <row r="1980" spans="1:6" x14ac:dyDescent="0.25">
      <c r="A1980" s="9"/>
      <c r="B1980" s="9"/>
      <c r="D1980" s="9"/>
      <c r="E1980" s="10"/>
      <c r="F1980" s="8">
        <f>SUM(F1977:F1979)</f>
        <v>26250</v>
      </c>
    </row>
    <row r="1981" spans="1:6" x14ac:dyDescent="0.25">
      <c r="A1981" s="9"/>
      <c r="B1981" s="9"/>
      <c r="D1981" s="9"/>
      <c r="E1981" s="10"/>
      <c r="F1981" s="10"/>
    </row>
    <row r="1982" spans="1:6" x14ac:dyDescent="0.25">
      <c r="A1982" s="9" t="s">
        <v>29</v>
      </c>
      <c r="B1982" s="4">
        <v>45687</v>
      </c>
      <c r="C1982" s="5">
        <v>1</v>
      </c>
      <c r="D1982" s="9" t="s">
        <v>13</v>
      </c>
      <c r="E1982" s="10">
        <v>120</v>
      </c>
      <c r="F1982" s="10">
        <f t="shared" si="31"/>
        <v>120</v>
      </c>
    </row>
    <row r="1983" spans="1:6" x14ac:dyDescent="0.25">
      <c r="A1983" s="9"/>
      <c r="B1983" s="9"/>
      <c r="D1983" s="9"/>
      <c r="E1983" s="10"/>
      <c r="F1983" s="8">
        <f>SUM(F1982)</f>
        <v>120</v>
      </c>
    </row>
    <row r="1984" spans="1:6" x14ac:dyDescent="0.25">
      <c r="A1984" s="9"/>
      <c r="B1984" s="9"/>
      <c r="D1984" s="9"/>
      <c r="E1984" s="10"/>
      <c r="F1984" s="10"/>
    </row>
    <row r="1985" spans="1:6" x14ac:dyDescent="0.25">
      <c r="A1985" s="9" t="s">
        <v>181</v>
      </c>
      <c r="B1985" s="4">
        <v>45687</v>
      </c>
      <c r="C1985" s="5">
        <v>9</v>
      </c>
      <c r="D1985" s="9" t="s">
        <v>110</v>
      </c>
      <c r="E1985" s="10">
        <v>3.3333300000000001</v>
      </c>
      <c r="F1985" s="10">
        <f t="shared" si="31"/>
        <v>29.999970000000001</v>
      </c>
    </row>
    <row r="1986" spans="1:6" x14ac:dyDescent="0.25">
      <c r="A1986" s="9"/>
      <c r="B1986" s="9"/>
      <c r="D1986" s="9"/>
      <c r="E1986" s="10"/>
      <c r="F1986" s="8">
        <f>SUM(F1985)</f>
        <v>29.999970000000001</v>
      </c>
    </row>
    <row r="1987" spans="1:6" x14ac:dyDescent="0.25">
      <c r="A1987" s="9"/>
      <c r="B1987" s="9"/>
      <c r="D1987" s="9"/>
      <c r="E1987" s="10"/>
      <c r="F1987" s="10"/>
    </row>
    <row r="1988" spans="1:6" x14ac:dyDescent="0.25">
      <c r="A1988" s="9" t="s">
        <v>195</v>
      </c>
      <c r="B1988" s="4">
        <v>45688</v>
      </c>
      <c r="C1988" s="5">
        <v>51</v>
      </c>
      <c r="D1988" s="9" t="s">
        <v>8</v>
      </c>
      <c r="E1988" s="10">
        <v>155</v>
      </c>
      <c r="F1988" s="10">
        <f t="shared" si="31"/>
        <v>7905</v>
      </c>
    </row>
    <row r="1989" spans="1:6" x14ac:dyDescent="0.25">
      <c r="A1989" s="9"/>
      <c r="B1989" s="9"/>
      <c r="C1989" s="5">
        <v>150</v>
      </c>
      <c r="D1989" s="9" t="s">
        <v>13</v>
      </c>
      <c r="E1989" s="10">
        <v>140</v>
      </c>
      <c r="F1989" s="10">
        <f t="shared" si="31"/>
        <v>21000</v>
      </c>
    </row>
    <row r="1990" spans="1:6" x14ac:dyDescent="0.25">
      <c r="A1990" s="9"/>
      <c r="B1990" s="9"/>
      <c r="C1990" s="5">
        <v>200</v>
      </c>
      <c r="D1990" s="9" t="s">
        <v>12</v>
      </c>
      <c r="E1990" s="10">
        <v>130</v>
      </c>
      <c r="F1990" s="10">
        <f t="shared" si="31"/>
        <v>26000</v>
      </c>
    </row>
    <row r="1991" spans="1:6" x14ac:dyDescent="0.25">
      <c r="A1991" s="9"/>
      <c r="B1991" s="9"/>
      <c r="C1991" s="5">
        <v>150</v>
      </c>
      <c r="D1991" s="9" t="s">
        <v>49</v>
      </c>
      <c r="E1991" s="10">
        <v>140</v>
      </c>
      <c r="F1991" s="10">
        <f t="shared" si="31"/>
        <v>21000</v>
      </c>
    </row>
    <row r="1992" spans="1:6" x14ac:dyDescent="0.25">
      <c r="A1992" s="9"/>
      <c r="B1992" s="9"/>
      <c r="C1992" s="5">
        <v>100</v>
      </c>
      <c r="D1992" s="9" t="s">
        <v>11</v>
      </c>
      <c r="E1992" s="10">
        <v>120</v>
      </c>
      <c r="F1992" s="10">
        <f t="shared" si="31"/>
        <v>12000</v>
      </c>
    </row>
    <row r="1993" spans="1:6" x14ac:dyDescent="0.25">
      <c r="A1993" s="9"/>
      <c r="B1993" s="9"/>
      <c r="D1993" s="9"/>
      <c r="E1993" s="10"/>
      <c r="F1993" s="8">
        <f>SUM(F1988:F1992)</f>
        <v>87905</v>
      </c>
    </row>
    <row r="1994" spans="1:6" x14ac:dyDescent="0.25">
      <c r="A1994" s="9"/>
      <c r="B1994" s="9"/>
      <c r="D1994" s="9"/>
      <c r="E1994" s="10"/>
      <c r="F1994" s="10"/>
    </row>
    <row r="1995" spans="1:6" x14ac:dyDescent="0.25">
      <c r="A1995" s="9" t="s">
        <v>18</v>
      </c>
      <c r="B1995" s="4">
        <v>45688</v>
      </c>
      <c r="C1995" s="5">
        <v>5</v>
      </c>
      <c r="D1995" s="9" t="s">
        <v>13</v>
      </c>
      <c r="E1995" s="10">
        <v>145</v>
      </c>
      <c r="F1995" s="10">
        <f t="shared" si="31"/>
        <v>725</v>
      </c>
    </row>
    <row r="1996" spans="1:6" x14ac:dyDescent="0.25">
      <c r="A1996" s="9"/>
      <c r="B1996" s="9"/>
      <c r="D1996" s="9"/>
      <c r="E1996" s="10"/>
      <c r="F1996" s="8">
        <f>SUM(F1995)</f>
        <v>725</v>
      </c>
    </row>
    <row r="1997" spans="1:6" x14ac:dyDescent="0.25">
      <c r="A1997" s="9"/>
      <c r="B1997" s="9"/>
      <c r="D1997" s="9"/>
      <c r="E1997" s="10"/>
      <c r="F1997" s="10"/>
    </row>
    <row r="1998" spans="1:6" x14ac:dyDescent="0.25">
      <c r="A1998" s="9" t="s">
        <v>56</v>
      </c>
      <c r="B1998" s="4">
        <v>45688</v>
      </c>
      <c r="C1998" s="5">
        <v>7</v>
      </c>
      <c r="D1998" s="9" t="s">
        <v>36</v>
      </c>
      <c r="E1998" s="10">
        <v>100</v>
      </c>
      <c r="F1998" s="10">
        <f t="shared" si="31"/>
        <v>700</v>
      </c>
    </row>
    <row r="1999" spans="1:6" x14ac:dyDescent="0.25">
      <c r="A1999" s="9"/>
      <c r="B1999" s="9"/>
      <c r="D1999" s="9"/>
      <c r="E1999" s="10"/>
      <c r="F1999" s="8">
        <f>SUM(F1998)</f>
        <v>700</v>
      </c>
    </row>
    <row r="2000" spans="1:6" x14ac:dyDescent="0.25">
      <c r="A2000" s="9"/>
      <c r="B2000" s="9"/>
      <c r="D2000" s="9"/>
      <c r="E2000" s="10"/>
      <c r="F2000" s="10"/>
    </row>
    <row r="2001" spans="1:6" x14ac:dyDescent="0.25">
      <c r="A2001" s="9" t="s">
        <v>15</v>
      </c>
      <c r="B2001" s="4">
        <v>45688</v>
      </c>
      <c r="C2001" s="5">
        <v>63</v>
      </c>
      <c r="D2001" s="9" t="s">
        <v>36</v>
      </c>
      <c r="E2001" s="10">
        <v>100</v>
      </c>
      <c r="F2001" s="10">
        <f t="shared" si="31"/>
        <v>6300</v>
      </c>
    </row>
    <row r="2002" spans="1:6" x14ac:dyDescent="0.25">
      <c r="A2002" s="9"/>
      <c r="B2002" s="9"/>
      <c r="D2002" s="9"/>
      <c r="E2002" s="10"/>
      <c r="F2002" s="8">
        <f>SUM(F2001)</f>
        <v>6300</v>
      </c>
    </row>
    <row r="2003" spans="1:6" x14ac:dyDescent="0.25">
      <c r="A2003" s="9"/>
      <c r="B2003" s="9"/>
      <c r="D2003" s="9"/>
      <c r="E2003" s="10"/>
      <c r="F2003" s="10"/>
    </row>
    <row r="2004" spans="1:6" x14ac:dyDescent="0.25">
      <c r="A2004" s="9" t="s">
        <v>37</v>
      </c>
      <c r="B2004" s="4">
        <v>45688</v>
      </c>
      <c r="C2004" s="5">
        <v>20</v>
      </c>
      <c r="D2004" s="9" t="s">
        <v>12</v>
      </c>
      <c r="E2004" s="10">
        <v>135</v>
      </c>
      <c r="F2004" s="10">
        <f t="shared" si="31"/>
        <v>2700</v>
      </c>
    </row>
    <row r="2005" spans="1:6" x14ac:dyDescent="0.25">
      <c r="A2005" s="9"/>
      <c r="B2005" s="9"/>
      <c r="D2005" s="9"/>
      <c r="E2005" s="10"/>
      <c r="F2005" s="8">
        <f>SUM(F2004)</f>
        <v>2700</v>
      </c>
    </row>
    <row r="2006" spans="1:6" x14ac:dyDescent="0.25">
      <c r="A2006" s="9"/>
      <c r="B2006" s="9"/>
      <c r="D2006" s="9"/>
      <c r="E2006" s="10"/>
      <c r="F2006" s="10"/>
    </row>
    <row r="2007" spans="1:6" x14ac:dyDescent="0.25">
      <c r="A2007" s="9" t="s">
        <v>20</v>
      </c>
      <c r="B2007" s="4">
        <v>45688</v>
      </c>
      <c r="C2007" s="5">
        <v>20</v>
      </c>
      <c r="D2007" s="9" t="s">
        <v>13</v>
      </c>
      <c r="E2007" s="10">
        <v>140</v>
      </c>
      <c r="F2007" s="10">
        <f t="shared" si="31"/>
        <v>2800</v>
      </c>
    </row>
    <row r="2008" spans="1:6" x14ac:dyDescent="0.25">
      <c r="A2008" s="9"/>
      <c r="B2008" s="9"/>
      <c r="D2008" s="9"/>
      <c r="E2008" s="10"/>
      <c r="F2008" s="8">
        <f>SUM(F2007)</f>
        <v>2800</v>
      </c>
    </row>
    <row r="2009" spans="1:6" x14ac:dyDescent="0.25">
      <c r="A2009" s="9"/>
      <c r="B2009" s="9"/>
      <c r="D2009" s="9"/>
      <c r="E2009" s="10"/>
      <c r="F2009" s="10"/>
    </row>
    <row r="2010" spans="1:6" x14ac:dyDescent="0.25">
      <c r="A2010" s="9" t="s">
        <v>21</v>
      </c>
      <c r="B2010" s="4">
        <v>45688</v>
      </c>
      <c r="C2010" s="5">
        <v>20</v>
      </c>
      <c r="D2010" s="9" t="s">
        <v>13</v>
      </c>
      <c r="E2010" s="10">
        <v>140</v>
      </c>
      <c r="F2010" s="10">
        <f t="shared" si="31"/>
        <v>2800</v>
      </c>
    </row>
    <row r="2011" spans="1:6" x14ac:dyDescent="0.25">
      <c r="A2011" s="9"/>
      <c r="B2011" s="9"/>
      <c r="C2011" s="5">
        <v>10</v>
      </c>
      <c r="D2011" s="9" t="s">
        <v>11</v>
      </c>
      <c r="E2011" s="10">
        <v>125</v>
      </c>
      <c r="F2011" s="10">
        <f t="shared" si="31"/>
        <v>1250</v>
      </c>
    </row>
    <row r="2012" spans="1:6" x14ac:dyDescent="0.25">
      <c r="A2012" s="9"/>
      <c r="B2012" s="9"/>
      <c r="D2012" s="9"/>
      <c r="E2012" s="10"/>
      <c r="F2012" s="8">
        <f>SUM(F2010:F2011)</f>
        <v>4050</v>
      </c>
    </row>
    <row r="2013" spans="1:6" x14ac:dyDescent="0.25">
      <c r="A2013" s="9"/>
      <c r="B2013" s="9"/>
      <c r="D2013" s="9"/>
      <c r="E2013" s="10"/>
      <c r="F2013" s="10"/>
    </row>
    <row r="2014" spans="1:6" x14ac:dyDescent="0.25">
      <c r="A2014" s="9" t="s">
        <v>57</v>
      </c>
      <c r="B2014" s="4">
        <v>45688</v>
      </c>
      <c r="C2014" s="5">
        <v>20</v>
      </c>
      <c r="D2014" s="9" t="s">
        <v>13</v>
      </c>
      <c r="E2014" s="10">
        <v>140</v>
      </c>
      <c r="F2014" s="10">
        <f t="shared" si="31"/>
        <v>2800</v>
      </c>
    </row>
    <row r="2015" spans="1:6" x14ac:dyDescent="0.25">
      <c r="A2015" s="9"/>
      <c r="B2015" s="9"/>
      <c r="D2015" s="9"/>
      <c r="E2015" s="10"/>
      <c r="F2015" s="8">
        <f>SUM(F2014)</f>
        <v>2800</v>
      </c>
    </row>
    <row r="2016" spans="1:6" x14ac:dyDescent="0.25">
      <c r="A2016" s="9"/>
      <c r="B2016" s="9"/>
      <c r="D2016" s="9"/>
      <c r="E2016" s="10"/>
      <c r="F2016" s="10"/>
    </row>
    <row r="2017" spans="1:6" x14ac:dyDescent="0.25">
      <c r="A2017" s="9" t="s">
        <v>23</v>
      </c>
      <c r="B2017" s="4">
        <v>45688</v>
      </c>
      <c r="C2017" s="5">
        <v>12</v>
      </c>
      <c r="D2017" s="9" t="s">
        <v>22</v>
      </c>
      <c r="E2017" s="10">
        <v>120</v>
      </c>
      <c r="F2017" s="10">
        <f t="shared" si="31"/>
        <v>1440</v>
      </c>
    </row>
    <row r="2018" spans="1:6" x14ac:dyDescent="0.25">
      <c r="A2018" s="9"/>
      <c r="B2018" s="9"/>
      <c r="D2018" s="9"/>
      <c r="E2018" s="10"/>
      <c r="F2018" s="8">
        <f>SUM(F2017)</f>
        <v>1440</v>
      </c>
    </row>
    <row r="2019" spans="1:6" x14ac:dyDescent="0.25">
      <c r="A2019" s="9"/>
      <c r="B2019" s="9"/>
      <c r="D2019" s="9"/>
      <c r="E2019" s="10"/>
      <c r="F2019" s="10"/>
    </row>
    <row r="2020" spans="1:6" x14ac:dyDescent="0.25">
      <c r="A2020" s="9" t="s">
        <v>80</v>
      </c>
      <c r="B2020" s="4">
        <v>45688</v>
      </c>
      <c r="C2020" s="5">
        <v>10</v>
      </c>
      <c r="D2020" s="9" t="s">
        <v>13</v>
      </c>
      <c r="E2020" s="10">
        <v>145</v>
      </c>
      <c r="F2020" s="10">
        <f t="shared" si="31"/>
        <v>1450</v>
      </c>
    </row>
    <row r="2021" spans="1:6" x14ac:dyDescent="0.25">
      <c r="A2021" s="9"/>
      <c r="B2021" s="9"/>
      <c r="D2021" s="9"/>
      <c r="E2021" s="10"/>
      <c r="F2021" s="8">
        <f>SUM(F2020)</f>
        <v>1450</v>
      </c>
    </row>
    <row r="2022" spans="1:6" x14ac:dyDescent="0.25">
      <c r="A2022" s="9"/>
      <c r="B2022" s="9"/>
      <c r="D2022" s="9"/>
      <c r="E2022" s="10"/>
      <c r="F2022" s="10"/>
    </row>
    <row r="2023" spans="1:6" x14ac:dyDescent="0.25">
      <c r="A2023" s="9" t="s">
        <v>58</v>
      </c>
      <c r="B2023" s="4">
        <v>45688</v>
      </c>
      <c r="C2023" s="5">
        <v>9</v>
      </c>
      <c r="D2023" s="9" t="s">
        <v>13</v>
      </c>
      <c r="E2023" s="10">
        <v>150</v>
      </c>
      <c r="F2023" s="10">
        <f t="shared" si="31"/>
        <v>1350</v>
      </c>
    </row>
    <row r="2024" spans="1:6" x14ac:dyDescent="0.25">
      <c r="A2024" s="9"/>
      <c r="B2024" s="9"/>
      <c r="D2024" s="9"/>
      <c r="E2024" s="10"/>
      <c r="F2024" s="8">
        <f>SUM(F2023)</f>
        <v>1350</v>
      </c>
    </row>
    <row r="2025" spans="1:6" x14ac:dyDescent="0.25">
      <c r="A2025" s="9"/>
      <c r="B2025" s="9"/>
      <c r="D2025" s="9"/>
      <c r="E2025" s="10"/>
      <c r="F2025" s="10"/>
    </row>
    <row r="2026" spans="1:6" x14ac:dyDescent="0.25">
      <c r="A2026" s="9" t="s">
        <v>40</v>
      </c>
      <c r="B2026" s="4">
        <v>45688</v>
      </c>
      <c r="C2026" s="5">
        <v>5</v>
      </c>
      <c r="D2026" s="9" t="s">
        <v>13</v>
      </c>
      <c r="E2026" s="10">
        <v>135</v>
      </c>
      <c r="F2026" s="10">
        <f t="shared" si="31"/>
        <v>675</v>
      </c>
    </row>
    <row r="2027" spans="1:6" x14ac:dyDescent="0.25">
      <c r="A2027" s="9"/>
      <c r="B2027" s="9"/>
      <c r="C2027" s="5">
        <v>5</v>
      </c>
      <c r="D2027" s="9" t="s">
        <v>14</v>
      </c>
      <c r="E2027" s="10">
        <v>135</v>
      </c>
      <c r="F2027" s="10">
        <f t="shared" si="31"/>
        <v>675</v>
      </c>
    </row>
    <row r="2028" spans="1:6" x14ac:dyDescent="0.25">
      <c r="A2028" s="9"/>
      <c r="B2028" s="9"/>
      <c r="C2028" s="5">
        <v>6</v>
      </c>
      <c r="D2028" s="9" t="s">
        <v>11</v>
      </c>
      <c r="E2028" s="10">
        <v>125</v>
      </c>
      <c r="F2028" s="10">
        <f t="shared" si="31"/>
        <v>750</v>
      </c>
    </row>
    <row r="2029" spans="1:6" x14ac:dyDescent="0.25">
      <c r="A2029" s="9"/>
      <c r="B2029" s="9"/>
      <c r="D2029" s="9"/>
      <c r="E2029" s="10"/>
      <c r="F2029" s="8">
        <f>SUM(F2026:F2028)</f>
        <v>2100</v>
      </c>
    </row>
    <row r="2030" spans="1:6" x14ac:dyDescent="0.25">
      <c r="A2030" s="9"/>
      <c r="B2030" s="9"/>
      <c r="D2030" s="9"/>
      <c r="E2030" s="10"/>
      <c r="F2030" s="10"/>
    </row>
    <row r="2031" spans="1:6" x14ac:dyDescent="0.25">
      <c r="A2031" s="9" t="s">
        <v>25</v>
      </c>
      <c r="B2031" s="4">
        <v>45688</v>
      </c>
      <c r="C2031" s="5">
        <v>10</v>
      </c>
      <c r="D2031" s="9" t="s">
        <v>22</v>
      </c>
      <c r="E2031" s="10">
        <v>120</v>
      </c>
      <c r="F2031" s="10">
        <f t="shared" si="31"/>
        <v>1200</v>
      </c>
    </row>
    <row r="2032" spans="1:6" x14ac:dyDescent="0.25">
      <c r="A2032" s="9"/>
      <c r="B2032" s="9"/>
      <c r="D2032" s="9"/>
      <c r="E2032" s="10"/>
      <c r="F2032" s="8">
        <f>SUM(F2031)</f>
        <v>1200</v>
      </c>
    </row>
    <row r="2033" spans="1:6" x14ac:dyDescent="0.25">
      <c r="A2033" s="9"/>
      <c r="B2033" s="9"/>
      <c r="D2033" s="9"/>
      <c r="E2033" s="10"/>
      <c r="F2033" s="10"/>
    </row>
    <row r="2034" spans="1:6" x14ac:dyDescent="0.25">
      <c r="A2034" s="9" t="s">
        <v>41</v>
      </c>
      <c r="B2034" s="4">
        <v>45688</v>
      </c>
      <c r="C2034" s="5">
        <v>30</v>
      </c>
      <c r="D2034" s="9" t="s">
        <v>14</v>
      </c>
      <c r="E2034" s="10">
        <v>135</v>
      </c>
      <c r="F2034" s="10">
        <f t="shared" si="31"/>
        <v>4050</v>
      </c>
    </row>
    <row r="2035" spans="1:6" x14ac:dyDescent="0.25">
      <c r="A2035" s="9"/>
      <c r="B2035" s="9"/>
      <c r="D2035" s="9"/>
      <c r="E2035" s="10"/>
      <c r="F2035" s="8">
        <f>SUM(F2034)</f>
        <v>4050</v>
      </c>
    </row>
    <row r="2036" spans="1:6" x14ac:dyDescent="0.25">
      <c r="A2036" s="9"/>
      <c r="B2036" s="9"/>
      <c r="D2036" s="9"/>
      <c r="E2036" s="10"/>
      <c r="F2036" s="10"/>
    </row>
    <row r="2037" spans="1:6" x14ac:dyDescent="0.25">
      <c r="A2037" s="9" t="s">
        <v>43</v>
      </c>
      <c r="B2037" s="4">
        <v>45688</v>
      </c>
      <c r="C2037" s="5">
        <v>20</v>
      </c>
      <c r="D2037" s="9" t="s">
        <v>49</v>
      </c>
      <c r="E2037" s="10">
        <v>140</v>
      </c>
      <c r="F2037" s="10">
        <f t="shared" si="31"/>
        <v>2800</v>
      </c>
    </row>
    <row r="2038" spans="1:6" x14ac:dyDescent="0.25">
      <c r="A2038" s="9"/>
      <c r="B2038" s="9"/>
      <c r="D2038" s="9"/>
      <c r="E2038" s="10"/>
      <c r="F2038" s="8">
        <f>SUM(F2037)</f>
        <v>2800</v>
      </c>
    </row>
    <row r="2039" spans="1:6" x14ac:dyDescent="0.25">
      <c r="A2039" s="9"/>
      <c r="B2039" s="9"/>
      <c r="D2039" s="9"/>
      <c r="E2039" s="10"/>
      <c r="F2039" s="10"/>
    </row>
    <row r="2040" spans="1:6" x14ac:dyDescent="0.25">
      <c r="A2040" s="9" t="s">
        <v>44</v>
      </c>
      <c r="B2040" s="4">
        <v>45688</v>
      </c>
      <c r="C2040" s="5">
        <v>60</v>
      </c>
      <c r="D2040" s="9" t="s">
        <v>14</v>
      </c>
      <c r="E2040" s="10">
        <v>125</v>
      </c>
      <c r="F2040" s="10">
        <f t="shared" si="31"/>
        <v>7500</v>
      </c>
    </row>
    <row r="2041" spans="1:6" x14ac:dyDescent="0.25">
      <c r="A2041" s="9"/>
      <c r="B2041" s="9"/>
      <c r="C2041" s="5">
        <v>20</v>
      </c>
      <c r="D2041" s="9" t="s">
        <v>14</v>
      </c>
      <c r="E2041" s="10">
        <v>125</v>
      </c>
      <c r="F2041" s="10">
        <f t="shared" si="31"/>
        <v>2500</v>
      </c>
    </row>
    <row r="2042" spans="1:6" x14ac:dyDescent="0.25">
      <c r="A2042" s="9"/>
      <c r="B2042" s="9"/>
      <c r="D2042" s="9"/>
      <c r="E2042" s="10"/>
      <c r="F2042" s="8">
        <f>SUM(F2040:F2041)</f>
        <v>10000</v>
      </c>
    </row>
    <row r="2043" spans="1:6" x14ac:dyDescent="0.25">
      <c r="A2043" s="9"/>
      <c r="B2043" s="9"/>
      <c r="D2043" s="9"/>
      <c r="E2043" s="10"/>
      <c r="F2043" s="10"/>
    </row>
    <row r="2044" spans="1:6" x14ac:dyDescent="0.25">
      <c r="A2044" s="9" t="s">
        <v>18</v>
      </c>
      <c r="B2044" s="4">
        <v>45688</v>
      </c>
      <c r="C2044" s="5">
        <v>20</v>
      </c>
      <c r="D2044" s="9" t="s">
        <v>14</v>
      </c>
      <c r="E2044" s="10">
        <v>125</v>
      </c>
      <c r="F2044" s="10">
        <f t="shared" ref="F2044:F2089" si="32">+C2044*E2044</f>
        <v>2500</v>
      </c>
    </row>
    <row r="2045" spans="1:6" x14ac:dyDescent="0.25">
      <c r="A2045" s="9"/>
      <c r="B2045" s="9"/>
      <c r="D2045" s="9"/>
      <c r="E2045" s="10"/>
      <c r="F2045" s="8">
        <f>SUM(F2044)</f>
        <v>2500</v>
      </c>
    </row>
    <row r="2046" spans="1:6" x14ac:dyDescent="0.25">
      <c r="A2046" s="9"/>
      <c r="B2046" s="9"/>
      <c r="D2046" s="9"/>
      <c r="E2046" s="10"/>
      <c r="F2046" s="10"/>
    </row>
    <row r="2047" spans="1:6" x14ac:dyDescent="0.25">
      <c r="A2047" s="9" t="s">
        <v>45</v>
      </c>
      <c r="B2047" s="4">
        <v>45688</v>
      </c>
      <c r="C2047" s="5">
        <v>11</v>
      </c>
      <c r="D2047" s="9" t="s">
        <v>14</v>
      </c>
      <c r="E2047" s="10">
        <v>125</v>
      </c>
      <c r="F2047" s="10">
        <f t="shared" si="32"/>
        <v>1375</v>
      </c>
    </row>
    <row r="2048" spans="1:6" x14ac:dyDescent="0.25">
      <c r="A2048" s="9"/>
      <c r="B2048" s="9"/>
      <c r="C2048" s="5">
        <v>2</v>
      </c>
      <c r="D2048" s="9" t="s">
        <v>14</v>
      </c>
      <c r="E2048" s="10">
        <v>125</v>
      </c>
      <c r="F2048" s="10">
        <f t="shared" si="32"/>
        <v>250</v>
      </c>
    </row>
    <row r="2049" spans="1:6" x14ac:dyDescent="0.25">
      <c r="A2049" s="9"/>
      <c r="B2049" s="9"/>
      <c r="D2049" s="9"/>
      <c r="E2049" s="10"/>
      <c r="F2049" s="8">
        <f>SUM(F2047:F2048)</f>
        <v>1625</v>
      </c>
    </row>
    <row r="2050" spans="1:6" x14ac:dyDescent="0.25">
      <c r="A2050" s="9"/>
      <c r="B2050" s="9"/>
      <c r="D2050" s="9"/>
      <c r="E2050" s="10"/>
      <c r="F2050" s="10"/>
    </row>
    <row r="2051" spans="1:6" x14ac:dyDescent="0.25">
      <c r="A2051" s="9" t="s">
        <v>46</v>
      </c>
      <c r="B2051" s="4">
        <v>45688</v>
      </c>
      <c r="C2051" s="5">
        <v>20</v>
      </c>
      <c r="D2051" s="9" t="s">
        <v>14</v>
      </c>
      <c r="E2051" s="10">
        <v>130</v>
      </c>
      <c r="F2051" s="10">
        <f t="shared" si="32"/>
        <v>2600</v>
      </c>
    </row>
    <row r="2052" spans="1:6" x14ac:dyDescent="0.25">
      <c r="A2052" s="9"/>
      <c r="B2052" s="9"/>
      <c r="D2052" s="9"/>
      <c r="E2052" s="10"/>
      <c r="F2052" s="8">
        <f>SUM(F2051)</f>
        <v>2600</v>
      </c>
    </row>
    <row r="2053" spans="1:6" x14ac:dyDescent="0.25">
      <c r="A2053" s="9"/>
      <c r="B2053" s="9"/>
      <c r="D2053" s="9"/>
      <c r="E2053" s="10"/>
      <c r="F2053" s="10"/>
    </row>
    <row r="2054" spans="1:6" x14ac:dyDescent="0.25">
      <c r="A2054" s="9" t="s">
        <v>47</v>
      </c>
      <c r="B2054" s="4">
        <v>45688</v>
      </c>
      <c r="C2054" s="5">
        <v>50</v>
      </c>
      <c r="D2054" s="9" t="s">
        <v>14</v>
      </c>
      <c r="E2054" s="10">
        <v>130</v>
      </c>
      <c r="F2054" s="10">
        <f t="shared" si="32"/>
        <v>6500</v>
      </c>
    </row>
    <row r="2055" spans="1:6" x14ac:dyDescent="0.25">
      <c r="A2055" s="9"/>
      <c r="B2055" s="9"/>
      <c r="D2055" s="9"/>
      <c r="E2055" s="10"/>
      <c r="F2055" s="8">
        <f>SUM(F2054)</f>
        <v>6500</v>
      </c>
    </row>
    <row r="2056" spans="1:6" x14ac:dyDescent="0.25">
      <c r="A2056" s="9"/>
      <c r="B2056" s="9"/>
      <c r="D2056" s="9"/>
      <c r="E2056" s="10"/>
      <c r="F2056" s="10"/>
    </row>
    <row r="2057" spans="1:6" x14ac:dyDescent="0.25">
      <c r="A2057" s="9" t="s">
        <v>106</v>
      </c>
      <c r="B2057" s="4">
        <v>45688</v>
      </c>
      <c r="C2057" s="5">
        <v>60</v>
      </c>
      <c r="D2057" s="9" t="s">
        <v>12</v>
      </c>
      <c r="E2057" s="10">
        <v>135</v>
      </c>
      <c r="F2057" s="10">
        <f t="shared" si="32"/>
        <v>8100</v>
      </c>
    </row>
    <row r="2058" spans="1:6" x14ac:dyDescent="0.25">
      <c r="A2058" s="9"/>
      <c r="B2058" s="9"/>
      <c r="D2058" s="9"/>
      <c r="E2058" s="10"/>
      <c r="F2058" s="8">
        <f>SUM(F2057)</f>
        <v>8100</v>
      </c>
    </row>
    <row r="2059" spans="1:6" x14ac:dyDescent="0.25">
      <c r="A2059" s="9"/>
      <c r="B2059" s="9"/>
      <c r="D2059" s="9"/>
      <c r="E2059" s="10"/>
      <c r="F2059" s="10"/>
    </row>
    <row r="2060" spans="1:6" x14ac:dyDescent="0.25">
      <c r="A2060" s="9" t="s">
        <v>51</v>
      </c>
      <c r="B2060" s="4">
        <v>45688</v>
      </c>
      <c r="C2060" s="5">
        <v>200</v>
      </c>
      <c r="D2060" s="9" t="s">
        <v>14</v>
      </c>
      <c r="E2060" s="10"/>
      <c r="F2060" s="10">
        <f t="shared" si="32"/>
        <v>0</v>
      </c>
    </row>
    <row r="2061" spans="1:6" x14ac:dyDescent="0.25">
      <c r="A2061" s="9"/>
      <c r="B2061" s="9"/>
      <c r="C2061" s="5">
        <v>72</v>
      </c>
      <c r="D2061" s="9" t="s">
        <v>196</v>
      </c>
      <c r="E2061" s="10"/>
      <c r="F2061" s="10">
        <f t="shared" si="32"/>
        <v>0</v>
      </c>
    </row>
    <row r="2062" spans="1:6" x14ac:dyDescent="0.25">
      <c r="A2062" s="9"/>
      <c r="B2062" s="9"/>
      <c r="D2062" s="9"/>
      <c r="E2062" s="10"/>
      <c r="F2062" s="8">
        <f>SUM(F2060:F2061)</f>
        <v>0</v>
      </c>
    </row>
    <row r="2063" spans="1:6" x14ac:dyDescent="0.25">
      <c r="A2063" s="9"/>
      <c r="B2063" s="9"/>
      <c r="D2063" s="9"/>
      <c r="E2063" s="10"/>
      <c r="F2063" s="10"/>
    </row>
    <row r="2064" spans="1:6" x14ac:dyDescent="0.25">
      <c r="A2064" s="9" t="s">
        <v>48</v>
      </c>
      <c r="B2064" s="4">
        <v>45688</v>
      </c>
      <c r="C2064" s="5">
        <v>255</v>
      </c>
      <c r="D2064" s="9" t="s">
        <v>14</v>
      </c>
      <c r="E2064" s="10"/>
      <c r="F2064" s="10">
        <f t="shared" si="32"/>
        <v>0</v>
      </c>
    </row>
    <row r="2065" spans="1:6" x14ac:dyDescent="0.25">
      <c r="A2065" s="9"/>
      <c r="B2065" s="9"/>
      <c r="C2065" s="5">
        <v>51</v>
      </c>
      <c r="D2065" s="9" t="s">
        <v>11</v>
      </c>
      <c r="E2065" s="10"/>
      <c r="F2065" s="10">
        <f t="shared" si="32"/>
        <v>0</v>
      </c>
    </row>
    <row r="2066" spans="1:6" x14ac:dyDescent="0.25">
      <c r="A2066" s="9"/>
      <c r="B2066" s="9"/>
      <c r="C2066" s="5">
        <v>25</v>
      </c>
      <c r="D2066" s="9" t="s">
        <v>50</v>
      </c>
      <c r="E2066" s="10"/>
      <c r="F2066" s="10">
        <f t="shared" si="32"/>
        <v>0</v>
      </c>
    </row>
    <row r="2067" spans="1:6" x14ac:dyDescent="0.25">
      <c r="A2067" s="9"/>
      <c r="B2067" s="9"/>
      <c r="C2067" s="5">
        <v>58</v>
      </c>
      <c r="D2067" s="9" t="s">
        <v>49</v>
      </c>
      <c r="E2067" s="10"/>
      <c r="F2067" s="10">
        <f t="shared" si="32"/>
        <v>0</v>
      </c>
    </row>
    <row r="2068" spans="1:6" x14ac:dyDescent="0.25">
      <c r="A2068" s="9"/>
      <c r="B2068" s="9"/>
      <c r="C2068" s="5">
        <v>4</v>
      </c>
      <c r="D2068" s="9" t="s">
        <v>13</v>
      </c>
      <c r="E2068" s="10"/>
      <c r="F2068" s="10">
        <f t="shared" si="32"/>
        <v>0</v>
      </c>
    </row>
    <row r="2069" spans="1:6" x14ac:dyDescent="0.25">
      <c r="A2069" s="9"/>
      <c r="B2069" s="9"/>
      <c r="D2069" s="9"/>
      <c r="E2069" s="10"/>
      <c r="F2069" s="8">
        <f>SUM(F2064:F2068)</f>
        <v>0</v>
      </c>
    </row>
    <row r="2070" spans="1:6" x14ac:dyDescent="0.25">
      <c r="A2070" s="9"/>
      <c r="B2070" s="9"/>
      <c r="D2070" s="9"/>
      <c r="E2070" s="10"/>
      <c r="F2070" s="10"/>
    </row>
    <row r="2071" spans="1:6" x14ac:dyDescent="0.25">
      <c r="A2071" s="9" t="s">
        <v>53</v>
      </c>
      <c r="B2071" s="4">
        <v>45688</v>
      </c>
      <c r="C2071" s="5">
        <v>100</v>
      </c>
      <c r="D2071" s="9" t="s">
        <v>13</v>
      </c>
      <c r="E2071" s="10">
        <v>135</v>
      </c>
      <c r="F2071" s="10">
        <f t="shared" si="32"/>
        <v>13500</v>
      </c>
    </row>
    <row r="2072" spans="1:6" x14ac:dyDescent="0.25">
      <c r="A2072" s="9"/>
      <c r="B2072" s="9"/>
      <c r="C2072" s="5">
        <v>30</v>
      </c>
      <c r="D2072" s="9" t="s">
        <v>8</v>
      </c>
      <c r="E2072" s="10">
        <v>145</v>
      </c>
      <c r="F2072" s="10">
        <f t="shared" si="32"/>
        <v>4350</v>
      </c>
    </row>
    <row r="2073" spans="1:6" x14ac:dyDescent="0.25">
      <c r="A2073" s="9"/>
      <c r="B2073" s="9"/>
      <c r="C2073" s="5">
        <v>30</v>
      </c>
      <c r="D2073" s="9" t="s">
        <v>49</v>
      </c>
      <c r="E2073" s="10">
        <v>140</v>
      </c>
      <c r="F2073" s="10">
        <f t="shared" si="32"/>
        <v>4200</v>
      </c>
    </row>
    <row r="2074" spans="1:6" x14ac:dyDescent="0.25">
      <c r="A2074" s="9"/>
      <c r="B2074" s="9"/>
      <c r="D2074" s="9"/>
      <c r="E2074" s="10"/>
      <c r="F2074" s="8">
        <f>SUM(F2071:F2073)</f>
        <v>22050</v>
      </c>
    </row>
    <row r="2075" spans="1:6" x14ac:dyDescent="0.25">
      <c r="A2075" s="9"/>
      <c r="B2075" s="9"/>
      <c r="D2075" s="9"/>
      <c r="E2075" s="10"/>
      <c r="F2075" s="10"/>
    </row>
    <row r="2076" spans="1:6" x14ac:dyDescent="0.25">
      <c r="A2076" s="9" t="s">
        <v>52</v>
      </c>
      <c r="B2076" s="4">
        <v>45688</v>
      </c>
      <c r="C2076" s="5">
        <v>120</v>
      </c>
      <c r="D2076" s="9" t="s">
        <v>13</v>
      </c>
      <c r="E2076" s="10">
        <v>135</v>
      </c>
      <c r="F2076" s="10">
        <f t="shared" si="32"/>
        <v>16200</v>
      </c>
    </row>
    <row r="2077" spans="1:6" x14ac:dyDescent="0.25">
      <c r="A2077" s="9"/>
      <c r="B2077" s="9"/>
      <c r="C2077" s="5">
        <v>10</v>
      </c>
      <c r="D2077" s="9" t="s">
        <v>14</v>
      </c>
      <c r="E2077" s="10">
        <v>130</v>
      </c>
      <c r="F2077" s="10">
        <f t="shared" si="32"/>
        <v>1300</v>
      </c>
    </row>
    <row r="2078" spans="1:6" x14ac:dyDescent="0.25">
      <c r="A2078" s="9"/>
      <c r="B2078" s="9"/>
      <c r="D2078" s="9"/>
      <c r="E2078" s="10"/>
      <c r="F2078" s="8">
        <f>SUM(F2076:F2077)</f>
        <v>17500</v>
      </c>
    </row>
    <row r="2079" spans="1:6" x14ac:dyDescent="0.25">
      <c r="A2079" s="9"/>
      <c r="B2079" s="9"/>
      <c r="D2079" s="9"/>
      <c r="E2079" s="10"/>
      <c r="F2079" s="10"/>
    </row>
    <row r="2080" spans="1:6" x14ac:dyDescent="0.25">
      <c r="A2080" s="9" t="s">
        <v>48</v>
      </c>
      <c r="B2080" s="4">
        <v>45688</v>
      </c>
      <c r="C2080" s="5">
        <v>400</v>
      </c>
      <c r="D2080" s="9" t="s">
        <v>14</v>
      </c>
      <c r="E2080" s="10"/>
      <c r="F2080" s="10">
        <f t="shared" si="32"/>
        <v>0</v>
      </c>
    </row>
    <row r="2081" spans="1:7" x14ac:dyDescent="0.25">
      <c r="A2081" s="9"/>
      <c r="B2081" s="9"/>
      <c r="D2081" s="9"/>
      <c r="E2081" s="10"/>
      <c r="F2081" s="8">
        <f>SUM(F2080)</f>
        <v>0</v>
      </c>
      <c r="G2081" s="9"/>
    </row>
    <row r="2082" spans="1:7" x14ac:dyDescent="0.25">
      <c r="A2082" s="9"/>
      <c r="B2082" s="9"/>
      <c r="D2082" s="9"/>
      <c r="E2082" s="10"/>
      <c r="F2082" s="10"/>
      <c r="G2082" s="9"/>
    </row>
    <row r="2083" spans="1:7" x14ac:dyDescent="0.25">
      <c r="A2083" s="9" t="s">
        <v>29</v>
      </c>
      <c r="B2083" s="4">
        <v>45688</v>
      </c>
      <c r="C2083" s="5">
        <v>5</v>
      </c>
      <c r="D2083" s="9" t="s">
        <v>13</v>
      </c>
      <c r="E2083" s="10">
        <v>130</v>
      </c>
      <c r="F2083" s="10">
        <f t="shared" si="32"/>
        <v>650</v>
      </c>
      <c r="G2083" s="9"/>
    </row>
    <row r="2084" spans="1:7" x14ac:dyDescent="0.25">
      <c r="A2084" s="9"/>
      <c r="B2084" s="9"/>
      <c r="D2084" s="9"/>
      <c r="E2084" s="10"/>
      <c r="F2084" s="8">
        <f>SUM(F2083)</f>
        <v>650</v>
      </c>
      <c r="G2084" s="9"/>
    </row>
    <row r="2085" spans="1:7" x14ac:dyDescent="0.25">
      <c r="A2085" s="9"/>
      <c r="B2085" s="9"/>
      <c r="D2085" s="9"/>
      <c r="E2085" s="10"/>
      <c r="F2085" s="10"/>
      <c r="G2085" s="9"/>
    </row>
    <row r="2086" spans="1:7" x14ac:dyDescent="0.25">
      <c r="A2086" s="9" t="s">
        <v>7</v>
      </c>
      <c r="B2086" s="4">
        <v>45688</v>
      </c>
      <c r="C2086" s="5">
        <v>2</v>
      </c>
      <c r="D2086" s="9" t="s">
        <v>14</v>
      </c>
      <c r="E2086" s="10">
        <v>140</v>
      </c>
      <c r="F2086" s="10">
        <f t="shared" si="32"/>
        <v>280</v>
      </c>
      <c r="G2086" s="9"/>
    </row>
    <row r="2087" spans="1:7" x14ac:dyDescent="0.25">
      <c r="A2087" s="9"/>
      <c r="B2087" s="9"/>
      <c r="C2087" s="5">
        <v>3</v>
      </c>
      <c r="D2087" s="9" t="s">
        <v>13</v>
      </c>
      <c r="E2087" s="10">
        <v>130</v>
      </c>
      <c r="F2087" s="10">
        <f t="shared" si="32"/>
        <v>390</v>
      </c>
      <c r="G2087" s="9"/>
    </row>
    <row r="2088" spans="1:7" x14ac:dyDescent="0.25">
      <c r="A2088" s="9"/>
      <c r="B2088" s="9"/>
      <c r="C2088" s="11">
        <v>1.5</v>
      </c>
      <c r="D2088" s="9" t="s">
        <v>8</v>
      </c>
      <c r="E2088" s="10">
        <v>170</v>
      </c>
      <c r="F2088" s="10">
        <f t="shared" si="32"/>
        <v>255</v>
      </c>
      <c r="G2088" s="9"/>
    </row>
    <row r="2089" spans="1:7" x14ac:dyDescent="0.25">
      <c r="A2089" s="9"/>
      <c r="B2089" s="9"/>
      <c r="C2089" s="5">
        <v>5</v>
      </c>
      <c r="D2089" s="9" t="s">
        <v>13</v>
      </c>
      <c r="E2089" s="10">
        <v>160</v>
      </c>
      <c r="F2089" s="10">
        <f t="shared" si="32"/>
        <v>800</v>
      </c>
      <c r="G2089" s="9"/>
    </row>
    <row r="2090" spans="1:7" x14ac:dyDescent="0.25">
      <c r="A2090" s="9"/>
      <c r="B2090" s="9"/>
      <c r="D2090" s="9"/>
      <c r="E2090" s="10"/>
      <c r="F2090" s="8">
        <f>SUM(F2086:F2089)</f>
        <v>1725</v>
      </c>
      <c r="G2090" s="9"/>
    </row>
    <row r="2091" spans="1:7" x14ac:dyDescent="0.25">
      <c r="A2091" s="9"/>
      <c r="B2091" s="9"/>
      <c r="D2091" s="9"/>
      <c r="E2091" s="10"/>
      <c r="F2091" s="10"/>
      <c r="G2091" s="9"/>
    </row>
    <row r="2092" spans="1:7" x14ac:dyDescent="0.25">
      <c r="A2092" s="9"/>
      <c r="B2092" s="9"/>
      <c r="D2092" s="9"/>
      <c r="E2092" s="10"/>
      <c r="F2092" s="8"/>
      <c r="G2092" s="9"/>
    </row>
    <row r="2094" spans="1:7" ht="15.75" x14ac:dyDescent="0.25">
      <c r="A2094" s="9"/>
      <c r="B2094" s="9"/>
      <c r="D2094" s="9"/>
      <c r="E2094" s="10"/>
      <c r="F2094" s="7" t="s">
        <v>197</v>
      </c>
      <c r="G2094" s="7">
        <f>+F5+F12+F15+F18+F21+F24+F27+F30+F34+F37+F41+F45+F48+F53+F63+F66+F69+F72+F75+F78+F82+F85+F88+F95+F98+F101+F107+F111+F115+F118+F122+F128+F131+F134+F141+F148+F151+F154+F158+F163+F166+F170+F177+F180+F183+F186+F189+F192+F195+F200+F208+F214+F217+F220+F223+F227+F230+F233+F236+F242+F245+F250+F256+F261+F267+F270+F273+F276+F279+F283+F286+F290+F293+F300+F303+F306+F309+F312+F316+F319+F322+F326+F329+F332+F335+F339+F343+F347+F350+F354+F360+F365+F371+F374+F377+F383+F386+F390+F393+F396+F399+F404+F408+F412+F417+F420+F426+F430+F433+F436+F439+F442+F445+F448+F453+F456+F460+F463+F470+F473+F476+F479+F482+F485+F488+F491+F496+F499+F502+F508+F512+F515+F520+F524+F531+F535+F538+F542+F545+F550+F553+F557+F560+F563+F566+F569+F572+F576+F579+F582+F585+F588+F591+F594+F599+F602+F605+F608+F611+F614+F618+F626+F630+F634+F638+F641+F644+F647+F650+F653+F658+F665+F668+F671+F676+F680+F683+F690+F693+F696+F699+F702+F707+F711+F721+F724+F730+F733+F736+F741+F745+F749+F753+F756+F759+F765+F768+F771+F774+F777+F781+F784+F787+F790+F793+F797+F800+F803+F807+F810+F813+F816+F819+F822+F828+F832+F835+F841+F845+F848+F851+F854+F861+F865+F868+F872+F877+F883+F886+F889+F892+F897+F901+F904+F910+F914+F917+F920+F923+F926+F929+F932+F936+F939+F942+F945+F948+F952+F958+F962+F968+F973+F980+F983+F986+F989+F992+F996+F999+F1002+F1006+F1011+F1014+F1017+F1020+F1023+F1027+F1030+F1033+F1036+F1039+F1044+F1049+F1053+F1056+F1059+F1062+F1065+F1068+F1071+F1074+F1077+F1080+F1083+F1086+F1089+F1095+F1099+F1102+F1106+F1112+F1116+F1122+F1125+F1128+F1135+F1140+F1144+F1147+F1150+F1154+F1157+F1161+F1169+F1175+F1178+F1182+F1188+F1192+F1195+F1198+F1203+F1208+F1214+F1220+F1224+F1229+F1232+F1235+F1239+F1242+F1245+F1248+F1251+F1254+F1257+F1260+F1263+F1266+F1271+F1276+F1282+F1285+F1288+F1291+F1294+F1297+F1300+F1303+F1307+F1310+F1313+F1317+F1320+F1323+F1326+F1329+F1332+F1335+F1338+F1341+F1347+F1351+F1358+F1361+F1366+F1376+F1379+F1384+F1387+F1390+F1393+F1396+F1399+F1402+F1406+F1409+F1413+F1419+F1422+F1425+F1428+F1431+F1434+F1437+F1440+F1443+F1447+F1450+F1453+F1456+F1462+F1466+F1470+F1474+F1477+F1480+F1483+F1487+F1491+F1494+F1497+F1503+F1508+F1511+F1514+F1517+F1520+F1523+F1528+F1531+F1534+F1540+F1543+F1546+F1550+F1553+F1557+F1560+F1563+F1566+F1569+F1578+F1582+F1585+F1588+F1598+F1602+F1605+F1609+F1612+F1615+F1618+F1622+F1627+F1633+F1637+F1640+F1643+F1646+F1650+F1656+F1659+F1662+F1666+F1672+F1675+F1679+F1682+F1686+F1690+F1695+F1699+F1702+F1705+F1710+F1713+F1716+F1719+F1722+F1728+F1731+F1734+F1737+F1743+F1746+F1749+F1752+F1755+F1758+F1761+F1764+F1767+F1770+F1773+F1776+F1779+F1783+F1786+F1789+F1792+F1796+F1799+F1802+F1812+F1815+F1818+F1822+F1826+F1835+F1841+F1846+F1851+F1858+F1861+F1864+F1867+F1871+F1877+F1880+F1883+F1886+F1889+F1892+F1895+F1898+F1901+F1904+F1907+F1910+F1913+F1916+F1919+F1923+F1928+F1931+F1937+F1947+F1953+F1957+F1960+F1963+F1966++F1969+F1972+F1975+F1980+F1983+F1986+F1993+F1996+F1999+F2002+F2005+F2008+F2012+F2015+F2018+F2021+F2024+F2029+F2032+F2035+F2038+F2042+F2045+F2049+F2052+F2055+F2058+F2062+F2069+F2074+F2078+F2081+F2084+F2090</f>
        <v>5404944.9927350003</v>
      </c>
    </row>
    <row r="2095" spans="1:7" x14ac:dyDescent="0.25">
      <c r="A2095" s="9"/>
      <c r="B2095" s="9"/>
      <c r="D2095" s="9"/>
      <c r="E2095" s="10"/>
      <c r="F2095" s="10"/>
      <c r="G2095" s="10">
        <v>5404944.9900000002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ADE5-07EC-44E5-B725-BF28EBFBB832}">
  <dimension ref="A1:G1882"/>
  <sheetViews>
    <sheetView topLeftCell="A1407" workbookViewId="0">
      <selection activeCell="D1325" sqref="D1325"/>
    </sheetView>
  </sheetViews>
  <sheetFormatPr baseColWidth="10" defaultColWidth="11.42578125" defaultRowHeight="15" x14ac:dyDescent="0.25"/>
  <cols>
    <col min="1" max="1" width="22" bestFit="1" customWidth="1"/>
    <col min="2" max="3" width="11.42578125" style="5"/>
    <col min="4" max="4" width="35.5703125" customWidth="1"/>
    <col min="5" max="5" width="18.140625" style="10" bestFit="1" customWidth="1"/>
    <col min="6" max="6" width="15.5703125" style="6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198</v>
      </c>
      <c r="B3" s="12">
        <v>45689</v>
      </c>
      <c r="C3" s="5">
        <v>20</v>
      </c>
      <c r="D3" s="9" t="s">
        <v>13</v>
      </c>
      <c r="E3" s="10">
        <v>150</v>
      </c>
      <c r="F3" s="10">
        <f>+C3*E3</f>
        <v>3000</v>
      </c>
    </row>
    <row r="4" spans="1:6" x14ac:dyDescent="0.25">
      <c r="A4" s="9"/>
      <c r="B4" s="12"/>
      <c r="C4" s="11"/>
      <c r="D4" s="9"/>
      <c r="F4" s="8">
        <f>SUM(F3)</f>
        <v>3000</v>
      </c>
    </row>
    <row r="5" spans="1:6" x14ac:dyDescent="0.25">
      <c r="A5" s="9"/>
      <c r="B5" s="12"/>
      <c r="C5" s="11"/>
      <c r="D5" s="9"/>
      <c r="F5" s="10"/>
    </row>
    <row r="6" spans="1:6" x14ac:dyDescent="0.25">
      <c r="A6" s="9" t="s">
        <v>128</v>
      </c>
      <c r="B6" s="12">
        <v>45689</v>
      </c>
      <c r="C6" s="11">
        <v>5</v>
      </c>
      <c r="D6" s="9" t="s">
        <v>8</v>
      </c>
      <c r="E6" s="10">
        <v>170</v>
      </c>
      <c r="F6" s="10">
        <f t="shared" ref="F6:F67" si="0">+C6*E6</f>
        <v>850</v>
      </c>
    </row>
    <row r="7" spans="1:6" x14ac:dyDescent="0.25">
      <c r="A7" s="9"/>
      <c r="B7" s="12"/>
      <c r="C7" s="11"/>
      <c r="D7" s="9"/>
      <c r="F7" s="8">
        <f>SUM(F6)</f>
        <v>850</v>
      </c>
    </row>
    <row r="8" spans="1:6" x14ac:dyDescent="0.25">
      <c r="A8" s="9"/>
      <c r="B8" s="12"/>
      <c r="C8" s="11"/>
      <c r="D8" s="9"/>
      <c r="F8" s="10"/>
    </row>
    <row r="9" spans="1:6" x14ac:dyDescent="0.25">
      <c r="A9" s="9" t="s">
        <v>61</v>
      </c>
      <c r="B9" s="12">
        <v>45689</v>
      </c>
      <c r="C9" s="11">
        <v>100</v>
      </c>
      <c r="D9" s="9" t="s">
        <v>13</v>
      </c>
      <c r="E9" s="10">
        <v>140</v>
      </c>
      <c r="F9" s="10">
        <f t="shared" si="0"/>
        <v>14000</v>
      </c>
    </row>
    <row r="10" spans="1:6" x14ac:dyDescent="0.25">
      <c r="A10" s="9"/>
      <c r="B10" s="12"/>
      <c r="C10" s="11"/>
      <c r="D10" s="9"/>
      <c r="F10" s="8">
        <f>SUM(F9)</f>
        <v>14000</v>
      </c>
    </row>
    <row r="11" spans="1:6" x14ac:dyDescent="0.25">
      <c r="A11" s="9"/>
      <c r="B11" s="12"/>
      <c r="C11" s="11"/>
      <c r="D11" s="9"/>
      <c r="F11" s="10"/>
    </row>
    <row r="12" spans="1:6" x14ac:dyDescent="0.25">
      <c r="A12" s="9" t="s">
        <v>60</v>
      </c>
      <c r="B12" s="12">
        <v>45689</v>
      </c>
      <c r="C12" s="11">
        <v>30</v>
      </c>
      <c r="D12" s="9" t="s">
        <v>13</v>
      </c>
      <c r="E12" s="10">
        <v>145</v>
      </c>
      <c r="F12" s="10">
        <f t="shared" si="0"/>
        <v>4350</v>
      </c>
    </row>
    <row r="13" spans="1:6" x14ac:dyDescent="0.25">
      <c r="A13" s="9"/>
      <c r="B13" s="12"/>
      <c r="C13" s="11"/>
      <c r="D13" s="9"/>
      <c r="F13" s="8">
        <f>SUM(F12)</f>
        <v>4350</v>
      </c>
    </row>
    <row r="14" spans="1:6" x14ac:dyDescent="0.25">
      <c r="A14" s="9"/>
      <c r="B14" s="12"/>
      <c r="C14" s="11"/>
      <c r="D14" s="9"/>
      <c r="F14" s="10"/>
    </row>
    <row r="15" spans="1:6" x14ac:dyDescent="0.25">
      <c r="A15" s="9" t="s">
        <v>127</v>
      </c>
      <c r="B15" s="12">
        <v>45689</v>
      </c>
      <c r="C15" s="11">
        <v>20</v>
      </c>
      <c r="D15" s="9" t="s">
        <v>13</v>
      </c>
      <c r="E15" s="10">
        <v>140</v>
      </c>
      <c r="F15" s="10">
        <f t="shared" si="0"/>
        <v>2800</v>
      </c>
    </row>
    <row r="16" spans="1:6" x14ac:dyDescent="0.25">
      <c r="A16" s="9"/>
      <c r="B16" s="12"/>
      <c r="C16" s="11"/>
      <c r="D16" s="9"/>
      <c r="F16" s="8">
        <f>SUM(F15)</f>
        <v>2800</v>
      </c>
    </row>
    <row r="17" spans="1:6" x14ac:dyDescent="0.25">
      <c r="A17" s="9"/>
      <c r="B17" s="12"/>
      <c r="C17" s="11"/>
      <c r="D17" s="9"/>
      <c r="E17" s="10" t="s">
        <v>199</v>
      </c>
      <c r="F17" s="10"/>
    </row>
    <row r="18" spans="1:6" x14ac:dyDescent="0.25">
      <c r="A18" s="9" t="s">
        <v>62</v>
      </c>
      <c r="B18" s="12">
        <v>45689</v>
      </c>
      <c r="C18" s="11">
        <v>100</v>
      </c>
      <c r="D18" s="9" t="s">
        <v>8</v>
      </c>
      <c r="E18" s="10">
        <v>155</v>
      </c>
      <c r="F18" s="10">
        <f t="shared" si="0"/>
        <v>15500</v>
      </c>
    </row>
    <row r="19" spans="1:6" x14ac:dyDescent="0.25">
      <c r="A19" s="9"/>
      <c r="B19" s="12"/>
      <c r="C19" s="11"/>
      <c r="D19" s="9"/>
      <c r="F19" s="8">
        <f>SUM(F18)</f>
        <v>15500</v>
      </c>
    </row>
    <row r="20" spans="1:6" x14ac:dyDescent="0.25">
      <c r="A20" s="9"/>
      <c r="B20" s="12"/>
      <c r="C20" s="11"/>
      <c r="D20" s="9"/>
      <c r="F20" s="10"/>
    </row>
    <row r="21" spans="1:6" x14ac:dyDescent="0.25">
      <c r="A21" s="9" t="s">
        <v>200</v>
      </c>
      <c r="B21" s="12">
        <v>45689</v>
      </c>
      <c r="C21" s="11">
        <v>10</v>
      </c>
      <c r="D21" s="9" t="s">
        <v>8</v>
      </c>
      <c r="E21" s="10">
        <v>160</v>
      </c>
      <c r="F21" s="10">
        <f t="shared" si="0"/>
        <v>1600</v>
      </c>
    </row>
    <row r="22" spans="1:6" x14ac:dyDescent="0.25">
      <c r="A22" s="9"/>
      <c r="B22" s="12"/>
      <c r="C22" s="11"/>
      <c r="D22" s="9"/>
      <c r="F22" s="8">
        <f>SUM(F21)</f>
        <v>1600</v>
      </c>
    </row>
    <row r="23" spans="1:6" x14ac:dyDescent="0.25">
      <c r="A23" s="9"/>
      <c r="B23" s="12"/>
      <c r="C23" s="11"/>
      <c r="D23" s="9"/>
      <c r="F23" s="10"/>
    </row>
    <row r="24" spans="1:6" x14ac:dyDescent="0.25">
      <c r="A24" s="9" t="s">
        <v>151</v>
      </c>
      <c r="B24" s="12">
        <v>45689</v>
      </c>
      <c r="C24" s="11">
        <v>60</v>
      </c>
      <c r="D24" s="9" t="s">
        <v>8</v>
      </c>
      <c r="E24" s="10">
        <v>150</v>
      </c>
      <c r="F24" s="10">
        <f t="shared" si="0"/>
        <v>9000</v>
      </c>
    </row>
    <row r="25" spans="1:6" x14ac:dyDescent="0.25">
      <c r="A25" s="9"/>
      <c r="B25" s="12"/>
      <c r="C25" s="11"/>
      <c r="D25" s="9"/>
      <c r="F25" s="8">
        <f>SUM(F24)</f>
        <v>9000</v>
      </c>
    </row>
    <row r="26" spans="1:6" x14ac:dyDescent="0.25">
      <c r="A26" s="9"/>
      <c r="B26" s="12"/>
      <c r="C26" s="11"/>
      <c r="D26" s="9"/>
      <c r="F26" s="10"/>
    </row>
    <row r="27" spans="1:6" x14ac:dyDescent="0.25">
      <c r="A27" s="9" t="s">
        <v>175</v>
      </c>
      <c r="B27" s="12">
        <v>45689</v>
      </c>
      <c r="C27" s="11">
        <v>10</v>
      </c>
      <c r="D27" s="9" t="s">
        <v>13</v>
      </c>
      <c r="E27" s="10">
        <v>150</v>
      </c>
      <c r="F27" s="10">
        <f t="shared" si="0"/>
        <v>1500</v>
      </c>
    </row>
    <row r="28" spans="1:6" x14ac:dyDescent="0.25">
      <c r="A28" s="9"/>
      <c r="B28" s="12"/>
      <c r="C28" s="11"/>
      <c r="D28" s="9"/>
      <c r="F28" s="8">
        <f>SUM(F27)</f>
        <v>1500</v>
      </c>
    </row>
    <row r="29" spans="1:6" x14ac:dyDescent="0.25">
      <c r="A29" s="9"/>
      <c r="B29" s="12"/>
      <c r="C29" s="11"/>
      <c r="D29" s="9"/>
      <c r="F29" s="10"/>
    </row>
    <row r="30" spans="1:6" x14ac:dyDescent="0.25">
      <c r="A30" s="9" t="s">
        <v>17</v>
      </c>
      <c r="B30" s="12">
        <v>45689</v>
      </c>
      <c r="C30" s="11">
        <v>10</v>
      </c>
      <c r="D30" s="9" t="s">
        <v>13</v>
      </c>
      <c r="E30" s="10">
        <v>145</v>
      </c>
      <c r="F30" s="10">
        <f t="shared" si="0"/>
        <v>1450</v>
      </c>
    </row>
    <row r="31" spans="1:6" x14ac:dyDescent="0.25">
      <c r="A31" s="9"/>
      <c r="B31" s="12"/>
      <c r="C31" s="11"/>
      <c r="D31" s="9"/>
      <c r="F31" s="8">
        <f>SUM(F30)</f>
        <v>1450</v>
      </c>
    </row>
    <row r="32" spans="1:6" x14ac:dyDescent="0.25">
      <c r="A32" s="9"/>
      <c r="B32" s="12"/>
      <c r="C32" s="11"/>
      <c r="D32" s="9"/>
      <c r="F32" s="10"/>
    </row>
    <row r="33" spans="1:6" x14ac:dyDescent="0.25">
      <c r="A33" s="9" t="s">
        <v>20</v>
      </c>
      <c r="B33" s="12">
        <v>45689</v>
      </c>
      <c r="C33" s="11">
        <v>20</v>
      </c>
      <c r="D33" s="9" t="s">
        <v>13</v>
      </c>
      <c r="E33" s="10">
        <v>140</v>
      </c>
      <c r="F33" s="10">
        <f t="shared" si="0"/>
        <v>2800</v>
      </c>
    </row>
    <row r="34" spans="1:6" x14ac:dyDescent="0.25">
      <c r="A34" s="9"/>
      <c r="B34" s="12"/>
      <c r="C34" s="11"/>
      <c r="D34" s="9"/>
      <c r="F34" s="8">
        <f>SUM(F33)</f>
        <v>2800</v>
      </c>
    </row>
    <row r="35" spans="1:6" x14ac:dyDescent="0.25">
      <c r="A35" s="9"/>
      <c r="B35" s="12"/>
      <c r="C35" s="11"/>
      <c r="D35" s="9"/>
      <c r="F35" s="10"/>
    </row>
    <row r="36" spans="1:6" x14ac:dyDescent="0.25">
      <c r="A36" s="9" t="s">
        <v>21</v>
      </c>
      <c r="B36" s="12">
        <v>45689</v>
      </c>
      <c r="C36" s="11">
        <v>30</v>
      </c>
      <c r="D36" s="9" t="s">
        <v>13</v>
      </c>
      <c r="E36" s="10">
        <v>140</v>
      </c>
      <c r="F36" s="10">
        <f t="shared" si="0"/>
        <v>4200</v>
      </c>
    </row>
    <row r="37" spans="1:6" x14ac:dyDescent="0.25">
      <c r="A37" s="9"/>
      <c r="B37" s="12"/>
      <c r="C37" s="11">
        <v>20</v>
      </c>
      <c r="D37" s="9" t="s">
        <v>12</v>
      </c>
      <c r="E37" s="10">
        <v>135</v>
      </c>
      <c r="F37" s="10">
        <f t="shared" si="0"/>
        <v>2700</v>
      </c>
    </row>
    <row r="38" spans="1:6" x14ac:dyDescent="0.25">
      <c r="A38" s="9"/>
      <c r="B38" s="12"/>
      <c r="C38" s="11">
        <v>10</v>
      </c>
      <c r="D38" s="9" t="s">
        <v>11</v>
      </c>
      <c r="E38" s="10">
        <v>125</v>
      </c>
      <c r="F38" s="10">
        <f t="shared" si="0"/>
        <v>1250</v>
      </c>
    </row>
    <row r="39" spans="1:6" x14ac:dyDescent="0.25">
      <c r="A39" s="9"/>
      <c r="B39" s="12"/>
      <c r="C39" s="11"/>
      <c r="D39" s="9"/>
      <c r="F39" s="8">
        <f>SUM(F36:F38)</f>
        <v>8150</v>
      </c>
    </row>
    <row r="40" spans="1:6" x14ac:dyDescent="0.25">
      <c r="A40" s="9"/>
      <c r="B40" s="12"/>
      <c r="C40" s="11"/>
      <c r="D40" s="9"/>
      <c r="F40" s="10"/>
    </row>
    <row r="41" spans="1:6" x14ac:dyDescent="0.25">
      <c r="A41" s="9" t="s">
        <v>57</v>
      </c>
      <c r="B41" s="12">
        <v>45689</v>
      </c>
      <c r="C41" s="11">
        <v>15</v>
      </c>
      <c r="D41" s="9" t="s">
        <v>13</v>
      </c>
      <c r="E41" s="10">
        <v>140</v>
      </c>
      <c r="F41" s="10">
        <f t="shared" si="0"/>
        <v>2100</v>
      </c>
    </row>
    <row r="42" spans="1:6" x14ac:dyDescent="0.25">
      <c r="A42" s="9"/>
      <c r="B42" s="12"/>
      <c r="C42" s="11">
        <v>5</v>
      </c>
      <c r="D42" s="9" t="s">
        <v>14</v>
      </c>
      <c r="E42" s="10">
        <v>140</v>
      </c>
      <c r="F42" s="10">
        <f t="shared" si="0"/>
        <v>700</v>
      </c>
    </row>
    <row r="43" spans="1:6" x14ac:dyDescent="0.25">
      <c r="A43" s="9"/>
      <c r="B43" s="12"/>
      <c r="C43" s="11"/>
      <c r="D43" s="9"/>
      <c r="F43" s="8">
        <f>SUM(F41:F42)</f>
        <v>2800</v>
      </c>
    </row>
    <row r="44" spans="1:6" x14ac:dyDescent="0.25">
      <c r="A44" s="9"/>
      <c r="B44" s="12"/>
      <c r="C44" s="11"/>
      <c r="D44" s="9"/>
      <c r="F44" s="10"/>
    </row>
    <row r="45" spans="1:6" x14ac:dyDescent="0.25">
      <c r="A45" s="9" t="s">
        <v>183</v>
      </c>
      <c r="B45" s="12">
        <v>45689</v>
      </c>
      <c r="C45" s="11">
        <v>10</v>
      </c>
      <c r="D45" s="9" t="s">
        <v>13</v>
      </c>
      <c r="E45" s="10">
        <v>140</v>
      </c>
      <c r="F45" s="10">
        <f t="shared" si="0"/>
        <v>1400</v>
      </c>
    </row>
    <row r="46" spans="1:6" x14ac:dyDescent="0.25">
      <c r="A46" s="9"/>
      <c r="B46" s="12"/>
      <c r="C46" s="11"/>
      <c r="D46" s="9"/>
      <c r="F46" s="8">
        <f>SUM(F45)</f>
        <v>1400</v>
      </c>
    </row>
    <row r="47" spans="1:6" x14ac:dyDescent="0.25">
      <c r="A47" s="9"/>
      <c r="B47" s="12"/>
      <c r="C47" s="11"/>
      <c r="D47" s="9"/>
      <c r="F47" s="10"/>
    </row>
    <row r="48" spans="1:6" x14ac:dyDescent="0.25">
      <c r="A48" s="9" t="s">
        <v>25</v>
      </c>
      <c r="B48" s="12">
        <v>45689</v>
      </c>
      <c r="C48" s="11">
        <v>20</v>
      </c>
      <c r="D48" s="9" t="s">
        <v>13</v>
      </c>
      <c r="E48" s="10">
        <v>140</v>
      </c>
      <c r="F48" s="10">
        <f t="shared" si="0"/>
        <v>2800</v>
      </c>
    </row>
    <row r="49" spans="1:6" x14ac:dyDescent="0.25">
      <c r="A49" s="9"/>
      <c r="B49" s="12"/>
      <c r="C49" s="11"/>
      <c r="D49" s="9"/>
      <c r="F49" s="8">
        <f>SUM(F48)</f>
        <v>2800</v>
      </c>
    </row>
    <row r="50" spans="1:6" x14ac:dyDescent="0.25">
      <c r="A50" s="9"/>
      <c r="B50" s="12"/>
      <c r="C50" s="11"/>
      <c r="D50" s="9"/>
      <c r="F50" s="10"/>
    </row>
    <row r="51" spans="1:6" x14ac:dyDescent="0.25">
      <c r="A51" s="9" t="s">
        <v>40</v>
      </c>
      <c r="B51" s="12">
        <v>45689</v>
      </c>
      <c r="C51" s="11">
        <v>12</v>
      </c>
      <c r="D51" s="9" t="s">
        <v>13</v>
      </c>
      <c r="E51" s="10">
        <v>135</v>
      </c>
      <c r="F51" s="10">
        <f t="shared" si="0"/>
        <v>1620</v>
      </c>
    </row>
    <row r="52" spans="1:6" x14ac:dyDescent="0.25">
      <c r="A52" s="9"/>
      <c r="B52" s="12"/>
      <c r="C52" s="11">
        <v>14</v>
      </c>
      <c r="D52" s="9" t="s">
        <v>14</v>
      </c>
      <c r="E52" s="10">
        <v>135</v>
      </c>
      <c r="F52" s="10">
        <f t="shared" si="0"/>
        <v>1890</v>
      </c>
    </row>
    <row r="53" spans="1:6" x14ac:dyDescent="0.25">
      <c r="A53" s="9"/>
      <c r="B53" s="12"/>
      <c r="C53" s="11">
        <v>10</v>
      </c>
      <c r="D53" s="9" t="s">
        <v>12</v>
      </c>
      <c r="E53" s="10">
        <v>130</v>
      </c>
      <c r="F53" s="10">
        <f t="shared" si="0"/>
        <v>1300</v>
      </c>
    </row>
    <row r="54" spans="1:6" x14ac:dyDescent="0.25">
      <c r="A54" s="9"/>
      <c r="B54" s="12"/>
      <c r="C54" s="11">
        <v>8</v>
      </c>
      <c r="D54" s="9" t="s">
        <v>11</v>
      </c>
      <c r="E54" s="10">
        <v>125</v>
      </c>
      <c r="F54" s="10">
        <f t="shared" si="0"/>
        <v>1000</v>
      </c>
    </row>
    <row r="55" spans="1:6" x14ac:dyDescent="0.25">
      <c r="A55" s="9"/>
      <c r="B55" s="12"/>
      <c r="C55" s="11"/>
      <c r="D55" s="9"/>
      <c r="F55" s="8">
        <f>SUM(F51:F54)</f>
        <v>5810</v>
      </c>
    </row>
    <row r="56" spans="1:6" x14ac:dyDescent="0.25">
      <c r="A56" s="9"/>
      <c r="B56" s="12"/>
      <c r="C56" s="11"/>
      <c r="D56" s="9"/>
      <c r="F56" s="10"/>
    </row>
    <row r="57" spans="1:6" x14ac:dyDescent="0.25">
      <c r="A57" s="9" t="s">
        <v>182</v>
      </c>
      <c r="B57" s="12">
        <v>45689</v>
      </c>
      <c r="C57" s="11">
        <v>5</v>
      </c>
      <c r="D57" s="9" t="s">
        <v>36</v>
      </c>
      <c r="E57" s="10">
        <v>100</v>
      </c>
      <c r="F57" s="10">
        <f t="shared" si="0"/>
        <v>500</v>
      </c>
    </row>
    <row r="58" spans="1:6" x14ac:dyDescent="0.25">
      <c r="A58" s="9"/>
      <c r="B58" s="12"/>
      <c r="C58" s="11"/>
      <c r="D58" s="9"/>
      <c r="F58" s="8">
        <f>SUM(F57)</f>
        <v>500</v>
      </c>
    </row>
    <row r="59" spans="1:6" x14ac:dyDescent="0.25">
      <c r="A59" s="9"/>
      <c r="B59" s="12"/>
      <c r="C59" s="11"/>
      <c r="D59" s="9"/>
      <c r="F59" s="10"/>
    </row>
    <row r="60" spans="1:6" x14ac:dyDescent="0.25">
      <c r="A60" s="9" t="s">
        <v>52</v>
      </c>
      <c r="B60" s="12">
        <v>45689</v>
      </c>
      <c r="C60" s="11">
        <v>170</v>
      </c>
      <c r="D60" s="9" t="s">
        <v>13</v>
      </c>
      <c r="E60" s="10">
        <v>135</v>
      </c>
      <c r="F60" s="10">
        <f t="shared" si="0"/>
        <v>22950</v>
      </c>
    </row>
    <row r="61" spans="1:6" x14ac:dyDescent="0.25">
      <c r="A61" s="9"/>
      <c r="B61" s="12"/>
      <c r="C61" s="11">
        <v>20</v>
      </c>
      <c r="D61" s="9" t="s">
        <v>14</v>
      </c>
      <c r="E61" s="10">
        <v>130</v>
      </c>
      <c r="F61" s="10">
        <f t="shared" si="0"/>
        <v>2600</v>
      </c>
    </row>
    <row r="62" spans="1:6" x14ac:dyDescent="0.25">
      <c r="A62" s="9"/>
      <c r="B62" s="12"/>
      <c r="C62" s="11"/>
      <c r="D62" s="9"/>
      <c r="F62" s="8">
        <f>SUM(F60:F61)</f>
        <v>25550</v>
      </c>
    </row>
    <row r="63" spans="1:6" x14ac:dyDescent="0.25">
      <c r="A63" s="9"/>
      <c r="B63" s="12"/>
      <c r="C63" s="11"/>
      <c r="D63" s="9"/>
      <c r="F63" s="10"/>
    </row>
    <row r="64" spans="1:6" x14ac:dyDescent="0.25">
      <c r="A64" s="9" t="s">
        <v>65</v>
      </c>
      <c r="B64" s="12">
        <v>45689</v>
      </c>
      <c r="C64" s="11">
        <v>400</v>
      </c>
      <c r="D64" s="9" t="s">
        <v>11</v>
      </c>
      <c r="E64" s="10">
        <v>125</v>
      </c>
      <c r="F64" s="10">
        <f t="shared" si="0"/>
        <v>50000</v>
      </c>
    </row>
    <row r="65" spans="1:6" x14ac:dyDescent="0.25">
      <c r="A65" s="9"/>
      <c r="B65" s="12"/>
      <c r="C65" s="11">
        <v>1035</v>
      </c>
      <c r="D65" s="9" t="s">
        <v>12</v>
      </c>
      <c r="E65" s="10">
        <v>128</v>
      </c>
      <c r="F65" s="10">
        <f t="shared" si="0"/>
        <v>132480</v>
      </c>
    </row>
    <row r="66" spans="1:6" x14ac:dyDescent="0.25">
      <c r="A66" s="9"/>
      <c r="B66" s="12"/>
      <c r="C66" s="11">
        <v>200</v>
      </c>
      <c r="D66" s="9" t="s">
        <v>13</v>
      </c>
      <c r="E66" s="10">
        <v>133</v>
      </c>
      <c r="F66" s="10">
        <f t="shared" si="0"/>
        <v>26600</v>
      </c>
    </row>
    <row r="67" spans="1:6" x14ac:dyDescent="0.25">
      <c r="A67" s="9"/>
      <c r="B67" s="12"/>
      <c r="C67" s="11">
        <v>150</v>
      </c>
      <c r="D67" s="9" t="s">
        <v>22</v>
      </c>
      <c r="E67" s="10">
        <v>120</v>
      </c>
      <c r="F67" s="10">
        <f t="shared" si="0"/>
        <v>18000</v>
      </c>
    </row>
    <row r="68" spans="1:6" x14ac:dyDescent="0.25">
      <c r="A68" s="9"/>
      <c r="B68" s="12"/>
      <c r="C68" s="11"/>
      <c r="D68" s="9"/>
      <c r="F68" s="8">
        <f>SUM(F64:F67)</f>
        <v>227080</v>
      </c>
    </row>
    <row r="69" spans="1:6" x14ac:dyDescent="0.25">
      <c r="A69" s="9"/>
      <c r="B69" s="12"/>
      <c r="C69" s="11"/>
      <c r="D69" s="9"/>
      <c r="F69" s="10"/>
    </row>
    <row r="70" spans="1:6" x14ac:dyDescent="0.25">
      <c r="A70" s="9" t="s">
        <v>72</v>
      </c>
      <c r="B70" s="12">
        <v>45689</v>
      </c>
      <c r="C70" s="11">
        <v>170</v>
      </c>
      <c r="D70" s="9" t="s">
        <v>13</v>
      </c>
      <c r="E70" s="10">
        <v>130</v>
      </c>
      <c r="F70" s="10">
        <f t="shared" ref="F70:F131" si="1">+C70*E70</f>
        <v>22100</v>
      </c>
    </row>
    <row r="71" spans="1:6" x14ac:dyDescent="0.25">
      <c r="A71" s="9"/>
      <c r="B71" s="12"/>
      <c r="C71" s="11">
        <v>280</v>
      </c>
      <c r="D71" s="9" t="s">
        <v>12</v>
      </c>
      <c r="E71" s="10">
        <v>125</v>
      </c>
      <c r="F71" s="10">
        <f t="shared" si="1"/>
        <v>35000</v>
      </c>
    </row>
    <row r="72" spans="1:6" x14ac:dyDescent="0.25">
      <c r="A72" s="9"/>
      <c r="B72" s="12"/>
      <c r="C72" s="11">
        <v>50</v>
      </c>
      <c r="D72" s="9" t="s">
        <v>14</v>
      </c>
      <c r="E72" s="10">
        <v>130</v>
      </c>
      <c r="F72" s="10">
        <f t="shared" si="1"/>
        <v>6500</v>
      </c>
    </row>
    <row r="73" spans="1:6" x14ac:dyDescent="0.25">
      <c r="A73" s="9"/>
      <c r="B73" s="12"/>
      <c r="C73" s="11">
        <v>100</v>
      </c>
      <c r="D73" s="9" t="s">
        <v>11</v>
      </c>
      <c r="E73" s="10">
        <v>125</v>
      </c>
      <c r="F73" s="10">
        <f t="shared" si="1"/>
        <v>12500</v>
      </c>
    </row>
    <row r="74" spans="1:6" x14ac:dyDescent="0.25">
      <c r="A74" s="9"/>
      <c r="B74" s="12"/>
      <c r="C74" s="11"/>
      <c r="D74" s="9"/>
      <c r="F74" s="8">
        <f>SUM(F70:F73)</f>
        <v>76100</v>
      </c>
    </row>
    <row r="75" spans="1:6" x14ac:dyDescent="0.25">
      <c r="A75" s="9"/>
      <c r="B75" s="12"/>
      <c r="C75" s="11"/>
      <c r="D75" s="9"/>
      <c r="F75" s="10"/>
    </row>
    <row r="76" spans="1:6" x14ac:dyDescent="0.25">
      <c r="A76" s="9" t="s">
        <v>113</v>
      </c>
      <c r="B76" s="12">
        <v>45689</v>
      </c>
      <c r="C76" s="11">
        <v>20</v>
      </c>
      <c r="D76" s="9" t="s">
        <v>13</v>
      </c>
      <c r="E76" s="10">
        <v>150</v>
      </c>
      <c r="F76" s="10">
        <f t="shared" si="1"/>
        <v>3000</v>
      </c>
    </row>
    <row r="77" spans="1:6" x14ac:dyDescent="0.25">
      <c r="A77" s="9"/>
      <c r="B77" s="12"/>
      <c r="C77" s="11"/>
      <c r="D77" s="9"/>
      <c r="F77" s="8">
        <f>SUM(F76)</f>
        <v>3000</v>
      </c>
    </row>
    <row r="78" spans="1:6" x14ac:dyDescent="0.25">
      <c r="A78" s="9"/>
      <c r="B78" s="12"/>
      <c r="C78" s="11"/>
      <c r="D78" s="9"/>
      <c r="F78" s="10"/>
    </row>
    <row r="79" spans="1:6" x14ac:dyDescent="0.25">
      <c r="A79" s="9" t="s">
        <v>201</v>
      </c>
      <c r="B79" s="12">
        <v>45689</v>
      </c>
      <c r="C79" s="11">
        <v>10</v>
      </c>
      <c r="D79" s="9" t="s">
        <v>13</v>
      </c>
      <c r="E79" s="10">
        <v>150</v>
      </c>
      <c r="F79" s="10">
        <f t="shared" si="1"/>
        <v>1500</v>
      </c>
    </row>
    <row r="80" spans="1:6" x14ac:dyDescent="0.25">
      <c r="A80" s="9"/>
      <c r="B80" s="12"/>
      <c r="C80" s="11"/>
      <c r="D80" s="9"/>
      <c r="F80" s="8">
        <f>SUM(F79)</f>
        <v>1500</v>
      </c>
    </row>
    <row r="81" spans="1:6" x14ac:dyDescent="0.25">
      <c r="A81" s="9"/>
      <c r="B81" s="12"/>
      <c r="C81" s="11"/>
      <c r="D81" s="9"/>
      <c r="F81" s="10"/>
    </row>
    <row r="82" spans="1:6" x14ac:dyDescent="0.25">
      <c r="A82" s="9" t="s">
        <v>160</v>
      </c>
      <c r="B82" s="12">
        <v>45689</v>
      </c>
      <c r="C82" s="11">
        <v>5</v>
      </c>
      <c r="D82" s="9" t="s">
        <v>12</v>
      </c>
      <c r="E82" s="10">
        <v>140</v>
      </c>
      <c r="F82" s="10">
        <f t="shared" si="1"/>
        <v>700</v>
      </c>
    </row>
    <row r="83" spans="1:6" x14ac:dyDescent="0.25">
      <c r="A83" s="9"/>
      <c r="B83" s="12"/>
      <c r="C83" s="11"/>
      <c r="D83" s="9"/>
      <c r="F83" s="8">
        <f>SUM(F82)</f>
        <v>700</v>
      </c>
    </row>
    <row r="84" spans="1:6" x14ac:dyDescent="0.25">
      <c r="A84" s="9"/>
      <c r="B84" s="12"/>
      <c r="C84" s="11"/>
      <c r="D84" s="9"/>
      <c r="F84" s="10"/>
    </row>
    <row r="85" spans="1:6" x14ac:dyDescent="0.25">
      <c r="A85" s="9" t="s">
        <v>29</v>
      </c>
      <c r="B85" s="12">
        <v>45689</v>
      </c>
      <c r="C85" s="11">
        <v>12</v>
      </c>
      <c r="D85" s="9" t="s">
        <v>13</v>
      </c>
      <c r="E85" s="10">
        <v>130</v>
      </c>
      <c r="F85" s="10">
        <f t="shared" si="1"/>
        <v>1560</v>
      </c>
    </row>
    <row r="86" spans="1:6" x14ac:dyDescent="0.25">
      <c r="A86" s="9"/>
      <c r="B86" s="12"/>
      <c r="C86" s="11"/>
      <c r="D86" s="9"/>
      <c r="F86" s="8">
        <f>SUM(F85)</f>
        <v>1560</v>
      </c>
    </row>
    <row r="87" spans="1:6" x14ac:dyDescent="0.25">
      <c r="A87" s="9"/>
      <c r="B87" s="12"/>
      <c r="C87" s="11"/>
      <c r="D87" s="9"/>
      <c r="F87" s="10"/>
    </row>
    <row r="88" spans="1:6" x14ac:dyDescent="0.25">
      <c r="A88" s="9" t="s">
        <v>181</v>
      </c>
      <c r="B88" s="12">
        <v>45689</v>
      </c>
      <c r="C88" s="11">
        <v>15</v>
      </c>
      <c r="D88" s="9" t="s">
        <v>168</v>
      </c>
      <c r="E88" s="10">
        <v>150</v>
      </c>
      <c r="F88" s="10">
        <f t="shared" si="1"/>
        <v>2250</v>
      </c>
    </row>
    <row r="89" spans="1:6" x14ac:dyDescent="0.25">
      <c r="A89" s="9"/>
      <c r="B89" s="12"/>
      <c r="C89" s="11">
        <v>3</v>
      </c>
      <c r="D89" s="9" t="s">
        <v>8</v>
      </c>
      <c r="E89" s="10">
        <v>150</v>
      </c>
      <c r="F89" s="10">
        <f t="shared" si="1"/>
        <v>450</v>
      </c>
    </row>
    <row r="90" spans="1:6" x14ac:dyDescent="0.25">
      <c r="A90" s="9"/>
      <c r="B90" s="12"/>
      <c r="C90" s="11">
        <v>13</v>
      </c>
      <c r="D90" s="9" t="s">
        <v>161</v>
      </c>
      <c r="E90" s="10">
        <v>140</v>
      </c>
      <c r="F90" s="10">
        <f t="shared" si="1"/>
        <v>1820</v>
      </c>
    </row>
    <row r="91" spans="1:6" x14ac:dyDescent="0.25">
      <c r="A91" s="9"/>
      <c r="B91" s="12"/>
      <c r="C91" s="11">
        <v>8</v>
      </c>
      <c r="D91" s="9" t="s">
        <v>12</v>
      </c>
      <c r="E91" s="10">
        <v>145</v>
      </c>
      <c r="F91" s="10">
        <f t="shared" si="1"/>
        <v>1160</v>
      </c>
    </row>
    <row r="92" spans="1:6" x14ac:dyDescent="0.25">
      <c r="A92" s="9"/>
      <c r="B92" s="12"/>
      <c r="C92" s="11">
        <v>4</v>
      </c>
      <c r="D92" s="9" t="s">
        <v>8</v>
      </c>
      <c r="E92" s="10">
        <v>170</v>
      </c>
      <c r="F92" s="10">
        <f t="shared" si="1"/>
        <v>680</v>
      </c>
    </row>
    <row r="93" spans="1:6" x14ac:dyDescent="0.25">
      <c r="A93" s="9"/>
      <c r="B93" s="12"/>
      <c r="C93" s="11">
        <v>2</v>
      </c>
      <c r="D93" s="9" t="s">
        <v>12</v>
      </c>
      <c r="E93" s="10">
        <v>150</v>
      </c>
      <c r="F93" s="10">
        <f t="shared" si="1"/>
        <v>300</v>
      </c>
    </row>
    <row r="94" spans="1:6" x14ac:dyDescent="0.25">
      <c r="A94" s="9"/>
      <c r="B94" s="12"/>
      <c r="C94" s="11">
        <v>6</v>
      </c>
      <c r="D94" s="9" t="s">
        <v>110</v>
      </c>
      <c r="E94" s="10">
        <v>3.3332999999999999</v>
      </c>
      <c r="F94" s="10">
        <f t="shared" si="1"/>
        <v>19.9998</v>
      </c>
    </row>
    <row r="95" spans="1:6" x14ac:dyDescent="0.25">
      <c r="A95" s="9"/>
      <c r="B95" s="12"/>
      <c r="C95" s="11"/>
      <c r="D95" s="9"/>
      <c r="F95" s="8">
        <f>SUM(F88:F94)</f>
        <v>6679.9997999999996</v>
      </c>
    </row>
    <row r="96" spans="1:6" x14ac:dyDescent="0.25">
      <c r="A96" s="9"/>
      <c r="B96" s="12"/>
      <c r="C96" s="11"/>
      <c r="D96" s="9"/>
      <c r="F96" s="10"/>
    </row>
    <row r="97" spans="1:6" x14ac:dyDescent="0.25">
      <c r="A97" s="9" t="s">
        <v>32</v>
      </c>
      <c r="B97" s="12">
        <v>45690</v>
      </c>
      <c r="C97" s="11">
        <v>20</v>
      </c>
      <c r="D97" s="9" t="s">
        <v>13</v>
      </c>
      <c r="E97" s="10">
        <v>150</v>
      </c>
      <c r="F97" s="10">
        <f t="shared" si="1"/>
        <v>3000</v>
      </c>
    </row>
    <row r="98" spans="1:6" x14ac:dyDescent="0.25">
      <c r="A98" s="9"/>
      <c r="B98" s="12"/>
      <c r="C98" s="11"/>
      <c r="D98" s="9"/>
      <c r="F98" s="8">
        <f>SUM(F97)</f>
        <v>3000</v>
      </c>
    </row>
    <row r="99" spans="1:6" x14ac:dyDescent="0.25">
      <c r="A99" s="9"/>
      <c r="B99" s="12"/>
      <c r="C99" s="11"/>
      <c r="D99" s="9"/>
      <c r="F99" s="10"/>
    </row>
    <row r="100" spans="1:6" x14ac:dyDescent="0.25">
      <c r="A100" s="9" t="s">
        <v>101</v>
      </c>
      <c r="B100" s="12">
        <v>45690</v>
      </c>
      <c r="C100" s="11">
        <v>2</v>
      </c>
      <c r="D100" s="9" t="s">
        <v>13</v>
      </c>
      <c r="E100" s="10">
        <v>150</v>
      </c>
      <c r="F100" s="10">
        <f t="shared" si="1"/>
        <v>300</v>
      </c>
    </row>
    <row r="101" spans="1:6" x14ac:dyDescent="0.25">
      <c r="A101" s="9"/>
      <c r="B101" s="12"/>
      <c r="C101" s="11">
        <v>1.5</v>
      </c>
      <c r="D101" s="9" t="s">
        <v>170</v>
      </c>
      <c r="E101" s="10">
        <v>100</v>
      </c>
      <c r="F101" s="10">
        <f t="shared" si="1"/>
        <v>150</v>
      </c>
    </row>
    <row r="102" spans="1:6" x14ac:dyDescent="0.25">
      <c r="A102" s="9"/>
      <c r="B102" s="12"/>
      <c r="C102" s="11"/>
      <c r="D102" s="9"/>
      <c r="F102" s="8">
        <f>SUM(F100:F101)</f>
        <v>450</v>
      </c>
    </row>
    <row r="103" spans="1:6" x14ac:dyDescent="0.25">
      <c r="A103" s="9"/>
      <c r="B103" s="12"/>
      <c r="C103" s="11"/>
      <c r="D103" s="9"/>
      <c r="F103" s="10"/>
    </row>
    <row r="104" spans="1:6" x14ac:dyDescent="0.25">
      <c r="A104" s="9" t="s">
        <v>202</v>
      </c>
      <c r="B104" s="12">
        <v>45690</v>
      </c>
      <c r="C104" s="11">
        <v>3</v>
      </c>
      <c r="D104" s="9" t="s">
        <v>13</v>
      </c>
      <c r="E104" s="10">
        <v>150</v>
      </c>
      <c r="F104" s="10">
        <f t="shared" si="1"/>
        <v>450</v>
      </c>
    </row>
    <row r="105" spans="1:6" x14ac:dyDescent="0.25">
      <c r="A105" s="9"/>
      <c r="B105" s="12"/>
      <c r="C105" s="11">
        <v>1</v>
      </c>
      <c r="D105" s="9" t="s">
        <v>22</v>
      </c>
      <c r="E105" s="10">
        <v>140</v>
      </c>
      <c r="F105" s="10">
        <f t="shared" si="1"/>
        <v>140</v>
      </c>
    </row>
    <row r="106" spans="1:6" x14ac:dyDescent="0.25">
      <c r="A106" s="9"/>
      <c r="B106" s="12"/>
      <c r="C106" s="11">
        <v>5</v>
      </c>
      <c r="D106" s="9" t="s">
        <v>13</v>
      </c>
      <c r="E106" s="10">
        <v>160</v>
      </c>
      <c r="F106" s="10">
        <f t="shared" si="1"/>
        <v>800</v>
      </c>
    </row>
    <row r="107" spans="1:6" x14ac:dyDescent="0.25">
      <c r="A107" s="9"/>
      <c r="B107" s="12"/>
      <c r="C107" s="11">
        <v>5</v>
      </c>
      <c r="D107" s="9" t="s">
        <v>12</v>
      </c>
      <c r="E107" s="10">
        <v>150</v>
      </c>
      <c r="F107" s="10">
        <f t="shared" si="1"/>
        <v>750</v>
      </c>
    </row>
    <row r="108" spans="1:6" x14ac:dyDescent="0.25">
      <c r="A108" s="9"/>
      <c r="B108" s="12"/>
      <c r="C108" s="11">
        <v>9</v>
      </c>
      <c r="D108" s="9" t="s">
        <v>8</v>
      </c>
      <c r="E108" s="10">
        <v>160</v>
      </c>
      <c r="F108" s="10">
        <f t="shared" si="1"/>
        <v>1440</v>
      </c>
    </row>
    <row r="109" spans="1:6" x14ac:dyDescent="0.25">
      <c r="A109" s="9"/>
      <c r="B109" s="12"/>
      <c r="C109" s="11">
        <v>10</v>
      </c>
      <c r="D109" s="9" t="s">
        <v>12</v>
      </c>
      <c r="E109" s="10">
        <v>150</v>
      </c>
      <c r="F109" s="10">
        <f t="shared" si="1"/>
        <v>1500</v>
      </c>
    </row>
    <row r="110" spans="1:6" x14ac:dyDescent="0.25">
      <c r="A110" s="9"/>
      <c r="B110" s="12"/>
      <c r="C110" s="11"/>
      <c r="D110" s="9"/>
      <c r="F110" s="8">
        <f>SUM(F104:F109)</f>
        <v>5080</v>
      </c>
    </row>
    <row r="111" spans="1:6" x14ac:dyDescent="0.25">
      <c r="A111" s="9"/>
      <c r="B111" s="12"/>
      <c r="C111" s="11"/>
      <c r="D111" s="9"/>
      <c r="F111" s="10"/>
    </row>
    <row r="112" spans="1:6" x14ac:dyDescent="0.25">
      <c r="A112" s="9" t="s">
        <v>15</v>
      </c>
      <c r="B112" s="12">
        <v>45691</v>
      </c>
      <c r="C112" s="11">
        <v>58</v>
      </c>
      <c r="D112" s="9" t="s">
        <v>36</v>
      </c>
      <c r="E112" s="10">
        <v>100</v>
      </c>
      <c r="F112" s="10">
        <f t="shared" si="1"/>
        <v>5800</v>
      </c>
    </row>
    <row r="113" spans="1:6" x14ac:dyDescent="0.25">
      <c r="A113" s="9"/>
      <c r="B113" s="12"/>
      <c r="C113" s="11"/>
      <c r="D113" s="9"/>
      <c r="F113" s="8">
        <f>SUM(F112)</f>
        <v>5800</v>
      </c>
    </row>
    <row r="114" spans="1:6" x14ac:dyDescent="0.25">
      <c r="A114" s="9"/>
      <c r="B114" s="12"/>
      <c r="C114" s="11"/>
      <c r="D114" s="9"/>
      <c r="F114" s="10"/>
    </row>
    <row r="115" spans="1:6" x14ac:dyDescent="0.25">
      <c r="A115" s="9" t="s">
        <v>79</v>
      </c>
      <c r="B115" s="12">
        <v>45691</v>
      </c>
      <c r="C115" s="11">
        <v>30</v>
      </c>
      <c r="D115" s="9" t="s">
        <v>13</v>
      </c>
      <c r="E115" s="10">
        <v>145</v>
      </c>
      <c r="F115" s="10">
        <f t="shared" si="1"/>
        <v>4350</v>
      </c>
    </row>
    <row r="116" spans="1:6" x14ac:dyDescent="0.25">
      <c r="A116" s="9"/>
      <c r="B116" s="12"/>
      <c r="C116" s="11"/>
      <c r="D116" s="9"/>
      <c r="F116" s="8">
        <f>SUM(F115)</f>
        <v>4350</v>
      </c>
    </row>
    <row r="117" spans="1:6" x14ac:dyDescent="0.25">
      <c r="A117" s="9"/>
      <c r="B117" s="12"/>
      <c r="C117" s="11"/>
      <c r="D117" s="9"/>
      <c r="F117" s="10"/>
    </row>
    <row r="118" spans="1:6" x14ac:dyDescent="0.25">
      <c r="A118" s="9" t="s">
        <v>17</v>
      </c>
      <c r="B118" s="12">
        <v>45691</v>
      </c>
      <c r="C118" s="11">
        <v>10</v>
      </c>
      <c r="D118" s="9" t="s">
        <v>13</v>
      </c>
      <c r="E118" s="10">
        <v>145</v>
      </c>
      <c r="F118" s="10">
        <f t="shared" si="1"/>
        <v>1450</v>
      </c>
    </row>
    <row r="119" spans="1:6" x14ac:dyDescent="0.25">
      <c r="A119" s="9"/>
      <c r="B119" s="12"/>
      <c r="C119" s="11"/>
      <c r="D119" s="9"/>
      <c r="F119" s="8">
        <f>SUM(F118)</f>
        <v>1450</v>
      </c>
    </row>
    <row r="120" spans="1:6" x14ac:dyDescent="0.25">
      <c r="A120" s="9"/>
      <c r="B120" s="12"/>
      <c r="C120" s="11"/>
      <c r="D120" s="9"/>
      <c r="F120" s="10"/>
    </row>
    <row r="121" spans="1:6" x14ac:dyDescent="0.25">
      <c r="A121" s="9" t="s">
        <v>20</v>
      </c>
      <c r="B121" s="12">
        <v>45691</v>
      </c>
      <c r="C121" s="11">
        <v>30</v>
      </c>
      <c r="D121" s="9" t="s">
        <v>13</v>
      </c>
      <c r="E121" s="10">
        <v>140</v>
      </c>
      <c r="F121" s="10">
        <f t="shared" si="1"/>
        <v>4200</v>
      </c>
    </row>
    <row r="122" spans="1:6" x14ac:dyDescent="0.25">
      <c r="A122" s="9"/>
      <c r="B122" s="12"/>
      <c r="C122" s="11"/>
      <c r="D122" s="9"/>
      <c r="F122" s="8">
        <f>SUM(F121)</f>
        <v>4200</v>
      </c>
    </row>
    <row r="123" spans="1:6" x14ac:dyDescent="0.25">
      <c r="A123" s="9"/>
      <c r="B123" s="12"/>
      <c r="C123" s="11"/>
      <c r="D123" s="9"/>
      <c r="F123" s="10"/>
    </row>
    <row r="124" spans="1:6" x14ac:dyDescent="0.25">
      <c r="A124" s="9" t="s">
        <v>21</v>
      </c>
      <c r="B124" s="12">
        <v>45691</v>
      </c>
      <c r="C124" s="11">
        <v>10</v>
      </c>
      <c r="D124" s="9" t="s">
        <v>13</v>
      </c>
      <c r="E124" s="10">
        <v>140</v>
      </c>
      <c r="F124" s="10">
        <f t="shared" si="1"/>
        <v>1400</v>
      </c>
    </row>
    <row r="125" spans="1:6" x14ac:dyDescent="0.25">
      <c r="A125" s="9"/>
      <c r="B125" s="12"/>
      <c r="C125" s="11">
        <v>10</v>
      </c>
      <c r="D125" s="9" t="s">
        <v>12</v>
      </c>
      <c r="E125" s="10">
        <v>135</v>
      </c>
      <c r="F125" s="10">
        <f t="shared" si="1"/>
        <v>1350</v>
      </c>
    </row>
    <row r="126" spans="1:6" x14ac:dyDescent="0.25">
      <c r="A126" s="9"/>
      <c r="B126" s="12"/>
      <c r="C126" s="11"/>
      <c r="D126" s="9"/>
      <c r="F126" s="8">
        <f>SUM(F124:F125)</f>
        <v>2750</v>
      </c>
    </row>
    <row r="127" spans="1:6" x14ac:dyDescent="0.25">
      <c r="A127" s="9"/>
      <c r="B127" s="12"/>
      <c r="C127" s="11"/>
      <c r="D127" s="9"/>
      <c r="F127" s="10"/>
    </row>
    <row r="128" spans="1:6" x14ac:dyDescent="0.25">
      <c r="A128" s="9" t="s">
        <v>57</v>
      </c>
      <c r="B128" s="12">
        <v>45691</v>
      </c>
      <c r="C128" s="11">
        <v>15</v>
      </c>
      <c r="D128" s="9" t="s">
        <v>13</v>
      </c>
      <c r="E128" s="10">
        <v>140</v>
      </c>
      <c r="F128" s="10">
        <f t="shared" si="1"/>
        <v>2100</v>
      </c>
    </row>
    <row r="129" spans="1:6" x14ac:dyDescent="0.25">
      <c r="A129" s="9"/>
      <c r="B129" s="12"/>
      <c r="C129" s="11"/>
      <c r="D129" s="9"/>
      <c r="F129" s="8">
        <f>SUM(F128)</f>
        <v>2100</v>
      </c>
    </row>
    <row r="130" spans="1:6" x14ac:dyDescent="0.25">
      <c r="A130" s="9"/>
      <c r="B130" s="12"/>
      <c r="C130" s="11"/>
      <c r="D130" s="9"/>
      <c r="F130" s="10"/>
    </row>
    <row r="131" spans="1:6" x14ac:dyDescent="0.25">
      <c r="A131" s="9" t="s">
        <v>203</v>
      </c>
      <c r="B131" s="12">
        <v>45691</v>
      </c>
      <c r="C131" s="11">
        <v>10</v>
      </c>
      <c r="D131" s="9" t="s">
        <v>13</v>
      </c>
      <c r="E131" s="10">
        <v>150</v>
      </c>
      <c r="F131" s="10">
        <f t="shared" si="1"/>
        <v>1500</v>
      </c>
    </row>
    <row r="132" spans="1:6" x14ac:dyDescent="0.25">
      <c r="A132" s="9"/>
      <c r="B132" s="12"/>
      <c r="C132" s="11"/>
      <c r="D132" s="9"/>
      <c r="F132" s="8">
        <f>SUM(F131)</f>
        <v>1500</v>
      </c>
    </row>
    <row r="133" spans="1:6" x14ac:dyDescent="0.25">
      <c r="A133" s="9"/>
      <c r="B133" s="12"/>
      <c r="C133" s="11"/>
      <c r="D133" s="9"/>
      <c r="F133" s="10"/>
    </row>
    <row r="134" spans="1:6" x14ac:dyDescent="0.25">
      <c r="A134" s="9" t="s">
        <v>19</v>
      </c>
      <c r="B134" s="12">
        <v>45691</v>
      </c>
      <c r="C134" s="11">
        <v>10</v>
      </c>
      <c r="D134" s="9" t="s">
        <v>13</v>
      </c>
      <c r="E134" s="10">
        <v>145</v>
      </c>
      <c r="F134" s="10">
        <f t="shared" ref="F134:F193" si="2">+C134*E134</f>
        <v>1450</v>
      </c>
    </row>
    <row r="135" spans="1:6" x14ac:dyDescent="0.25">
      <c r="A135" s="9"/>
      <c r="B135" s="12"/>
      <c r="C135" s="11"/>
      <c r="D135" s="9"/>
      <c r="F135" s="8">
        <f>SUM(F134)</f>
        <v>1450</v>
      </c>
    </row>
    <row r="136" spans="1:6" x14ac:dyDescent="0.25">
      <c r="A136" s="9"/>
      <c r="B136" s="12"/>
      <c r="C136" s="11"/>
      <c r="D136" s="9"/>
      <c r="F136" s="10"/>
    </row>
    <row r="137" spans="1:6" x14ac:dyDescent="0.25">
      <c r="A137" s="9" t="s">
        <v>40</v>
      </c>
      <c r="B137" s="12">
        <v>45691</v>
      </c>
      <c r="C137" s="11">
        <v>12</v>
      </c>
      <c r="D137" s="9" t="s">
        <v>13</v>
      </c>
      <c r="E137" s="10">
        <v>135</v>
      </c>
      <c r="F137" s="10">
        <f t="shared" si="2"/>
        <v>1620</v>
      </c>
    </row>
    <row r="138" spans="1:6" x14ac:dyDescent="0.25">
      <c r="A138" s="9"/>
      <c r="B138" s="12"/>
      <c r="C138" s="11">
        <v>12</v>
      </c>
      <c r="D138" s="9" t="s">
        <v>14</v>
      </c>
      <c r="E138" s="10">
        <v>135</v>
      </c>
      <c r="F138" s="10">
        <f t="shared" si="2"/>
        <v>1620</v>
      </c>
    </row>
    <row r="139" spans="1:6" x14ac:dyDescent="0.25">
      <c r="A139" s="9"/>
      <c r="B139" s="12"/>
      <c r="C139" s="11">
        <v>15</v>
      </c>
      <c r="D139" s="9" t="s">
        <v>11</v>
      </c>
      <c r="E139" s="10">
        <v>125</v>
      </c>
      <c r="F139" s="10">
        <f t="shared" si="2"/>
        <v>1875</v>
      </c>
    </row>
    <row r="140" spans="1:6" x14ac:dyDescent="0.25">
      <c r="A140" s="9"/>
      <c r="B140" s="12"/>
      <c r="C140" s="11"/>
      <c r="D140" s="9"/>
      <c r="F140" s="8">
        <f>SUM(F137:F139)</f>
        <v>5115</v>
      </c>
    </row>
    <row r="141" spans="1:6" x14ac:dyDescent="0.25">
      <c r="A141" s="9"/>
      <c r="B141" s="12"/>
      <c r="C141" s="11"/>
      <c r="D141" s="9"/>
      <c r="F141" s="10"/>
    </row>
    <row r="142" spans="1:6" x14ac:dyDescent="0.25">
      <c r="A142" s="9" t="s">
        <v>183</v>
      </c>
      <c r="B142" s="12">
        <v>45691</v>
      </c>
      <c r="C142" s="11">
        <v>2</v>
      </c>
      <c r="D142" s="9" t="s">
        <v>36</v>
      </c>
      <c r="E142" s="10">
        <v>100</v>
      </c>
      <c r="F142" s="10">
        <f t="shared" si="2"/>
        <v>200</v>
      </c>
    </row>
    <row r="143" spans="1:6" x14ac:dyDescent="0.25">
      <c r="A143" s="9"/>
      <c r="B143" s="12"/>
      <c r="C143" s="11">
        <v>2</v>
      </c>
      <c r="D143" s="9" t="s">
        <v>13</v>
      </c>
      <c r="E143" s="10">
        <v>150</v>
      </c>
      <c r="F143" s="10">
        <f t="shared" si="2"/>
        <v>300</v>
      </c>
    </row>
    <row r="144" spans="1:6" x14ac:dyDescent="0.25">
      <c r="A144" s="9"/>
      <c r="B144" s="12"/>
      <c r="C144" s="11"/>
      <c r="D144" s="9"/>
      <c r="F144" s="8">
        <f>SUM(F142:F143)</f>
        <v>500</v>
      </c>
    </row>
    <row r="145" spans="1:6" x14ac:dyDescent="0.25">
      <c r="A145" s="9"/>
      <c r="B145" s="12"/>
      <c r="C145" s="11"/>
      <c r="D145" s="9"/>
      <c r="F145" s="10"/>
    </row>
    <row r="146" spans="1:6" x14ac:dyDescent="0.25">
      <c r="A146" s="9" t="s">
        <v>58</v>
      </c>
      <c r="B146" s="12">
        <v>45691</v>
      </c>
      <c r="C146" s="11">
        <v>5</v>
      </c>
      <c r="D146" s="9" t="s">
        <v>13</v>
      </c>
      <c r="E146" s="10">
        <v>150</v>
      </c>
      <c r="F146" s="10">
        <f t="shared" si="2"/>
        <v>750</v>
      </c>
    </row>
    <row r="147" spans="1:6" x14ac:dyDescent="0.25">
      <c r="A147" s="9"/>
      <c r="B147" s="12"/>
      <c r="C147" s="11"/>
      <c r="D147" s="9"/>
      <c r="F147" s="8">
        <f>SUM(F146)</f>
        <v>750</v>
      </c>
    </row>
    <row r="148" spans="1:6" x14ac:dyDescent="0.25">
      <c r="A148" s="9"/>
      <c r="B148" s="12"/>
      <c r="C148" s="11"/>
      <c r="D148" s="9"/>
      <c r="F148" s="10"/>
    </row>
    <row r="149" spans="1:6" x14ac:dyDescent="0.25">
      <c r="A149" s="9" t="s">
        <v>41</v>
      </c>
      <c r="B149" s="12">
        <v>45691</v>
      </c>
      <c r="C149" s="11">
        <v>30</v>
      </c>
      <c r="D149" s="9" t="s">
        <v>14</v>
      </c>
      <c r="E149" s="10">
        <v>135</v>
      </c>
      <c r="F149" s="10">
        <f t="shared" si="2"/>
        <v>4050</v>
      </c>
    </row>
    <row r="150" spans="1:6" x14ac:dyDescent="0.25">
      <c r="A150" s="9"/>
      <c r="B150" s="12"/>
      <c r="C150" s="11"/>
      <c r="D150" s="9"/>
      <c r="F150" s="8">
        <f>SUM(F149)</f>
        <v>4050</v>
      </c>
    </row>
    <row r="151" spans="1:6" x14ac:dyDescent="0.25">
      <c r="A151" s="9"/>
      <c r="B151" s="12"/>
      <c r="C151" s="11"/>
      <c r="D151" s="9"/>
      <c r="F151" s="10"/>
    </row>
    <row r="152" spans="1:6" x14ac:dyDescent="0.25">
      <c r="A152" s="9" t="s">
        <v>43</v>
      </c>
      <c r="B152" s="12">
        <v>45691</v>
      </c>
      <c r="C152" s="11">
        <v>10</v>
      </c>
      <c r="D152" s="9" t="s">
        <v>49</v>
      </c>
      <c r="E152" s="10">
        <v>135</v>
      </c>
      <c r="F152" s="10">
        <f t="shared" si="2"/>
        <v>1350</v>
      </c>
    </row>
    <row r="153" spans="1:6" x14ac:dyDescent="0.25">
      <c r="A153" s="9"/>
      <c r="B153" s="12"/>
      <c r="C153" s="11">
        <v>10</v>
      </c>
      <c r="D153" s="9" t="s">
        <v>14</v>
      </c>
      <c r="E153" s="10">
        <v>125</v>
      </c>
      <c r="F153" s="10">
        <f t="shared" si="2"/>
        <v>1250</v>
      </c>
    </row>
    <row r="154" spans="1:6" x14ac:dyDescent="0.25">
      <c r="A154" s="9"/>
      <c r="B154" s="12"/>
      <c r="C154" s="11"/>
      <c r="D154" s="9"/>
      <c r="F154" s="8">
        <f>SUM(F152:F153)</f>
        <v>2600</v>
      </c>
    </row>
    <row r="155" spans="1:6" x14ac:dyDescent="0.25">
      <c r="A155" s="9"/>
      <c r="B155" s="12"/>
      <c r="C155" s="11"/>
      <c r="D155" s="9"/>
      <c r="F155" s="10"/>
    </row>
    <row r="156" spans="1:6" x14ac:dyDescent="0.25">
      <c r="A156" s="9" t="s">
        <v>44</v>
      </c>
      <c r="B156" s="12">
        <v>45691</v>
      </c>
      <c r="C156" s="11">
        <v>60</v>
      </c>
      <c r="D156" s="9" t="s">
        <v>14</v>
      </c>
      <c r="E156" s="10">
        <v>125</v>
      </c>
      <c r="F156" s="10">
        <f t="shared" si="2"/>
        <v>7500</v>
      </c>
    </row>
    <row r="157" spans="1:6" x14ac:dyDescent="0.25">
      <c r="A157" s="9"/>
      <c r="B157" s="12"/>
      <c r="C157" s="11"/>
      <c r="D157" s="9"/>
      <c r="F157" s="8">
        <f>SUM(F156)</f>
        <v>7500</v>
      </c>
    </row>
    <row r="158" spans="1:6" x14ac:dyDescent="0.25">
      <c r="A158" s="9"/>
      <c r="B158" s="12"/>
      <c r="C158" s="11"/>
      <c r="D158" s="9"/>
      <c r="F158" s="10"/>
    </row>
    <row r="159" spans="1:6" x14ac:dyDescent="0.25">
      <c r="A159" s="9" t="s">
        <v>18</v>
      </c>
      <c r="B159" s="12">
        <v>45691</v>
      </c>
      <c r="C159" s="11">
        <v>30</v>
      </c>
      <c r="D159" s="9" t="s">
        <v>14</v>
      </c>
      <c r="E159" s="10">
        <v>125</v>
      </c>
      <c r="F159" s="10">
        <f t="shared" si="2"/>
        <v>3750</v>
      </c>
    </row>
    <row r="160" spans="1:6" x14ac:dyDescent="0.25">
      <c r="A160" s="9"/>
      <c r="B160" s="12"/>
      <c r="C160" s="11"/>
      <c r="D160" s="9"/>
      <c r="F160" s="8">
        <f>SUM(F159)</f>
        <v>3750</v>
      </c>
    </row>
    <row r="161" spans="1:6" x14ac:dyDescent="0.25">
      <c r="A161" s="9"/>
      <c r="B161" s="12"/>
      <c r="C161" s="11"/>
      <c r="D161" s="9"/>
      <c r="F161" s="10"/>
    </row>
    <row r="162" spans="1:6" x14ac:dyDescent="0.25">
      <c r="A162" s="9" t="s">
        <v>45</v>
      </c>
      <c r="B162" s="12">
        <v>45691</v>
      </c>
      <c r="C162" s="11">
        <v>4</v>
      </c>
      <c r="D162" s="9" t="s">
        <v>14</v>
      </c>
      <c r="E162" s="10">
        <v>125</v>
      </c>
      <c r="F162" s="10">
        <f t="shared" si="2"/>
        <v>500</v>
      </c>
    </row>
    <row r="163" spans="1:6" x14ac:dyDescent="0.25">
      <c r="A163" s="9"/>
      <c r="B163" s="12"/>
      <c r="C163" s="11"/>
      <c r="D163" s="9"/>
      <c r="F163" s="8">
        <f>SUM(F162)</f>
        <v>500</v>
      </c>
    </row>
    <row r="164" spans="1:6" x14ac:dyDescent="0.25">
      <c r="A164" s="9"/>
      <c r="B164" s="12"/>
      <c r="C164" s="11"/>
      <c r="D164" s="9"/>
      <c r="F164" s="10"/>
    </row>
    <row r="165" spans="1:6" x14ac:dyDescent="0.25">
      <c r="A165" s="9" t="s">
        <v>46</v>
      </c>
      <c r="B165" s="12">
        <v>45691</v>
      </c>
      <c r="C165" s="11">
        <v>30</v>
      </c>
      <c r="D165" s="9" t="s">
        <v>14</v>
      </c>
      <c r="E165" s="10">
        <v>130</v>
      </c>
      <c r="F165" s="10">
        <f t="shared" si="2"/>
        <v>3900</v>
      </c>
    </row>
    <row r="166" spans="1:6" x14ac:dyDescent="0.25">
      <c r="A166" s="9"/>
      <c r="B166" s="12"/>
      <c r="C166" s="11"/>
      <c r="D166" s="9"/>
      <c r="F166" s="8">
        <f>SUM(F165)</f>
        <v>3900</v>
      </c>
    </row>
    <row r="167" spans="1:6" x14ac:dyDescent="0.25">
      <c r="A167" s="9"/>
      <c r="B167" s="12"/>
      <c r="C167" s="11"/>
      <c r="D167" s="9"/>
      <c r="F167" s="10"/>
    </row>
    <row r="168" spans="1:6" x14ac:dyDescent="0.25">
      <c r="A168" s="9" t="s">
        <v>47</v>
      </c>
      <c r="B168" s="12">
        <v>45691</v>
      </c>
      <c r="C168" s="11">
        <v>50</v>
      </c>
      <c r="D168" s="9" t="s">
        <v>14</v>
      </c>
      <c r="E168" s="10">
        <v>130</v>
      </c>
      <c r="F168" s="10">
        <f t="shared" si="2"/>
        <v>6500</v>
      </c>
    </row>
    <row r="169" spans="1:6" x14ac:dyDescent="0.25">
      <c r="A169" s="9"/>
      <c r="B169" s="12"/>
      <c r="C169" s="11">
        <v>13</v>
      </c>
      <c r="D169" s="9" t="s">
        <v>204</v>
      </c>
      <c r="E169" s="10">
        <v>120</v>
      </c>
      <c r="F169" s="10">
        <f t="shared" si="2"/>
        <v>1560</v>
      </c>
    </row>
    <row r="170" spans="1:6" x14ac:dyDescent="0.25">
      <c r="A170" s="9"/>
      <c r="B170" s="12"/>
      <c r="C170" s="11"/>
      <c r="D170" s="9"/>
      <c r="F170" s="8">
        <f>SUM(F168:F169)</f>
        <v>8060</v>
      </c>
    </row>
    <row r="171" spans="1:6" x14ac:dyDescent="0.25">
      <c r="A171" s="9"/>
      <c r="B171" s="12"/>
      <c r="C171" s="11"/>
      <c r="D171" s="9"/>
      <c r="F171" s="10"/>
    </row>
    <row r="172" spans="1:6" x14ac:dyDescent="0.25">
      <c r="A172" s="9" t="s">
        <v>90</v>
      </c>
      <c r="B172" s="12">
        <v>45691</v>
      </c>
      <c r="C172" s="11">
        <v>30</v>
      </c>
      <c r="D172" s="9" t="s">
        <v>12</v>
      </c>
      <c r="E172" s="10">
        <v>135</v>
      </c>
      <c r="F172" s="10">
        <f t="shared" si="2"/>
        <v>4050</v>
      </c>
    </row>
    <row r="173" spans="1:6" x14ac:dyDescent="0.25">
      <c r="A173" s="9"/>
      <c r="B173" s="12"/>
      <c r="C173" s="11"/>
      <c r="D173" s="9"/>
      <c r="F173" s="8">
        <f>SUM(F172)</f>
        <v>4050</v>
      </c>
    </row>
    <row r="174" spans="1:6" x14ac:dyDescent="0.25">
      <c r="A174" s="9"/>
      <c r="B174" s="12"/>
      <c r="C174" s="11"/>
      <c r="D174" s="9"/>
      <c r="F174" s="10"/>
    </row>
    <row r="175" spans="1:6" x14ac:dyDescent="0.25">
      <c r="A175" s="9" t="s">
        <v>69</v>
      </c>
      <c r="B175" s="12">
        <v>45691</v>
      </c>
      <c r="C175" s="11">
        <v>10</v>
      </c>
      <c r="D175" s="9" t="s">
        <v>8</v>
      </c>
      <c r="E175" s="10">
        <v>155</v>
      </c>
      <c r="F175" s="10">
        <f t="shared" si="2"/>
        <v>1550</v>
      </c>
    </row>
    <row r="176" spans="1:6" x14ac:dyDescent="0.25">
      <c r="A176" s="9"/>
      <c r="B176" s="12"/>
      <c r="C176" s="11"/>
      <c r="D176" s="9"/>
      <c r="F176" s="8">
        <f>SUM(F175)</f>
        <v>1550</v>
      </c>
    </row>
    <row r="177" spans="1:6" x14ac:dyDescent="0.25">
      <c r="A177" s="9"/>
      <c r="B177" s="12"/>
      <c r="C177" s="11"/>
      <c r="D177" s="9"/>
      <c r="F177" s="10"/>
    </row>
    <row r="178" spans="1:6" x14ac:dyDescent="0.25">
      <c r="A178" s="9" t="s">
        <v>205</v>
      </c>
      <c r="B178" s="12">
        <v>45691</v>
      </c>
      <c r="C178" s="11">
        <v>10</v>
      </c>
      <c r="D178" s="9" t="s">
        <v>13</v>
      </c>
      <c r="E178" s="10">
        <v>140</v>
      </c>
      <c r="F178" s="10">
        <f t="shared" si="2"/>
        <v>1400</v>
      </c>
    </row>
    <row r="179" spans="1:6" x14ac:dyDescent="0.25">
      <c r="A179" s="9"/>
      <c r="B179" s="12"/>
      <c r="C179" s="11"/>
      <c r="D179" s="9"/>
      <c r="F179" s="8">
        <f>SUM(F178)</f>
        <v>1400</v>
      </c>
    </row>
    <row r="180" spans="1:6" x14ac:dyDescent="0.25">
      <c r="A180" s="9"/>
      <c r="B180" s="12"/>
      <c r="C180" s="11"/>
      <c r="D180" s="9"/>
      <c r="F180" s="10"/>
    </row>
    <row r="181" spans="1:6" x14ac:dyDescent="0.25">
      <c r="A181" s="9" t="s">
        <v>89</v>
      </c>
      <c r="B181" s="12">
        <v>45691</v>
      </c>
      <c r="C181" s="11">
        <v>40</v>
      </c>
      <c r="D181" s="9" t="s">
        <v>13</v>
      </c>
      <c r="E181" s="10">
        <v>130</v>
      </c>
      <c r="F181" s="10">
        <f t="shared" si="2"/>
        <v>5200</v>
      </c>
    </row>
    <row r="182" spans="1:6" x14ac:dyDescent="0.25">
      <c r="A182" s="9"/>
      <c r="B182" s="12"/>
      <c r="C182" s="11">
        <v>50</v>
      </c>
      <c r="D182" s="9" t="s">
        <v>12</v>
      </c>
      <c r="E182" s="10">
        <v>125</v>
      </c>
      <c r="F182" s="10">
        <f t="shared" si="2"/>
        <v>6250</v>
      </c>
    </row>
    <row r="183" spans="1:6" x14ac:dyDescent="0.25">
      <c r="A183" s="9"/>
      <c r="B183" s="12"/>
      <c r="C183" s="11">
        <v>20</v>
      </c>
      <c r="D183" s="9" t="s">
        <v>14</v>
      </c>
      <c r="E183" s="10">
        <v>120</v>
      </c>
      <c r="F183" s="10">
        <f t="shared" si="2"/>
        <v>2400</v>
      </c>
    </row>
    <row r="184" spans="1:6" x14ac:dyDescent="0.25">
      <c r="A184" s="9"/>
      <c r="B184" s="12"/>
      <c r="C184" s="11">
        <v>10</v>
      </c>
      <c r="D184" s="9" t="s">
        <v>22</v>
      </c>
      <c r="E184" s="10">
        <v>115</v>
      </c>
      <c r="F184" s="10">
        <f t="shared" si="2"/>
        <v>1150</v>
      </c>
    </row>
    <row r="185" spans="1:6" x14ac:dyDescent="0.25">
      <c r="A185" s="9"/>
      <c r="B185" s="12"/>
      <c r="C185" s="11"/>
      <c r="D185" s="9"/>
      <c r="F185" s="8">
        <f>SUM(F181:F184)</f>
        <v>15000</v>
      </c>
    </row>
    <row r="186" spans="1:6" x14ac:dyDescent="0.25">
      <c r="A186" s="9"/>
      <c r="B186" s="12"/>
      <c r="C186" s="11"/>
      <c r="D186" s="9"/>
      <c r="F186" s="10"/>
    </row>
    <row r="187" spans="1:6" x14ac:dyDescent="0.25">
      <c r="A187" s="9" t="s">
        <v>103</v>
      </c>
      <c r="B187" s="12">
        <v>45691</v>
      </c>
      <c r="C187" s="11">
        <v>4</v>
      </c>
      <c r="D187" s="9" t="s">
        <v>13</v>
      </c>
      <c r="E187" s="10">
        <v>150</v>
      </c>
      <c r="F187" s="10">
        <f t="shared" si="2"/>
        <v>600</v>
      </c>
    </row>
    <row r="188" spans="1:6" x14ac:dyDescent="0.25">
      <c r="A188" s="9"/>
      <c r="B188" s="12"/>
      <c r="C188" s="11"/>
      <c r="D188" s="9"/>
      <c r="F188" s="8">
        <f>SUM(F187)</f>
        <v>600</v>
      </c>
    </row>
    <row r="189" spans="1:6" x14ac:dyDescent="0.25">
      <c r="A189" s="9"/>
      <c r="B189" s="12"/>
      <c r="C189" s="11"/>
      <c r="D189" s="9"/>
      <c r="F189" s="10"/>
    </row>
    <row r="190" spans="1:6" x14ac:dyDescent="0.25">
      <c r="A190" s="9" t="s">
        <v>102</v>
      </c>
      <c r="B190" s="12">
        <v>45691</v>
      </c>
      <c r="C190" s="11">
        <v>5</v>
      </c>
      <c r="D190" s="9" t="s">
        <v>13</v>
      </c>
      <c r="E190" s="10">
        <v>150</v>
      </c>
      <c r="F190" s="10">
        <f t="shared" si="2"/>
        <v>750</v>
      </c>
    </row>
    <row r="191" spans="1:6" x14ac:dyDescent="0.25">
      <c r="A191" s="9"/>
      <c r="B191" s="12"/>
      <c r="C191" s="11"/>
      <c r="D191" s="9"/>
      <c r="F191" s="8">
        <f>SUM(F190)</f>
        <v>750</v>
      </c>
    </row>
    <row r="192" spans="1:6" x14ac:dyDescent="0.25">
      <c r="A192" s="9"/>
      <c r="B192" s="12"/>
      <c r="C192" s="11"/>
      <c r="D192" s="9"/>
      <c r="F192" s="10"/>
    </row>
    <row r="193" spans="1:6" x14ac:dyDescent="0.25">
      <c r="A193" s="9" t="s">
        <v>66</v>
      </c>
      <c r="B193" s="12">
        <v>45691</v>
      </c>
      <c r="C193" s="11">
        <v>13</v>
      </c>
      <c r="D193" s="9" t="s">
        <v>8</v>
      </c>
      <c r="E193" s="10">
        <v>155</v>
      </c>
      <c r="F193" s="10">
        <f t="shared" si="2"/>
        <v>2015</v>
      </c>
    </row>
    <row r="194" spans="1:6" x14ac:dyDescent="0.25">
      <c r="A194" s="9"/>
      <c r="B194" s="12"/>
      <c r="C194" s="11"/>
      <c r="D194" s="9"/>
      <c r="F194" s="8">
        <f>SUM(F193)</f>
        <v>2015</v>
      </c>
    </row>
    <row r="195" spans="1:6" x14ac:dyDescent="0.25">
      <c r="A195" s="9"/>
      <c r="B195" s="12"/>
      <c r="C195" s="11"/>
      <c r="D195" s="9"/>
      <c r="F195" s="10"/>
    </row>
    <row r="196" spans="1:6" x14ac:dyDescent="0.25">
      <c r="A196" s="9" t="s">
        <v>53</v>
      </c>
      <c r="B196" s="12">
        <v>45691</v>
      </c>
      <c r="C196" s="11">
        <v>90</v>
      </c>
      <c r="D196" s="9" t="s">
        <v>13</v>
      </c>
      <c r="E196" s="10">
        <v>140</v>
      </c>
      <c r="F196" s="10">
        <f t="shared" ref="F196:F259" si="3">+C196*E196</f>
        <v>12600</v>
      </c>
    </row>
    <row r="197" spans="1:6" x14ac:dyDescent="0.25">
      <c r="A197" s="9"/>
      <c r="B197" s="12"/>
      <c r="C197" s="11">
        <v>40</v>
      </c>
      <c r="D197" s="9" t="s">
        <v>8</v>
      </c>
      <c r="E197" s="10">
        <v>150</v>
      </c>
      <c r="F197" s="10">
        <f t="shared" si="3"/>
        <v>6000</v>
      </c>
    </row>
    <row r="198" spans="1:6" x14ac:dyDescent="0.25">
      <c r="A198" s="9"/>
      <c r="B198" s="12"/>
      <c r="C198" s="11"/>
      <c r="D198" s="9"/>
      <c r="F198" s="8">
        <f>SUM(F196:F197)</f>
        <v>18600</v>
      </c>
    </row>
    <row r="199" spans="1:6" x14ac:dyDescent="0.25">
      <c r="A199" s="9"/>
      <c r="B199" s="12"/>
      <c r="C199" s="11"/>
      <c r="D199" s="9"/>
      <c r="F199" s="10"/>
    </row>
    <row r="200" spans="1:6" x14ac:dyDescent="0.25">
      <c r="A200" s="9" t="s">
        <v>26</v>
      </c>
      <c r="B200" s="12">
        <v>45691</v>
      </c>
      <c r="C200" s="11">
        <v>50</v>
      </c>
      <c r="D200" s="9" t="s">
        <v>13</v>
      </c>
      <c r="E200" s="10">
        <v>135</v>
      </c>
      <c r="F200" s="10">
        <f t="shared" si="3"/>
        <v>6750</v>
      </c>
    </row>
    <row r="201" spans="1:6" x14ac:dyDescent="0.25">
      <c r="A201" s="9"/>
      <c r="B201" s="12"/>
      <c r="C201" s="11">
        <v>30</v>
      </c>
      <c r="D201" s="9" t="s">
        <v>14</v>
      </c>
      <c r="E201" s="10">
        <v>130</v>
      </c>
      <c r="F201" s="10">
        <f t="shared" si="3"/>
        <v>3900</v>
      </c>
    </row>
    <row r="202" spans="1:6" x14ac:dyDescent="0.25">
      <c r="A202" s="9"/>
      <c r="B202" s="12"/>
      <c r="C202" s="11"/>
      <c r="D202" s="9"/>
      <c r="F202" s="8">
        <f>SUM(F200:F201)</f>
        <v>10650</v>
      </c>
    </row>
    <row r="203" spans="1:6" x14ac:dyDescent="0.25">
      <c r="A203" s="9"/>
      <c r="B203" s="12"/>
      <c r="C203" s="11"/>
      <c r="D203" s="9"/>
      <c r="F203" s="10"/>
    </row>
    <row r="204" spans="1:6" x14ac:dyDescent="0.25">
      <c r="A204" s="9" t="s">
        <v>206</v>
      </c>
      <c r="B204" s="12">
        <v>45691</v>
      </c>
      <c r="C204" s="11">
        <v>8</v>
      </c>
      <c r="D204" s="9" t="s">
        <v>13</v>
      </c>
      <c r="E204" s="10">
        <v>140</v>
      </c>
      <c r="F204" s="10">
        <f t="shared" si="3"/>
        <v>1120</v>
      </c>
    </row>
    <row r="205" spans="1:6" x14ac:dyDescent="0.25">
      <c r="A205" s="9"/>
      <c r="B205" s="12"/>
      <c r="C205" s="11"/>
      <c r="D205" s="9"/>
      <c r="F205" s="8">
        <f>SUM(F204)</f>
        <v>1120</v>
      </c>
    </row>
    <row r="206" spans="1:6" x14ac:dyDescent="0.25">
      <c r="A206" s="9"/>
      <c r="B206" s="12"/>
      <c r="C206" s="11"/>
      <c r="D206" s="9"/>
      <c r="F206" s="10"/>
    </row>
    <row r="207" spans="1:6" x14ac:dyDescent="0.25">
      <c r="A207" s="9" t="s">
        <v>29</v>
      </c>
      <c r="B207" s="12">
        <v>45691</v>
      </c>
      <c r="C207" s="11">
        <v>0.5</v>
      </c>
      <c r="D207" s="9" t="s">
        <v>8</v>
      </c>
      <c r="E207" s="10">
        <v>170</v>
      </c>
      <c r="F207" s="10">
        <f t="shared" si="3"/>
        <v>85</v>
      </c>
    </row>
    <row r="208" spans="1:6" x14ac:dyDescent="0.25">
      <c r="A208" s="9"/>
      <c r="B208" s="12"/>
      <c r="C208" s="11">
        <v>1</v>
      </c>
      <c r="D208" s="9" t="s">
        <v>12</v>
      </c>
      <c r="E208" s="10">
        <v>150</v>
      </c>
      <c r="F208" s="10">
        <f t="shared" si="3"/>
        <v>150</v>
      </c>
    </row>
    <row r="209" spans="1:6" x14ac:dyDescent="0.25">
      <c r="A209" s="9"/>
      <c r="B209" s="12"/>
      <c r="C209" s="11">
        <v>5</v>
      </c>
      <c r="D209" s="9" t="s">
        <v>207</v>
      </c>
      <c r="E209" s="10">
        <v>150</v>
      </c>
      <c r="F209" s="10">
        <f t="shared" si="3"/>
        <v>750</v>
      </c>
    </row>
    <row r="210" spans="1:6" x14ac:dyDescent="0.25">
      <c r="A210" s="9"/>
      <c r="B210" s="12"/>
      <c r="C210" s="11">
        <v>1</v>
      </c>
      <c r="D210" s="9" t="s">
        <v>8</v>
      </c>
      <c r="E210" s="10">
        <v>170</v>
      </c>
      <c r="F210" s="10">
        <f t="shared" si="3"/>
        <v>170</v>
      </c>
    </row>
    <row r="211" spans="1:6" x14ac:dyDescent="0.25">
      <c r="A211" s="9"/>
      <c r="B211" s="12"/>
      <c r="C211" s="11"/>
      <c r="D211" s="9"/>
      <c r="F211" s="8">
        <f>SUM(F207:F210)</f>
        <v>1155</v>
      </c>
    </row>
    <row r="212" spans="1:6" x14ac:dyDescent="0.25">
      <c r="A212" s="9"/>
      <c r="B212" s="12"/>
      <c r="C212" s="11"/>
      <c r="D212" s="9"/>
      <c r="F212" s="10"/>
    </row>
    <row r="213" spans="1:6" x14ac:dyDescent="0.25">
      <c r="A213" s="9" t="s">
        <v>7</v>
      </c>
      <c r="B213" s="12">
        <v>45691</v>
      </c>
      <c r="C213" s="11">
        <v>2</v>
      </c>
      <c r="D213" s="9" t="s">
        <v>208</v>
      </c>
      <c r="E213" s="10">
        <v>130</v>
      </c>
      <c r="F213" s="10">
        <f t="shared" si="3"/>
        <v>260</v>
      </c>
    </row>
    <row r="214" spans="1:6" x14ac:dyDescent="0.25">
      <c r="A214" s="9"/>
      <c r="B214" s="12"/>
      <c r="C214" s="11">
        <v>1</v>
      </c>
      <c r="D214" s="9" t="s">
        <v>208</v>
      </c>
      <c r="E214" s="10">
        <v>0</v>
      </c>
      <c r="F214" s="10">
        <f t="shared" si="3"/>
        <v>0</v>
      </c>
    </row>
    <row r="215" spans="1:6" x14ac:dyDescent="0.25">
      <c r="A215" s="9"/>
      <c r="B215" s="12"/>
      <c r="C215" s="11">
        <v>2</v>
      </c>
      <c r="D215" s="9" t="s">
        <v>8</v>
      </c>
      <c r="E215" s="10">
        <v>170</v>
      </c>
      <c r="F215" s="10">
        <f t="shared" si="3"/>
        <v>340</v>
      </c>
    </row>
    <row r="216" spans="1:6" x14ac:dyDescent="0.25">
      <c r="A216" s="9"/>
      <c r="B216" s="12"/>
      <c r="C216" s="11">
        <v>1</v>
      </c>
      <c r="D216" s="9" t="s">
        <v>13</v>
      </c>
      <c r="E216" s="10">
        <v>160</v>
      </c>
      <c r="F216" s="10">
        <f t="shared" si="3"/>
        <v>160</v>
      </c>
    </row>
    <row r="217" spans="1:6" x14ac:dyDescent="0.25">
      <c r="A217" s="9"/>
      <c r="B217" s="12"/>
      <c r="C217" s="11"/>
      <c r="D217" s="9"/>
      <c r="F217" s="8">
        <f>SUM(F213:F216)</f>
        <v>760</v>
      </c>
    </row>
    <row r="218" spans="1:6" x14ac:dyDescent="0.25">
      <c r="A218" s="9"/>
      <c r="B218" s="12"/>
      <c r="C218" s="11"/>
      <c r="D218" s="9"/>
      <c r="F218" s="10"/>
    </row>
    <row r="219" spans="1:6" x14ac:dyDescent="0.25">
      <c r="A219" s="9" t="s">
        <v>174</v>
      </c>
      <c r="B219" s="12">
        <v>45692</v>
      </c>
      <c r="C219" s="11">
        <v>50</v>
      </c>
      <c r="D219" s="9" t="s">
        <v>22</v>
      </c>
      <c r="E219" s="10">
        <v>125</v>
      </c>
      <c r="F219" s="10">
        <f t="shared" si="3"/>
        <v>6250</v>
      </c>
    </row>
    <row r="220" spans="1:6" x14ac:dyDescent="0.25">
      <c r="A220" s="9"/>
      <c r="B220" s="12"/>
      <c r="C220" s="11">
        <v>50</v>
      </c>
      <c r="D220" s="9" t="s">
        <v>12</v>
      </c>
      <c r="E220" s="10">
        <v>140</v>
      </c>
      <c r="F220" s="10">
        <f t="shared" si="3"/>
        <v>7000</v>
      </c>
    </row>
    <row r="221" spans="1:6" x14ac:dyDescent="0.25">
      <c r="A221" s="9"/>
      <c r="B221" s="12"/>
      <c r="C221" s="11"/>
      <c r="D221" s="9"/>
      <c r="F221" s="8">
        <f>SUM(F219:F220)</f>
        <v>13250</v>
      </c>
    </row>
    <row r="222" spans="1:6" x14ac:dyDescent="0.25">
      <c r="A222" s="9"/>
      <c r="B222" s="12"/>
      <c r="C222" s="11"/>
      <c r="D222" s="9"/>
      <c r="F222" s="10"/>
    </row>
    <row r="223" spans="1:6" x14ac:dyDescent="0.25">
      <c r="A223" s="9" t="s">
        <v>60</v>
      </c>
      <c r="B223" s="12">
        <v>45692</v>
      </c>
      <c r="C223" s="11">
        <v>30</v>
      </c>
      <c r="D223" s="9" t="s">
        <v>13</v>
      </c>
      <c r="E223" s="10">
        <v>145</v>
      </c>
      <c r="F223" s="10">
        <f t="shared" si="3"/>
        <v>4350</v>
      </c>
    </row>
    <row r="224" spans="1:6" x14ac:dyDescent="0.25">
      <c r="A224" s="9"/>
      <c r="B224" s="12"/>
      <c r="C224" s="11"/>
      <c r="D224" s="9"/>
      <c r="F224" s="8">
        <f>SUM(F223)</f>
        <v>4350</v>
      </c>
    </row>
    <row r="225" spans="1:6" x14ac:dyDescent="0.25">
      <c r="A225" s="9"/>
      <c r="B225" s="12"/>
      <c r="C225" s="11"/>
      <c r="D225" s="9"/>
      <c r="F225" s="10"/>
    </row>
    <row r="226" spans="1:6" x14ac:dyDescent="0.25">
      <c r="A226" s="9" t="s">
        <v>62</v>
      </c>
      <c r="B226" s="12">
        <v>45692</v>
      </c>
      <c r="C226" s="11">
        <v>30</v>
      </c>
      <c r="D226" s="9" t="s">
        <v>8</v>
      </c>
      <c r="E226" s="10">
        <v>160</v>
      </c>
      <c r="F226" s="10">
        <f t="shared" si="3"/>
        <v>4800</v>
      </c>
    </row>
    <row r="227" spans="1:6" x14ac:dyDescent="0.25">
      <c r="A227" s="9"/>
      <c r="B227" s="12"/>
      <c r="C227" s="11">
        <v>20</v>
      </c>
      <c r="D227" s="9" t="s">
        <v>209</v>
      </c>
      <c r="E227" s="10">
        <v>115</v>
      </c>
      <c r="F227" s="10">
        <f t="shared" si="3"/>
        <v>2300</v>
      </c>
    </row>
    <row r="228" spans="1:6" x14ac:dyDescent="0.25">
      <c r="A228" s="9"/>
      <c r="B228" s="12"/>
      <c r="C228" s="11">
        <v>10</v>
      </c>
      <c r="D228" s="9" t="s">
        <v>12</v>
      </c>
      <c r="E228" s="10">
        <v>135</v>
      </c>
      <c r="F228" s="10">
        <f t="shared" si="3"/>
        <v>1350</v>
      </c>
    </row>
    <row r="229" spans="1:6" x14ac:dyDescent="0.25">
      <c r="A229" s="9"/>
      <c r="B229" s="12"/>
      <c r="C229" s="11">
        <v>10</v>
      </c>
      <c r="D229" s="9" t="s">
        <v>13</v>
      </c>
      <c r="E229" s="10">
        <v>145</v>
      </c>
      <c r="F229" s="10">
        <f t="shared" si="3"/>
        <v>1450</v>
      </c>
    </row>
    <row r="230" spans="1:6" x14ac:dyDescent="0.25">
      <c r="A230" s="9"/>
      <c r="B230" s="12"/>
      <c r="C230" s="11"/>
      <c r="D230" s="9"/>
      <c r="F230" s="8">
        <f>SUM(F226:F229)</f>
        <v>9900</v>
      </c>
    </row>
    <row r="231" spans="1:6" x14ac:dyDescent="0.25">
      <c r="A231" s="9"/>
      <c r="B231" s="12"/>
      <c r="C231" s="11"/>
      <c r="D231" s="9"/>
      <c r="F231" s="10"/>
    </row>
    <row r="232" spans="1:6" x14ac:dyDescent="0.25">
      <c r="A232" s="9" t="s">
        <v>210</v>
      </c>
      <c r="B232" s="12">
        <v>45692</v>
      </c>
      <c r="C232" s="11">
        <v>20</v>
      </c>
      <c r="D232" s="9" t="s">
        <v>8</v>
      </c>
      <c r="E232" s="10">
        <v>155</v>
      </c>
      <c r="F232" s="10">
        <f t="shared" si="3"/>
        <v>3100</v>
      </c>
    </row>
    <row r="233" spans="1:6" x14ac:dyDescent="0.25">
      <c r="A233" s="9"/>
      <c r="B233" s="12"/>
      <c r="C233" s="11">
        <v>6</v>
      </c>
      <c r="D233" s="9" t="s">
        <v>49</v>
      </c>
      <c r="E233" s="10">
        <v>145</v>
      </c>
      <c r="F233" s="10">
        <f t="shared" si="3"/>
        <v>870</v>
      </c>
    </row>
    <row r="234" spans="1:6" x14ac:dyDescent="0.25">
      <c r="A234" s="9"/>
      <c r="B234" s="12"/>
      <c r="C234" s="11">
        <v>30</v>
      </c>
      <c r="D234" s="9" t="s">
        <v>13</v>
      </c>
      <c r="E234" s="10">
        <v>145</v>
      </c>
      <c r="F234" s="10">
        <f t="shared" si="3"/>
        <v>4350</v>
      </c>
    </row>
    <row r="235" spans="1:6" x14ac:dyDescent="0.25">
      <c r="A235" s="9"/>
      <c r="B235" s="12"/>
      <c r="C235" s="11">
        <v>20</v>
      </c>
      <c r="D235" s="9" t="s">
        <v>14</v>
      </c>
      <c r="E235" s="10">
        <v>135</v>
      </c>
      <c r="F235" s="10">
        <f t="shared" si="3"/>
        <v>2700</v>
      </c>
    </row>
    <row r="236" spans="1:6" x14ac:dyDescent="0.25">
      <c r="A236" s="9"/>
      <c r="B236" s="12"/>
      <c r="C236" s="11">
        <v>20</v>
      </c>
      <c r="D236" s="9" t="s">
        <v>11</v>
      </c>
      <c r="E236" s="10">
        <v>125</v>
      </c>
      <c r="F236" s="10">
        <f t="shared" si="3"/>
        <v>2500</v>
      </c>
    </row>
    <row r="237" spans="1:6" x14ac:dyDescent="0.25">
      <c r="A237" s="9"/>
      <c r="B237" s="12"/>
      <c r="C237" s="11">
        <v>20</v>
      </c>
      <c r="D237" s="9" t="s">
        <v>12</v>
      </c>
      <c r="E237" s="10">
        <v>135</v>
      </c>
      <c r="F237" s="10">
        <f t="shared" si="3"/>
        <v>2700</v>
      </c>
    </row>
    <row r="238" spans="1:6" x14ac:dyDescent="0.25">
      <c r="A238" s="9"/>
      <c r="B238" s="12"/>
      <c r="C238" s="11">
        <v>20</v>
      </c>
      <c r="D238" s="9" t="s">
        <v>22</v>
      </c>
      <c r="E238" s="10">
        <v>120</v>
      </c>
      <c r="F238" s="10">
        <f t="shared" si="3"/>
        <v>2400</v>
      </c>
    </row>
    <row r="239" spans="1:6" x14ac:dyDescent="0.25">
      <c r="A239" s="9"/>
      <c r="B239" s="12"/>
      <c r="C239" s="11"/>
      <c r="D239" s="9"/>
      <c r="F239" s="8">
        <f>SUM(F232:F238)</f>
        <v>18620</v>
      </c>
    </row>
    <row r="240" spans="1:6" x14ac:dyDescent="0.25">
      <c r="A240" s="9"/>
      <c r="B240" s="12"/>
      <c r="C240" s="11"/>
      <c r="D240" s="9"/>
      <c r="F240" s="10"/>
    </row>
    <row r="241" spans="1:6" x14ac:dyDescent="0.25">
      <c r="A241" s="9" t="s">
        <v>26</v>
      </c>
      <c r="B241" s="12">
        <v>45692</v>
      </c>
      <c r="C241" s="11">
        <v>100</v>
      </c>
      <c r="D241" s="9" t="s">
        <v>13</v>
      </c>
      <c r="E241" s="10">
        <v>135</v>
      </c>
      <c r="F241" s="10">
        <f t="shared" si="3"/>
        <v>13500</v>
      </c>
    </row>
    <row r="242" spans="1:6" x14ac:dyDescent="0.25">
      <c r="A242" s="9"/>
      <c r="B242" s="12"/>
      <c r="C242" s="11">
        <v>20</v>
      </c>
      <c r="D242" s="9" t="s">
        <v>14</v>
      </c>
      <c r="E242" s="10">
        <v>130</v>
      </c>
      <c r="F242" s="10">
        <f t="shared" si="3"/>
        <v>2600</v>
      </c>
    </row>
    <row r="243" spans="1:6" x14ac:dyDescent="0.25">
      <c r="A243" s="9"/>
      <c r="B243" s="12"/>
      <c r="C243" s="11"/>
      <c r="D243" s="9"/>
      <c r="F243" s="8">
        <f>SUM(F241:F242)</f>
        <v>16100</v>
      </c>
    </row>
    <row r="244" spans="1:6" x14ac:dyDescent="0.25">
      <c r="A244" s="9"/>
      <c r="B244" s="12"/>
      <c r="C244" s="11"/>
      <c r="D244" s="9"/>
      <c r="F244" s="10"/>
    </row>
    <row r="245" spans="1:6" x14ac:dyDescent="0.25">
      <c r="A245" s="9" t="s">
        <v>26</v>
      </c>
      <c r="B245" s="12">
        <v>45692</v>
      </c>
      <c r="C245" s="11">
        <v>500</v>
      </c>
      <c r="D245" s="9" t="s">
        <v>13</v>
      </c>
      <c r="E245" s="10">
        <v>135</v>
      </c>
      <c r="F245" s="10">
        <f t="shared" si="3"/>
        <v>67500</v>
      </c>
    </row>
    <row r="246" spans="1:6" x14ac:dyDescent="0.25">
      <c r="A246" s="9"/>
      <c r="B246" s="12"/>
      <c r="C246" s="11"/>
      <c r="D246" s="9"/>
      <c r="F246" s="8">
        <f>SUM(F245)</f>
        <v>67500</v>
      </c>
    </row>
    <row r="247" spans="1:6" x14ac:dyDescent="0.25">
      <c r="A247" s="9"/>
      <c r="B247" s="12"/>
      <c r="C247" s="11"/>
      <c r="D247" s="9"/>
      <c r="F247" s="10"/>
    </row>
    <row r="248" spans="1:6" x14ac:dyDescent="0.25">
      <c r="A248" s="9" t="s">
        <v>211</v>
      </c>
      <c r="B248" s="12">
        <v>45692</v>
      </c>
      <c r="C248" s="11">
        <v>16</v>
      </c>
      <c r="D248" s="9" t="s">
        <v>8</v>
      </c>
      <c r="E248" s="10">
        <v>155</v>
      </c>
      <c r="F248" s="10">
        <f t="shared" si="3"/>
        <v>2480</v>
      </c>
    </row>
    <row r="249" spans="1:6" x14ac:dyDescent="0.25">
      <c r="A249" s="9"/>
      <c r="B249" s="12"/>
      <c r="C249" s="11"/>
      <c r="D249" s="9"/>
      <c r="F249" s="8">
        <f>SUM(F248)</f>
        <v>2480</v>
      </c>
    </row>
    <row r="250" spans="1:6" x14ac:dyDescent="0.25">
      <c r="A250" s="9"/>
      <c r="B250" s="12"/>
      <c r="C250" s="11"/>
      <c r="D250" s="9"/>
      <c r="F250" s="10"/>
    </row>
    <row r="251" spans="1:6" x14ac:dyDescent="0.25">
      <c r="A251" s="9" t="s">
        <v>27</v>
      </c>
      <c r="B251" s="12">
        <v>45692</v>
      </c>
      <c r="C251" s="11">
        <v>3</v>
      </c>
      <c r="D251" s="9" t="s">
        <v>13</v>
      </c>
      <c r="E251" s="10">
        <v>150</v>
      </c>
      <c r="F251" s="10">
        <f t="shared" si="3"/>
        <v>450</v>
      </c>
    </row>
    <row r="252" spans="1:6" x14ac:dyDescent="0.25">
      <c r="A252" s="9"/>
      <c r="B252" s="12"/>
      <c r="C252" s="11">
        <v>3</v>
      </c>
      <c r="D252" s="9" t="s">
        <v>12</v>
      </c>
      <c r="E252" s="10">
        <v>140</v>
      </c>
      <c r="F252" s="10">
        <f t="shared" si="3"/>
        <v>420</v>
      </c>
    </row>
    <row r="253" spans="1:6" x14ac:dyDescent="0.25">
      <c r="A253" s="9"/>
      <c r="B253" s="12"/>
      <c r="C253" s="11"/>
      <c r="D253" s="9"/>
      <c r="F253" s="8">
        <f>SUM(F251:F252)</f>
        <v>870</v>
      </c>
    </row>
    <row r="254" spans="1:6" x14ac:dyDescent="0.25">
      <c r="A254" s="9"/>
      <c r="B254" s="12"/>
      <c r="C254" s="11"/>
      <c r="D254" s="9"/>
      <c r="F254" s="10"/>
    </row>
    <row r="255" spans="1:6" x14ac:dyDescent="0.25">
      <c r="A255" s="9" t="s">
        <v>76</v>
      </c>
      <c r="B255" s="12">
        <v>45692</v>
      </c>
      <c r="C255" s="11">
        <v>300</v>
      </c>
      <c r="D255" s="9" t="s">
        <v>14</v>
      </c>
      <c r="E255" s="10">
        <v>120</v>
      </c>
      <c r="F255" s="10">
        <f t="shared" si="3"/>
        <v>36000</v>
      </c>
    </row>
    <row r="256" spans="1:6" x14ac:dyDescent="0.25">
      <c r="A256" s="9"/>
      <c r="B256" s="12"/>
      <c r="C256" s="11">
        <v>85</v>
      </c>
      <c r="D256" s="9" t="s">
        <v>11</v>
      </c>
      <c r="E256" s="10">
        <v>115</v>
      </c>
      <c r="F256" s="10">
        <f t="shared" si="3"/>
        <v>9775</v>
      </c>
    </row>
    <row r="257" spans="1:6" x14ac:dyDescent="0.25">
      <c r="A257" s="9"/>
      <c r="B257" s="12"/>
      <c r="C257" s="11">
        <v>30</v>
      </c>
      <c r="D257" s="9" t="s">
        <v>50</v>
      </c>
      <c r="E257" s="10">
        <v>100</v>
      </c>
      <c r="F257" s="10">
        <f t="shared" si="3"/>
        <v>3000</v>
      </c>
    </row>
    <row r="258" spans="1:6" x14ac:dyDescent="0.25">
      <c r="A258" s="9"/>
      <c r="B258" s="12"/>
      <c r="C258" s="11">
        <v>43</v>
      </c>
      <c r="D258" s="9" t="s">
        <v>22</v>
      </c>
      <c r="E258" s="10">
        <v>100</v>
      </c>
      <c r="F258" s="10">
        <f t="shared" si="3"/>
        <v>4300</v>
      </c>
    </row>
    <row r="259" spans="1:6" x14ac:dyDescent="0.25">
      <c r="A259" s="9"/>
      <c r="B259" s="12"/>
      <c r="C259" s="11">
        <v>49</v>
      </c>
      <c r="D259" s="9" t="s">
        <v>49</v>
      </c>
      <c r="E259" s="10">
        <v>130</v>
      </c>
      <c r="F259" s="10">
        <f t="shared" si="3"/>
        <v>6370</v>
      </c>
    </row>
    <row r="260" spans="1:6" x14ac:dyDescent="0.25">
      <c r="A260" s="9"/>
      <c r="B260" s="12"/>
      <c r="C260" s="11">
        <v>45</v>
      </c>
      <c r="D260" s="9" t="s">
        <v>12</v>
      </c>
      <c r="E260" s="10">
        <v>120</v>
      </c>
      <c r="F260" s="10">
        <f t="shared" ref="F260:F323" si="4">+C260*E260</f>
        <v>5400</v>
      </c>
    </row>
    <row r="261" spans="1:6" x14ac:dyDescent="0.25">
      <c r="A261" s="9"/>
      <c r="B261" s="12"/>
      <c r="C261" s="11">
        <v>10</v>
      </c>
      <c r="D261" s="9" t="s">
        <v>98</v>
      </c>
      <c r="E261" s="10">
        <v>85</v>
      </c>
      <c r="F261" s="10">
        <f t="shared" si="4"/>
        <v>850</v>
      </c>
    </row>
    <row r="262" spans="1:6" x14ac:dyDescent="0.25">
      <c r="A262" s="9"/>
      <c r="B262" s="12"/>
      <c r="C262" s="11"/>
      <c r="D262" s="9"/>
      <c r="F262" s="8">
        <f>SUM(F255:F261)</f>
        <v>65695</v>
      </c>
    </row>
    <row r="263" spans="1:6" x14ac:dyDescent="0.25">
      <c r="A263" s="9"/>
      <c r="B263" s="12"/>
      <c r="C263" s="11"/>
      <c r="D263" s="9"/>
      <c r="F263" s="10"/>
    </row>
    <row r="264" spans="1:6" x14ac:dyDescent="0.25">
      <c r="A264" s="9" t="s">
        <v>51</v>
      </c>
      <c r="B264" s="12">
        <v>45692</v>
      </c>
      <c r="C264" s="11">
        <v>145</v>
      </c>
      <c r="D264" s="9" t="s">
        <v>13</v>
      </c>
      <c r="E264" s="10">
        <v>120</v>
      </c>
      <c r="F264" s="10">
        <f t="shared" si="4"/>
        <v>17400</v>
      </c>
    </row>
    <row r="265" spans="1:6" x14ac:dyDescent="0.25">
      <c r="A265" s="9"/>
      <c r="B265" s="12"/>
      <c r="C265" s="11">
        <v>50</v>
      </c>
      <c r="D265" s="9" t="s">
        <v>11</v>
      </c>
      <c r="E265" s="10">
        <v>115</v>
      </c>
      <c r="F265" s="10">
        <f t="shared" si="4"/>
        <v>5750</v>
      </c>
    </row>
    <row r="266" spans="1:6" x14ac:dyDescent="0.25">
      <c r="A266" s="9"/>
      <c r="B266" s="12"/>
      <c r="C266" s="11"/>
      <c r="D266" s="9"/>
      <c r="F266" s="8">
        <f>SUM(F264:F265)</f>
        <v>23150</v>
      </c>
    </row>
    <row r="267" spans="1:6" x14ac:dyDescent="0.25">
      <c r="A267" s="9"/>
      <c r="B267" s="12"/>
      <c r="C267" s="11"/>
      <c r="D267" s="9"/>
      <c r="F267" s="10"/>
    </row>
    <row r="268" spans="1:6" x14ac:dyDescent="0.25">
      <c r="A268" s="9" t="s">
        <v>116</v>
      </c>
      <c r="B268" s="12">
        <v>45692</v>
      </c>
      <c r="C268" s="11">
        <v>40</v>
      </c>
      <c r="D268" s="9" t="s">
        <v>36</v>
      </c>
      <c r="E268" s="10">
        <v>85</v>
      </c>
      <c r="F268" s="10">
        <f t="shared" si="4"/>
        <v>3400</v>
      </c>
    </row>
    <row r="269" spans="1:6" x14ac:dyDescent="0.25">
      <c r="A269" s="9"/>
      <c r="B269" s="12"/>
      <c r="C269" s="11"/>
      <c r="D269" s="9"/>
      <c r="F269" s="8">
        <f>SUM(F268)</f>
        <v>3400</v>
      </c>
    </row>
    <row r="270" spans="1:6" x14ac:dyDescent="0.25">
      <c r="A270" s="9"/>
      <c r="B270" s="12"/>
      <c r="C270" s="11"/>
      <c r="D270" s="9"/>
      <c r="F270" s="10"/>
    </row>
    <row r="271" spans="1:6" x14ac:dyDescent="0.25">
      <c r="A271" s="9" t="s">
        <v>29</v>
      </c>
      <c r="B271" s="12">
        <v>45692</v>
      </c>
      <c r="C271" s="11">
        <v>1</v>
      </c>
      <c r="D271" s="9" t="s">
        <v>13</v>
      </c>
      <c r="E271" s="10">
        <v>160</v>
      </c>
      <c r="F271" s="10">
        <f t="shared" si="4"/>
        <v>160</v>
      </c>
    </row>
    <row r="272" spans="1:6" x14ac:dyDescent="0.25">
      <c r="A272" s="9"/>
      <c r="B272" s="12"/>
      <c r="C272" s="11">
        <v>10</v>
      </c>
      <c r="D272" s="9" t="s">
        <v>161</v>
      </c>
      <c r="E272" s="10">
        <v>140</v>
      </c>
      <c r="F272" s="10">
        <f t="shared" si="4"/>
        <v>1400</v>
      </c>
    </row>
    <row r="273" spans="1:6" x14ac:dyDescent="0.25">
      <c r="A273" s="9"/>
      <c r="B273" s="12"/>
      <c r="C273" s="11">
        <v>1</v>
      </c>
      <c r="D273" s="9" t="s">
        <v>170</v>
      </c>
      <c r="E273" s="10">
        <v>100</v>
      </c>
      <c r="F273" s="10">
        <f t="shared" si="4"/>
        <v>100</v>
      </c>
    </row>
    <row r="274" spans="1:6" x14ac:dyDescent="0.25">
      <c r="A274" s="9"/>
      <c r="B274" s="12"/>
      <c r="C274" s="11">
        <v>6</v>
      </c>
      <c r="D274" s="9" t="s">
        <v>110</v>
      </c>
      <c r="E274" s="10">
        <v>3.3330000000000002</v>
      </c>
      <c r="F274" s="10">
        <f t="shared" si="4"/>
        <v>19.998000000000001</v>
      </c>
    </row>
    <row r="275" spans="1:6" x14ac:dyDescent="0.25">
      <c r="A275" s="9"/>
      <c r="B275" s="12"/>
      <c r="C275" s="11"/>
      <c r="D275" s="9"/>
      <c r="F275" s="8">
        <f>SUM(F271:F274)</f>
        <v>1679.998</v>
      </c>
    </row>
    <row r="276" spans="1:6" x14ac:dyDescent="0.25">
      <c r="A276" s="9"/>
      <c r="B276" s="12"/>
      <c r="C276" s="11"/>
      <c r="D276" s="9"/>
      <c r="F276" s="10"/>
    </row>
    <row r="277" spans="1:6" x14ac:dyDescent="0.25">
      <c r="A277" s="9" t="s">
        <v>157</v>
      </c>
      <c r="B277" s="12">
        <v>45693</v>
      </c>
      <c r="C277" s="11">
        <v>10</v>
      </c>
      <c r="D277" s="9" t="s">
        <v>13</v>
      </c>
      <c r="E277" s="10">
        <v>140</v>
      </c>
      <c r="F277" s="10">
        <f t="shared" si="4"/>
        <v>1400</v>
      </c>
    </row>
    <row r="278" spans="1:6" x14ac:dyDescent="0.25">
      <c r="A278" s="9"/>
      <c r="B278" s="12"/>
      <c r="C278" s="11"/>
      <c r="D278" s="9"/>
      <c r="F278" s="8">
        <f>SUM(F277)</f>
        <v>1400</v>
      </c>
    </row>
    <row r="279" spans="1:6" x14ac:dyDescent="0.25">
      <c r="A279" s="9"/>
      <c r="B279" s="12"/>
      <c r="C279" s="11"/>
      <c r="D279" s="9"/>
      <c r="F279" s="10"/>
    </row>
    <row r="280" spans="1:6" x14ac:dyDescent="0.25">
      <c r="A280" s="9" t="s">
        <v>18</v>
      </c>
      <c r="B280" s="12">
        <v>45693</v>
      </c>
      <c r="C280" s="11">
        <v>5</v>
      </c>
      <c r="D280" s="9" t="s">
        <v>13</v>
      </c>
      <c r="E280" s="10">
        <v>145</v>
      </c>
      <c r="F280" s="10">
        <f t="shared" si="4"/>
        <v>725</v>
      </c>
    </row>
    <row r="281" spans="1:6" x14ac:dyDescent="0.25">
      <c r="A281" s="9"/>
      <c r="B281" s="12"/>
      <c r="C281" s="11"/>
      <c r="D281" s="9"/>
      <c r="F281" s="8">
        <f>SUM(F280)</f>
        <v>725</v>
      </c>
    </row>
    <row r="282" spans="1:6" x14ac:dyDescent="0.25">
      <c r="A282" s="9"/>
      <c r="B282" s="12"/>
      <c r="C282" s="11"/>
      <c r="D282" s="9"/>
      <c r="F282" s="10"/>
    </row>
    <row r="283" spans="1:6" x14ac:dyDescent="0.25">
      <c r="A283" s="9" t="s">
        <v>212</v>
      </c>
      <c r="B283" s="12">
        <v>45693</v>
      </c>
      <c r="C283" s="11">
        <v>10</v>
      </c>
      <c r="D283" s="9" t="s">
        <v>213</v>
      </c>
      <c r="E283" s="10">
        <v>100</v>
      </c>
      <c r="F283" s="10">
        <f t="shared" si="4"/>
        <v>1000</v>
      </c>
    </row>
    <row r="284" spans="1:6" x14ac:dyDescent="0.25">
      <c r="A284" s="9"/>
      <c r="B284" s="12"/>
      <c r="C284" s="11"/>
      <c r="D284" s="9"/>
      <c r="F284" s="8">
        <f>SUM(F283)</f>
        <v>1000</v>
      </c>
    </row>
    <row r="285" spans="1:6" x14ac:dyDescent="0.25">
      <c r="A285" s="9"/>
      <c r="B285" s="12"/>
      <c r="C285" s="11"/>
      <c r="D285" s="9"/>
      <c r="F285" s="10"/>
    </row>
    <row r="286" spans="1:6" x14ac:dyDescent="0.25">
      <c r="A286" s="9" t="s">
        <v>40</v>
      </c>
      <c r="B286" s="12">
        <v>45693</v>
      </c>
      <c r="C286" s="11">
        <v>10</v>
      </c>
      <c r="D286" s="9" t="s">
        <v>13</v>
      </c>
      <c r="E286" s="10">
        <v>135</v>
      </c>
      <c r="F286" s="10">
        <f t="shared" si="4"/>
        <v>1350</v>
      </c>
    </row>
    <row r="287" spans="1:6" x14ac:dyDescent="0.25">
      <c r="A287" s="9"/>
      <c r="B287" s="12"/>
      <c r="C287" s="11">
        <v>17</v>
      </c>
      <c r="D287" s="9" t="s">
        <v>14</v>
      </c>
      <c r="E287" s="10">
        <v>135</v>
      </c>
      <c r="F287" s="10">
        <f t="shared" si="4"/>
        <v>2295</v>
      </c>
    </row>
    <row r="288" spans="1:6" x14ac:dyDescent="0.25">
      <c r="A288" s="9"/>
      <c r="B288" s="12"/>
      <c r="C288" s="11">
        <v>9</v>
      </c>
      <c r="D288" s="9" t="s">
        <v>214</v>
      </c>
      <c r="E288" s="10">
        <v>125</v>
      </c>
      <c r="F288" s="10">
        <f t="shared" si="4"/>
        <v>1125</v>
      </c>
    </row>
    <row r="289" spans="1:6" x14ac:dyDescent="0.25">
      <c r="A289" s="9"/>
      <c r="B289" s="12"/>
      <c r="C289" s="11"/>
      <c r="D289" s="9"/>
      <c r="F289" s="8">
        <f>SUM(F286:F288)</f>
        <v>4770</v>
      </c>
    </row>
    <row r="290" spans="1:6" x14ac:dyDescent="0.25">
      <c r="A290" s="9"/>
      <c r="B290" s="12"/>
      <c r="C290" s="11"/>
      <c r="D290" s="9"/>
      <c r="F290" s="10"/>
    </row>
    <row r="291" spans="1:6" x14ac:dyDescent="0.25">
      <c r="A291" s="9" t="s">
        <v>80</v>
      </c>
      <c r="B291" s="12">
        <v>45693</v>
      </c>
      <c r="C291" s="11">
        <v>8</v>
      </c>
      <c r="D291" s="9" t="s">
        <v>13</v>
      </c>
      <c r="E291" s="10">
        <v>145</v>
      </c>
      <c r="F291" s="10">
        <f t="shared" si="4"/>
        <v>1160</v>
      </c>
    </row>
    <row r="292" spans="1:6" x14ac:dyDescent="0.25">
      <c r="A292" s="9"/>
      <c r="B292" s="12"/>
      <c r="C292" s="11"/>
      <c r="D292" s="9"/>
      <c r="F292" s="8">
        <f>SUM(F291)</f>
        <v>1160</v>
      </c>
    </row>
    <row r="293" spans="1:6" x14ac:dyDescent="0.25">
      <c r="A293" s="9"/>
      <c r="B293" s="12"/>
      <c r="C293" s="11"/>
      <c r="D293" s="9"/>
      <c r="F293" s="10"/>
    </row>
    <row r="294" spans="1:6" x14ac:dyDescent="0.25">
      <c r="A294" s="9" t="s">
        <v>183</v>
      </c>
      <c r="B294" s="12">
        <v>45693</v>
      </c>
      <c r="C294" s="11">
        <v>10</v>
      </c>
      <c r="D294" s="9" t="s">
        <v>13</v>
      </c>
      <c r="E294" s="10">
        <v>145</v>
      </c>
      <c r="F294" s="10">
        <f t="shared" si="4"/>
        <v>1450</v>
      </c>
    </row>
    <row r="295" spans="1:6" x14ac:dyDescent="0.25">
      <c r="A295" s="9"/>
      <c r="B295" s="12"/>
      <c r="C295" s="11"/>
      <c r="D295" s="9"/>
      <c r="F295" s="8">
        <f>SUM(F294)</f>
        <v>1450</v>
      </c>
    </row>
    <row r="296" spans="1:6" x14ac:dyDescent="0.25">
      <c r="A296" s="9"/>
      <c r="B296" s="12"/>
      <c r="C296" s="11"/>
      <c r="D296" s="9"/>
      <c r="F296" s="10"/>
    </row>
    <row r="297" spans="1:6" x14ac:dyDescent="0.25">
      <c r="A297" s="9" t="s">
        <v>15</v>
      </c>
      <c r="B297" s="12">
        <v>45693</v>
      </c>
      <c r="C297" s="11">
        <v>57</v>
      </c>
      <c r="D297" s="9" t="s">
        <v>36</v>
      </c>
      <c r="E297" s="10">
        <v>85</v>
      </c>
      <c r="F297" s="10">
        <f t="shared" si="4"/>
        <v>4845</v>
      </c>
    </row>
    <row r="298" spans="1:6" x14ac:dyDescent="0.25">
      <c r="A298" s="9"/>
      <c r="B298" s="12"/>
      <c r="C298" s="11">
        <v>13</v>
      </c>
      <c r="D298" s="9" t="s">
        <v>22</v>
      </c>
      <c r="E298" s="10">
        <v>50</v>
      </c>
      <c r="F298" s="10">
        <f t="shared" si="4"/>
        <v>650</v>
      </c>
    </row>
    <row r="299" spans="1:6" x14ac:dyDescent="0.25">
      <c r="A299" s="9"/>
      <c r="B299" s="12"/>
      <c r="C299" s="11"/>
      <c r="D299" s="9"/>
      <c r="F299" s="8">
        <f>SUM(F297:F298)</f>
        <v>5495</v>
      </c>
    </row>
    <row r="300" spans="1:6" x14ac:dyDescent="0.25">
      <c r="A300" s="9"/>
      <c r="B300" s="12"/>
      <c r="C300" s="11"/>
      <c r="D300" s="9"/>
      <c r="F300" s="10"/>
    </row>
    <row r="301" spans="1:6" x14ac:dyDescent="0.25">
      <c r="A301" s="9" t="s">
        <v>20</v>
      </c>
      <c r="B301" s="12">
        <v>45693</v>
      </c>
      <c r="C301" s="11">
        <v>20</v>
      </c>
      <c r="D301" s="9" t="s">
        <v>13</v>
      </c>
      <c r="E301" s="10">
        <v>140</v>
      </c>
      <c r="F301" s="10">
        <f t="shared" si="4"/>
        <v>2800</v>
      </c>
    </row>
    <row r="302" spans="1:6" x14ac:dyDescent="0.25">
      <c r="A302" s="9"/>
      <c r="B302" s="12"/>
      <c r="C302" s="11"/>
      <c r="D302" s="9"/>
      <c r="F302" s="8">
        <f>SUM(F301)</f>
        <v>2800</v>
      </c>
    </row>
    <row r="303" spans="1:6" x14ac:dyDescent="0.25">
      <c r="A303" s="9"/>
      <c r="B303" s="12"/>
      <c r="C303" s="11"/>
      <c r="D303" s="9"/>
      <c r="F303" s="10"/>
    </row>
    <row r="304" spans="1:6" x14ac:dyDescent="0.25">
      <c r="A304" s="9" t="s">
        <v>21</v>
      </c>
      <c r="B304" s="12">
        <v>45693</v>
      </c>
      <c r="C304" s="11">
        <v>10</v>
      </c>
      <c r="D304" s="9" t="s">
        <v>13</v>
      </c>
      <c r="E304" s="10">
        <v>140</v>
      </c>
      <c r="F304" s="10">
        <f t="shared" si="4"/>
        <v>1400</v>
      </c>
    </row>
    <row r="305" spans="1:6" x14ac:dyDescent="0.25">
      <c r="A305" s="9"/>
      <c r="B305" s="12"/>
      <c r="C305" s="11">
        <v>10</v>
      </c>
      <c r="D305" s="9" t="s">
        <v>12</v>
      </c>
      <c r="E305" s="10">
        <v>135</v>
      </c>
      <c r="F305" s="10">
        <f t="shared" si="4"/>
        <v>1350</v>
      </c>
    </row>
    <row r="306" spans="1:6" x14ac:dyDescent="0.25">
      <c r="A306" s="9"/>
      <c r="B306" s="12"/>
      <c r="C306" s="11">
        <v>10</v>
      </c>
      <c r="D306" s="9" t="s">
        <v>11</v>
      </c>
      <c r="E306" s="10">
        <v>125</v>
      </c>
      <c r="F306" s="10">
        <f t="shared" si="4"/>
        <v>1250</v>
      </c>
    </row>
    <row r="307" spans="1:6" x14ac:dyDescent="0.25">
      <c r="A307" s="9"/>
      <c r="B307" s="12"/>
      <c r="C307" s="11"/>
      <c r="D307" s="9"/>
      <c r="F307" s="8">
        <f>SUM(F304:F306)</f>
        <v>4000</v>
      </c>
    </row>
    <row r="308" spans="1:6" x14ac:dyDescent="0.25">
      <c r="A308" s="9"/>
      <c r="B308" s="12"/>
      <c r="C308" s="11"/>
      <c r="D308" s="9"/>
      <c r="F308" s="10"/>
    </row>
    <row r="309" spans="1:6" x14ac:dyDescent="0.25">
      <c r="A309" s="9" t="s">
        <v>23</v>
      </c>
      <c r="B309" s="12">
        <v>45693</v>
      </c>
      <c r="C309" s="11">
        <v>12</v>
      </c>
      <c r="D309" s="9" t="s">
        <v>13</v>
      </c>
      <c r="E309" s="10">
        <v>140</v>
      </c>
      <c r="F309" s="10">
        <f t="shared" si="4"/>
        <v>1680</v>
      </c>
    </row>
    <row r="310" spans="1:6" x14ac:dyDescent="0.25">
      <c r="A310" s="9"/>
      <c r="B310" s="12"/>
      <c r="C310" s="11"/>
      <c r="D310" s="9"/>
      <c r="F310" s="8">
        <f>SUM(F309)</f>
        <v>1680</v>
      </c>
    </row>
    <row r="311" spans="1:6" x14ac:dyDescent="0.25">
      <c r="A311" s="9"/>
      <c r="B311" s="12"/>
      <c r="C311" s="11"/>
      <c r="D311" s="9"/>
      <c r="F311" s="10"/>
    </row>
    <row r="312" spans="1:6" x14ac:dyDescent="0.25">
      <c r="A312" s="9" t="s">
        <v>215</v>
      </c>
      <c r="B312" s="12">
        <v>45693</v>
      </c>
      <c r="C312" s="11">
        <v>15</v>
      </c>
      <c r="D312" s="9" t="s">
        <v>13</v>
      </c>
      <c r="E312" s="10">
        <v>140</v>
      </c>
      <c r="F312" s="10">
        <f t="shared" si="4"/>
        <v>2100</v>
      </c>
    </row>
    <row r="313" spans="1:6" x14ac:dyDescent="0.25">
      <c r="A313" s="9"/>
      <c r="B313" s="12"/>
      <c r="C313" s="11">
        <v>15</v>
      </c>
      <c r="D313" s="9" t="s">
        <v>14</v>
      </c>
      <c r="E313" s="10">
        <v>140</v>
      </c>
      <c r="F313" s="10">
        <f t="shared" si="4"/>
        <v>2100</v>
      </c>
    </row>
    <row r="314" spans="1:6" x14ac:dyDescent="0.25">
      <c r="A314" s="9"/>
      <c r="B314" s="12"/>
      <c r="C314" s="11"/>
      <c r="D314" s="9"/>
      <c r="F314" s="8">
        <f>SUM(F312:F313)</f>
        <v>4200</v>
      </c>
    </row>
    <row r="315" spans="1:6" x14ac:dyDescent="0.25">
      <c r="A315" s="9"/>
      <c r="B315" s="12"/>
      <c r="C315" s="11"/>
      <c r="D315" s="9"/>
      <c r="F315" s="10"/>
    </row>
    <row r="316" spans="1:6" x14ac:dyDescent="0.25">
      <c r="A316" s="9" t="s">
        <v>45</v>
      </c>
      <c r="B316" s="12">
        <v>45693</v>
      </c>
      <c r="C316" s="11">
        <v>12</v>
      </c>
      <c r="D316" s="9" t="s">
        <v>14</v>
      </c>
      <c r="E316" s="10">
        <v>125</v>
      </c>
      <c r="F316" s="10">
        <f t="shared" si="4"/>
        <v>1500</v>
      </c>
    </row>
    <row r="317" spans="1:6" x14ac:dyDescent="0.25">
      <c r="A317" s="9"/>
      <c r="B317" s="12"/>
      <c r="C317" s="11"/>
      <c r="D317" s="9"/>
      <c r="F317" s="8">
        <f>SUM(F316)</f>
        <v>1500</v>
      </c>
    </row>
    <row r="318" spans="1:6" x14ac:dyDescent="0.25">
      <c r="A318" s="9"/>
      <c r="B318" s="12"/>
      <c r="C318" s="11"/>
      <c r="D318" s="9"/>
      <c r="F318" s="10"/>
    </row>
    <row r="319" spans="1:6" x14ac:dyDescent="0.25">
      <c r="A319" s="9" t="s">
        <v>44</v>
      </c>
      <c r="B319" s="12">
        <v>45693</v>
      </c>
      <c r="C319" s="11">
        <v>30</v>
      </c>
      <c r="D319" s="9" t="s">
        <v>14</v>
      </c>
      <c r="E319" s="10">
        <v>125</v>
      </c>
      <c r="F319" s="10">
        <f t="shared" si="4"/>
        <v>3750</v>
      </c>
    </row>
    <row r="320" spans="1:6" x14ac:dyDescent="0.25">
      <c r="A320" s="9"/>
      <c r="B320" s="12"/>
      <c r="C320" s="11"/>
      <c r="D320" s="9"/>
      <c r="F320" s="8">
        <f>SUM(F319)</f>
        <v>3750</v>
      </c>
    </row>
    <row r="321" spans="1:6" x14ac:dyDescent="0.25">
      <c r="A321" s="9"/>
      <c r="B321" s="12"/>
      <c r="C321" s="11"/>
      <c r="D321" s="9"/>
      <c r="F321" s="10"/>
    </row>
    <row r="322" spans="1:6" x14ac:dyDescent="0.25">
      <c r="A322" s="9" t="s">
        <v>18</v>
      </c>
      <c r="B322" s="12">
        <v>45693</v>
      </c>
      <c r="C322" s="11">
        <v>30</v>
      </c>
      <c r="D322" s="9" t="s">
        <v>14</v>
      </c>
      <c r="E322" s="10">
        <v>125</v>
      </c>
      <c r="F322" s="10">
        <f t="shared" si="4"/>
        <v>3750</v>
      </c>
    </row>
    <row r="323" spans="1:6" x14ac:dyDescent="0.25">
      <c r="A323" s="9"/>
      <c r="B323" s="12"/>
      <c r="C323" s="11">
        <v>20</v>
      </c>
      <c r="D323" s="9" t="s">
        <v>12</v>
      </c>
      <c r="E323" s="10">
        <v>130</v>
      </c>
      <c r="F323" s="10">
        <f t="shared" si="4"/>
        <v>2600</v>
      </c>
    </row>
    <row r="324" spans="1:6" x14ac:dyDescent="0.25">
      <c r="A324" s="9"/>
      <c r="B324" s="12"/>
      <c r="C324" s="11"/>
      <c r="D324" s="9"/>
      <c r="F324" s="8">
        <f>SUM(F322:F323)</f>
        <v>6350</v>
      </c>
    </row>
    <row r="325" spans="1:6" x14ac:dyDescent="0.25">
      <c r="A325" s="9"/>
      <c r="B325" s="12"/>
      <c r="C325" s="11"/>
      <c r="D325" s="9"/>
      <c r="F325" s="10"/>
    </row>
    <row r="326" spans="1:6" x14ac:dyDescent="0.25">
      <c r="A326" s="9" t="s">
        <v>43</v>
      </c>
      <c r="B326" s="12">
        <v>45693</v>
      </c>
      <c r="C326" s="11">
        <v>20</v>
      </c>
      <c r="D326" s="9" t="s">
        <v>14</v>
      </c>
      <c r="E326" s="10">
        <v>125</v>
      </c>
      <c r="F326" s="10">
        <f t="shared" ref="F326:F390" si="5">+C326*E326</f>
        <v>2500</v>
      </c>
    </row>
    <row r="327" spans="1:6" x14ac:dyDescent="0.25">
      <c r="A327" s="9"/>
      <c r="B327" s="12"/>
      <c r="C327" s="11"/>
      <c r="D327" s="9"/>
      <c r="F327" s="8">
        <f>SUM(F326)</f>
        <v>2500</v>
      </c>
    </row>
    <row r="328" spans="1:6" x14ac:dyDescent="0.25">
      <c r="A328" s="9"/>
      <c r="B328" s="12"/>
      <c r="C328" s="11"/>
      <c r="D328" s="9"/>
      <c r="F328" s="10"/>
    </row>
    <row r="329" spans="1:6" x14ac:dyDescent="0.25">
      <c r="A329" s="9" t="s">
        <v>41</v>
      </c>
      <c r="B329" s="12">
        <v>45693</v>
      </c>
      <c r="C329" s="11">
        <v>35</v>
      </c>
      <c r="D329" s="9" t="s">
        <v>14</v>
      </c>
      <c r="E329" s="10">
        <v>135</v>
      </c>
      <c r="F329" s="10">
        <f t="shared" si="5"/>
        <v>4725</v>
      </c>
    </row>
    <row r="330" spans="1:6" x14ac:dyDescent="0.25">
      <c r="A330" s="9"/>
      <c r="B330" s="12"/>
      <c r="C330" s="11"/>
      <c r="D330" s="9"/>
      <c r="F330" s="8">
        <f>SUM(F329)</f>
        <v>4725</v>
      </c>
    </row>
    <row r="331" spans="1:6" x14ac:dyDescent="0.25">
      <c r="A331" s="9"/>
      <c r="B331" s="12"/>
      <c r="C331" s="11"/>
      <c r="D331" s="9"/>
      <c r="F331" s="10"/>
    </row>
    <row r="332" spans="1:6" x14ac:dyDescent="0.25">
      <c r="A332" s="9" t="s">
        <v>46</v>
      </c>
      <c r="B332" s="12">
        <v>45693</v>
      </c>
      <c r="C332" s="11">
        <v>20</v>
      </c>
      <c r="D332" s="9" t="s">
        <v>14</v>
      </c>
      <c r="E332" s="10">
        <v>130</v>
      </c>
      <c r="F332" s="10">
        <f t="shared" si="5"/>
        <v>2600</v>
      </c>
    </row>
    <row r="333" spans="1:6" x14ac:dyDescent="0.25">
      <c r="A333" s="9"/>
      <c r="B333" s="12"/>
      <c r="C333" s="11"/>
      <c r="D333" s="9"/>
      <c r="F333" s="8">
        <f>SUM(F332)</f>
        <v>2600</v>
      </c>
    </row>
    <row r="334" spans="1:6" x14ac:dyDescent="0.25">
      <c r="A334" s="9"/>
      <c r="B334" s="12"/>
      <c r="C334" s="11"/>
      <c r="D334" s="9"/>
      <c r="F334" s="10"/>
    </row>
    <row r="335" spans="1:6" x14ac:dyDescent="0.25">
      <c r="A335" s="9" t="s">
        <v>107</v>
      </c>
      <c r="B335" s="12">
        <v>45693</v>
      </c>
      <c r="C335" s="11">
        <v>64</v>
      </c>
      <c r="D335" s="9" t="s">
        <v>14</v>
      </c>
      <c r="E335" s="10">
        <v>140</v>
      </c>
      <c r="F335" s="10">
        <f t="shared" si="5"/>
        <v>8960</v>
      </c>
    </row>
    <row r="336" spans="1:6" x14ac:dyDescent="0.25">
      <c r="A336" s="9"/>
      <c r="B336" s="12"/>
      <c r="C336" s="11"/>
      <c r="D336" s="9"/>
      <c r="F336" s="8">
        <f>SUM(F335)</f>
        <v>8960</v>
      </c>
    </row>
    <row r="337" spans="1:6" x14ac:dyDescent="0.25">
      <c r="A337" s="9"/>
      <c r="B337" s="12"/>
      <c r="C337" s="11"/>
      <c r="D337" s="9"/>
      <c r="F337" s="10"/>
    </row>
    <row r="338" spans="1:6" x14ac:dyDescent="0.25">
      <c r="A338" s="9" t="s">
        <v>133</v>
      </c>
      <c r="B338" s="12">
        <v>45693</v>
      </c>
      <c r="C338" s="11">
        <v>5</v>
      </c>
      <c r="D338" s="9" t="s">
        <v>13</v>
      </c>
      <c r="E338" s="10">
        <v>155</v>
      </c>
      <c r="F338" s="10">
        <f t="shared" si="5"/>
        <v>775</v>
      </c>
    </row>
    <row r="339" spans="1:6" x14ac:dyDescent="0.25">
      <c r="A339" s="9"/>
      <c r="B339" s="12"/>
      <c r="C339" s="11"/>
      <c r="D339" s="9"/>
      <c r="F339" s="8">
        <f>SUM(F338)</f>
        <v>775</v>
      </c>
    </row>
    <row r="340" spans="1:6" x14ac:dyDescent="0.25">
      <c r="A340" s="9"/>
      <c r="B340" s="12"/>
      <c r="C340" s="11"/>
      <c r="D340" s="9"/>
      <c r="F340" s="10"/>
    </row>
    <row r="341" spans="1:6" x14ac:dyDescent="0.25">
      <c r="A341" s="9" t="s">
        <v>32</v>
      </c>
      <c r="B341" s="12">
        <v>45693</v>
      </c>
      <c r="C341" s="11">
        <v>40</v>
      </c>
      <c r="D341" s="9" t="s">
        <v>13</v>
      </c>
      <c r="E341" s="10">
        <v>150</v>
      </c>
      <c r="F341" s="10">
        <f t="shared" si="5"/>
        <v>6000</v>
      </c>
    </row>
    <row r="342" spans="1:6" x14ac:dyDescent="0.25">
      <c r="A342" s="9"/>
      <c r="B342" s="12"/>
      <c r="C342" s="11"/>
      <c r="D342" s="9"/>
      <c r="F342" s="8">
        <f>SUM(F341)</f>
        <v>6000</v>
      </c>
    </row>
    <row r="343" spans="1:6" x14ac:dyDescent="0.25">
      <c r="A343" s="9"/>
      <c r="B343" s="12"/>
      <c r="C343" s="11"/>
      <c r="D343" s="9"/>
      <c r="F343" s="10"/>
    </row>
    <row r="344" spans="1:6" x14ac:dyDescent="0.25">
      <c r="A344" s="9" t="s">
        <v>72</v>
      </c>
      <c r="B344" s="12">
        <v>45693</v>
      </c>
      <c r="C344" s="11">
        <v>250</v>
      </c>
      <c r="D344" s="9" t="s">
        <v>13</v>
      </c>
      <c r="E344" s="10">
        <v>130</v>
      </c>
      <c r="F344" s="10">
        <f t="shared" si="5"/>
        <v>32500</v>
      </c>
    </row>
    <row r="345" spans="1:6" x14ac:dyDescent="0.25">
      <c r="A345" s="9"/>
      <c r="B345" s="12"/>
      <c r="C345" s="11">
        <v>100</v>
      </c>
      <c r="D345" s="9" t="s">
        <v>12</v>
      </c>
      <c r="E345" s="10">
        <v>125</v>
      </c>
      <c r="F345" s="10">
        <f t="shared" si="5"/>
        <v>12500</v>
      </c>
    </row>
    <row r="346" spans="1:6" x14ac:dyDescent="0.25">
      <c r="A346" s="9"/>
      <c r="B346" s="12"/>
      <c r="C346" s="11">
        <v>20</v>
      </c>
      <c r="D346" s="9" t="s">
        <v>14</v>
      </c>
      <c r="E346" s="10">
        <v>130</v>
      </c>
      <c r="F346" s="10">
        <f t="shared" si="5"/>
        <v>2600</v>
      </c>
    </row>
    <row r="347" spans="1:6" x14ac:dyDescent="0.25">
      <c r="A347" s="9"/>
      <c r="B347" s="12"/>
      <c r="C347" s="11">
        <v>100</v>
      </c>
      <c r="D347" s="9" t="s">
        <v>11</v>
      </c>
      <c r="E347" s="10">
        <v>125</v>
      </c>
      <c r="F347" s="10">
        <f t="shared" si="5"/>
        <v>12500</v>
      </c>
    </row>
    <row r="348" spans="1:6" x14ac:dyDescent="0.25">
      <c r="A348" s="9"/>
      <c r="B348" s="12"/>
      <c r="C348" s="11"/>
      <c r="D348" s="9"/>
      <c r="F348" s="8">
        <f>SUM(F344:F347)</f>
        <v>60100</v>
      </c>
    </row>
    <row r="349" spans="1:6" x14ac:dyDescent="0.25">
      <c r="A349" s="9"/>
      <c r="B349" s="12"/>
      <c r="C349" s="11"/>
      <c r="D349" s="9"/>
      <c r="F349" s="10"/>
    </row>
    <row r="350" spans="1:6" x14ac:dyDescent="0.25">
      <c r="A350" s="9" t="s">
        <v>216</v>
      </c>
      <c r="B350" s="12">
        <v>45693</v>
      </c>
      <c r="C350" s="11">
        <v>300</v>
      </c>
      <c r="D350" s="9" t="s">
        <v>14</v>
      </c>
      <c r="F350" s="10">
        <f t="shared" si="5"/>
        <v>0</v>
      </c>
    </row>
    <row r="351" spans="1:6" x14ac:dyDescent="0.25">
      <c r="A351" s="9"/>
      <c r="B351" s="12"/>
      <c r="C351" s="11">
        <v>50</v>
      </c>
      <c r="D351" s="9" t="s">
        <v>12</v>
      </c>
      <c r="F351" s="10">
        <f t="shared" si="5"/>
        <v>0</v>
      </c>
    </row>
    <row r="352" spans="1:6" x14ac:dyDescent="0.25">
      <c r="A352" s="9"/>
      <c r="B352" s="12"/>
      <c r="C352" s="11">
        <v>100</v>
      </c>
      <c r="D352" s="9" t="s">
        <v>22</v>
      </c>
      <c r="E352" s="10">
        <v>0</v>
      </c>
      <c r="F352" s="10">
        <f t="shared" si="5"/>
        <v>0</v>
      </c>
    </row>
    <row r="353" spans="1:7" x14ac:dyDescent="0.25">
      <c r="A353" s="9"/>
      <c r="B353" s="12"/>
      <c r="C353" s="11"/>
      <c r="D353" s="9"/>
      <c r="F353" s="8">
        <f>SUM(F350:F352)</f>
        <v>0</v>
      </c>
      <c r="G353" s="9"/>
    </row>
    <row r="354" spans="1:7" x14ac:dyDescent="0.25">
      <c r="A354" s="9"/>
      <c r="B354" s="12"/>
      <c r="C354" s="11"/>
      <c r="D354" s="9"/>
      <c r="F354" s="10"/>
      <c r="G354" s="9">
        <v>0</v>
      </c>
    </row>
    <row r="355" spans="1:7" x14ac:dyDescent="0.25">
      <c r="A355" s="9" t="s">
        <v>29</v>
      </c>
      <c r="B355" s="12">
        <v>45693</v>
      </c>
      <c r="C355" s="11">
        <v>2</v>
      </c>
      <c r="D355" s="9" t="s">
        <v>8</v>
      </c>
      <c r="E355" s="10">
        <v>150</v>
      </c>
      <c r="F355" s="10">
        <f t="shared" si="5"/>
        <v>300</v>
      </c>
      <c r="G355" s="9"/>
    </row>
    <row r="356" spans="1:7" x14ac:dyDescent="0.25">
      <c r="A356" s="9"/>
      <c r="B356" s="12"/>
      <c r="C356" s="11">
        <v>1</v>
      </c>
      <c r="D356" s="9" t="s">
        <v>8</v>
      </c>
      <c r="E356" s="10">
        <v>150</v>
      </c>
      <c r="F356" s="10">
        <f t="shared" si="5"/>
        <v>150</v>
      </c>
      <c r="G356" s="9"/>
    </row>
    <row r="357" spans="1:7" x14ac:dyDescent="0.25">
      <c r="A357" s="9"/>
      <c r="B357" s="12"/>
      <c r="C357" s="11"/>
      <c r="D357" s="9"/>
      <c r="F357" s="8">
        <f>SUM(F355:F356)</f>
        <v>450</v>
      </c>
      <c r="G357" s="9"/>
    </row>
    <row r="358" spans="1:7" x14ac:dyDescent="0.25">
      <c r="A358" s="9"/>
      <c r="B358" s="12"/>
      <c r="C358" s="11"/>
      <c r="D358" s="9"/>
      <c r="F358" s="10"/>
      <c r="G358" s="9"/>
    </row>
    <row r="359" spans="1:7" x14ac:dyDescent="0.25">
      <c r="A359" s="9" t="s">
        <v>181</v>
      </c>
      <c r="B359" s="12">
        <v>45693</v>
      </c>
      <c r="C359" s="11">
        <v>3</v>
      </c>
      <c r="D359" s="9" t="s">
        <v>217</v>
      </c>
      <c r="E359" s="10">
        <v>150</v>
      </c>
      <c r="F359" s="10">
        <f t="shared" si="5"/>
        <v>450</v>
      </c>
      <c r="G359" s="9"/>
    </row>
    <row r="360" spans="1:7" x14ac:dyDescent="0.25">
      <c r="A360" s="9"/>
      <c r="B360" s="12"/>
      <c r="C360" s="11">
        <v>0.5</v>
      </c>
      <c r="D360" s="9" t="s">
        <v>217</v>
      </c>
      <c r="E360" s="10">
        <v>170</v>
      </c>
      <c r="F360" s="10">
        <f t="shared" si="5"/>
        <v>85</v>
      </c>
      <c r="G360" s="9"/>
    </row>
    <row r="361" spans="1:7" x14ac:dyDescent="0.25">
      <c r="A361" s="9"/>
      <c r="B361" s="12"/>
      <c r="C361" s="11">
        <v>3</v>
      </c>
      <c r="D361" s="9" t="s">
        <v>217</v>
      </c>
      <c r="E361" s="10">
        <v>170</v>
      </c>
      <c r="F361" s="10">
        <f t="shared" si="5"/>
        <v>510</v>
      </c>
      <c r="G361" s="9"/>
    </row>
    <row r="362" spans="1:7" x14ac:dyDescent="0.25">
      <c r="A362" s="9"/>
      <c r="B362" s="12"/>
      <c r="C362" s="11">
        <v>9</v>
      </c>
      <c r="D362" s="9" t="s">
        <v>110</v>
      </c>
      <c r="E362" s="10">
        <v>3.3333300000000001</v>
      </c>
      <c r="F362" s="10">
        <f t="shared" si="5"/>
        <v>29.999970000000001</v>
      </c>
      <c r="G362" s="9"/>
    </row>
    <row r="363" spans="1:7" x14ac:dyDescent="0.25">
      <c r="A363" s="9"/>
      <c r="B363" s="12"/>
      <c r="C363" s="11"/>
      <c r="D363" s="9"/>
      <c r="F363" s="8">
        <f>SUM(F359:F362)</f>
        <v>1074.9999700000001</v>
      </c>
      <c r="G363" s="9"/>
    </row>
    <row r="364" spans="1:7" x14ac:dyDescent="0.25">
      <c r="A364" s="9"/>
      <c r="B364" s="12"/>
      <c r="C364" s="11"/>
      <c r="D364" s="9"/>
      <c r="F364" s="10"/>
      <c r="G364" s="9"/>
    </row>
    <row r="365" spans="1:7" x14ac:dyDescent="0.25">
      <c r="A365" s="9" t="s">
        <v>60</v>
      </c>
      <c r="B365" s="12">
        <v>45694</v>
      </c>
      <c r="C365" s="11">
        <v>30</v>
      </c>
      <c r="D365" s="9" t="s">
        <v>13</v>
      </c>
      <c r="E365" s="10">
        <v>145</v>
      </c>
      <c r="F365" s="10">
        <f t="shared" si="5"/>
        <v>4350</v>
      </c>
      <c r="G365" s="9"/>
    </row>
    <row r="366" spans="1:7" x14ac:dyDescent="0.25">
      <c r="A366" s="9"/>
      <c r="B366" s="12"/>
      <c r="C366" s="11"/>
      <c r="D366" s="9"/>
      <c r="F366" s="8">
        <f>SUM(F365)</f>
        <v>4350</v>
      </c>
      <c r="G366" s="9"/>
    </row>
    <row r="367" spans="1:7" x14ac:dyDescent="0.25">
      <c r="A367" s="9"/>
      <c r="B367" s="12"/>
      <c r="C367" s="11"/>
      <c r="D367" s="9"/>
      <c r="F367" s="10"/>
      <c r="G367" s="9"/>
    </row>
    <row r="368" spans="1:7" x14ac:dyDescent="0.25">
      <c r="A368" s="9" t="s">
        <v>205</v>
      </c>
      <c r="B368" s="12">
        <v>45694</v>
      </c>
      <c r="C368" s="11">
        <v>10</v>
      </c>
      <c r="D368" s="9" t="s">
        <v>13</v>
      </c>
      <c r="E368" s="10">
        <v>140</v>
      </c>
      <c r="F368" s="10">
        <f t="shared" si="5"/>
        <v>1400</v>
      </c>
      <c r="G368" s="9"/>
    </row>
    <row r="369" spans="1:6" x14ac:dyDescent="0.25">
      <c r="A369" s="9"/>
      <c r="B369" s="12"/>
      <c r="C369" s="11"/>
      <c r="D369" s="9"/>
      <c r="F369" s="8">
        <f>SUM(F368)</f>
        <v>1400</v>
      </c>
    </row>
    <row r="370" spans="1:6" x14ac:dyDescent="0.25">
      <c r="A370" s="9"/>
      <c r="B370" s="12"/>
      <c r="C370" s="11"/>
      <c r="D370" s="9"/>
      <c r="F370" s="10"/>
    </row>
    <row r="371" spans="1:6" x14ac:dyDescent="0.25">
      <c r="A371" s="9" t="s">
        <v>89</v>
      </c>
      <c r="B371" s="12">
        <v>45694</v>
      </c>
      <c r="C371" s="11">
        <v>60</v>
      </c>
      <c r="D371" s="9" t="s">
        <v>13</v>
      </c>
      <c r="E371" s="10">
        <v>130</v>
      </c>
      <c r="F371" s="10">
        <f t="shared" si="5"/>
        <v>7800</v>
      </c>
    </row>
    <row r="372" spans="1:6" x14ac:dyDescent="0.25">
      <c r="A372" s="9"/>
      <c r="B372" s="12"/>
      <c r="C372" s="11">
        <v>50</v>
      </c>
      <c r="D372" s="9" t="s">
        <v>12</v>
      </c>
      <c r="E372" s="10">
        <v>125</v>
      </c>
      <c r="F372" s="10">
        <f t="shared" si="5"/>
        <v>6250</v>
      </c>
    </row>
    <row r="373" spans="1:6" x14ac:dyDescent="0.25">
      <c r="A373" s="9"/>
      <c r="B373" s="12"/>
      <c r="C373" s="11">
        <v>30</v>
      </c>
      <c r="D373" s="9" t="s">
        <v>14</v>
      </c>
      <c r="E373" s="10">
        <v>120</v>
      </c>
      <c r="F373" s="10">
        <f t="shared" si="5"/>
        <v>3600</v>
      </c>
    </row>
    <row r="374" spans="1:6" x14ac:dyDescent="0.25">
      <c r="A374" s="9"/>
      <c r="B374" s="12"/>
      <c r="C374" s="11">
        <v>10</v>
      </c>
      <c r="D374" s="9" t="s">
        <v>11</v>
      </c>
      <c r="E374" s="10">
        <v>115</v>
      </c>
      <c r="F374" s="10">
        <f t="shared" si="5"/>
        <v>1150</v>
      </c>
    </row>
    <row r="375" spans="1:6" x14ac:dyDescent="0.25">
      <c r="A375" s="9"/>
      <c r="B375" s="12"/>
      <c r="C375" s="11"/>
      <c r="D375" s="9"/>
      <c r="F375" s="8">
        <f>SUM(F371:F374)</f>
        <v>18800</v>
      </c>
    </row>
    <row r="376" spans="1:6" x14ac:dyDescent="0.25">
      <c r="A376" s="9"/>
      <c r="B376" s="12"/>
      <c r="C376" s="11"/>
      <c r="D376" s="9"/>
      <c r="F376" s="10"/>
    </row>
    <row r="377" spans="1:6" x14ac:dyDescent="0.25">
      <c r="A377" s="9" t="s">
        <v>28</v>
      </c>
      <c r="B377" s="12">
        <v>45694</v>
      </c>
      <c r="C377" s="11">
        <v>250</v>
      </c>
      <c r="D377" s="9" t="s">
        <v>13</v>
      </c>
      <c r="E377" s="10">
        <v>135</v>
      </c>
      <c r="F377" s="10">
        <f t="shared" si="5"/>
        <v>33750</v>
      </c>
    </row>
    <row r="378" spans="1:6" x14ac:dyDescent="0.25">
      <c r="A378" s="9"/>
      <c r="B378" s="12"/>
      <c r="C378" s="11"/>
      <c r="D378" s="9"/>
      <c r="F378" s="8">
        <f>SUM(F377)</f>
        <v>33750</v>
      </c>
    </row>
    <row r="379" spans="1:6" x14ac:dyDescent="0.25">
      <c r="A379" s="9"/>
      <c r="B379" s="12"/>
      <c r="C379" s="11"/>
      <c r="D379" s="9"/>
      <c r="F379" s="10"/>
    </row>
    <row r="380" spans="1:6" s="9" customFormat="1" x14ac:dyDescent="0.25">
      <c r="A380" s="9" t="s">
        <v>218</v>
      </c>
      <c r="B380" s="12">
        <v>45694</v>
      </c>
      <c r="C380" s="11">
        <v>5</v>
      </c>
      <c r="D380" s="9" t="s">
        <v>13</v>
      </c>
      <c r="E380" s="10">
        <v>150</v>
      </c>
      <c r="F380" s="10">
        <f t="shared" si="5"/>
        <v>750</v>
      </c>
    </row>
    <row r="381" spans="1:6" s="9" customFormat="1" x14ac:dyDescent="0.25">
      <c r="B381" s="12"/>
      <c r="C381" s="11"/>
      <c r="E381" s="10"/>
      <c r="F381" s="8">
        <f>SUM(F380)</f>
        <v>750</v>
      </c>
    </row>
    <row r="382" spans="1:6" s="9" customFormat="1" x14ac:dyDescent="0.25">
      <c r="B382" s="12"/>
      <c r="C382" s="11"/>
      <c r="E382" s="10"/>
      <c r="F382" s="10"/>
    </row>
    <row r="383" spans="1:6" x14ac:dyDescent="0.25">
      <c r="A383" s="9" t="s">
        <v>167</v>
      </c>
      <c r="B383" s="12">
        <v>45694</v>
      </c>
      <c r="C383" s="11">
        <v>12</v>
      </c>
      <c r="D383" s="9" t="s">
        <v>13</v>
      </c>
      <c r="E383" s="10">
        <v>150</v>
      </c>
      <c r="F383" s="10">
        <f t="shared" si="5"/>
        <v>1800</v>
      </c>
    </row>
    <row r="384" spans="1:6" x14ac:dyDescent="0.25">
      <c r="A384" s="9"/>
      <c r="B384" s="12"/>
      <c r="C384" s="11">
        <v>4</v>
      </c>
      <c r="D384" s="9" t="s">
        <v>14</v>
      </c>
      <c r="E384" s="10">
        <v>135</v>
      </c>
      <c r="F384" s="10">
        <f t="shared" si="5"/>
        <v>540</v>
      </c>
    </row>
    <row r="385" spans="1:6" x14ac:dyDescent="0.25">
      <c r="A385" s="9"/>
      <c r="B385" s="12"/>
      <c r="C385" s="11"/>
      <c r="D385" s="9"/>
      <c r="F385" s="8">
        <f>SUM(F383:F384)</f>
        <v>2340</v>
      </c>
    </row>
    <row r="386" spans="1:6" x14ac:dyDescent="0.25">
      <c r="A386" s="9"/>
      <c r="B386" s="12"/>
      <c r="C386" s="11"/>
      <c r="D386" s="9"/>
      <c r="F386" s="10"/>
    </row>
    <row r="387" spans="1:6" x14ac:dyDescent="0.25">
      <c r="A387" s="9" t="s">
        <v>117</v>
      </c>
      <c r="B387" s="12">
        <v>45694</v>
      </c>
      <c r="C387" s="11">
        <v>5</v>
      </c>
      <c r="D387" s="9" t="s">
        <v>13</v>
      </c>
      <c r="E387" s="10">
        <v>155</v>
      </c>
      <c r="F387" s="10">
        <f t="shared" si="5"/>
        <v>775</v>
      </c>
    </row>
    <row r="388" spans="1:6" x14ac:dyDescent="0.25">
      <c r="A388" s="9"/>
      <c r="B388" s="12"/>
      <c r="C388" s="11"/>
      <c r="D388" s="9"/>
      <c r="F388" s="8">
        <f>SUM(F387)</f>
        <v>775</v>
      </c>
    </row>
    <row r="389" spans="1:6" x14ac:dyDescent="0.25">
      <c r="A389" s="9"/>
      <c r="B389" s="12"/>
      <c r="C389" s="11"/>
      <c r="D389" s="9"/>
      <c r="F389" s="10"/>
    </row>
    <row r="390" spans="1:6" x14ac:dyDescent="0.25">
      <c r="A390" s="9" t="s">
        <v>53</v>
      </c>
      <c r="B390" s="12">
        <v>45694</v>
      </c>
      <c r="C390" s="11">
        <v>5</v>
      </c>
      <c r="D390" s="9" t="s">
        <v>12</v>
      </c>
      <c r="E390" s="10">
        <v>140</v>
      </c>
      <c r="F390" s="10">
        <f t="shared" si="5"/>
        <v>700</v>
      </c>
    </row>
    <row r="391" spans="1:6" x14ac:dyDescent="0.25">
      <c r="A391" s="9"/>
      <c r="B391" s="12"/>
      <c r="C391" s="11">
        <v>5</v>
      </c>
      <c r="D391" s="9" t="s">
        <v>13</v>
      </c>
      <c r="E391" s="10">
        <v>145</v>
      </c>
      <c r="F391" s="10">
        <f t="shared" ref="F391:F456" si="6">+C391*E391</f>
        <v>725</v>
      </c>
    </row>
    <row r="392" spans="1:6" x14ac:dyDescent="0.25">
      <c r="A392" s="9"/>
      <c r="B392" s="12"/>
      <c r="C392" s="11">
        <v>69</v>
      </c>
      <c r="D392" s="9" t="s">
        <v>13</v>
      </c>
      <c r="E392" s="10">
        <v>140</v>
      </c>
      <c r="F392" s="10">
        <f t="shared" si="6"/>
        <v>9660</v>
      </c>
    </row>
    <row r="393" spans="1:6" x14ac:dyDescent="0.25">
      <c r="A393" s="9"/>
      <c r="B393" s="12"/>
      <c r="C393" s="11"/>
      <c r="D393" s="9"/>
      <c r="F393" s="8">
        <f>SUM(F390:F392)</f>
        <v>11085</v>
      </c>
    </row>
    <row r="394" spans="1:6" x14ac:dyDescent="0.25">
      <c r="A394" s="9"/>
      <c r="B394" s="12"/>
      <c r="C394" s="11"/>
      <c r="D394" s="9"/>
      <c r="F394" s="10"/>
    </row>
    <row r="395" spans="1:6" s="9" customFormat="1" x14ac:dyDescent="0.25">
      <c r="A395" s="9" t="s">
        <v>65</v>
      </c>
      <c r="B395" s="12">
        <v>45694</v>
      </c>
      <c r="C395" s="11">
        <v>300</v>
      </c>
      <c r="D395" s="9" t="s">
        <v>12</v>
      </c>
      <c r="E395" s="10">
        <v>128</v>
      </c>
      <c r="F395" s="10">
        <f t="shared" si="6"/>
        <v>38400</v>
      </c>
    </row>
    <row r="396" spans="1:6" s="9" customFormat="1" x14ac:dyDescent="0.25">
      <c r="B396" s="12"/>
      <c r="C396" s="11">
        <v>300</v>
      </c>
      <c r="D396" s="9" t="s">
        <v>22</v>
      </c>
      <c r="E396" s="10">
        <v>120</v>
      </c>
      <c r="F396" s="10">
        <f t="shared" si="6"/>
        <v>36000</v>
      </c>
    </row>
    <row r="397" spans="1:6" s="9" customFormat="1" x14ac:dyDescent="0.25">
      <c r="B397" s="12"/>
      <c r="C397" s="11"/>
      <c r="E397" s="10"/>
      <c r="F397" s="8">
        <f>SUM(F395:F396)</f>
        <v>74400</v>
      </c>
    </row>
    <row r="398" spans="1:6" s="9" customFormat="1" x14ac:dyDescent="0.25">
      <c r="B398" s="12"/>
      <c r="C398" s="11"/>
      <c r="E398" s="10"/>
      <c r="F398" s="10"/>
    </row>
    <row r="399" spans="1:6" x14ac:dyDescent="0.25">
      <c r="A399" s="9" t="s">
        <v>29</v>
      </c>
      <c r="B399" s="12">
        <v>45694</v>
      </c>
      <c r="C399" s="11">
        <v>10</v>
      </c>
      <c r="D399" s="9" t="s">
        <v>219</v>
      </c>
      <c r="E399" s="10">
        <v>150</v>
      </c>
      <c r="F399" s="10">
        <f t="shared" si="6"/>
        <v>1500</v>
      </c>
    </row>
    <row r="400" spans="1:6" x14ac:dyDescent="0.25">
      <c r="A400" s="9"/>
      <c r="B400" s="12"/>
      <c r="C400" s="11">
        <v>2</v>
      </c>
      <c r="D400" s="9" t="s">
        <v>220</v>
      </c>
      <c r="E400" s="10">
        <v>150</v>
      </c>
      <c r="F400" s="10">
        <f t="shared" si="6"/>
        <v>300</v>
      </c>
    </row>
    <row r="401" spans="1:6" x14ac:dyDescent="0.25">
      <c r="A401" s="9"/>
      <c r="B401" s="12"/>
      <c r="C401" s="11"/>
      <c r="D401" s="9"/>
      <c r="F401" s="8">
        <f>SUM(F399:F400)</f>
        <v>1800</v>
      </c>
    </row>
    <row r="402" spans="1:6" x14ac:dyDescent="0.25">
      <c r="A402" s="9"/>
      <c r="B402" s="12"/>
      <c r="C402" s="11"/>
      <c r="D402" s="9"/>
      <c r="F402" s="10"/>
    </row>
    <row r="403" spans="1:6" x14ac:dyDescent="0.25">
      <c r="A403" s="9" t="s">
        <v>7</v>
      </c>
      <c r="B403" s="12">
        <v>45694</v>
      </c>
      <c r="C403" s="11">
        <v>1</v>
      </c>
      <c r="D403" s="9" t="s">
        <v>8</v>
      </c>
      <c r="E403" s="10">
        <v>170</v>
      </c>
      <c r="F403" s="10">
        <f t="shared" si="6"/>
        <v>170</v>
      </c>
    </row>
    <row r="404" spans="1:6" x14ac:dyDescent="0.25">
      <c r="A404" s="9"/>
      <c r="B404" s="12"/>
      <c r="C404" s="11">
        <v>2</v>
      </c>
      <c r="D404" s="9" t="s">
        <v>12</v>
      </c>
      <c r="E404" s="10">
        <v>150</v>
      </c>
      <c r="F404" s="10">
        <f t="shared" si="6"/>
        <v>300</v>
      </c>
    </row>
    <row r="405" spans="1:6" x14ac:dyDescent="0.25">
      <c r="A405" s="9"/>
      <c r="B405" s="12"/>
      <c r="C405" s="11">
        <v>3</v>
      </c>
      <c r="D405" s="9" t="s">
        <v>13</v>
      </c>
      <c r="E405" s="10">
        <v>160</v>
      </c>
      <c r="F405" s="10">
        <f t="shared" si="6"/>
        <v>480</v>
      </c>
    </row>
    <row r="406" spans="1:6" x14ac:dyDescent="0.25">
      <c r="A406" s="9"/>
      <c r="B406" s="12"/>
      <c r="C406" s="11">
        <v>1</v>
      </c>
      <c r="D406" s="9" t="s">
        <v>8</v>
      </c>
      <c r="E406" s="10">
        <v>170</v>
      </c>
      <c r="F406" s="10">
        <f t="shared" si="6"/>
        <v>170</v>
      </c>
    </row>
    <row r="407" spans="1:6" x14ac:dyDescent="0.25">
      <c r="A407" s="9"/>
      <c r="B407" s="12"/>
      <c r="C407" s="11">
        <v>1</v>
      </c>
      <c r="D407" s="9" t="s">
        <v>8</v>
      </c>
      <c r="E407" s="10">
        <v>170</v>
      </c>
      <c r="F407" s="10">
        <f t="shared" si="6"/>
        <v>170</v>
      </c>
    </row>
    <row r="408" spans="1:6" x14ac:dyDescent="0.25">
      <c r="A408" s="9"/>
      <c r="B408" s="12"/>
      <c r="C408" s="11">
        <v>1</v>
      </c>
      <c r="D408" s="9" t="s">
        <v>13</v>
      </c>
      <c r="E408" s="10">
        <v>160</v>
      </c>
      <c r="F408" s="10">
        <f t="shared" si="6"/>
        <v>160</v>
      </c>
    </row>
    <row r="409" spans="1:6" x14ac:dyDescent="0.25">
      <c r="A409" s="9"/>
      <c r="B409" s="12"/>
      <c r="C409" s="11">
        <v>1</v>
      </c>
      <c r="D409" s="9" t="s">
        <v>8</v>
      </c>
      <c r="E409" s="10">
        <v>170</v>
      </c>
      <c r="F409" s="10">
        <f t="shared" si="6"/>
        <v>170</v>
      </c>
    </row>
    <row r="410" spans="1:6" x14ac:dyDescent="0.25">
      <c r="A410" s="9"/>
      <c r="B410" s="12"/>
      <c r="C410" s="11"/>
      <c r="D410" s="9"/>
      <c r="F410" s="8">
        <f>SUM(F403:F409)</f>
        <v>1620</v>
      </c>
    </row>
    <row r="411" spans="1:6" x14ac:dyDescent="0.25">
      <c r="A411" s="9"/>
      <c r="B411" s="12"/>
      <c r="C411" s="11"/>
      <c r="D411" s="9"/>
      <c r="F411" s="10"/>
    </row>
    <row r="412" spans="1:6" x14ac:dyDescent="0.25">
      <c r="A412" s="9" t="s">
        <v>221</v>
      </c>
      <c r="B412" s="12">
        <v>45695</v>
      </c>
      <c r="C412" s="11">
        <v>10</v>
      </c>
      <c r="D412" s="9" t="s">
        <v>13</v>
      </c>
      <c r="E412" s="10">
        <v>145</v>
      </c>
      <c r="F412" s="10">
        <f t="shared" si="6"/>
        <v>1450</v>
      </c>
    </row>
    <row r="413" spans="1:6" x14ac:dyDescent="0.25">
      <c r="A413" s="9"/>
      <c r="B413" s="12"/>
      <c r="C413" s="11"/>
      <c r="D413" s="9"/>
      <c r="F413" s="8">
        <f>SUM(F412)</f>
        <v>1450</v>
      </c>
    </row>
    <row r="414" spans="1:6" x14ac:dyDescent="0.25">
      <c r="A414" s="9"/>
      <c r="B414" s="12"/>
      <c r="C414" s="11"/>
      <c r="D414" s="9"/>
      <c r="F414" s="10"/>
    </row>
    <row r="415" spans="1:6" x14ac:dyDescent="0.25">
      <c r="A415" s="9" t="s">
        <v>15</v>
      </c>
      <c r="B415" s="12">
        <v>45695</v>
      </c>
      <c r="C415" s="11">
        <v>59</v>
      </c>
      <c r="D415" s="9" t="s">
        <v>36</v>
      </c>
      <c r="E415" s="10">
        <v>85</v>
      </c>
      <c r="F415" s="10">
        <f t="shared" si="6"/>
        <v>5015</v>
      </c>
    </row>
    <row r="416" spans="1:6" x14ac:dyDescent="0.25">
      <c r="A416" s="9"/>
      <c r="B416" s="12"/>
      <c r="C416" s="11"/>
      <c r="D416" s="9"/>
      <c r="F416" s="8">
        <f>SUM(F415)</f>
        <v>5015</v>
      </c>
    </row>
    <row r="417" spans="1:6" x14ac:dyDescent="0.25">
      <c r="A417" s="9"/>
      <c r="B417" s="12"/>
      <c r="C417" s="11"/>
      <c r="D417" s="9"/>
      <c r="F417" s="10"/>
    </row>
    <row r="418" spans="1:6" x14ac:dyDescent="0.25">
      <c r="A418" s="9" t="s">
        <v>183</v>
      </c>
      <c r="B418" s="12">
        <v>45695</v>
      </c>
      <c r="C418" s="11">
        <v>6</v>
      </c>
      <c r="D418" s="9" t="s">
        <v>222</v>
      </c>
      <c r="E418" s="10">
        <v>150</v>
      </c>
      <c r="F418" s="10">
        <f t="shared" si="6"/>
        <v>900</v>
      </c>
    </row>
    <row r="419" spans="1:6" x14ac:dyDescent="0.25">
      <c r="A419" s="9"/>
      <c r="B419" s="12"/>
      <c r="C419" s="11"/>
      <c r="D419" s="9"/>
      <c r="F419" s="8">
        <f>SUM(F418)</f>
        <v>900</v>
      </c>
    </row>
    <row r="420" spans="1:6" x14ac:dyDescent="0.25">
      <c r="A420" s="9"/>
      <c r="B420" s="12"/>
      <c r="C420" s="11"/>
      <c r="D420" s="9"/>
      <c r="F420" s="10"/>
    </row>
    <row r="421" spans="1:6" x14ac:dyDescent="0.25">
      <c r="A421" s="9" t="s">
        <v>56</v>
      </c>
      <c r="B421" s="12">
        <v>45695</v>
      </c>
      <c r="C421" s="11">
        <v>14</v>
      </c>
      <c r="D421" s="9" t="s">
        <v>16</v>
      </c>
      <c r="E421" s="10">
        <v>100</v>
      </c>
      <c r="F421" s="10">
        <f t="shared" si="6"/>
        <v>1400</v>
      </c>
    </row>
    <row r="422" spans="1:6" x14ac:dyDescent="0.25">
      <c r="A422" s="9"/>
      <c r="B422" s="12"/>
      <c r="C422" s="11"/>
      <c r="D422" s="9"/>
      <c r="F422" s="8">
        <f>SUM(F421)</f>
        <v>1400</v>
      </c>
    </row>
    <row r="423" spans="1:6" x14ac:dyDescent="0.25">
      <c r="A423" s="9"/>
      <c r="B423" s="12"/>
      <c r="C423" s="11"/>
      <c r="D423" s="9"/>
      <c r="F423" s="10"/>
    </row>
    <row r="424" spans="1:6" x14ac:dyDescent="0.25">
      <c r="A424" s="9" t="s">
        <v>58</v>
      </c>
      <c r="B424" s="12">
        <v>45695</v>
      </c>
      <c r="C424" s="11">
        <v>15</v>
      </c>
      <c r="D424" s="9" t="s">
        <v>13</v>
      </c>
      <c r="E424" s="10">
        <v>150</v>
      </c>
      <c r="F424" s="10">
        <f t="shared" si="6"/>
        <v>2250</v>
      </c>
    </row>
    <row r="425" spans="1:6" x14ac:dyDescent="0.25">
      <c r="A425" s="9"/>
      <c r="B425" s="12"/>
      <c r="C425" s="11"/>
      <c r="D425" s="9"/>
      <c r="F425" s="8">
        <f>SUM(F424)</f>
        <v>2250</v>
      </c>
    </row>
    <row r="426" spans="1:6" x14ac:dyDescent="0.25">
      <c r="A426" s="9"/>
      <c r="B426" s="12"/>
      <c r="C426" s="11"/>
      <c r="D426" s="9"/>
      <c r="F426" s="10"/>
    </row>
    <row r="427" spans="1:6" x14ac:dyDescent="0.25">
      <c r="A427" s="9" t="s">
        <v>17</v>
      </c>
      <c r="B427" s="12">
        <v>45695</v>
      </c>
      <c r="C427" s="11">
        <v>20</v>
      </c>
      <c r="D427" s="9" t="s">
        <v>13</v>
      </c>
      <c r="E427" s="10">
        <v>145</v>
      </c>
      <c r="F427" s="10">
        <f t="shared" si="6"/>
        <v>2900</v>
      </c>
    </row>
    <row r="428" spans="1:6" x14ac:dyDescent="0.25">
      <c r="A428" s="9"/>
      <c r="B428" s="12"/>
      <c r="C428" s="11"/>
      <c r="D428" s="9"/>
      <c r="F428" s="8">
        <f>SUM(F427)</f>
        <v>2900</v>
      </c>
    </row>
    <row r="429" spans="1:6" x14ac:dyDescent="0.25">
      <c r="A429" s="9"/>
      <c r="B429" s="12"/>
      <c r="C429" s="11"/>
      <c r="D429" s="9"/>
      <c r="F429" s="10"/>
    </row>
    <row r="430" spans="1:6" x14ac:dyDescent="0.25">
      <c r="A430" s="9" t="s">
        <v>119</v>
      </c>
      <c r="B430" s="12">
        <v>45695</v>
      </c>
      <c r="C430" s="11">
        <v>30</v>
      </c>
      <c r="D430" s="9" t="s">
        <v>13</v>
      </c>
      <c r="E430" s="10">
        <v>150</v>
      </c>
      <c r="F430" s="10">
        <f t="shared" si="6"/>
        <v>4500</v>
      </c>
    </row>
    <row r="431" spans="1:6" x14ac:dyDescent="0.25">
      <c r="A431" s="9"/>
      <c r="B431" s="12"/>
      <c r="C431" s="11"/>
      <c r="D431" s="9"/>
      <c r="F431" s="8">
        <f>SUM(F430)</f>
        <v>4500</v>
      </c>
    </row>
    <row r="432" spans="1:6" x14ac:dyDescent="0.25">
      <c r="A432" s="9"/>
      <c r="B432" s="12"/>
      <c r="C432" s="11"/>
      <c r="D432" s="9"/>
      <c r="F432" s="10"/>
    </row>
    <row r="433" spans="1:6" x14ac:dyDescent="0.25">
      <c r="A433" s="9" t="s">
        <v>20</v>
      </c>
      <c r="B433" s="12">
        <v>45695</v>
      </c>
      <c r="C433" s="11">
        <v>20</v>
      </c>
      <c r="D433" s="9" t="s">
        <v>13</v>
      </c>
      <c r="E433" s="10">
        <v>140</v>
      </c>
      <c r="F433" s="10">
        <f t="shared" si="6"/>
        <v>2800</v>
      </c>
    </row>
    <row r="434" spans="1:6" x14ac:dyDescent="0.25">
      <c r="A434" s="9"/>
      <c r="B434" s="12"/>
      <c r="C434" s="11"/>
      <c r="D434" s="9"/>
      <c r="F434" s="8">
        <f>SUM(F433)</f>
        <v>2800</v>
      </c>
    </row>
    <row r="435" spans="1:6" x14ac:dyDescent="0.25">
      <c r="A435" s="9"/>
      <c r="B435" s="12"/>
      <c r="C435" s="11"/>
      <c r="D435" s="9"/>
      <c r="F435" s="10"/>
    </row>
    <row r="436" spans="1:6" x14ac:dyDescent="0.25">
      <c r="A436" s="9" t="s">
        <v>157</v>
      </c>
      <c r="B436" s="12">
        <v>45695</v>
      </c>
      <c r="C436" s="11">
        <v>10</v>
      </c>
      <c r="D436" s="9" t="s">
        <v>13</v>
      </c>
      <c r="E436" s="10">
        <v>140</v>
      </c>
      <c r="F436" s="10">
        <f t="shared" si="6"/>
        <v>1400</v>
      </c>
    </row>
    <row r="437" spans="1:6" x14ac:dyDescent="0.25">
      <c r="A437" s="9"/>
      <c r="B437" s="12"/>
      <c r="C437" s="11"/>
      <c r="D437" s="9"/>
      <c r="F437" s="8">
        <f>SUM(F436)</f>
        <v>1400</v>
      </c>
    </row>
    <row r="438" spans="1:6" x14ac:dyDescent="0.25">
      <c r="A438" s="9"/>
      <c r="B438" s="12"/>
      <c r="C438" s="11"/>
      <c r="D438" s="9"/>
      <c r="F438" s="10"/>
    </row>
    <row r="439" spans="1:6" x14ac:dyDescent="0.25">
      <c r="A439" s="9" t="s">
        <v>41</v>
      </c>
      <c r="B439" s="12">
        <v>45695</v>
      </c>
      <c r="C439" s="11">
        <v>30</v>
      </c>
      <c r="D439" s="9" t="s">
        <v>14</v>
      </c>
      <c r="E439" s="10">
        <v>135</v>
      </c>
      <c r="F439" s="10">
        <f t="shared" si="6"/>
        <v>4050</v>
      </c>
    </row>
    <row r="440" spans="1:6" x14ac:dyDescent="0.25">
      <c r="A440" s="9"/>
      <c r="B440" s="12"/>
      <c r="C440" s="11"/>
      <c r="D440" s="9"/>
      <c r="F440" s="8">
        <f>SUM(F439)</f>
        <v>4050</v>
      </c>
    </row>
    <row r="441" spans="1:6" x14ac:dyDescent="0.25">
      <c r="A441" s="9"/>
      <c r="B441" s="12"/>
      <c r="C441" s="11"/>
      <c r="D441" s="9"/>
      <c r="F441" s="10"/>
    </row>
    <row r="442" spans="1:6" x14ac:dyDescent="0.25">
      <c r="A442" s="9" t="s">
        <v>106</v>
      </c>
      <c r="B442" s="12">
        <v>45695</v>
      </c>
      <c r="C442" s="11">
        <v>80</v>
      </c>
      <c r="D442" s="9" t="s">
        <v>12</v>
      </c>
      <c r="E442" s="10">
        <v>135</v>
      </c>
      <c r="F442" s="10">
        <f t="shared" si="6"/>
        <v>10800</v>
      </c>
    </row>
    <row r="443" spans="1:6" x14ac:dyDescent="0.25">
      <c r="A443" s="9"/>
      <c r="B443" s="12"/>
      <c r="C443" s="11"/>
      <c r="D443" s="9"/>
      <c r="F443" s="8">
        <f>SUM(F442)</f>
        <v>10800</v>
      </c>
    </row>
    <row r="444" spans="1:6" x14ac:dyDescent="0.25">
      <c r="A444" s="9"/>
      <c r="B444" s="12"/>
      <c r="C444" s="11"/>
      <c r="D444" s="9"/>
      <c r="F444" s="10"/>
    </row>
    <row r="445" spans="1:6" x14ac:dyDescent="0.25">
      <c r="A445" s="9" t="s">
        <v>43</v>
      </c>
      <c r="B445" s="12">
        <v>45695</v>
      </c>
      <c r="C445" s="11">
        <v>16</v>
      </c>
      <c r="D445" s="9" t="s">
        <v>14</v>
      </c>
      <c r="E445" s="10">
        <v>125</v>
      </c>
      <c r="F445" s="10">
        <f t="shared" si="6"/>
        <v>2000</v>
      </c>
    </row>
    <row r="446" spans="1:6" x14ac:dyDescent="0.25">
      <c r="A446" s="9"/>
      <c r="B446" s="12"/>
      <c r="C446" s="11">
        <v>24</v>
      </c>
      <c r="D446" s="9" t="s">
        <v>11</v>
      </c>
      <c r="E446" s="10">
        <v>120</v>
      </c>
      <c r="F446" s="10">
        <f t="shared" si="6"/>
        <v>2880</v>
      </c>
    </row>
    <row r="447" spans="1:6" x14ac:dyDescent="0.25">
      <c r="A447" s="9"/>
      <c r="B447" s="12"/>
      <c r="C447" s="11"/>
      <c r="D447" s="9"/>
      <c r="F447" s="8">
        <f>SUM(F445:F446)</f>
        <v>4880</v>
      </c>
    </row>
    <row r="448" spans="1:6" x14ac:dyDescent="0.25">
      <c r="A448" s="9"/>
      <c r="B448" s="12"/>
      <c r="C448" s="11"/>
      <c r="D448" s="9"/>
      <c r="F448" s="10"/>
    </row>
    <row r="449" spans="1:6" x14ac:dyDescent="0.25">
      <c r="A449" s="9" t="s">
        <v>44</v>
      </c>
      <c r="B449" s="12">
        <v>45695</v>
      </c>
      <c r="C449" s="11">
        <v>80</v>
      </c>
      <c r="D449" s="9" t="s">
        <v>14</v>
      </c>
      <c r="E449" s="10">
        <v>125</v>
      </c>
      <c r="F449" s="10">
        <f t="shared" si="6"/>
        <v>10000</v>
      </c>
    </row>
    <row r="450" spans="1:6" x14ac:dyDescent="0.25">
      <c r="A450" s="9"/>
      <c r="B450" s="12"/>
      <c r="C450" s="11"/>
      <c r="D450" s="9"/>
      <c r="F450" s="8">
        <f>SUM(F449)</f>
        <v>10000</v>
      </c>
    </row>
    <row r="451" spans="1:6" x14ac:dyDescent="0.25">
      <c r="A451" s="9"/>
      <c r="B451" s="12"/>
      <c r="C451" s="11"/>
      <c r="D451" s="9"/>
      <c r="F451" s="10"/>
    </row>
    <row r="452" spans="1:6" x14ac:dyDescent="0.25">
      <c r="A452" s="9" t="s">
        <v>18</v>
      </c>
      <c r="B452" s="12">
        <v>45695</v>
      </c>
      <c r="C452" s="11">
        <v>29</v>
      </c>
      <c r="D452" s="9" t="s">
        <v>14</v>
      </c>
      <c r="E452" s="10">
        <v>125</v>
      </c>
      <c r="F452" s="10">
        <f t="shared" si="6"/>
        <v>3625</v>
      </c>
    </row>
    <row r="453" spans="1:6" x14ac:dyDescent="0.25">
      <c r="A453" s="9"/>
      <c r="B453" s="12"/>
      <c r="C453" s="11"/>
      <c r="D453" s="9"/>
      <c r="F453" s="8">
        <f>SUM(F452)</f>
        <v>3625</v>
      </c>
    </row>
    <row r="454" spans="1:6" x14ac:dyDescent="0.25">
      <c r="A454" s="9"/>
      <c r="B454" s="12"/>
      <c r="C454" s="11"/>
      <c r="D454" s="9"/>
      <c r="F454" s="10"/>
    </row>
    <row r="455" spans="1:6" x14ac:dyDescent="0.25">
      <c r="A455" s="9" t="s">
        <v>46</v>
      </c>
      <c r="B455" s="12">
        <v>45695</v>
      </c>
      <c r="C455" s="11">
        <v>10</v>
      </c>
      <c r="D455" s="9" t="s">
        <v>14</v>
      </c>
      <c r="E455" s="10">
        <v>130</v>
      </c>
      <c r="F455" s="10">
        <f t="shared" si="6"/>
        <v>1300</v>
      </c>
    </row>
    <row r="456" spans="1:6" x14ac:dyDescent="0.25">
      <c r="A456" s="9"/>
      <c r="B456" s="12"/>
      <c r="C456" s="11">
        <v>10</v>
      </c>
      <c r="D456" s="9" t="s">
        <v>11</v>
      </c>
      <c r="E456" s="10">
        <v>120</v>
      </c>
      <c r="F456" s="10">
        <f t="shared" si="6"/>
        <v>1200</v>
      </c>
    </row>
    <row r="457" spans="1:6" x14ac:dyDescent="0.25">
      <c r="A457" s="9"/>
      <c r="B457" s="12"/>
      <c r="C457" s="11"/>
      <c r="D457" s="9"/>
      <c r="F457" s="8">
        <f>SUM(F455:F456)</f>
        <v>2500</v>
      </c>
    </row>
    <row r="458" spans="1:6" x14ac:dyDescent="0.25">
      <c r="A458" s="9"/>
      <c r="B458" s="12"/>
      <c r="C458" s="11"/>
      <c r="D458" s="9"/>
      <c r="F458" s="10"/>
    </row>
    <row r="459" spans="1:6" x14ac:dyDescent="0.25">
      <c r="A459" s="9" t="s">
        <v>47</v>
      </c>
      <c r="B459" s="12">
        <v>45695</v>
      </c>
      <c r="C459" s="11">
        <v>19</v>
      </c>
      <c r="D459" s="9" t="s">
        <v>223</v>
      </c>
      <c r="E459" s="10">
        <v>130</v>
      </c>
      <c r="F459" s="10">
        <f t="shared" ref="F459:F524" si="7">+C459*E459</f>
        <v>2470</v>
      </c>
    </row>
    <row r="460" spans="1:6" x14ac:dyDescent="0.25">
      <c r="A460" s="9"/>
      <c r="B460" s="12"/>
      <c r="C460" s="11"/>
      <c r="D460" s="9"/>
      <c r="F460" s="8">
        <f>SUM(F459)</f>
        <v>2470</v>
      </c>
    </row>
    <row r="461" spans="1:6" x14ac:dyDescent="0.25">
      <c r="A461" s="9"/>
      <c r="B461" s="12"/>
      <c r="C461" s="11"/>
      <c r="D461" s="9"/>
      <c r="F461" s="10"/>
    </row>
    <row r="462" spans="1:6" x14ac:dyDescent="0.25">
      <c r="A462" s="9" t="s">
        <v>151</v>
      </c>
      <c r="B462" s="12">
        <v>45695</v>
      </c>
      <c r="C462" s="11">
        <v>100</v>
      </c>
      <c r="D462" s="9" t="s">
        <v>8</v>
      </c>
      <c r="E462" s="10">
        <v>150</v>
      </c>
      <c r="F462" s="10">
        <f t="shared" si="7"/>
        <v>15000</v>
      </c>
    </row>
    <row r="463" spans="1:6" x14ac:dyDescent="0.25">
      <c r="A463" s="9"/>
      <c r="B463" s="12"/>
      <c r="C463" s="11"/>
      <c r="D463" s="9"/>
      <c r="F463" s="8">
        <f>SUM(F462)</f>
        <v>15000</v>
      </c>
    </row>
    <row r="464" spans="1:6" x14ac:dyDescent="0.25">
      <c r="A464" s="9"/>
      <c r="B464" s="12"/>
      <c r="C464" s="11"/>
      <c r="D464" s="9"/>
      <c r="F464" s="10"/>
    </row>
    <row r="465" spans="1:6" x14ac:dyDescent="0.25">
      <c r="A465" s="9" t="s">
        <v>61</v>
      </c>
      <c r="B465" s="12">
        <v>45695</v>
      </c>
      <c r="C465" s="11">
        <v>80</v>
      </c>
      <c r="D465" s="9" t="s">
        <v>13</v>
      </c>
      <c r="E465" s="10">
        <v>140</v>
      </c>
      <c r="F465" s="10">
        <f t="shared" si="7"/>
        <v>11200</v>
      </c>
    </row>
    <row r="466" spans="1:6" x14ac:dyDescent="0.25">
      <c r="A466" s="9"/>
      <c r="B466" s="12"/>
      <c r="C466" s="11"/>
      <c r="D466" s="9"/>
      <c r="F466" s="8">
        <f>SUM(F465)</f>
        <v>11200</v>
      </c>
    </row>
    <row r="467" spans="1:6" x14ac:dyDescent="0.25">
      <c r="A467" s="9"/>
      <c r="B467" s="12"/>
      <c r="C467" s="11"/>
      <c r="D467" s="9"/>
      <c r="F467" s="10"/>
    </row>
    <row r="468" spans="1:6" x14ac:dyDescent="0.25">
      <c r="A468" s="9" t="s">
        <v>53</v>
      </c>
      <c r="B468" s="12">
        <v>45695</v>
      </c>
      <c r="C468" s="11">
        <v>70</v>
      </c>
      <c r="D468" s="9" t="s">
        <v>13</v>
      </c>
      <c r="E468" s="10">
        <v>140</v>
      </c>
      <c r="F468" s="10">
        <f t="shared" si="7"/>
        <v>9800</v>
      </c>
    </row>
    <row r="469" spans="1:6" x14ac:dyDescent="0.25">
      <c r="A469" s="9"/>
      <c r="B469" s="12"/>
      <c r="C469" s="11">
        <v>20</v>
      </c>
      <c r="D469" s="9" t="s">
        <v>8</v>
      </c>
      <c r="E469" s="10">
        <v>150</v>
      </c>
      <c r="F469" s="10">
        <f t="shared" si="7"/>
        <v>3000</v>
      </c>
    </row>
    <row r="470" spans="1:6" x14ac:dyDescent="0.25">
      <c r="A470" s="9"/>
      <c r="B470" s="12"/>
      <c r="C470" s="11"/>
      <c r="D470" s="9"/>
      <c r="F470" s="8">
        <f>SUM(F468:F469)</f>
        <v>12800</v>
      </c>
    </row>
    <row r="471" spans="1:6" x14ac:dyDescent="0.25">
      <c r="A471" s="9"/>
      <c r="B471" s="12"/>
      <c r="C471" s="11"/>
      <c r="D471" s="9"/>
      <c r="F471" s="10"/>
    </row>
    <row r="472" spans="1:6" x14ac:dyDescent="0.25">
      <c r="A472" s="9" t="s">
        <v>29</v>
      </c>
      <c r="B472" s="12">
        <v>45695</v>
      </c>
      <c r="C472" s="11">
        <v>1</v>
      </c>
      <c r="D472" s="9" t="s">
        <v>12</v>
      </c>
      <c r="E472" s="10">
        <v>150</v>
      </c>
      <c r="F472" s="10">
        <f t="shared" si="7"/>
        <v>150</v>
      </c>
    </row>
    <row r="473" spans="1:6" x14ac:dyDescent="0.25">
      <c r="A473" s="9"/>
      <c r="B473" s="12"/>
      <c r="C473" s="11"/>
      <c r="D473" s="9"/>
      <c r="F473" s="8">
        <f>SUM(F472)</f>
        <v>150</v>
      </c>
    </row>
    <row r="474" spans="1:6" x14ac:dyDescent="0.25">
      <c r="A474" s="9"/>
      <c r="B474" s="12"/>
      <c r="C474" s="11"/>
      <c r="D474" s="9"/>
      <c r="F474" s="10"/>
    </row>
    <row r="475" spans="1:6" x14ac:dyDescent="0.25">
      <c r="A475" s="9" t="s">
        <v>7</v>
      </c>
      <c r="B475" s="12">
        <v>45695</v>
      </c>
      <c r="C475" s="11">
        <v>3</v>
      </c>
      <c r="D475" s="9" t="s">
        <v>224</v>
      </c>
      <c r="E475" s="10">
        <v>140</v>
      </c>
      <c r="F475" s="10">
        <f t="shared" si="7"/>
        <v>420</v>
      </c>
    </row>
    <row r="476" spans="1:6" x14ac:dyDescent="0.25">
      <c r="A476" s="9"/>
      <c r="B476" s="12"/>
      <c r="C476" s="11">
        <v>1</v>
      </c>
      <c r="D476" s="9" t="s">
        <v>14</v>
      </c>
      <c r="E476" s="10">
        <v>160</v>
      </c>
      <c r="F476" s="10">
        <f t="shared" si="7"/>
        <v>160</v>
      </c>
    </row>
    <row r="477" spans="1:6" x14ac:dyDescent="0.25">
      <c r="A477" s="9"/>
      <c r="B477" s="12"/>
      <c r="C477" s="11">
        <v>1</v>
      </c>
      <c r="D477" s="9" t="s">
        <v>225</v>
      </c>
      <c r="E477" s="10">
        <v>150</v>
      </c>
      <c r="F477" s="10">
        <f t="shared" si="7"/>
        <v>150</v>
      </c>
    </row>
    <row r="478" spans="1:6" x14ac:dyDescent="0.25">
      <c r="A478" s="9"/>
      <c r="B478" s="12"/>
      <c r="C478" s="11"/>
      <c r="D478" s="9"/>
      <c r="F478" s="8">
        <f>SUM(F475:F477)</f>
        <v>730</v>
      </c>
    </row>
    <row r="479" spans="1:6" x14ac:dyDescent="0.25">
      <c r="A479" s="9"/>
      <c r="B479" s="12"/>
      <c r="C479" s="11"/>
      <c r="D479" s="9"/>
      <c r="F479" s="10"/>
    </row>
    <row r="480" spans="1:6" x14ac:dyDescent="0.25">
      <c r="A480" s="9" t="s">
        <v>157</v>
      </c>
      <c r="B480" s="12">
        <v>45696</v>
      </c>
      <c r="C480" s="11">
        <v>10</v>
      </c>
      <c r="D480" s="9" t="s">
        <v>13</v>
      </c>
      <c r="E480" s="10">
        <v>140</v>
      </c>
      <c r="F480" s="10">
        <f t="shared" si="7"/>
        <v>1400</v>
      </c>
    </row>
    <row r="481" spans="1:6" x14ac:dyDescent="0.25">
      <c r="A481" s="9"/>
      <c r="B481" s="12"/>
      <c r="C481" s="11"/>
      <c r="D481" s="9"/>
      <c r="F481" s="8">
        <f>SUM(F480)</f>
        <v>1400</v>
      </c>
    </row>
    <row r="482" spans="1:6" x14ac:dyDescent="0.25">
      <c r="A482" s="9"/>
      <c r="B482" s="12"/>
      <c r="C482" s="11"/>
      <c r="D482" s="9"/>
      <c r="F482" s="10"/>
    </row>
    <row r="483" spans="1:6" x14ac:dyDescent="0.25">
      <c r="A483" s="9" t="s">
        <v>17</v>
      </c>
      <c r="B483" s="12">
        <v>45696</v>
      </c>
      <c r="C483" s="11">
        <v>10</v>
      </c>
      <c r="D483" s="9" t="s">
        <v>13</v>
      </c>
      <c r="E483" s="10">
        <v>145</v>
      </c>
      <c r="F483" s="10">
        <f t="shared" si="7"/>
        <v>1450</v>
      </c>
    </row>
    <row r="484" spans="1:6" x14ac:dyDescent="0.25">
      <c r="A484" s="9"/>
      <c r="B484" s="12"/>
      <c r="C484" s="11"/>
      <c r="D484" s="9"/>
      <c r="F484" s="8">
        <f>SUM(F483)</f>
        <v>1450</v>
      </c>
    </row>
    <row r="485" spans="1:6" x14ac:dyDescent="0.25">
      <c r="A485" s="9"/>
      <c r="B485" s="12"/>
      <c r="C485" s="11"/>
      <c r="D485" s="9"/>
      <c r="F485" s="10"/>
    </row>
    <row r="486" spans="1:6" x14ac:dyDescent="0.25">
      <c r="A486" s="9" t="s">
        <v>20</v>
      </c>
      <c r="B486" s="12">
        <v>45696</v>
      </c>
      <c r="C486" s="11">
        <v>20</v>
      </c>
      <c r="D486" s="9" t="s">
        <v>13</v>
      </c>
      <c r="E486" s="10">
        <v>140</v>
      </c>
      <c r="F486" s="10">
        <f t="shared" si="7"/>
        <v>2800</v>
      </c>
    </row>
    <row r="487" spans="1:6" x14ac:dyDescent="0.25">
      <c r="A487" s="9"/>
      <c r="B487" s="12"/>
      <c r="C487" s="11"/>
      <c r="D487" s="9"/>
      <c r="F487" s="8">
        <f>SUM(F486)</f>
        <v>2800</v>
      </c>
    </row>
    <row r="488" spans="1:6" x14ac:dyDescent="0.25">
      <c r="A488" s="9"/>
      <c r="B488" s="12"/>
      <c r="C488" s="11"/>
      <c r="D488" s="9"/>
      <c r="F488" s="10"/>
    </row>
    <row r="489" spans="1:6" x14ac:dyDescent="0.25">
      <c r="A489" s="9" t="s">
        <v>21</v>
      </c>
      <c r="B489" s="12">
        <v>45696</v>
      </c>
      <c r="C489" s="11">
        <v>23</v>
      </c>
      <c r="D489" s="9" t="s">
        <v>13</v>
      </c>
      <c r="E489" s="10">
        <v>140</v>
      </c>
      <c r="F489" s="10">
        <f t="shared" si="7"/>
        <v>3220</v>
      </c>
    </row>
    <row r="490" spans="1:6" x14ac:dyDescent="0.25">
      <c r="A490" s="9"/>
      <c r="B490" s="12"/>
      <c r="C490" s="11">
        <v>20</v>
      </c>
      <c r="D490" s="9" t="s">
        <v>12</v>
      </c>
      <c r="E490" s="10">
        <v>135</v>
      </c>
      <c r="F490" s="10">
        <f t="shared" si="7"/>
        <v>2700</v>
      </c>
    </row>
    <row r="491" spans="1:6" x14ac:dyDescent="0.25">
      <c r="A491" s="9"/>
      <c r="B491" s="12"/>
      <c r="C491" s="11"/>
      <c r="D491" s="9"/>
      <c r="F491" s="8">
        <f>SUM(F489:F490)</f>
        <v>5920</v>
      </c>
    </row>
    <row r="492" spans="1:6" x14ac:dyDescent="0.25">
      <c r="A492" s="9"/>
      <c r="B492" s="12"/>
      <c r="C492" s="11"/>
      <c r="D492" s="9"/>
      <c r="F492" s="10"/>
    </row>
    <row r="493" spans="1:6" x14ac:dyDescent="0.25">
      <c r="A493" s="9" t="s">
        <v>57</v>
      </c>
      <c r="B493" s="12">
        <v>45696</v>
      </c>
      <c r="C493" s="11">
        <v>15</v>
      </c>
      <c r="D493" s="9" t="s">
        <v>13</v>
      </c>
      <c r="E493" s="10">
        <v>140</v>
      </c>
      <c r="F493" s="10">
        <f t="shared" si="7"/>
        <v>2100</v>
      </c>
    </row>
    <row r="494" spans="1:6" x14ac:dyDescent="0.25">
      <c r="A494" s="9"/>
      <c r="B494" s="12"/>
      <c r="C494" s="11">
        <v>5</v>
      </c>
      <c r="D494" s="9" t="s">
        <v>14</v>
      </c>
      <c r="E494" s="10">
        <v>140</v>
      </c>
      <c r="F494" s="10">
        <f t="shared" si="7"/>
        <v>700</v>
      </c>
    </row>
    <row r="495" spans="1:6" x14ac:dyDescent="0.25">
      <c r="A495" s="9"/>
      <c r="B495" s="12"/>
      <c r="C495" s="11"/>
      <c r="D495" s="9"/>
      <c r="F495" s="8">
        <f>SUM(F493:F494)</f>
        <v>2800</v>
      </c>
    </row>
    <row r="496" spans="1:6" x14ac:dyDescent="0.25">
      <c r="A496" s="9"/>
      <c r="B496" s="12"/>
      <c r="C496" s="11"/>
      <c r="D496" s="9"/>
      <c r="F496" s="10"/>
    </row>
    <row r="497" spans="1:6" x14ac:dyDescent="0.25">
      <c r="A497" s="9" t="s">
        <v>25</v>
      </c>
      <c r="B497" s="12">
        <v>45696</v>
      </c>
      <c r="C497" s="11">
        <v>20</v>
      </c>
      <c r="D497" s="9" t="s">
        <v>13</v>
      </c>
      <c r="E497" s="10">
        <v>140</v>
      </c>
      <c r="F497" s="10">
        <f t="shared" si="7"/>
        <v>2800</v>
      </c>
    </row>
    <row r="498" spans="1:6" x14ac:dyDescent="0.25">
      <c r="A498" s="9"/>
      <c r="B498" s="12"/>
      <c r="C498" s="11"/>
      <c r="D498" s="9"/>
      <c r="F498" s="8">
        <f>SUM(F497)</f>
        <v>2800</v>
      </c>
    </row>
    <row r="499" spans="1:6" x14ac:dyDescent="0.25">
      <c r="A499" s="9"/>
      <c r="B499" s="12"/>
      <c r="C499" s="11"/>
      <c r="D499" s="9"/>
      <c r="F499" s="10"/>
    </row>
    <row r="500" spans="1:6" x14ac:dyDescent="0.25">
      <c r="A500" s="9" t="s">
        <v>58</v>
      </c>
      <c r="B500" s="12">
        <v>45696</v>
      </c>
      <c r="C500" s="11">
        <v>12</v>
      </c>
      <c r="D500" s="9" t="s">
        <v>13</v>
      </c>
      <c r="E500" s="10">
        <v>150</v>
      </c>
      <c r="F500" s="10">
        <f t="shared" si="7"/>
        <v>1800</v>
      </c>
    </row>
    <row r="501" spans="1:6" x14ac:dyDescent="0.25">
      <c r="A501" s="9"/>
      <c r="B501" s="12"/>
      <c r="C501" s="11"/>
      <c r="D501" s="9"/>
      <c r="F501" s="8">
        <f>SUM(F500)</f>
        <v>1800</v>
      </c>
    </row>
    <row r="502" spans="1:6" x14ac:dyDescent="0.25">
      <c r="A502" s="9"/>
      <c r="B502" s="12"/>
      <c r="C502" s="11"/>
      <c r="D502" s="9"/>
      <c r="F502" s="10"/>
    </row>
    <row r="503" spans="1:6" s="9" customFormat="1" x14ac:dyDescent="0.25">
      <c r="A503" s="9" t="s">
        <v>56</v>
      </c>
      <c r="B503" s="12">
        <v>45696</v>
      </c>
      <c r="C503" s="11">
        <v>5</v>
      </c>
      <c r="D503" s="9" t="s">
        <v>104</v>
      </c>
      <c r="E503" s="10">
        <v>100</v>
      </c>
      <c r="F503" s="10">
        <f t="shared" si="7"/>
        <v>500</v>
      </c>
    </row>
    <row r="504" spans="1:6" s="9" customFormat="1" x14ac:dyDescent="0.25">
      <c r="B504" s="12"/>
      <c r="C504" s="11"/>
      <c r="E504" s="10"/>
      <c r="F504" s="8">
        <f>SUM(F503)</f>
        <v>500</v>
      </c>
    </row>
    <row r="505" spans="1:6" s="9" customFormat="1" x14ac:dyDescent="0.25">
      <c r="B505" s="12"/>
      <c r="C505" s="11"/>
      <c r="E505" s="10"/>
      <c r="F505" s="10"/>
    </row>
    <row r="506" spans="1:6" x14ac:dyDescent="0.25">
      <c r="A506" s="9" t="s">
        <v>53</v>
      </c>
      <c r="B506" s="12">
        <v>45696</v>
      </c>
      <c r="C506" s="11">
        <v>130</v>
      </c>
      <c r="D506" s="9" t="s">
        <v>13</v>
      </c>
      <c r="E506" s="10">
        <v>140</v>
      </c>
      <c r="F506" s="10">
        <f t="shared" si="7"/>
        <v>18200</v>
      </c>
    </row>
    <row r="507" spans="1:6" x14ac:dyDescent="0.25">
      <c r="A507" s="9"/>
      <c r="B507" s="12"/>
      <c r="C507" s="11">
        <v>20</v>
      </c>
      <c r="D507" s="9" t="s">
        <v>12</v>
      </c>
      <c r="E507" s="10">
        <v>130</v>
      </c>
      <c r="F507" s="10">
        <f t="shared" si="7"/>
        <v>2600</v>
      </c>
    </row>
    <row r="508" spans="1:6" x14ac:dyDescent="0.25">
      <c r="A508" s="9"/>
      <c r="B508" s="12"/>
      <c r="C508" s="11">
        <v>19</v>
      </c>
      <c r="D508" s="9" t="s">
        <v>8</v>
      </c>
      <c r="E508" s="10">
        <v>150</v>
      </c>
      <c r="F508" s="10">
        <f t="shared" si="7"/>
        <v>2850</v>
      </c>
    </row>
    <row r="509" spans="1:6" x14ac:dyDescent="0.25">
      <c r="A509" s="9"/>
      <c r="B509" s="12"/>
      <c r="C509" s="11"/>
      <c r="D509" s="9"/>
      <c r="F509" s="8">
        <f>SUM(F506:F508)</f>
        <v>23650</v>
      </c>
    </row>
    <row r="510" spans="1:6" x14ac:dyDescent="0.25">
      <c r="A510" s="9"/>
      <c r="B510" s="12"/>
      <c r="C510" s="11"/>
      <c r="D510" s="9"/>
      <c r="F510" s="10"/>
    </row>
    <row r="511" spans="1:6" x14ac:dyDescent="0.25">
      <c r="A511" s="9" t="s">
        <v>69</v>
      </c>
      <c r="B511" s="12">
        <v>45696</v>
      </c>
      <c r="C511" s="11">
        <v>20</v>
      </c>
      <c r="D511" s="9" t="s">
        <v>8</v>
      </c>
      <c r="E511" s="10">
        <v>155</v>
      </c>
      <c r="F511" s="10">
        <f t="shared" si="7"/>
        <v>3100</v>
      </c>
    </row>
    <row r="512" spans="1:6" x14ac:dyDescent="0.25">
      <c r="A512" s="9"/>
      <c r="B512" s="12"/>
      <c r="C512" s="11"/>
      <c r="D512" s="9"/>
      <c r="F512" s="8">
        <f>SUM(F511)</f>
        <v>3100</v>
      </c>
    </row>
    <row r="513" spans="1:6" x14ac:dyDescent="0.25">
      <c r="A513" s="9"/>
      <c r="B513" s="12"/>
      <c r="C513" s="11"/>
      <c r="D513" s="9"/>
      <c r="F513" s="10"/>
    </row>
    <row r="514" spans="1:6" x14ac:dyDescent="0.25">
      <c r="A514" s="9" t="s">
        <v>62</v>
      </c>
      <c r="B514" s="12">
        <v>45696</v>
      </c>
      <c r="C514" s="11">
        <v>80</v>
      </c>
      <c r="D514" s="9" t="s">
        <v>8</v>
      </c>
      <c r="E514" s="10">
        <v>160</v>
      </c>
      <c r="F514" s="10">
        <f t="shared" si="7"/>
        <v>12800</v>
      </c>
    </row>
    <row r="515" spans="1:6" x14ac:dyDescent="0.25">
      <c r="A515" s="9"/>
      <c r="B515" s="12"/>
      <c r="C515" s="11">
        <v>20</v>
      </c>
      <c r="D515" s="9" t="s">
        <v>12</v>
      </c>
      <c r="E515" s="10">
        <v>135</v>
      </c>
      <c r="F515" s="10">
        <f t="shared" si="7"/>
        <v>2700</v>
      </c>
    </row>
    <row r="516" spans="1:6" x14ac:dyDescent="0.25">
      <c r="A516" s="9"/>
      <c r="B516" s="12"/>
      <c r="C516" s="11"/>
      <c r="D516" s="9"/>
      <c r="F516" s="8">
        <f>SUM(F514:F515)</f>
        <v>15500</v>
      </c>
    </row>
    <row r="517" spans="1:6" x14ac:dyDescent="0.25">
      <c r="A517" s="9"/>
      <c r="B517" s="12"/>
      <c r="C517" s="11"/>
      <c r="D517" s="9"/>
      <c r="F517" s="10"/>
    </row>
    <row r="518" spans="1:6" x14ac:dyDescent="0.25">
      <c r="A518" s="9" t="s">
        <v>60</v>
      </c>
      <c r="B518" s="12">
        <v>45696</v>
      </c>
      <c r="C518" s="11">
        <v>20</v>
      </c>
      <c r="D518" s="9" t="s">
        <v>13</v>
      </c>
      <c r="E518" s="10">
        <v>145</v>
      </c>
      <c r="F518" s="10">
        <f t="shared" si="7"/>
        <v>2900</v>
      </c>
    </row>
    <row r="519" spans="1:6" x14ac:dyDescent="0.25">
      <c r="A519" s="9"/>
      <c r="B519" s="12"/>
      <c r="C519" s="11"/>
      <c r="D519" s="9"/>
      <c r="F519" s="8">
        <f>SUM(F518)</f>
        <v>2900</v>
      </c>
    </row>
    <row r="520" spans="1:6" x14ac:dyDescent="0.25">
      <c r="A520" s="9"/>
      <c r="B520" s="12"/>
      <c r="C520" s="11"/>
      <c r="D520" s="9"/>
      <c r="F520" s="10"/>
    </row>
    <row r="521" spans="1:6" x14ac:dyDescent="0.25">
      <c r="A521" s="9" t="s">
        <v>103</v>
      </c>
      <c r="B521" s="12">
        <v>45696</v>
      </c>
      <c r="C521" s="11">
        <v>4</v>
      </c>
      <c r="D521" s="9" t="s">
        <v>13</v>
      </c>
      <c r="E521" s="10">
        <v>155</v>
      </c>
      <c r="F521" s="10">
        <f t="shared" si="7"/>
        <v>620</v>
      </c>
    </row>
    <row r="522" spans="1:6" x14ac:dyDescent="0.25">
      <c r="A522" s="9"/>
      <c r="B522" s="12"/>
      <c r="C522" s="11"/>
      <c r="D522" s="9"/>
      <c r="F522" s="8">
        <f>SUM(F521)</f>
        <v>620</v>
      </c>
    </row>
    <row r="523" spans="1:6" x14ac:dyDescent="0.25">
      <c r="A523" s="9"/>
      <c r="B523" s="12"/>
      <c r="C523" s="11"/>
      <c r="D523" s="9"/>
      <c r="F523" s="10"/>
    </row>
    <row r="524" spans="1:6" x14ac:dyDescent="0.25">
      <c r="A524" s="9" t="s">
        <v>113</v>
      </c>
      <c r="B524" s="12">
        <v>45696</v>
      </c>
      <c r="C524" s="11">
        <v>20</v>
      </c>
      <c r="D524" s="9" t="s">
        <v>13</v>
      </c>
      <c r="E524" s="10">
        <v>150</v>
      </c>
      <c r="F524" s="10">
        <f t="shared" si="7"/>
        <v>3000</v>
      </c>
    </row>
    <row r="525" spans="1:6" x14ac:dyDescent="0.25">
      <c r="A525" s="9"/>
      <c r="B525" s="12"/>
      <c r="C525" s="11"/>
      <c r="D525" s="9"/>
      <c r="F525" s="8">
        <f>SUM(F524)</f>
        <v>3000</v>
      </c>
    </row>
    <row r="526" spans="1:6" x14ac:dyDescent="0.25">
      <c r="A526" s="9"/>
      <c r="B526" s="12"/>
      <c r="C526" s="11"/>
      <c r="D526" s="9"/>
      <c r="F526" s="10"/>
    </row>
    <row r="527" spans="1:6" x14ac:dyDescent="0.25">
      <c r="A527" s="9" t="s">
        <v>72</v>
      </c>
      <c r="B527" s="12">
        <v>45696</v>
      </c>
      <c r="C527" s="11">
        <v>270</v>
      </c>
      <c r="D527" s="9" t="s">
        <v>13</v>
      </c>
      <c r="E527" s="10">
        <v>130</v>
      </c>
      <c r="F527" s="10">
        <f t="shared" ref="F527:F599" si="8">+C527*E527</f>
        <v>35100</v>
      </c>
    </row>
    <row r="528" spans="1:6" x14ac:dyDescent="0.25">
      <c r="A528" s="9"/>
      <c r="B528" s="12"/>
      <c r="C528" s="11">
        <v>230</v>
      </c>
      <c r="D528" s="9" t="s">
        <v>12</v>
      </c>
      <c r="E528" s="10">
        <v>125</v>
      </c>
      <c r="F528" s="10">
        <f t="shared" si="8"/>
        <v>28750</v>
      </c>
    </row>
    <row r="529" spans="1:6" x14ac:dyDescent="0.25">
      <c r="A529" s="9"/>
      <c r="B529" s="12"/>
      <c r="C529" s="11">
        <v>50</v>
      </c>
      <c r="D529" s="9" t="s">
        <v>14</v>
      </c>
      <c r="E529" s="10">
        <v>130</v>
      </c>
      <c r="F529" s="10">
        <f t="shared" si="8"/>
        <v>6500</v>
      </c>
    </row>
    <row r="530" spans="1:6" x14ac:dyDescent="0.25">
      <c r="A530" s="9"/>
      <c r="B530" s="12"/>
      <c r="C530" s="11">
        <v>80</v>
      </c>
      <c r="D530" s="9" t="s">
        <v>11</v>
      </c>
      <c r="E530" s="10">
        <v>125</v>
      </c>
      <c r="F530" s="10">
        <f t="shared" si="8"/>
        <v>10000</v>
      </c>
    </row>
    <row r="531" spans="1:6" x14ac:dyDescent="0.25">
      <c r="A531" s="9"/>
      <c r="B531" s="12"/>
      <c r="C531" s="11"/>
      <c r="D531" s="9"/>
      <c r="F531" s="8">
        <f>SUM(F527:F530)</f>
        <v>80350</v>
      </c>
    </row>
    <row r="532" spans="1:6" x14ac:dyDescent="0.25">
      <c r="A532" s="9"/>
      <c r="B532" s="12"/>
      <c r="C532" s="11"/>
      <c r="D532" s="9"/>
      <c r="F532" s="10"/>
    </row>
    <row r="533" spans="1:6" x14ac:dyDescent="0.25">
      <c r="A533" s="9" t="s">
        <v>226</v>
      </c>
      <c r="B533" s="12">
        <v>45696</v>
      </c>
      <c r="C533" s="11">
        <v>10</v>
      </c>
      <c r="D533" s="9" t="s">
        <v>12</v>
      </c>
      <c r="E533" s="10">
        <v>140</v>
      </c>
      <c r="F533" s="10">
        <f t="shared" si="8"/>
        <v>1400</v>
      </c>
    </row>
    <row r="534" spans="1:6" x14ac:dyDescent="0.25">
      <c r="A534" s="9"/>
      <c r="B534" s="12"/>
      <c r="C534" s="11">
        <v>4</v>
      </c>
      <c r="D534" s="9" t="s">
        <v>22</v>
      </c>
      <c r="E534" s="10">
        <v>120</v>
      </c>
      <c r="F534" s="10">
        <f t="shared" si="8"/>
        <v>480</v>
      </c>
    </row>
    <row r="535" spans="1:6" x14ac:dyDescent="0.25">
      <c r="A535" s="9"/>
      <c r="B535" s="12"/>
      <c r="C535" s="11"/>
      <c r="D535" s="9"/>
      <c r="F535" s="8">
        <f>SUM(F533:F534)</f>
        <v>1880</v>
      </c>
    </row>
    <row r="536" spans="1:6" x14ac:dyDescent="0.25">
      <c r="A536" s="9"/>
      <c r="B536" s="12"/>
      <c r="C536" s="11"/>
      <c r="D536" s="9"/>
      <c r="F536" s="10"/>
    </row>
    <row r="537" spans="1:6" x14ac:dyDescent="0.25">
      <c r="A537" s="9" t="s">
        <v>227</v>
      </c>
      <c r="B537" s="12">
        <v>45696</v>
      </c>
      <c r="C537" s="11">
        <v>30</v>
      </c>
      <c r="D537" s="9" t="s">
        <v>50</v>
      </c>
      <c r="F537" s="10">
        <f t="shared" si="8"/>
        <v>0</v>
      </c>
    </row>
    <row r="538" spans="1:6" x14ac:dyDescent="0.25">
      <c r="A538" s="9"/>
      <c r="B538" s="12"/>
      <c r="C538" s="11">
        <v>100</v>
      </c>
      <c r="D538" s="9" t="s">
        <v>11</v>
      </c>
      <c r="F538" s="10">
        <f t="shared" si="8"/>
        <v>0</v>
      </c>
    </row>
    <row r="539" spans="1:6" x14ac:dyDescent="0.25">
      <c r="A539" s="9"/>
      <c r="B539" s="12"/>
      <c r="C539" s="11">
        <v>42</v>
      </c>
      <c r="D539" s="9" t="s">
        <v>49</v>
      </c>
      <c r="F539" s="10">
        <f t="shared" si="8"/>
        <v>0</v>
      </c>
    </row>
    <row r="540" spans="1:6" x14ac:dyDescent="0.25">
      <c r="A540" s="9"/>
      <c r="B540" s="12"/>
      <c r="C540" s="11">
        <v>300</v>
      </c>
      <c r="D540" s="9" t="s">
        <v>14</v>
      </c>
      <c r="F540" s="10">
        <f t="shared" si="8"/>
        <v>0</v>
      </c>
    </row>
    <row r="541" spans="1:6" x14ac:dyDescent="0.25">
      <c r="A541" s="9"/>
      <c r="B541" s="12"/>
      <c r="C541" s="11"/>
      <c r="D541" s="9"/>
      <c r="F541" s="8">
        <f>SUM(F537:F540)</f>
        <v>0</v>
      </c>
    </row>
    <row r="542" spans="1:6" x14ac:dyDescent="0.25">
      <c r="A542" s="9"/>
      <c r="B542" s="12"/>
      <c r="C542" s="11"/>
      <c r="D542" s="9"/>
      <c r="F542" s="10"/>
    </row>
    <row r="543" spans="1:6" x14ac:dyDescent="0.25">
      <c r="A543" s="9" t="s">
        <v>51</v>
      </c>
      <c r="B543" s="12">
        <v>45696</v>
      </c>
      <c r="C543" s="11">
        <v>47</v>
      </c>
      <c r="D543" s="9" t="s">
        <v>14</v>
      </c>
      <c r="F543" s="10">
        <f t="shared" si="8"/>
        <v>0</v>
      </c>
    </row>
    <row r="544" spans="1:6" x14ac:dyDescent="0.25">
      <c r="A544" s="9"/>
      <c r="B544" s="12"/>
      <c r="C544" s="11">
        <v>53</v>
      </c>
      <c r="D544" s="9" t="s">
        <v>11</v>
      </c>
      <c r="F544" s="10">
        <f t="shared" si="8"/>
        <v>0</v>
      </c>
    </row>
    <row r="545" spans="1:6" x14ac:dyDescent="0.25">
      <c r="A545" s="9"/>
      <c r="B545" s="12"/>
      <c r="C545" s="11"/>
      <c r="D545" s="9"/>
      <c r="F545" s="8">
        <f>SUM(F543:F544)</f>
        <v>0</v>
      </c>
    </row>
    <row r="546" spans="1:6" x14ac:dyDescent="0.25">
      <c r="A546" s="9"/>
      <c r="B546" s="12"/>
      <c r="C546" s="11"/>
      <c r="D546" s="9"/>
      <c r="F546" s="10"/>
    </row>
    <row r="547" spans="1:6" x14ac:dyDescent="0.25">
      <c r="A547" s="9" t="s">
        <v>65</v>
      </c>
      <c r="B547" s="12">
        <v>45696</v>
      </c>
      <c r="C547" s="11">
        <v>1060</v>
      </c>
      <c r="D547" s="9" t="s">
        <v>12</v>
      </c>
      <c r="E547" s="10">
        <v>128</v>
      </c>
      <c r="F547" s="10">
        <f t="shared" si="8"/>
        <v>135680</v>
      </c>
    </row>
    <row r="548" spans="1:6" x14ac:dyDescent="0.25">
      <c r="A548" s="9"/>
      <c r="B548" s="12"/>
      <c r="C548" s="11">
        <v>270</v>
      </c>
      <c r="D548" s="9" t="s">
        <v>11</v>
      </c>
      <c r="E548" s="10">
        <v>125</v>
      </c>
      <c r="F548" s="10">
        <f t="shared" si="8"/>
        <v>33750</v>
      </c>
    </row>
    <row r="549" spans="1:6" x14ac:dyDescent="0.25">
      <c r="A549" s="9"/>
      <c r="B549" s="12"/>
      <c r="C549" s="11">
        <v>200</v>
      </c>
      <c r="D549" s="9" t="s">
        <v>14</v>
      </c>
      <c r="E549" s="10">
        <v>130</v>
      </c>
      <c r="F549" s="10">
        <f t="shared" si="8"/>
        <v>26000</v>
      </c>
    </row>
    <row r="550" spans="1:6" x14ac:dyDescent="0.25">
      <c r="A550" s="9"/>
      <c r="B550" s="12"/>
      <c r="C550" s="11">
        <v>500</v>
      </c>
      <c r="D550" s="9" t="s">
        <v>13</v>
      </c>
      <c r="E550" s="10">
        <v>133</v>
      </c>
      <c r="F550" s="10">
        <f t="shared" si="8"/>
        <v>66500</v>
      </c>
    </row>
    <row r="551" spans="1:6" x14ac:dyDescent="0.25">
      <c r="A551" s="9"/>
      <c r="B551" s="12"/>
      <c r="C551" s="11">
        <v>200</v>
      </c>
      <c r="D551" s="9" t="s">
        <v>22</v>
      </c>
      <c r="E551" s="10">
        <v>120</v>
      </c>
      <c r="F551" s="10">
        <f t="shared" si="8"/>
        <v>24000</v>
      </c>
    </row>
    <row r="552" spans="1:6" x14ac:dyDescent="0.25">
      <c r="A552" s="9"/>
      <c r="B552" s="12"/>
      <c r="C552" s="11"/>
      <c r="D552" s="9"/>
      <c r="F552" s="8">
        <f>SUM(F547:F551)</f>
        <v>285930</v>
      </c>
    </row>
    <row r="553" spans="1:6" x14ac:dyDescent="0.25">
      <c r="A553" s="9"/>
      <c r="B553" s="12"/>
      <c r="C553" s="11"/>
      <c r="D553" s="9"/>
      <c r="F553" s="10"/>
    </row>
    <row r="554" spans="1:6" x14ac:dyDescent="0.25">
      <c r="A554" s="9" t="s">
        <v>29</v>
      </c>
      <c r="B554" s="12">
        <v>45696</v>
      </c>
      <c r="C554" s="11">
        <v>5</v>
      </c>
      <c r="D554" s="9" t="s">
        <v>36</v>
      </c>
      <c r="E554" s="10">
        <v>100</v>
      </c>
      <c r="F554" s="10">
        <f t="shared" si="8"/>
        <v>500</v>
      </c>
    </row>
    <row r="555" spans="1:6" x14ac:dyDescent="0.25">
      <c r="A555" s="9"/>
      <c r="B555" s="12"/>
      <c r="C555" s="11">
        <v>1</v>
      </c>
      <c r="D555" s="9" t="s">
        <v>8</v>
      </c>
      <c r="E555" s="10">
        <v>170</v>
      </c>
      <c r="F555" s="10">
        <f t="shared" si="8"/>
        <v>170</v>
      </c>
    </row>
    <row r="556" spans="1:6" x14ac:dyDescent="0.25">
      <c r="A556" s="9"/>
      <c r="B556" s="12"/>
      <c r="C556" s="11"/>
      <c r="D556" s="9"/>
      <c r="F556" s="8">
        <f>SUM(F554:F555)</f>
        <v>670</v>
      </c>
    </row>
    <row r="557" spans="1:6" x14ac:dyDescent="0.25">
      <c r="A557" s="9"/>
      <c r="B557" s="12"/>
      <c r="C557" s="11"/>
      <c r="D557" s="9"/>
      <c r="F557" s="10"/>
    </row>
    <row r="558" spans="1:6" x14ac:dyDescent="0.25">
      <c r="A558" s="9" t="s">
        <v>7</v>
      </c>
      <c r="B558" s="12">
        <v>45696</v>
      </c>
      <c r="C558" s="11">
        <v>2</v>
      </c>
      <c r="D558" s="9" t="s">
        <v>228</v>
      </c>
      <c r="E558" s="10">
        <v>140</v>
      </c>
      <c r="F558" s="10">
        <f t="shared" si="8"/>
        <v>280</v>
      </c>
    </row>
    <row r="559" spans="1:6" x14ac:dyDescent="0.25">
      <c r="A559" s="9"/>
      <c r="B559" s="12"/>
      <c r="C559" s="11">
        <v>1</v>
      </c>
      <c r="D559" s="9" t="s">
        <v>228</v>
      </c>
      <c r="E559" s="10">
        <v>0</v>
      </c>
      <c r="F559" s="10">
        <f t="shared" si="8"/>
        <v>0</v>
      </c>
    </row>
    <row r="560" spans="1:6" x14ac:dyDescent="0.25">
      <c r="A560" s="9"/>
      <c r="B560" s="12"/>
      <c r="C560" s="11">
        <v>9</v>
      </c>
      <c r="D560" s="9" t="s">
        <v>229</v>
      </c>
      <c r="E560" s="10">
        <v>3.3333300000000001</v>
      </c>
      <c r="F560" s="10">
        <f t="shared" si="8"/>
        <v>29.999970000000001</v>
      </c>
    </row>
    <row r="561" spans="1:6" x14ac:dyDescent="0.25">
      <c r="A561" s="9"/>
      <c r="B561" s="12"/>
      <c r="C561" s="11">
        <v>3</v>
      </c>
      <c r="D561" s="9" t="s">
        <v>8</v>
      </c>
      <c r="E561" s="10">
        <v>170</v>
      </c>
      <c r="F561" s="10">
        <f t="shared" si="8"/>
        <v>510</v>
      </c>
    </row>
    <row r="562" spans="1:6" x14ac:dyDescent="0.25">
      <c r="A562" s="9"/>
      <c r="B562" s="12"/>
      <c r="C562" s="11">
        <v>1</v>
      </c>
      <c r="D562" s="9" t="s">
        <v>8</v>
      </c>
      <c r="E562" s="10">
        <v>150</v>
      </c>
      <c r="F562" s="10">
        <f t="shared" si="8"/>
        <v>150</v>
      </c>
    </row>
    <row r="563" spans="1:6" x14ac:dyDescent="0.25">
      <c r="A563" s="9"/>
      <c r="B563" s="12"/>
      <c r="C563" s="11">
        <v>0.5</v>
      </c>
      <c r="D563" s="9" t="s">
        <v>8</v>
      </c>
      <c r="E563" s="10">
        <v>170</v>
      </c>
      <c r="F563" s="10">
        <f t="shared" si="8"/>
        <v>85</v>
      </c>
    </row>
    <row r="564" spans="1:6" x14ac:dyDescent="0.25">
      <c r="A564" s="9"/>
      <c r="B564" s="12"/>
      <c r="C564" s="11">
        <v>5</v>
      </c>
      <c r="D564" s="9" t="s">
        <v>13</v>
      </c>
      <c r="E564" s="10">
        <v>150</v>
      </c>
      <c r="F564" s="10">
        <f t="shared" si="8"/>
        <v>750</v>
      </c>
    </row>
    <row r="565" spans="1:6" x14ac:dyDescent="0.25">
      <c r="A565" s="9"/>
      <c r="B565" s="12"/>
      <c r="C565" s="11"/>
      <c r="D565" s="9"/>
      <c r="F565" s="8">
        <f>SUM(F558:F564)</f>
        <v>1804.9999700000001</v>
      </c>
    </row>
    <row r="566" spans="1:6" x14ac:dyDescent="0.25">
      <c r="A566" s="9"/>
      <c r="B566" s="12"/>
      <c r="C566" s="11"/>
      <c r="D566" s="9"/>
      <c r="F566" s="10"/>
    </row>
    <row r="567" spans="1:6" x14ac:dyDescent="0.25">
      <c r="A567" s="9" t="s">
        <v>230</v>
      </c>
      <c r="B567" s="12">
        <v>45697</v>
      </c>
      <c r="C567" s="11">
        <v>102</v>
      </c>
      <c r="D567" s="9" t="s">
        <v>13</v>
      </c>
      <c r="E567" s="10">
        <v>140</v>
      </c>
      <c r="F567" s="10">
        <f t="shared" si="8"/>
        <v>14280</v>
      </c>
    </row>
    <row r="568" spans="1:6" x14ac:dyDescent="0.25">
      <c r="A568" s="9"/>
      <c r="B568" s="12"/>
      <c r="C568" s="11">
        <v>6</v>
      </c>
      <c r="D568" s="9" t="s">
        <v>8</v>
      </c>
      <c r="E568" s="10">
        <v>150</v>
      </c>
      <c r="F568" s="10">
        <f t="shared" si="8"/>
        <v>900</v>
      </c>
    </row>
    <row r="569" spans="1:6" x14ac:dyDescent="0.25">
      <c r="A569" s="9"/>
      <c r="B569" s="12"/>
      <c r="C569" s="11"/>
      <c r="D569" s="9"/>
      <c r="F569" s="8">
        <f>SUM(F567:F568)</f>
        <v>15180</v>
      </c>
    </row>
    <row r="570" spans="1:6" x14ac:dyDescent="0.25">
      <c r="A570" s="9"/>
      <c r="B570" s="12"/>
      <c r="C570" s="11"/>
      <c r="D570" s="9"/>
      <c r="F570" s="10"/>
    </row>
    <row r="571" spans="1:6" s="9" customFormat="1" x14ac:dyDescent="0.25">
      <c r="A571" s="9" t="s">
        <v>29</v>
      </c>
      <c r="B571" s="12">
        <v>45697</v>
      </c>
      <c r="C571" s="11">
        <v>1</v>
      </c>
      <c r="D571" s="9" t="s">
        <v>170</v>
      </c>
      <c r="E571" s="10">
        <v>100</v>
      </c>
      <c r="F571" s="10">
        <f t="shared" si="8"/>
        <v>100</v>
      </c>
    </row>
    <row r="572" spans="1:6" s="9" customFormat="1" x14ac:dyDescent="0.25">
      <c r="B572" s="12"/>
      <c r="C572" s="11">
        <v>0.5</v>
      </c>
      <c r="D572" s="9" t="s">
        <v>170</v>
      </c>
      <c r="E572" s="10">
        <v>100</v>
      </c>
      <c r="F572" s="10">
        <f t="shared" si="8"/>
        <v>50</v>
      </c>
    </row>
    <row r="573" spans="1:6" s="9" customFormat="1" x14ac:dyDescent="0.25">
      <c r="B573" s="12"/>
      <c r="C573" s="11"/>
      <c r="E573" s="10"/>
      <c r="F573" s="8">
        <f>SUM(F571:F572)</f>
        <v>150</v>
      </c>
    </row>
    <row r="574" spans="1:6" s="9" customFormat="1" x14ac:dyDescent="0.25">
      <c r="B574" s="12"/>
      <c r="C574" s="11"/>
      <c r="E574" s="10"/>
      <c r="F574" s="10"/>
    </row>
    <row r="575" spans="1:6" s="9" customFormat="1" x14ac:dyDescent="0.25">
      <c r="A575" s="9" t="s">
        <v>7</v>
      </c>
      <c r="B575" s="12">
        <v>45697</v>
      </c>
      <c r="C575" s="11">
        <v>1</v>
      </c>
      <c r="D575" s="9" t="s">
        <v>8</v>
      </c>
      <c r="E575" s="10">
        <v>170</v>
      </c>
      <c r="F575" s="10">
        <f t="shared" si="8"/>
        <v>170</v>
      </c>
    </row>
    <row r="576" spans="1:6" s="9" customFormat="1" x14ac:dyDescent="0.25">
      <c r="B576" s="12"/>
      <c r="C576" s="11">
        <v>7</v>
      </c>
      <c r="D576" s="9" t="s">
        <v>13</v>
      </c>
      <c r="E576" s="10">
        <v>150</v>
      </c>
      <c r="F576" s="10">
        <f t="shared" si="8"/>
        <v>1050</v>
      </c>
    </row>
    <row r="577" spans="1:6" s="9" customFormat="1" x14ac:dyDescent="0.25">
      <c r="B577" s="12"/>
      <c r="C577" s="11">
        <v>6</v>
      </c>
      <c r="D577" s="9" t="s">
        <v>9</v>
      </c>
      <c r="E577" s="10">
        <v>3.3333330000000001</v>
      </c>
      <c r="F577" s="10">
        <f t="shared" si="8"/>
        <v>19.999998000000001</v>
      </c>
    </row>
    <row r="578" spans="1:6" s="9" customFormat="1" x14ac:dyDescent="0.25">
      <c r="B578" s="12"/>
      <c r="C578" s="11">
        <v>2</v>
      </c>
      <c r="D578" s="9" t="s">
        <v>8</v>
      </c>
      <c r="E578" s="10">
        <v>170</v>
      </c>
      <c r="F578" s="10">
        <f t="shared" si="8"/>
        <v>340</v>
      </c>
    </row>
    <row r="579" spans="1:6" s="9" customFormat="1" x14ac:dyDescent="0.25">
      <c r="B579" s="12"/>
      <c r="C579" s="11">
        <v>1</v>
      </c>
      <c r="D579" s="9" t="s">
        <v>12</v>
      </c>
      <c r="E579" s="10">
        <v>150</v>
      </c>
      <c r="F579" s="10">
        <f t="shared" si="8"/>
        <v>150</v>
      </c>
    </row>
    <row r="580" spans="1:6" s="9" customFormat="1" x14ac:dyDescent="0.25">
      <c r="B580" s="12"/>
      <c r="C580" s="11"/>
      <c r="E580" s="10"/>
      <c r="F580" s="8">
        <f>SUM(F575:F579)</f>
        <v>1729.999998</v>
      </c>
    </row>
    <row r="581" spans="1:6" s="9" customFormat="1" x14ac:dyDescent="0.25">
      <c r="B581" s="12"/>
      <c r="C581" s="11"/>
      <c r="E581" s="10"/>
      <c r="F581" s="10"/>
    </row>
    <row r="582" spans="1:6" x14ac:dyDescent="0.25">
      <c r="A582" s="9" t="s">
        <v>15</v>
      </c>
      <c r="B582" s="12">
        <v>45698</v>
      </c>
      <c r="C582" s="11">
        <v>58</v>
      </c>
      <c r="D582" s="9" t="s">
        <v>36</v>
      </c>
      <c r="E582" s="10">
        <v>85</v>
      </c>
      <c r="F582" s="10">
        <f t="shared" si="8"/>
        <v>4930</v>
      </c>
    </row>
    <row r="583" spans="1:6" x14ac:dyDescent="0.25">
      <c r="A583" s="9"/>
      <c r="B583" s="12"/>
      <c r="C583" s="11"/>
      <c r="D583" s="9"/>
      <c r="F583" s="8">
        <f>SUM(F582)</f>
        <v>4930</v>
      </c>
    </row>
    <row r="584" spans="1:6" x14ac:dyDescent="0.25">
      <c r="A584" s="9"/>
      <c r="B584" s="12"/>
      <c r="C584" s="11"/>
      <c r="D584" s="9"/>
      <c r="F584" s="10"/>
    </row>
    <row r="585" spans="1:6" x14ac:dyDescent="0.25">
      <c r="A585" s="9" t="s">
        <v>142</v>
      </c>
      <c r="B585" s="12">
        <v>45698</v>
      </c>
      <c r="C585" s="11">
        <v>10</v>
      </c>
      <c r="D585" s="9" t="s">
        <v>36</v>
      </c>
      <c r="E585" s="10">
        <v>100</v>
      </c>
      <c r="F585" s="10">
        <f t="shared" si="8"/>
        <v>1000</v>
      </c>
    </row>
    <row r="586" spans="1:6" x14ac:dyDescent="0.25">
      <c r="A586" s="9"/>
      <c r="B586" s="12"/>
      <c r="C586" s="11"/>
      <c r="D586" s="9"/>
      <c r="F586" s="8">
        <f>SUM(F585)</f>
        <v>1000</v>
      </c>
    </row>
    <row r="587" spans="1:6" x14ac:dyDescent="0.25">
      <c r="A587" s="9"/>
      <c r="B587" s="12"/>
      <c r="C587" s="11"/>
      <c r="D587" s="9"/>
      <c r="F587" s="10"/>
    </row>
    <row r="588" spans="1:6" x14ac:dyDescent="0.25">
      <c r="A588" s="9" t="s">
        <v>79</v>
      </c>
      <c r="B588" s="12">
        <v>45698</v>
      </c>
      <c r="C588" s="11">
        <v>30</v>
      </c>
      <c r="D588" s="9" t="s">
        <v>13</v>
      </c>
      <c r="E588" s="10">
        <v>145</v>
      </c>
      <c r="F588" s="10">
        <f t="shared" si="8"/>
        <v>4350</v>
      </c>
    </row>
    <row r="589" spans="1:6" x14ac:dyDescent="0.25">
      <c r="A589" s="9"/>
      <c r="B589" s="12"/>
      <c r="C589" s="11"/>
      <c r="D589" s="9"/>
      <c r="F589" s="8">
        <f>SUM(F588)</f>
        <v>4350</v>
      </c>
    </row>
    <row r="590" spans="1:6" x14ac:dyDescent="0.25">
      <c r="A590" s="9"/>
      <c r="B590" s="12"/>
      <c r="C590" s="11"/>
      <c r="D590" s="9"/>
      <c r="F590" s="10"/>
    </row>
    <row r="591" spans="1:6" x14ac:dyDescent="0.25">
      <c r="A591" s="9" t="s">
        <v>21</v>
      </c>
      <c r="B591" s="12">
        <v>45698</v>
      </c>
      <c r="C591" s="11">
        <v>10</v>
      </c>
      <c r="D591" s="9" t="s">
        <v>13</v>
      </c>
      <c r="E591" s="10">
        <v>140</v>
      </c>
      <c r="F591" s="10">
        <f t="shared" si="8"/>
        <v>1400</v>
      </c>
    </row>
    <row r="592" spans="1:6" x14ac:dyDescent="0.25">
      <c r="A592" s="9"/>
      <c r="B592" s="12"/>
      <c r="C592" s="11">
        <v>10</v>
      </c>
      <c r="D592" s="9" t="s">
        <v>12</v>
      </c>
      <c r="E592" s="10">
        <v>135</v>
      </c>
      <c r="F592" s="10">
        <f t="shared" si="8"/>
        <v>1350</v>
      </c>
    </row>
    <row r="593" spans="1:6" x14ac:dyDescent="0.25">
      <c r="A593" s="9"/>
      <c r="B593" s="12"/>
      <c r="C593" s="11">
        <v>10</v>
      </c>
      <c r="D593" s="9" t="s">
        <v>11</v>
      </c>
      <c r="E593" s="10">
        <v>125</v>
      </c>
      <c r="F593" s="10">
        <f t="shared" si="8"/>
        <v>1250</v>
      </c>
    </row>
    <row r="594" spans="1:6" x14ac:dyDescent="0.25">
      <c r="A594" s="9"/>
      <c r="B594" s="12"/>
      <c r="C594" s="11"/>
      <c r="D594" s="9"/>
      <c r="F594" s="8">
        <f>SUM(F591:F593)</f>
        <v>4000</v>
      </c>
    </row>
    <row r="595" spans="1:6" x14ac:dyDescent="0.25">
      <c r="A595" s="9"/>
      <c r="B595" s="12"/>
      <c r="C595" s="11"/>
      <c r="D595" s="9"/>
      <c r="F595" s="10"/>
    </row>
    <row r="596" spans="1:6" x14ac:dyDescent="0.25">
      <c r="A596" s="9" t="s">
        <v>20</v>
      </c>
      <c r="B596" s="12">
        <v>45698</v>
      </c>
      <c r="C596" s="11">
        <v>20</v>
      </c>
      <c r="D596" s="9" t="s">
        <v>13</v>
      </c>
      <c r="E596" s="10">
        <v>140</v>
      </c>
      <c r="F596" s="10">
        <f t="shared" si="8"/>
        <v>2800</v>
      </c>
    </row>
    <row r="597" spans="1:6" x14ac:dyDescent="0.25">
      <c r="A597" s="9"/>
      <c r="B597" s="12"/>
      <c r="C597" s="11"/>
      <c r="D597" s="9"/>
      <c r="F597" s="8">
        <f>SUM(F596)</f>
        <v>2800</v>
      </c>
    </row>
    <row r="598" spans="1:6" x14ac:dyDescent="0.25">
      <c r="A598" s="9"/>
      <c r="B598" s="12"/>
      <c r="C598" s="11"/>
      <c r="D598" s="9"/>
      <c r="F598" s="10"/>
    </row>
    <row r="599" spans="1:6" x14ac:dyDescent="0.25">
      <c r="A599" s="9" t="s">
        <v>80</v>
      </c>
      <c r="B599" s="12">
        <v>45698</v>
      </c>
      <c r="C599" s="11">
        <v>10</v>
      </c>
      <c r="D599" s="9" t="s">
        <v>13</v>
      </c>
      <c r="E599" s="10">
        <v>145</v>
      </c>
      <c r="F599" s="10">
        <f t="shared" si="8"/>
        <v>1450</v>
      </c>
    </row>
    <row r="600" spans="1:6" x14ac:dyDescent="0.25">
      <c r="A600" s="9"/>
      <c r="B600" s="12"/>
      <c r="C600" s="11"/>
      <c r="D600" s="9"/>
      <c r="F600" s="8">
        <f>SUM(F599)</f>
        <v>1450</v>
      </c>
    </row>
    <row r="601" spans="1:6" x14ac:dyDescent="0.25">
      <c r="A601" s="9"/>
      <c r="B601" s="12"/>
      <c r="C601" s="11"/>
      <c r="D601" s="9"/>
      <c r="F601" s="10"/>
    </row>
    <row r="602" spans="1:6" x14ac:dyDescent="0.25">
      <c r="A602" s="9" t="s">
        <v>81</v>
      </c>
      <c r="B602" s="12">
        <v>45698</v>
      </c>
      <c r="C602" s="11">
        <v>8</v>
      </c>
      <c r="D602" s="9" t="s">
        <v>13</v>
      </c>
      <c r="E602" s="10">
        <v>145</v>
      </c>
      <c r="F602" s="10">
        <f t="shared" ref="F602:F664" si="9">+C602*E602</f>
        <v>1160</v>
      </c>
    </row>
    <row r="603" spans="1:6" x14ac:dyDescent="0.25">
      <c r="A603" s="9"/>
      <c r="B603" s="12"/>
      <c r="C603" s="11"/>
      <c r="D603" s="9"/>
      <c r="F603" s="8">
        <f>SUM(F602)</f>
        <v>1160</v>
      </c>
    </row>
    <row r="604" spans="1:6" x14ac:dyDescent="0.25">
      <c r="A604" s="9"/>
      <c r="B604" s="12"/>
      <c r="C604" s="11"/>
      <c r="D604" s="9"/>
      <c r="F604" s="10"/>
    </row>
    <row r="605" spans="1:6" x14ac:dyDescent="0.25">
      <c r="A605" s="9" t="s">
        <v>19</v>
      </c>
      <c r="B605" s="12">
        <v>45698</v>
      </c>
      <c r="C605" s="11">
        <v>10</v>
      </c>
      <c r="D605" s="9" t="s">
        <v>13</v>
      </c>
      <c r="E605" s="10">
        <v>145</v>
      </c>
      <c r="F605" s="10">
        <f t="shared" si="9"/>
        <v>1450</v>
      </c>
    </row>
    <row r="606" spans="1:6" x14ac:dyDescent="0.25">
      <c r="A606" s="9"/>
      <c r="B606" s="12"/>
      <c r="C606" s="11"/>
      <c r="D606" s="9"/>
      <c r="F606" s="8">
        <f>SUM(F605)</f>
        <v>1450</v>
      </c>
    </row>
    <row r="607" spans="1:6" x14ac:dyDescent="0.25">
      <c r="A607" s="9"/>
      <c r="B607" s="12"/>
      <c r="C607" s="11"/>
      <c r="D607" s="9"/>
      <c r="F607" s="10"/>
    </row>
    <row r="608" spans="1:6" x14ac:dyDescent="0.25">
      <c r="A608" s="9" t="s">
        <v>41</v>
      </c>
      <c r="B608" s="12">
        <v>45698</v>
      </c>
      <c r="C608" s="11">
        <v>30</v>
      </c>
      <c r="D608" s="9" t="s">
        <v>14</v>
      </c>
      <c r="E608" s="10">
        <v>135</v>
      </c>
      <c r="F608" s="10">
        <f t="shared" si="9"/>
        <v>4050</v>
      </c>
    </row>
    <row r="609" spans="1:6" x14ac:dyDescent="0.25">
      <c r="A609" s="9"/>
      <c r="B609" s="12"/>
      <c r="C609" s="11"/>
      <c r="D609" s="9"/>
      <c r="F609" s="8">
        <f>SUM(F608)</f>
        <v>4050</v>
      </c>
    </row>
    <row r="610" spans="1:6" x14ac:dyDescent="0.25">
      <c r="A610" s="9"/>
      <c r="B610" s="12"/>
      <c r="C610" s="11"/>
      <c r="D610" s="9"/>
      <c r="F610" s="10"/>
    </row>
    <row r="611" spans="1:6" x14ac:dyDescent="0.25">
      <c r="A611" s="9" t="s">
        <v>231</v>
      </c>
      <c r="B611" s="12">
        <v>45698</v>
      </c>
      <c r="C611" s="11">
        <v>80</v>
      </c>
      <c r="D611" s="9" t="s">
        <v>12</v>
      </c>
      <c r="E611" s="10">
        <v>135</v>
      </c>
      <c r="F611" s="10">
        <f t="shared" si="9"/>
        <v>10800</v>
      </c>
    </row>
    <row r="612" spans="1:6" x14ac:dyDescent="0.25">
      <c r="A612" s="9"/>
      <c r="B612" s="12"/>
      <c r="C612" s="11"/>
      <c r="D612" s="9"/>
      <c r="F612" s="8">
        <f>SUM(F611)</f>
        <v>10800</v>
      </c>
    </row>
    <row r="613" spans="1:6" x14ac:dyDescent="0.25">
      <c r="A613" s="9"/>
      <c r="B613" s="12"/>
      <c r="C613" s="11"/>
      <c r="D613" s="9"/>
      <c r="F613" s="10"/>
    </row>
    <row r="614" spans="1:6" x14ac:dyDescent="0.25">
      <c r="A614" s="9" t="s">
        <v>43</v>
      </c>
      <c r="B614" s="12">
        <v>45698</v>
      </c>
      <c r="C614" s="11">
        <v>15</v>
      </c>
      <c r="D614" s="9" t="s">
        <v>14</v>
      </c>
      <c r="E614" s="10">
        <v>125</v>
      </c>
      <c r="F614" s="10">
        <f t="shared" si="9"/>
        <v>1875</v>
      </c>
    </row>
    <row r="615" spans="1:6" x14ac:dyDescent="0.25">
      <c r="A615" s="9"/>
      <c r="B615" s="12"/>
      <c r="C615" s="11"/>
      <c r="D615" s="9"/>
      <c r="F615" s="8">
        <f>SUM(F614)</f>
        <v>1875</v>
      </c>
    </row>
    <row r="616" spans="1:6" x14ac:dyDescent="0.25">
      <c r="A616" s="9"/>
      <c r="B616" s="12"/>
      <c r="C616" s="11"/>
      <c r="D616" s="9"/>
      <c r="F616" s="10"/>
    </row>
    <row r="617" spans="1:6" x14ac:dyDescent="0.25">
      <c r="A617" s="9" t="s">
        <v>44</v>
      </c>
      <c r="B617" s="12">
        <v>45698</v>
      </c>
      <c r="C617" s="11">
        <v>60</v>
      </c>
      <c r="D617" s="9" t="s">
        <v>14</v>
      </c>
      <c r="E617" s="10">
        <v>125</v>
      </c>
      <c r="F617" s="10">
        <f t="shared" si="9"/>
        <v>7500</v>
      </c>
    </row>
    <row r="618" spans="1:6" x14ac:dyDescent="0.25">
      <c r="A618" s="9"/>
      <c r="B618" s="12"/>
      <c r="C618" s="11"/>
      <c r="D618" s="9"/>
      <c r="F618" s="8">
        <f>SUM(F617)</f>
        <v>7500</v>
      </c>
    </row>
    <row r="619" spans="1:6" x14ac:dyDescent="0.25">
      <c r="A619" s="9"/>
      <c r="B619" s="12"/>
      <c r="C619" s="11"/>
      <c r="D619" s="9"/>
      <c r="F619" s="10"/>
    </row>
    <row r="620" spans="1:6" x14ac:dyDescent="0.25">
      <c r="A620" s="9" t="s">
        <v>18</v>
      </c>
      <c r="B620" s="12">
        <v>45698</v>
      </c>
      <c r="C620" s="11">
        <v>40</v>
      </c>
      <c r="D620" s="9" t="s">
        <v>14</v>
      </c>
      <c r="E620" s="10">
        <v>125</v>
      </c>
      <c r="F620" s="10">
        <f t="shared" si="9"/>
        <v>5000</v>
      </c>
    </row>
    <row r="621" spans="1:6" x14ac:dyDescent="0.25">
      <c r="A621" s="9"/>
      <c r="B621" s="12"/>
      <c r="C621" s="11">
        <v>10</v>
      </c>
      <c r="D621" s="9" t="s">
        <v>12</v>
      </c>
      <c r="E621" s="10">
        <v>135</v>
      </c>
      <c r="F621" s="10">
        <f t="shared" si="9"/>
        <v>1350</v>
      </c>
    </row>
    <row r="622" spans="1:6" x14ac:dyDescent="0.25">
      <c r="A622" s="9"/>
      <c r="B622" s="12"/>
      <c r="C622" s="11"/>
      <c r="D622" s="9"/>
      <c r="F622" s="8">
        <f>SUM(F620:F621)</f>
        <v>6350</v>
      </c>
    </row>
    <row r="623" spans="1:6" x14ac:dyDescent="0.25">
      <c r="A623" s="9"/>
      <c r="B623" s="12"/>
      <c r="C623" s="11"/>
      <c r="D623" s="9"/>
      <c r="F623" s="10"/>
    </row>
    <row r="624" spans="1:6" x14ac:dyDescent="0.25">
      <c r="A624" s="9" t="s">
        <v>232</v>
      </c>
      <c r="B624" s="12">
        <v>45698</v>
      </c>
      <c r="C624" s="11">
        <v>10</v>
      </c>
      <c r="D624" s="9" t="s">
        <v>14</v>
      </c>
      <c r="E624" s="10">
        <v>125</v>
      </c>
      <c r="F624" s="10">
        <f t="shared" si="9"/>
        <v>1250</v>
      </c>
    </row>
    <row r="625" spans="1:6" x14ac:dyDescent="0.25">
      <c r="A625" s="9"/>
      <c r="B625" s="12"/>
      <c r="C625" s="11"/>
      <c r="D625" s="9"/>
      <c r="F625" s="8">
        <f>SUM(F624)</f>
        <v>1250</v>
      </c>
    </row>
    <row r="626" spans="1:6" x14ac:dyDescent="0.25">
      <c r="A626" s="9"/>
      <c r="B626" s="12"/>
      <c r="C626" s="11"/>
      <c r="D626" s="9"/>
      <c r="F626" s="10"/>
    </row>
    <row r="627" spans="1:6" x14ac:dyDescent="0.25">
      <c r="A627" s="9" t="s">
        <v>46</v>
      </c>
      <c r="B627" s="12">
        <v>45698</v>
      </c>
      <c r="C627" s="11">
        <v>25</v>
      </c>
      <c r="D627" s="9" t="s">
        <v>14</v>
      </c>
      <c r="E627" s="10">
        <v>130</v>
      </c>
      <c r="F627" s="10">
        <f t="shared" si="9"/>
        <v>3250</v>
      </c>
    </row>
    <row r="628" spans="1:6" x14ac:dyDescent="0.25">
      <c r="A628" s="9"/>
      <c r="B628" s="12"/>
      <c r="C628" s="11"/>
      <c r="D628" s="9"/>
      <c r="F628" s="8">
        <f>SUM(F627)</f>
        <v>3250</v>
      </c>
    </row>
    <row r="629" spans="1:6" x14ac:dyDescent="0.25">
      <c r="A629" s="9"/>
      <c r="B629" s="12"/>
      <c r="C629" s="11"/>
      <c r="D629" s="9"/>
      <c r="F629" s="10"/>
    </row>
    <row r="630" spans="1:6" x14ac:dyDescent="0.25">
      <c r="A630" s="9" t="s">
        <v>145</v>
      </c>
      <c r="B630" s="12">
        <v>45698</v>
      </c>
      <c r="C630" s="11">
        <v>20</v>
      </c>
      <c r="D630" s="9" t="s">
        <v>14</v>
      </c>
      <c r="E630" s="10">
        <v>125</v>
      </c>
      <c r="F630" s="10">
        <f t="shared" si="9"/>
        <v>2500</v>
      </c>
    </row>
    <row r="631" spans="1:6" x14ac:dyDescent="0.25">
      <c r="A631" s="9"/>
      <c r="B631" s="12"/>
      <c r="C631" s="11"/>
      <c r="D631" s="9"/>
      <c r="F631" s="8">
        <f>SUM(F630)</f>
        <v>2500</v>
      </c>
    </row>
    <row r="632" spans="1:6" x14ac:dyDescent="0.25">
      <c r="A632" s="9"/>
      <c r="B632" s="12"/>
      <c r="C632" s="11"/>
      <c r="D632" s="9"/>
      <c r="F632" s="10"/>
    </row>
    <row r="633" spans="1:6" x14ac:dyDescent="0.25">
      <c r="A633" s="9" t="s">
        <v>164</v>
      </c>
      <c r="B633" s="12">
        <v>45698</v>
      </c>
      <c r="C633" s="11">
        <v>5</v>
      </c>
      <c r="D633" s="9" t="s">
        <v>8</v>
      </c>
      <c r="E633" s="10">
        <v>170</v>
      </c>
      <c r="F633" s="10">
        <f t="shared" si="9"/>
        <v>850</v>
      </c>
    </row>
    <row r="634" spans="1:6" x14ac:dyDescent="0.25">
      <c r="A634" s="9"/>
      <c r="B634" s="12"/>
      <c r="C634" s="11"/>
      <c r="D634" s="9"/>
      <c r="F634" s="8">
        <f>SUM(F633)</f>
        <v>850</v>
      </c>
    </row>
    <row r="635" spans="1:6" x14ac:dyDescent="0.25">
      <c r="A635" s="9"/>
      <c r="B635" s="12"/>
      <c r="C635" s="11"/>
      <c r="D635" s="9"/>
      <c r="F635" s="10"/>
    </row>
    <row r="636" spans="1:6" x14ac:dyDescent="0.25">
      <c r="A636" s="9" t="s">
        <v>127</v>
      </c>
      <c r="B636" s="12">
        <v>45698</v>
      </c>
      <c r="C636" s="11">
        <v>150</v>
      </c>
      <c r="D636" s="9" t="s">
        <v>13</v>
      </c>
      <c r="E636" s="10">
        <v>140</v>
      </c>
      <c r="F636" s="10">
        <f t="shared" si="9"/>
        <v>21000</v>
      </c>
    </row>
    <row r="637" spans="1:6" x14ac:dyDescent="0.25">
      <c r="A637" s="9"/>
      <c r="B637" s="12"/>
      <c r="C637" s="11"/>
      <c r="D637" s="9"/>
      <c r="F637" s="8">
        <f>SUM(F636)</f>
        <v>21000</v>
      </c>
    </row>
    <row r="638" spans="1:6" x14ac:dyDescent="0.25">
      <c r="A638" s="9"/>
      <c r="B638" s="12"/>
      <c r="C638" s="11"/>
      <c r="D638" s="9"/>
      <c r="F638" s="10"/>
    </row>
    <row r="639" spans="1:6" x14ac:dyDescent="0.25">
      <c r="A639" s="9" t="s">
        <v>151</v>
      </c>
      <c r="B639" s="12">
        <v>45698</v>
      </c>
      <c r="C639" s="11">
        <v>30</v>
      </c>
      <c r="D639" s="9" t="s">
        <v>14</v>
      </c>
      <c r="E639" s="10">
        <v>125</v>
      </c>
      <c r="F639" s="10">
        <f t="shared" si="9"/>
        <v>3750</v>
      </c>
    </row>
    <row r="640" spans="1:6" x14ac:dyDescent="0.25">
      <c r="A640" s="9"/>
      <c r="B640" s="12"/>
      <c r="C640" s="11">
        <v>30</v>
      </c>
      <c r="D640" s="9" t="s">
        <v>11</v>
      </c>
      <c r="E640" s="10">
        <v>120</v>
      </c>
      <c r="F640" s="10">
        <f t="shared" si="9"/>
        <v>3600</v>
      </c>
    </row>
    <row r="641" spans="1:6" x14ac:dyDescent="0.25">
      <c r="A641" s="9"/>
      <c r="B641" s="12"/>
      <c r="C641" s="11"/>
      <c r="D641" s="9"/>
      <c r="F641" s="8">
        <f>SUM(F639:F640)</f>
        <v>7350</v>
      </c>
    </row>
    <row r="642" spans="1:6" x14ac:dyDescent="0.25">
      <c r="A642" s="9"/>
      <c r="B642" s="12"/>
      <c r="C642" s="11"/>
      <c r="D642" s="9"/>
      <c r="F642" s="10"/>
    </row>
    <row r="643" spans="1:6" x14ac:dyDescent="0.25">
      <c r="A643" s="9" t="s">
        <v>89</v>
      </c>
      <c r="B643" s="12">
        <v>45698</v>
      </c>
      <c r="C643" s="11">
        <v>40</v>
      </c>
      <c r="D643" s="9" t="s">
        <v>13</v>
      </c>
      <c r="E643" s="10">
        <v>135</v>
      </c>
      <c r="F643" s="10">
        <f t="shared" si="9"/>
        <v>5400</v>
      </c>
    </row>
    <row r="644" spans="1:6" x14ac:dyDescent="0.25">
      <c r="A644" s="9"/>
      <c r="B644" s="12"/>
      <c r="C644" s="11">
        <v>70</v>
      </c>
      <c r="D644" s="9" t="s">
        <v>12</v>
      </c>
      <c r="E644" s="10">
        <v>130</v>
      </c>
      <c r="F644" s="10">
        <f t="shared" si="9"/>
        <v>9100</v>
      </c>
    </row>
    <row r="645" spans="1:6" x14ac:dyDescent="0.25">
      <c r="A645" s="9"/>
      <c r="B645" s="12"/>
      <c r="C645" s="11">
        <v>20</v>
      </c>
      <c r="D645" s="9" t="s">
        <v>14</v>
      </c>
      <c r="E645" s="10">
        <v>125</v>
      </c>
      <c r="F645" s="10">
        <f t="shared" si="9"/>
        <v>2500</v>
      </c>
    </row>
    <row r="646" spans="1:6" x14ac:dyDescent="0.25">
      <c r="A646" s="9"/>
      <c r="B646" s="12"/>
      <c r="C646" s="11">
        <v>10</v>
      </c>
      <c r="D646" s="9" t="s">
        <v>11</v>
      </c>
      <c r="E646" s="10">
        <v>125</v>
      </c>
      <c r="F646" s="10">
        <f t="shared" si="9"/>
        <v>1250</v>
      </c>
    </row>
    <row r="647" spans="1:6" x14ac:dyDescent="0.25">
      <c r="A647" s="9"/>
      <c r="B647" s="12"/>
      <c r="C647" s="11">
        <v>10</v>
      </c>
      <c r="D647" s="9" t="s">
        <v>22</v>
      </c>
      <c r="E647" s="10">
        <v>120</v>
      </c>
      <c r="F647" s="10">
        <f t="shared" si="9"/>
        <v>1200</v>
      </c>
    </row>
    <row r="648" spans="1:6" x14ac:dyDescent="0.25">
      <c r="A648" s="9"/>
      <c r="B648" s="12"/>
      <c r="C648" s="11"/>
      <c r="D648" s="9"/>
      <c r="F648" s="8">
        <f>SUM(F643:F647)</f>
        <v>19450</v>
      </c>
    </row>
    <row r="649" spans="1:6" x14ac:dyDescent="0.25">
      <c r="A649" s="9"/>
      <c r="B649" s="12"/>
      <c r="C649" s="11"/>
      <c r="D649" s="9"/>
      <c r="F649" s="10"/>
    </row>
    <row r="650" spans="1:6" x14ac:dyDescent="0.25">
      <c r="A650" s="9" t="s">
        <v>53</v>
      </c>
      <c r="B650" s="12">
        <v>45698</v>
      </c>
      <c r="C650" s="11">
        <v>100</v>
      </c>
      <c r="D650" s="9" t="s">
        <v>13</v>
      </c>
      <c r="E650" s="10">
        <v>140</v>
      </c>
      <c r="F650" s="10">
        <f t="shared" si="9"/>
        <v>14000</v>
      </c>
    </row>
    <row r="651" spans="1:6" x14ac:dyDescent="0.25">
      <c r="A651" s="9"/>
      <c r="B651" s="12"/>
      <c r="C651" s="11">
        <v>20</v>
      </c>
      <c r="D651" s="9" t="s">
        <v>8</v>
      </c>
      <c r="E651" s="10">
        <v>150</v>
      </c>
      <c r="F651" s="10">
        <f t="shared" si="9"/>
        <v>3000</v>
      </c>
    </row>
    <row r="652" spans="1:6" x14ac:dyDescent="0.25">
      <c r="A652" s="9"/>
      <c r="B652" s="12"/>
      <c r="C652" s="11">
        <v>22</v>
      </c>
      <c r="D652" s="9" t="s">
        <v>13</v>
      </c>
      <c r="E652" s="10">
        <v>145</v>
      </c>
      <c r="F652" s="10">
        <f t="shared" si="9"/>
        <v>3190</v>
      </c>
    </row>
    <row r="653" spans="1:6" x14ac:dyDescent="0.25">
      <c r="A653" s="9"/>
      <c r="B653" s="12"/>
      <c r="C653" s="11"/>
      <c r="D653" s="9"/>
      <c r="F653" s="8">
        <f>SUM(F650:F652)</f>
        <v>20190</v>
      </c>
    </row>
    <row r="654" spans="1:6" x14ac:dyDescent="0.25">
      <c r="A654" s="9"/>
      <c r="B654" s="12"/>
      <c r="C654" s="11"/>
      <c r="D654" s="9"/>
      <c r="F654" s="10"/>
    </row>
    <row r="655" spans="1:6" x14ac:dyDescent="0.25">
      <c r="A655" s="9" t="s">
        <v>191</v>
      </c>
      <c r="B655" s="12">
        <v>45698</v>
      </c>
      <c r="C655" s="11">
        <v>300</v>
      </c>
      <c r="D655" s="9" t="s">
        <v>14</v>
      </c>
      <c r="E655" s="10">
        <v>125</v>
      </c>
      <c r="F655" s="10">
        <f t="shared" si="9"/>
        <v>37500</v>
      </c>
    </row>
    <row r="656" spans="1:6" x14ac:dyDescent="0.25">
      <c r="A656" s="9"/>
      <c r="B656" s="12"/>
      <c r="C656" s="11"/>
      <c r="D656" s="9"/>
      <c r="F656" s="8">
        <f>SUM(F655)</f>
        <v>37500</v>
      </c>
    </row>
    <row r="657" spans="1:6" x14ac:dyDescent="0.25">
      <c r="A657" s="9"/>
      <c r="B657" s="12"/>
      <c r="C657" s="11"/>
      <c r="D657" s="9"/>
      <c r="F657" s="10"/>
    </row>
    <row r="658" spans="1:6" x14ac:dyDescent="0.25">
      <c r="A658" s="9" t="s">
        <v>29</v>
      </c>
      <c r="B658" s="12">
        <v>45698</v>
      </c>
      <c r="C658" s="11">
        <v>1</v>
      </c>
      <c r="D658" s="9" t="s">
        <v>49</v>
      </c>
      <c r="E658" s="10">
        <v>170</v>
      </c>
      <c r="F658" s="10">
        <f t="shared" si="9"/>
        <v>170</v>
      </c>
    </row>
    <row r="659" spans="1:6" x14ac:dyDescent="0.25">
      <c r="A659" s="9"/>
      <c r="B659" s="12"/>
      <c r="C659" s="11">
        <v>0.5</v>
      </c>
      <c r="D659" s="9" t="s">
        <v>8</v>
      </c>
      <c r="E659" s="10">
        <v>170</v>
      </c>
      <c r="F659" s="10">
        <f t="shared" si="9"/>
        <v>85</v>
      </c>
    </row>
    <row r="660" spans="1:6" x14ac:dyDescent="0.25">
      <c r="A660" s="9"/>
      <c r="B660" s="12"/>
      <c r="C660" s="11"/>
      <c r="D660" s="9"/>
      <c r="F660" s="8">
        <f>SUM(F658:F659)</f>
        <v>255</v>
      </c>
    </row>
    <row r="661" spans="1:6" x14ac:dyDescent="0.25">
      <c r="A661" s="9"/>
      <c r="B661" s="12"/>
      <c r="C661" s="11"/>
      <c r="D661" s="9"/>
      <c r="F661" s="10"/>
    </row>
    <row r="662" spans="1:6" x14ac:dyDescent="0.25">
      <c r="A662" s="9" t="s">
        <v>7</v>
      </c>
      <c r="B662" s="12">
        <v>45698</v>
      </c>
      <c r="C662" s="11">
        <v>1</v>
      </c>
      <c r="D662" s="9" t="s">
        <v>8</v>
      </c>
      <c r="E662" s="10">
        <v>170</v>
      </c>
      <c r="F662" s="10">
        <f t="shared" si="9"/>
        <v>170</v>
      </c>
    </row>
    <row r="663" spans="1:6" x14ac:dyDescent="0.25">
      <c r="A663" s="9"/>
      <c r="B663" s="12"/>
      <c r="C663" s="11">
        <v>2</v>
      </c>
      <c r="D663" s="9" t="s">
        <v>8</v>
      </c>
      <c r="E663" s="10">
        <v>150</v>
      </c>
      <c r="F663" s="10">
        <f t="shared" si="9"/>
        <v>300</v>
      </c>
    </row>
    <row r="664" spans="1:6" x14ac:dyDescent="0.25">
      <c r="A664" s="9"/>
      <c r="B664" s="12"/>
      <c r="C664" s="11">
        <v>3</v>
      </c>
      <c r="D664" s="9" t="s">
        <v>229</v>
      </c>
      <c r="E664" s="10">
        <v>3.3333333000000001</v>
      </c>
      <c r="F664" s="10">
        <f t="shared" si="9"/>
        <v>9.9999999000000006</v>
      </c>
    </row>
    <row r="665" spans="1:6" x14ac:dyDescent="0.25">
      <c r="A665" s="9"/>
      <c r="B665" s="12"/>
      <c r="C665" s="11"/>
      <c r="D665" s="9"/>
      <c r="F665" s="8">
        <f>SUM(F662:F664)</f>
        <v>479.99999989999998</v>
      </c>
    </row>
    <row r="666" spans="1:6" x14ac:dyDescent="0.25">
      <c r="A666" s="9"/>
      <c r="B666" s="12"/>
      <c r="C666" s="11"/>
      <c r="D666" s="9"/>
      <c r="F666" s="10"/>
    </row>
    <row r="667" spans="1:6" x14ac:dyDescent="0.25">
      <c r="A667" s="9" t="s">
        <v>233</v>
      </c>
      <c r="B667" s="12">
        <v>45699</v>
      </c>
      <c r="C667" s="11">
        <v>40</v>
      </c>
      <c r="D667" s="9" t="s">
        <v>13</v>
      </c>
      <c r="E667" s="10">
        <v>150</v>
      </c>
      <c r="F667" s="10">
        <f t="shared" ref="F667:F728" si="10">+C667*E667</f>
        <v>6000</v>
      </c>
    </row>
    <row r="668" spans="1:6" x14ac:dyDescent="0.25">
      <c r="A668" s="9"/>
      <c r="B668" s="12"/>
      <c r="C668" s="11"/>
      <c r="D668" s="9"/>
      <c r="F668" s="8">
        <f>SUM(F667)</f>
        <v>6000</v>
      </c>
    </row>
    <row r="669" spans="1:6" x14ac:dyDescent="0.25">
      <c r="A669" s="9"/>
      <c r="B669" s="12"/>
      <c r="C669" s="11"/>
      <c r="D669" s="9"/>
      <c r="F669" s="10"/>
    </row>
    <row r="670" spans="1:6" x14ac:dyDescent="0.25">
      <c r="A670" s="9" t="s">
        <v>210</v>
      </c>
      <c r="B670" s="12">
        <v>45699</v>
      </c>
      <c r="C670" s="11">
        <v>18</v>
      </c>
      <c r="D670" s="9" t="s">
        <v>49</v>
      </c>
      <c r="E670" s="10">
        <v>145</v>
      </c>
      <c r="F670" s="10">
        <f t="shared" si="10"/>
        <v>2610</v>
      </c>
    </row>
    <row r="671" spans="1:6" x14ac:dyDescent="0.25">
      <c r="A671" s="9"/>
      <c r="B671" s="12"/>
      <c r="C671" s="11">
        <v>30</v>
      </c>
      <c r="D671" s="9" t="s">
        <v>12</v>
      </c>
      <c r="E671" s="10">
        <v>134</v>
      </c>
      <c r="F671" s="10">
        <f t="shared" si="10"/>
        <v>4020</v>
      </c>
    </row>
    <row r="672" spans="1:6" x14ac:dyDescent="0.25">
      <c r="A672" s="9"/>
      <c r="B672" s="12"/>
      <c r="C672" s="11">
        <v>20</v>
      </c>
      <c r="D672" s="9" t="s">
        <v>13</v>
      </c>
      <c r="E672" s="10">
        <v>145</v>
      </c>
      <c r="F672" s="10">
        <f t="shared" si="10"/>
        <v>2900</v>
      </c>
    </row>
    <row r="673" spans="1:6" x14ac:dyDescent="0.25">
      <c r="A673" s="9"/>
      <c r="B673" s="12"/>
      <c r="C673" s="11">
        <v>30</v>
      </c>
      <c r="D673" s="9" t="s">
        <v>8</v>
      </c>
      <c r="E673" s="10">
        <v>155</v>
      </c>
      <c r="F673" s="10">
        <f t="shared" si="10"/>
        <v>4650</v>
      </c>
    </row>
    <row r="674" spans="1:6" x14ac:dyDescent="0.25">
      <c r="A674" s="9"/>
      <c r="B674" s="12"/>
      <c r="C674" s="11">
        <v>20</v>
      </c>
      <c r="D674" s="9" t="s">
        <v>14</v>
      </c>
      <c r="E674" s="10">
        <v>135</v>
      </c>
      <c r="F674" s="10">
        <f t="shared" si="10"/>
        <v>2700</v>
      </c>
    </row>
    <row r="675" spans="1:6" x14ac:dyDescent="0.25">
      <c r="A675" s="9"/>
      <c r="B675" s="12"/>
      <c r="C675" s="11">
        <v>10</v>
      </c>
      <c r="D675" s="9" t="s">
        <v>11</v>
      </c>
      <c r="E675" s="10">
        <v>125</v>
      </c>
      <c r="F675" s="10">
        <f t="shared" si="10"/>
        <v>1250</v>
      </c>
    </row>
    <row r="676" spans="1:6" x14ac:dyDescent="0.25">
      <c r="A676" s="9"/>
      <c r="B676" s="12"/>
      <c r="C676" s="11"/>
      <c r="D676" s="9"/>
      <c r="F676" s="8">
        <f>SUM(F670:F675)</f>
        <v>18130</v>
      </c>
    </row>
    <row r="677" spans="1:6" x14ac:dyDescent="0.25">
      <c r="A677" s="9"/>
      <c r="B677" s="12"/>
      <c r="C677" s="11"/>
      <c r="D677" s="9"/>
      <c r="F677" s="10"/>
    </row>
    <row r="678" spans="1:6" x14ac:dyDescent="0.25">
      <c r="A678" s="9" t="s">
        <v>62</v>
      </c>
      <c r="B678" s="12">
        <v>45699</v>
      </c>
      <c r="C678" s="11">
        <v>100</v>
      </c>
      <c r="D678" s="9" t="s">
        <v>8</v>
      </c>
      <c r="E678" s="10">
        <v>160</v>
      </c>
      <c r="F678" s="10">
        <f t="shared" si="10"/>
        <v>16000</v>
      </c>
    </row>
    <row r="679" spans="1:6" x14ac:dyDescent="0.25">
      <c r="A679" s="9"/>
      <c r="B679" s="12"/>
      <c r="C679" s="11"/>
      <c r="D679" s="9"/>
      <c r="F679" s="8">
        <f>SUM(F678)</f>
        <v>16000</v>
      </c>
    </row>
    <row r="680" spans="1:6" x14ac:dyDescent="0.25">
      <c r="A680" s="9"/>
      <c r="B680" s="12"/>
      <c r="C680" s="11"/>
      <c r="D680" s="9"/>
      <c r="F680" s="10"/>
    </row>
    <row r="681" spans="1:6" x14ac:dyDescent="0.25">
      <c r="A681" s="9" t="s">
        <v>61</v>
      </c>
      <c r="B681" s="12">
        <v>45699</v>
      </c>
      <c r="C681" s="11">
        <v>100</v>
      </c>
      <c r="D681" s="9" t="s">
        <v>13</v>
      </c>
      <c r="E681" s="10">
        <v>140</v>
      </c>
      <c r="F681" s="10">
        <f t="shared" si="10"/>
        <v>14000</v>
      </c>
    </row>
    <row r="682" spans="1:6" x14ac:dyDescent="0.25">
      <c r="A682" s="9"/>
      <c r="B682" s="12"/>
      <c r="C682" s="11"/>
      <c r="D682" s="9"/>
      <c r="F682" s="8">
        <f>SUM(F681)</f>
        <v>14000</v>
      </c>
    </row>
    <row r="683" spans="1:6" x14ac:dyDescent="0.25">
      <c r="A683" s="9"/>
      <c r="B683" s="12"/>
      <c r="C683" s="11"/>
      <c r="D683" s="9"/>
      <c r="F683" s="10"/>
    </row>
    <row r="684" spans="1:6" x14ac:dyDescent="0.25">
      <c r="A684" s="9" t="s">
        <v>60</v>
      </c>
      <c r="B684" s="12">
        <v>45699</v>
      </c>
      <c r="C684" s="11">
        <v>30</v>
      </c>
      <c r="D684" s="9" t="s">
        <v>13</v>
      </c>
      <c r="E684" s="10">
        <v>145</v>
      </c>
      <c r="F684" s="10">
        <f t="shared" si="10"/>
        <v>4350</v>
      </c>
    </row>
    <row r="685" spans="1:6" x14ac:dyDescent="0.25">
      <c r="A685" s="9"/>
      <c r="B685" s="12"/>
      <c r="C685" s="11"/>
      <c r="D685" s="9"/>
      <c r="F685" s="8">
        <f>SUM(F684)</f>
        <v>4350</v>
      </c>
    </row>
    <row r="686" spans="1:6" x14ac:dyDescent="0.25">
      <c r="A686" s="9"/>
      <c r="B686" s="12"/>
      <c r="C686" s="11"/>
      <c r="D686" s="9"/>
      <c r="F686" s="10"/>
    </row>
    <row r="687" spans="1:6" x14ac:dyDescent="0.25">
      <c r="A687" s="9" t="s">
        <v>112</v>
      </c>
      <c r="B687" s="12">
        <v>45699</v>
      </c>
      <c r="C687" s="11">
        <v>50</v>
      </c>
      <c r="D687" s="9" t="s">
        <v>13</v>
      </c>
      <c r="E687" s="10">
        <v>135</v>
      </c>
      <c r="F687" s="10">
        <f t="shared" si="10"/>
        <v>6750</v>
      </c>
    </row>
    <row r="688" spans="1:6" x14ac:dyDescent="0.25">
      <c r="A688" s="9"/>
      <c r="B688" s="12"/>
      <c r="C688" s="11">
        <v>50</v>
      </c>
      <c r="D688" s="9" t="s">
        <v>12</v>
      </c>
      <c r="E688" s="10">
        <v>125</v>
      </c>
      <c r="F688" s="10">
        <f t="shared" si="10"/>
        <v>6250</v>
      </c>
    </row>
    <row r="689" spans="1:6" x14ac:dyDescent="0.25">
      <c r="A689" s="9"/>
      <c r="B689" s="12"/>
      <c r="C689" s="11">
        <v>100</v>
      </c>
      <c r="D689" s="9" t="s">
        <v>8</v>
      </c>
      <c r="E689" s="10">
        <v>150</v>
      </c>
      <c r="F689" s="10">
        <f t="shared" si="10"/>
        <v>15000</v>
      </c>
    </row>
    <row r="690" spans="1:6" x14ac:dyDescent="0.25">
      <c r="A690" s="9"/>
      <c r="B690" s="12"/>
      <c r="C690" s="11"/>
      <c r="D690" s="9"/>
      <c r="F690" s="8">
        <f>SUM(F687:F689)</f>
        <v>28000</v>
      </c>
    </row>
    <row r="691" spans="1:6" x14ac:dyDescent="0.25">
      <c r="A691" s="9"/>
      <c r="B691" s="12"/>
      <c r="C691" s="11"/>
      <c r="D691" s="9"/>
      <c r="F691" s="10"/>
    </row>
    <row r="692" spans="1:6" x14ac:dyDescent="0.25">
      <c r="A692" s="9" t="s">
        <v>198</v>
      </c>
      <c r="B692" s="12">
        <v>45699</v>
      </c>
      <c r="C692" s="11">
        <v>20</v>
      </c>
      <c r="D692" s="9" t="s">
        <v>13</v>
      </c>
      <c r="E692" s="10">
        <v>155</v>
      </c>
      <c r="F692" s="10">
        <f t="shared" si="10"/>
        <v>3100</v>
      </c>
    </row>
    <row r="693" spans="1:6" x14ac:dyDescent="0.25">
      <c r="A693" s="9"/>
      <c r="B693" s="12"/>
      <c r="C693" s="11"/>
      <c r="D693" s="9"/>
      <c r="F693" s="8">
        <f>SUM(F692)</f>
        <v>3100</v>
      </c>
    </row>
    <row r="694" spans="1:6" x14ac:dyDescent="0.25">
      <c r="A694" s="9"/>
      <c r="B694" s="12"/>
      <c r="C694" s="11"/>
      <c r="D694" s="9"/>
      <c r="F694" s="10"/>
    </row>
    <row r="695" spans="1:6" x14ac:dyDescent="0.25">
      <c r="A695" s="9" t="s">
        <v>234</v>
      </c>
      <c r="B695" s="12">
        <v>45699</v>
      </c>
      <c r="C695" s="11">
        <v>4</v>
      </c>
      <c r="D695" s="9" t="s">
        <v>13</v>
      </c>
      <c r="E695" s="10">
        <v>150</v>
      </c>
      <c r="F695" s="10">
        <f t="shared" si="10"/>
        <v>600</v>
      </c>
    </row>
    <row r="696" spans="1:6" x14ac:dyDescent="0.25">
      <c r="A696" s="9"/>
      <c r="B696" s="12"/>
      <c r="C696" s="11"/>
      <c r="D696" s="9"/>
      <c r="F696" s="8">
        <f>SUM(F695)</f>
        <v>600</v>
      </c>
    </row>
    <row r="697" spans="1:6" x14ac:dyDescent="0.25">
      <c r="A697" s="9"/>
      <c r="B697" s="12"/>
      <c r="C697" s="11"/>
      <c r="D697" s="9"/>
      <c r="F697" s="10"/>
    </row>
    <row r="698" spans="1:6" x14ac:dyDescent="0.25">
      <c r="A698" s="9" t="s">
        <v>51</v>
      </c>
      <c r="B698" s="12">
        <v>45699</v>
      </c>
      <c r="C698" s="11">
        <v>250</v>
      </c>
      <c r="D698" s="9" t="s">
        <v>13</v>
      </c>
      <c r="E698" s="10">
        <v>135</v>
      </c>
      <c r="F698" s="10">
        <f t="shared" si="10"/>
        <v>33750</v>
      </c>
    </row>
    <row r="699" spans="1:6" x14ac:dyDescent="0.25">
      <c r="A699" s="9"/>
      <c r="B699" s="12"/>
      <c r="C699" s="11">
        <v>250</v>
      </c>
      <c r="D699" s="9" t="s">
        <v>12</v>
      </c>
      <c r="E699" s="10">
        <v>125</v>
      </c>
      <c r="F699" s="10">
        <f t="shared" si="10"/>
        <v>31250</v>
      </c>
    </row>
    <row r="700" spans="1:6" x14ac:dyDescent="0.25">
      <c r="A700" s="9"/>
      <c r="B700" s="12"/>
      <c r="C700" s="11">
        <v>500</v>
      </c>
      <c r="D700" s="9" t="s">
        <v>14</v>
      </c>
      <c r="E700" s="10">
        <v>120</v>
      </c>
      <c r="F700" s="10">
        <f t="shared" si="10"/>
        <v>60000</v>
      </c>
    </row>
    <row r="701" spans="1:6" x14ac:dyDescent="0.25">
      <c r="A701" s="9"/>
      <c r="B701" s="12"/>
      <c r="C701" s="11"/>
      <c r="D701" s="9"/>
      <c r="F701" s="8">
        <f>SUM(F698:F700)</f>
        <v>125000</v>
      </c>
    </row>
    <row r="702" spans="1:6" x14ac:dyDescent="0.25">
      <c r="A702" s="9"/>
      <c r="B702" s="12"/>
      <c r="C702" s="11"/>
      <c r="D702" s="9"/>
      <c r="F702" s="10"/>
    </row>
    <row r="703" spans="1:6" x14ac:dyDescent="0.25">
      <c r="A703" s="9" t="s">
        <v>51</v>
      </c>
      <c r="B703" s="12">
        <v>45699</v>
      </c>
      <c r="C703" s="11">
        <v>133</v>
      </c>
      <c r="D703" s="9" t="s">
        <v>14</v>
      </c>
      <c r="F703" s="10">
        <f t="shared" si="10"/>
        <v>0</v>
      </c>
    </row>
    <row r="704" spans="1:6" x14ac:dyDescent="0.25">
      <c r="A704" s="9"/>
      <c r="B704" s="12"/>
      <c r="C704" s="11">
        <v>44</v>
      </c>
      <c r="D704" s="9" t="s">
        <v>11</v>
      </c>
      <c r="F704" s="10">
        <f t="shared" si="10"/>
        <v>0</v>
      </c>
    </row>
    <row r="705" spans="1:6" x14ac:dyDescent="0.25">
      <c r="A705" s="9"/>
      <c r="B705" s="12"/>
      <c r="C705" s="11"/>
      <c r="D705" s="9"/>
      <c r="F705" s="8">
        <f>SUM(F703:F704)</f>
        <v>0</v>
      </c>
    </row>
    <row r="706" spans="1:6" x14ac:dyDescent="0.25">
      <c r="A706" s="9"/>
      <c r="B706" s="12"/>
      <c r="C706" s="11"/>
      <c r="D706" s="9"/>
      <c r="F706" s="10"/>
    </row>
    <row r="707" spans="1:6" x14ac:dyDescent="0.25">
      <c r="A707" s="9" t="s">
        <v>10</v>
      </c>
      <c r="B707" s="12">
        <v>45699</v>
      </c>
      <c r="C707" s="11">
        <v>160</v>
      </c>
      <c r="D707" s="9" t="s">
        <v>13</v>
      </c>
      <c r="E707" s="10">
        <v>140</v>
      </c>
      <c r="F707" s="10">
        <f t="shared" si="10"/>
        <v>22400</v>
      </c>
    </row>
    <row r="708" spans="1:6" x14ac:dyDescent="0.25">
      <c r="A708" s="9"/>
      <c r="B708" s="12"/>
      <c r="C708" s="11">
        <v>200</v>
      </c>
      <c r="D708" s="9" t="s">
        <v>12</v>
      </c>
      <c r="E708" s="10">
        <v>130</v>
      </c>
      <c r="F708" s="10">
        <f t="shared" si="10"/>
        <v>26000</v>
      </c>
    </row>
    <row r="709" spans="1:6" x14ac:dyDescent="0.25">
      <c r="A709" s="9"/>
      <c r="B709" s="12"/>
      <c r="C709" s="11">
        <v>100</v>
      </c>
      <c r="D709" s="9" t="s">
        <v>11</v>
      </c>
      <c r="E709" s="10">
        <v>120</v>
      </c>
      <c r="F709" s="10">
        <f t="shared" si="10"/>
        <v>12000</v>
      </c>
    </row>
    <row r="710" spans="1:6" x14ac:dyDescent="0.25">
      <c r="A710" s="9"/>
      <c r="B710" s="12"/>
      <c r="C710" s="11">
        <v>100</v>
      </c>
      <c r="D710" s="9" t="s">
        <v>14</v>
      </c>
      <c r="E710" s="10">
        <v>130</v>
      </c>
      <c r="F710" s="10">
        <f t="shared" si="10"/>
        <v>13000</v>
      </c>
    </row>
    <row r="711" spans="1:6" x14ac:dyDescent="0.25">
      <c r="A711" s="9"/>
      <c r="B711" s="12"/>
      <c r="C711" s="11">
        <v>32</v>
      </c>
      <c r="D711" s="9" t="s">
        <v>8</v>
      </c>
      <c r="E711" s="10">
        <v>155</v>
      </c>
      <c r="F711" s="10">
        <f t="shared" si="10"/>
        <v>4960</v>
      </c>
    </row>
    <row r="712" spans="1:6" x14ac:dyDescent="0.25">
      <c r="A712" s="9"/>
      <c r="B712" s="12"/>
      <c r="C712" s="11"/>
      <c r="D712" s="9"/>
      <c r="F712" s="8">
        <f>SUM(F707:F711)</f>
        <v>78360</v>
      </c>
    </row>
    <row r="713" spans="1:6" x14ac:dyDescent="0.25">
      <c r="A713" s="9"/>
      <c r="B713" s="12"/>
      <c r="C713" s="11"/>
      <c r="D713" s="9"/>
      <c r="F713" s="10"/>
    </row>
    <row r="714" spans="1:6" x14ac:dyDescent="0.25">
      <c r="A714" s="9" t="s">
        <v>174</v>
      </c>
      <c r="B714" s="12">
        <v>45699</v>
      </c>
      <c r="C714" s="11">
        <v>60</v>
      </c>
      <c r="D714" s="9" t="s">
        <v>12</v>
      </c>
      <c r="E714" s="10">
        <v>140</v>
      </c>
      <c r="F714" s="10">
        <f t="shared" si="10"/>
        <v>8400</v>
      </c>
    </row>
    <row r="715" spans="1:6" x14ac:dyDescent="0.25">
      <c r="A715" s="9"/>
      <c r="B715" s="12"/>
      <c r="C715" s="11">
        <v>60</v>
      </c>
      <c r="D715" s="9" t="s">
        <v>22</v>
      </c>
      <c r="E715" s="10">
        <v>125</v>
      </c>
      <c r="F715" s="10">
        <f t="shared" si="10"/>
        <v>7500</v>
      </c>
    </row>
    <row r="716" spans="1:6" x14ac:dyDescent="0.25">
      <c r="A716" s="9"/>
      <c r="B716" s="12"/>
      <c r="C716" s="11"/>
      <c r="D716" s="9"/>
      <c r="F716" s="8">
        <f>SUM(F714:F715)</f>
        <v>15900</v>
      </c>
    </row>
    <row r="717" spans="1:6" x14ac:dyDescent="0.25">
      <c r="A717" s="9"/>
      <c r="B717" s="12"/>
      <c r="C717" s="11"/>
      <c r="D717" s="9"/>
      <c r="F717" s="10"/>
    </row>
    <row r="718" spans="1:6" x14ac:dyDescent="0.25">
      <c r="A718" s="9" t="s">
        <v>184</v>
      </c>
      <c r="B718" s="12">
        <v>45699</v>
      </c>
      <c r="C718" s="11">
        <v>4</v>
      </c>
      <c r="D718" s="9" t="s">
        <v>13</v>
      </c>
      <c r="E718" s="10">
        <v>150</v>
      </c>
      <c r="F718" s="10">
        <f t="shared" si="10"/>
        <v>600</v>
      </c>
    </row>
    <row r="719" spans="1:6" x14ac:dyDescent="0.25">
      <c r="A719" s="9"/>
      <c r="B719" s="12"/>
      <c r="C719" s="11"/>
      <c r="D719" s="9"/>
      <c r="F719" s="8">
        <f>SUM(F718)</f>
        <v>600</v>
      </c>
    </row>
    <row r="720" spans="1:6" x14ac:dyDescent="0.25">
      <c r="A720" s="9"/>
      <c r="B720" s="12"/>
      <c r="C720" s="11"/>
      <c r="D720" s="9"/>
      <c r="F720" s="10"/>
    </row>
    <row r="721" spans="1:6" x14ac:dyDescent="0.25">
      <c r="A721" s="9" t="s">
        <v>95</v>
      </c>
      <c r="B721" s="12">
        <v>45699</v>
      </c>
      <c r="C721" s="11">
        <v>20</v>
      </c>
      <c r="D721" s="9" t="s">
        <v>8</v>
      </c>
      <c r="E721" s="10">
        <v>155</v>
      </c>
      <c r="F721" s="10">
        <f t="shared" si="10"/>
        <v>3100</v>
      </c>
    </row>
    <row r="722" spans="1:6" x14ac:dyDescent="0.25">
      <c r="A722" s="9"/>
      <c r="B722" s="12"/>
      <c r="C722" s="11"/>
      <c r="D722" s="9"/>
      <c r="F722" s="8">
        <f>SUM(F721)</f>
        <v>3100</v>
      </c>
    </row>
    <row r="723" spans="1:6" x14ac:dyDescent="0.25">
      <c r="A723" s="9"/>
      <c r="B723" s="12"/>
      <c r="C723" s="11"/>
      <c r="D723" s="9"/>
      <c r="F723" s="10"/>
    </row>
    <row r="724" spans="1:6" x14ac:dyDescent="0.25">
      <c r="A724" s="9" t="s">
        <v>29</v>
      </c>
      <c r="B724" s="12">
        <v>45699</v>
      </c>
      <c r="C724" s="11">
        <v>1</v>
      </c>
      <c r="D724" s="9" t="s">
        <v>12</v>
      </c>
      <c r="E724" s="10">
        <v>150</v>
      </c>
      <c r="F724" s="10">
        <f t="shared" si="10"/>
        <v>150</v>
      </c>
    </row>
    <row r="725" spans="1:6" x14ac:dyDescent="0.25">
      <c r="A725" s="9"/>
      <c r="B725" s="12"/>
      <c r="C725" s="11">
        <v>1</v>
      </c>
      <c r="D725" s="9" t="s">
        <v>13</v>
      </c>
      <c r="E725" s="10">
        <v>160</v>
      </c>
      <c r="F725" s="10">
        <f t="shared" si="10"/>
        <v>160</v>
      </c>
    </row>
    <row r="726" spans="1:6" x14ac:dyDescent="0.25">
      <c r="A726" s="9"/>
      <c r="B726" s="12"/>
      <c r="C726" s="11"/>
      <c r="D726" s="9"/>
      <c r="F726" s="8">
        <f>SUM(F724:F725)</f>
        <v>310</v>
      </c>
    </row>
    <row r="727" spans="1:6" x14ac:dyDescent="0.25">
      <c r="A727" s="9"/>
      <c r="B727" s="12"/>
      <c r="C727" s="11"/>
      <c r="D727" s="9"/>
      <c r="F727" s="10"/>
    </row>
    <row r="728" spans="1:6" x14ac:dyDescent="0.25">
      <c r="A728" s="9" t="s">
        <v>7</v>
      </c>
      <c r="B728" s="12">
        <v>45699</v>
      </c>
      <c r="C728" s="11">
        <v>8</v>
      </c>
      <c r="D728" s="9" t="s">
        <v>161</v>
      </c>
      <c r="E728" s="10">
        <v>140</v>
      </c>
      <c r="F728" s="10">
        <f t="shared" si="10"/>
        <v>1120</v>
      </c>
    </row>
    <row r="729" spans="1:6" x14ac:dyDescent="0.25">
      <c r="A729" s="9"/>
      <c r="B729" s="12"/>
      <c r="C729" s="11">
        <v>3</v>
      </c>
      <c r="D729" s="9" t="s">
        <v>8</v>
      </c>
      <c r="E729" s="10">
        <v>170</v>
      </c>
      <c r="F729" s="10">
        <f t="shared" ref="F729:F792" si="11">+C729*E729</f>
        <v>510</v>
      </c>
    </row>
    <row r="730" spans="1:6" x14ac:dyDescent="0.25">
      <c r="A730" s="9"/>
      <c r="B730" s="12"/>
      <c r="C730" s="11">
        <v>2</v>
      </c>
      <c r="D730" s="9" t="s">
        <v>12</v>
      </c>
      <c r="E730" s="10">
        <v>150</v>
      </c>
      <c r="F730" s="10">
        <f t="shared" si="11"/>
        <v>300</v>
      </c>
    </row>
    <row r="731" spans="1:6" x14ac:dyDescent="0.25">
      <c r="A731" s="9"/>
      <c r="B731" s="12"/>
      <c r="C731" s="11"/>
      <c r="D731" s="9"/>
      <c r="F731" s="8">
        <f>SUM(F728:F730)</f>
        <v>1930</v>
      </c>
    </row>
    <row r="732" spans="1:6" x14ac:dyDescent="0.25">
      <c r="A732" s="9"/>
      <c r="B732" s="12"/>
      <c r="C732" s="11"/>
      <c r="D732" s="9"/>
      <c r="F732" s="10"/>
    </row>
    <row r="733" spans="1:6" x14ac:dyDescent="0.25">
      <c r="A733" s="9" t="s">
        <v>32</v>
      </c>
      <c r="B733" s="12">
        <v>45700</v>
      </c>
      <c r="C733" s="11">
        <v>20</v>
      </c>
      <c r="D733" s="9" t="s">
        <v>13</v>
      </c>
      <c r="E733" s="10">
        <v>150</v>
      </c>
      <c r="F733" s="10">
        <f t="shared" si="11"/>
        <v>3000</v>
      </c>
    </row>
    <row r="734" spans="1:6" x14ac:dyDescent="0.25">
      <c r="A734" s="9"/>
      <c r="B734" s="12"/>
      <c r="C734" s="11"/>
      <c r="D734" s="9"/>
      <c r="F734" s="8">
        <f>SUM(F733)</f>
        <v>3000</v>
      </c>
    </row>
    <row r="735" spans="1:6" x14ac:dyDescent="0.25">
      <c r="A735" s="9"/>
      <c r="B735" s="12"/>
      <c r="C735" s="11"/>
      <c r="D735" s="9"/>
      <c r="F735" s="10"/>
    </row>
    <row r="736" spans="1:6" x14ac:dyDescent="0.25">
      <c r="A736" s="9" t="s">
        <v>235</v>
      </c>
      <c r="B736" s="12">
        <v>45700</v>
      </c>
      <c r="C736" s="11">
        <v>7</v>
      </c>
      <c r="D736" s="9" t="s">
        <v>13</v>
      </c>
      <c r="E736" s="10">
        <v>150</v>
      </c>
      <c r="F736" s="10">
        <f t="shared" si="11"/>
        <v>1050</v>
      </c>
    </row>
    <row r="737" spans="1:6" x14ac:dyDescent="0.25">
      <c r="A737" s="9"/>
      <c r="B737" s="12"/>
      <c r="C737" s="11"/>
      <c r="D737" s="9"/>
      <c r="F737" s="8">
        <f>SUM(F736)</f>
        <v>1050</v>
      </c>
    </row>
    <row r="738" spans="1:6" x14ac:dyDescent="0.25">
      <c r="A738" s="9"/>
      <c r="B738" s="12"/>
      <c r="C738" s="11"/>
      <c r="D738" s="9"/>
      <c r="F738" s="10"/>
    </row>
    <row r="739" spans="1:6" x14ac:dyDescent="0.25">
      <c r="A739" s="9" t="s">
        <v>236</v>
      </c>
      <c r="B739" s="12">
        <v>45700</v>
      </c>
      <c r="C739" s="11">
        <v>10</v>
      </c>
      <c r="D739" s="9" t="s">
        <v>8</v>
      </c>
      <c r="E739" s="10">
        <v>160</v>
      </c>
      <c r="F739" s="10">
        <f t="shared" si="11"/>
        <v>1600</v>
      </c>
    </row>
    <row r="740" spans="1:6" x14ac:dyDescent="0.25">
      <c r="A740" s="9"/>
      <c r="B740" s="12"/>
      <c r="C740" s="11"/>
      <c r="D740" s="9"/>
      <c r="F740" s="8">
        <f>SUM(F739)</f>
        <v>1600</v>
      </c>
    </row>
    <row r="741" spans="1:6" x14ac:dyDescent="0.25">
      <c r="A741" s="9"/>
      <c r="B741" s="12"/>
      <c r="C741" s="11"/>
      <c r="D741" s="9"/>
      <c r="F741" s="10"/>
    </row>
    <row r="742" spans="1:6" x14ac:dyDescent="0.25">
      <c r="A742" s="9" t="s">
        <v>15</v>
      </c>
      <c r="B742" s="12">
        <v>45700</v>
      </c>
      <c r="C742" s="11">
        <v>50</v>
      </c>
      <c r="D742" s="9" t="s">
        <v>36</v>
      </c>
      <c r="E742" s="10">
        <v>85</v>
      </c>
      <c r="F742" s="10">
        <f t="shared" si="11"/>
        <v>4250</v>
      </c>
    </row>
    <row r="743" spans="1:6" x14ac:dyDescent="0.25">
      <c r="A743" s="9"/>
      <c r="B743" s="12"/>
      <c r="C743" s="11"/>
      <c r="D743" s="9"/>
      <c r="F743" s="8">
        <f>SUM(F742)</f>
        <v>4250</v>
      </c>
    </row>
    <row r="744" spans="1:6" x14ac:dyDescent="0.25">
      <c r="A744" s="9"/>
      <c r="B744" s="12"/>
      <c r="C744" s="11"/>
      <c r="D744" s="9"/>
      <c r="F744" s="10"/>
    </row>
    <row r="745" spans="1:6" x14ac:dyDescent="0.25">
      <c r="A745" s="9" t="s">
        <v>157</v>
      </c>
      <c r="B745" s="12">
        <v>45700</v>
      </c>
      <c r="C745" s="11">
        <v>10</v>
      </c>
      <c r="D745" s="9" t="s">
        <v>13</v>
      </c>
      <c r="E745" s="10">
        <v>140</v>
      </c>
      <c r="F745" s="10">
        <f t="shared" si="11"/>
        <v>1400</v>
      </c>
    </row>
    <row r="746" spans="1:6" x14ac:dyDescent="0.25">
      <c r="A746" s="9"/>
      <c r="B746" s="12"/>
      <c r="C746" s="11"/>
      <c r="D746" s="9"/>
      <c r="F746" s="8">
        <f>SUM(F745)</f>
        <v>1400</v>
      </c>
    </row>
    <row r="747" spans="1:6" x14ac:dyDescent="0.25">
      <c r="A747" s="9"/>
      <c r="B747" s="12"/>
      <c r="C747" s="11"/>
      <c r="D747" s="9"/>
      <c r="F747" s="10"/>
    </row>
    <row r="748" spans="1:6" x14ac:dyDescent="0.25">
      <c r="A748" s="9" t="s">
        <v>21</v>
      </c>
      <c r="B748" s="12">
        <v>45700</v>
      </c>
      <c r="C748" s="11">
        <v>15</v>
      </c>
      <c r="D748" s="9" t="s">
        <v>11</v>
      </c>
      <c r="E748" s="10">
        <v>125</v>
      </c>
      <c r="F748" s="10">
        <f t="shared" si="11"/>
        <v>1875</v>
      </c>
    </row>
    <row r="749" spans="1:6" x14ac:dyDescent="0.25">
      <c r="A749" s="9"/>
      <c r="B749" s="12"/>
      <c r="C749" s="11">
        <v>10</v>
      </c>
      <c r="D749" s="9" t="s">
        <v>12</v>
      </c>
      <c r="E749" s="10">
        <v>135</v>
      </c>
      <c r="F749" s="10">
        <f t="shared" si="11"/>
        <v>1350</v>
      </c>
    </row>
    <row r="750" spans="1:6" x14ac:dyDescent="0.25">
      <c r="A750" s="9"/>
      <c r="B750" s="12"/>
      <c r="C750" s="11"/>
      <c r="D750" s="9"/>
      <c r="F750" s="8">
        <f>SUM(F748:F749)</f>
        <v>3225</v>
      </c>
    </row>
    <row r="751" spans="1:6" x14ac:dyDescent="0.25">
      <c r="A751" s="9"/>
      <c r="B751" s="12"/>
      <c r="C751" s="11"/>
      <c r="D751" s="9"/>
      <c r="F751" s="10"/>
    </row>
    <row r="752" spans="1:6" x14ac:dyDescent="0.25">
      <c r="A752" s="9" t="s">
        <v>57</v>
      </c>
      <c r="B752" s="12">
        <v>45700</v>
      </c>
      <c r="C752" s="11">
        <v>15</v>
      </c>
      <c r="D752" s="9" t="s">
        <v>13</v>
      </c>
      <c r="E752" s="10">
        <v>140</v>
      </c>
      <c r="F752" s="10">
        <f t="shared" si="11"/>
        <v>2100</v>
      </c>
    </row>
    <row r="753" spans="1:6" x14ac:dyDescent="0.25">
      <c r="A753" s="9"/>
      <c r="B753" s="12"/>
      <c r="C753" s="11"/>
      <c r="D753" s="9"/>
      <c r="F753" s="8">
        <f>SUM(F752)</f>
        <v>2100</v>
      </c>
    </row>
    <row r="754" spans="1:6" x14ac:dyDescent="0.25">
      <c r="A754" s="9"/>
      <c r="B754" s="12"/>
      <c r="C754" s="11"/>
      <c r="D754" s="9"/>
      <c r="F754" s="10"/>
    </row>
    <row r="755" spans="1:6" x14ac:dyDescent="0.25">
      <c r="A755" s="9" t="s">
        <v>37</v>
      </c>
      <c r="B755" s="12">
        <v>45700</v>
      </c>
      <c r="C755" s="11">
        <v>20</v>
      </c>
      <c r="D755" s="9" t="s">
        <v>12</v>
      </c>
      <c r="E755" s="10">
        <v>140</v>
      </c>
      <c r="F755" s="10">
        <f t="shared" si="11"/>
        <v>2800</v>
      </c>
    </row>
    <row r="756" spans="1:6" x14ac:dyDescent="0.25">
      <c r="A756" s="9"/>
      <c r="B756" s="12"/>
      <c r="C756" s="11"/>
      <c r="D756" s="9"/>
      <c r="F756" s="8">
        <f>SUM(F755)</f>
        <v>2800</v>
      </c>
    </row>
    <row r="757" spans="1:6" x14ac:dyDescent="0.25">
      <c r="A757" s="9"/>
      <c r="B757" s="12"/>
      <c r="C757" s="11"/>
      <c r="D757" s="9"/>
      <c r="F757" s="10"/>
    </row>
    <row r="758" spans="1:6" x14ac:dyDescent="0.25">
      <c r="A758" s="9" t="s">
        <v>58</v>
      </c>
      <c r="B758" s="12">
        <v>45700</v>
      </c>
      <c r="C758" s="11">
        <v>10</v>
      </c>
      <c r="D758" s="9" t="s">
        <v>13</v>
      </c>
      <c r="E758" s="10">
        <v>150</v>
      </c>
      <c r="F758" s="10">
        <f t="shared" si="11"/>
        <v>1500</v>
      </c>
    </row>
    <row r="759" spans="1:6" x14ac:dyDescent="0.25">
      <c r="A759" s="9"/>
      <c r="B759" s="12"/>
      <c r="C759" s="11"/>
      <c r="D759" s="9"/>
      <c r="F759" s="8">
        <f>SUM(F758)</f>
        <v>1500</v>
      </c>
    </row>
    <row r="760" spans="1:6" x14ac:dyDescent="0.25">
      <c r="A760" s="9"/>
      <c r="B760" s="12"/>
      <c r="C760" s="11"/>
      <c r="D760" s="9"/>
      <c r="F760" s="10"/>
    </row>
    <row r="761" spans="1:6" x14ac:dyDescent="0.25">
      <c r="A761" s="9" t="s">
        <v>40</v>
      </c>
      <c r="B761" s="12">
        <v>45700</v>
      </c>
      <c r="C761" s="11">
        <v>25</v>
      </c>
      <c r="D761" s="9" t="s">
        <v>13</v>
      </c>
      <c r="E761" s="10">
        <v>135</v>
      </c>
      <c r="F761" s="10">
        <f t="shared" si="11"/>
        <v>3375</v>
      </c>
    </row>
    <row r="762" spans="1:6" x14ac:dyDescent="0.25">
      <c r="A762" s="9"/>
      <c r="B762" s="12"/>
      <c r="C762" s="11">
        <v>20</v>
      </c>
      <c r="D762" s="9" t="s">
        <v>12</v>
      </c>
      <c r="E762" s="10">
        <v>130</v>
      </c>
      <c r="F762" s="10">
        <f t="shared" si="11"/>
        <v>2600</v>
      </c>
    </row>
    <row r="763" spans="1:6" x14ac:dyDescent="0.25">
      <c r="A763" s="9"/>
      <c r="B763" s="12"/>
      <c r="C763" s="11">
        <v>10</v>
      </c>
      <c r="D763" s="9" t="s">
        <v>11</v>
      </c>
      <c r="E763" s="10">
        <v>125</v>
      </c>
      <c r="F763" s="10">
        <f t="shared" si="11"/>
        <v>1250</v>
      </c>
    </row>
    <row r="764" spans="1:6" x14ac:dyDescent="0.25">
      <c r="A764" s="9"/>
      <c r="B764" s="12"/>
      <c r="C764" s="11"/>
      <c r="D764" s="9"/>
      <c r="F764" s="8">
        <f>SUM(F761:F763)</f>
        <v>7225</v>
      </c>
    </row>
    <row r="765" spans="1:6" x14ac:dyDescent="0.25">
      <c r="A765" s="9"/>
      <c r="B765" s="12"/>
      <c r="C765" s="11"/>
      <c r="D765" s="9"/>
      <c r="F765" s="10"/>
    </row>
    <row r="766" spans="1:6" x14ac:dyDescent="0.25">
      <c r="A766" s="9" t="s">
        <v>203</v>
      </c>
      <c r="B766" s="12">
        <v>45700</v>
      </c>
      <c r="C766" s="11">
        <v>10</v>
      </c>
      <c r="D766" s="9" t="s">
        <v>13</v>
      </c>
      <c r="E766" s="10">
        <v>150</v>
      </c>
      <c r="F766" s="10">
        <f t="shared" si="11"/>
        <v>1500</v>
      </c>
    </row>
    <row r="767" spans="1:6" x14ac:dyDescent="0.25">
      <c r="A767" s="9"/>
      <c r="B767" s="12"/>
      <c r="C767" s="11"/>
      <c r="D767" s="9"/>
      <c r="F767" s="8">
        <f>SUM(F766)</f>
        <v>1500</v>
      </c>
    </row>
    <row r="768" spans="1:6" x14ac:dyDescent="0.25">
      <c r="A768" s="9"/>
      <c r="B768" s="12"/>
      <c r="C768" s="11"/>
      <c r="D768" s="9"/>
      <c r="F768" s="10"/>
    </row>
    <row r="769" spans="1:6" x14ac:dyDescent="0.25">
      <c r="A769" s="9" t="s">
        <v>18</v>
      </c>
      <c r="B769" s="12">
        <v>45700</v>
      </c>
      <c r="C769" s="11">
        <v>30</v>
      </c>
      <c r="D769" s="9" t="s">
        <v>14</v>
      </c>
      <c r="E769" s="10">
        <v>125</v>
      </c>
      <c r="F769" s="10">
        <f t="shared" si="11"/>
        <v>3750</v>
      </c>
    </row>
    <row r="770" spans="1:6" x14ac:dyDescent="0.25">
      <c r="A770" s="9"/>
      <c r="B770" s="12"/>
      <c r="C770" s="11">
        <v>20</v>
      </c>
      <c r="D770" s="9" t="s">
        <v>12</v>
      </c>
      <c r="E770" s="10">
        <v>135</v>
      </c>
      <c r="F770" s="10">
        <f t="shared" si="11"/>
        <v>2700</v>
      </c>
    </row>
    <row r="771" spans="1:6" x14ac:dyDescent="0.25">
      <c r="A771" s="9"/>
      <c r="B771" s="12"/>
      <c r="C771" s="11"/>
      <c r="D771" s="9"/>
      <c r="F771" s="8">
        <f>SUM(F769:F770)</f>
        <v>6450</v>
      </c>
    </row>
    <row r="772" spans="1:6" x14ac:dyDescent="0.25">
      <c r="A772" s="9"/>
      <c r="B772" s="12"/>
      <c r="C772" s="11"/>
      <c r="D772" s="9"/>
      <c r="F772" s="10"/>
    </row>
    <row r="773" spans="1:6" x14ac:dyDescent="0.25">
      <c r="A773" s="9" t="s">
        <v>44</v>
      </c>
      <c r="B773" s="12">
        <v>45700</v>
      </c>
      <c r="C773" s="11">
        <v>40</v>
      </c>
      <c r="D773" s="9" t="s">
        <v>14</v>
      </c>
      <c r="E773" s="10">
        <v>125</v>
      </c>
      <c r="F773" s="10">
        <f t="shared" si="11"/>
        <v>5000</v>
      </c>
    </row>
    <row r="774" spans="1:6" x14ac:dyDescent="0.25">
      <c r="A774" s="9"/>
      <c r="B774" s="12"/>
      <c r="C774" s="11"/>
      <c r="D774" s="9"/>
      <c r="F774" s="8">
        <f>SUM(F773)</f>
        <v>5000</v>
      </c>
    </row>
    <row r="775" spans="1:6" x14ac:dyDescent="0.25">
      <c r="A775" s="9"/>
      <c r="B775" s="12"/>
      <c r="C775" s="11"/>
      <c r="D775" s="9"/>
      <c r="F775" s="10"/>
    </row>
    <row r="776" spans="1:6" x14ac:dyDescent="0.25">
      <c r="A776" s="9" t="s">
        <v>106</v>
      </c>
      <c r="B776" s="12">
        <v>45700</v>
      </c>
      <c r="C776" s="11">
        <v>40</v>
      </c>
      <c r="D776" s="9" t="s">
        <v>12</v>
      </c>
      <c r="E776" s="10">
        <v>135</v>
      </c>
      <c r="F776" s="10">
        <f t="shared" si="11"/>
        <v>5400</v>
      </c>
    </row>
    <row r="777" spans="1:6" x14ac:dyDescent="0.25">
      <c r="A777" s="9"/>
      <c r="B777" s="12"/>
      <c r="C777" s="11"/>
      <c r="D777" s="9"/>
      <c r="F777" s="8">
        <f>SUM(F776)</f>
        <v>5400</v>
      </c>
    </row>
    <row r="778" spans="1:6" x14ac:dyDescent="0.25">
      <c r="A778" s="9"/>
      <c r="B778" s="12"/>
      <c r="C778" s="11"/>
      <c r="D778" s="9"/>
      <c r="F778" s="10"/>
    </row>
    <row r="779" spans="1:6" x14ac:dyDescent="0.25">
      <c r="A779" s="9" t="s">
        <v>43</v>
      </c>
      <c r="B779" s="12">
        <v>45700</v>
      </c>
      <c r="C779" s="11">
        <v>50</v>
      </c>
      <c r="D779" s="9" t="s">
        <v>14</v>
      </c>
      <c r="E779" s="10">
        <v>125</v>
      </c>
      <c r="F779" s="10">
        <f t="shared" si="11"/>
        <v>6250</v>
      </c>
    </row>
    <row r="780" spans="1:6" x14ac:dyDescent="0.25">
      <c r="A780" s="9"/>
      <c r="B780" s="12"/>
      <c r="C780" s="11"/>
      <c r="D780" s="9"/>
      <c r="F780" s="8">
        <f>SUM(F779)</f>
        <v>6250</v>
      </c>
    </row>
    <row r="781" spans="1:6" x14ac:dyDescent="0.25">
      <c r="A781" s="9"/>
      <c r="B781" s="12"/>
      <c r="C781" s="11"/>
      <c r="D781" s="9"/>
      <c r="F781" s="10"/>
    </row>
    <row r="782" spans="1:6" x14ac:dyDescent="0.25">
      <c r="A782" s="9" t="s">
        <v>41</v>
      </c>
      <c r="B782" s="12">
        <v>45700</v>
      </c>
      <c r="C782" s="11">
        <v>35</v>
      </c>
      <c r="D782" s="9" t="s">
        <v>121</v>
      </c>
      <c r="E782" s="10">
        <v>135</v>
      </c>
      <c r="F782" s="10">
        <f t="shared" si="11"/>
        <v>4725</v>
      </c>
    </row>
    <row r="783" spans="1:6" x14ac:dyDescent="0.25">
      <c r="A783" s="9"/>
      <c r="B783" s="12"/>
      <c r="C783" s="11">
        <v>5</v>
      </c>
      <c r="D783" s="9" t="s">
        <v>237</v>
      </c>
      <c r="E783" s="10">
        <v>0</v>
      </c>
      <c r="F783" s="10">
        <f t="shared" si="11"/>
        <v>0</v>
      </c>
    </row>
    <row r="784" spans="1:6" x14ac:dyDescent="0.25">
      <c r="A784" s="9"/>
      <c r="B784" s="12"/>
      <c r="C784" s="11"/>
      <c r="D784" s="9"/>
      <c r="F784" s="8">
        <f>SUM(F782:F783)</f>
        <v>4725</v>
      </c>
    </row>
    <row r="785" spans="1:6" x14ac:dyDescent="0.25">
      <c r="A785" s="9"/>
      <c r="B785" s="12"/>
      <c r="C785" s="11"/>
      <c r="D785" s="9"/>
      <c r="F785" s="10"/>
    </row>
    <row r="786" spans="1:6" x14ac:dyDescent="0.25">
      <c r="A786" s="9" t="s">
        <v>47</v>
      </c>
      <c r="B786" s="12">
        <v>45700</v>
      </c>
      <c r="C786" s="11">
        <v>30</v>
      </c>
      <c r="D786" s="9" t="s">
        <v>238</v>
      </c>
      <c r="E786" s="10">
        <v>130</v>
      </c>
      <c r="F786" s="10">
        <f t="shared" si="11"/>
        <v>3900</v>
      </c>
    </row>
    <row r="787" spans="1:6" x14ac:dyDescent="0.25">
      <c r="A787" s="9"/>
      <c r="B787" s="12"/>
      <c r="C787" s="11"/>
      <c r="D787" s="9"/>
      <c r="F787" s="8">
        <f>SUM(F786)</f>
        <v>3900</v>
      </c>
    </row>
    <row r="788" spans="1:6" x14ac:dyDescent="0.25">
      <c r="A788" s="9"/>
      <c r="B788" s="12"/>
      <c r="C788" s="11"/>
      <c r="D788" s="9"/>
      <c r="F788" s="10"/>
    </row>
    <row r="789" spans="1:6" x14ac:dyDescent="0.25">
      <c r="A789" s="9" t="s">
        <v>46</v>
      </c>
      <c r="B789" s="12">
        <v>45700</v>
      </c>
      <c r="C789" s="11">
        <v>10</v>
      </c>
      <c r="D789" s="9" t="s">
        <v>14</v>
      </c>
      <c r="E789" s="10">
        <v>130</v>
      </c>
      <c r="F789" s="10">
        <f t="shared" si="11"/>
        <v>1300</v>
      </c>
    </row>
    <row r="790" spans="1:6" x14ac:dyDescent="0.25">
      <c r="A790" s="9"/>
      <c r="B790" s="12"/>
      <c r="C790" s="11"/>
      <c r="D790" s="9"/>
      <c r="F790" s="8">
        <f>SUM(F789)</f>
        <v>1300</v>
      </c>
    </row>
    <row r="791" spans="1:6" x14ac:dyDescent="0.25">
      <c r="A791" s="9"/>
      <c r="B791" s="12"/>
      <c r="C791" s="11"/>
      <c r="D791" s="9"/>
      <c r="F791" s="10"/>
    </row>
    <row r="792" spans="1:6" x14ac:dyDescent="0.25">
      <c r="A792" s="9" t="s">
        <v>239</v>
      </c>
      <c r="B792" s="12">
        <v>45700</v>
      </c>
      <c r="C792" s="11">
        <v>200</v>
      </c>
      <c r="D792" s="9" t="s">
        <v>13</v>
      </c>
      <c r="E792" s="10">
        <v>135</v>
      </c>
      <c r="F792" s="10">
        <f t="shared" si="11"/>
        <v>27000</v>
      </c>
    </row>
    <row r="793" spans="1:6" x14ac:dyDescent="0.25">
      <c r="A793" s="9"/>
      <c r="B793" s="12"/>
      <c r="C793" s="11">
        <v>130</v>
      </c>
      <c r="D793" s="9" t="s">
        <v>12</v>
      </c>
      <c r="E793" s="10">
        <v>125</v>
      </c>
      <c r="F793" s="10">
        <f t="shared" ref="F793:F855" si="12">+C793*E793</f>
        <v>16250</v>
      </c>
    </row>
    <row r="794" spans="1:6" x14ac:dyDescent="0.25">
      <c r="A794" s="9"/>
      <c r="B794" s="12"/>
      <c r="C794" s="11">
        <v>20</v>
      </c>
      <c r="D794" s="9" t="s">
        <v>14</v>
      </c>
      <c r="E794" s="10">
        <v>130</v>
      </c>
      <c r="F794" s="10">
        <f t="shared" si="12"/>
        <v>2600</v>
      </c>
    </row>
    <row r="795" spans="1:6" x14ac:dyDescent="0.25">
      <c r="A795" s="9"/>
      <c r="B795" s="12"/>
      <c r="C795" s="11">
        <v>100</v>
      </c>
      <c r="D795" s="9" t="s">
        <v>11</v>
      </c>
      <c r="E795" s="10">
        <v>125</v>
      </c>
      <c r="F795" s="10">
        <f t="shared" si="12"/>
        <v>12500</v>
      </c>
    </row>
    <row r="796" spans="1:6" x14ac:dyDescent="0.25">
      <c r="A796" s="9"/>
      <c r="B796" s="12"/>
      <c r="C796" s="11"/>
      <c r="D796" s="9"/>
      <c r="F796" s="8">
        <f>SUM(F792:F795)</f>
        <v>58350</v>
      </c>
    </row>
    <row r="797" spans="1:6" x14ac:dyDescent="0.25">
      <c r="A797" s="9"/>
      <c r="B797" s="12"/>
      <c r="C797" s="11"/>
      <c r="D797" s="9"/>
      <c r="F797" s="10"/>
    </row>
    <row r="798" spans="1:6" x14ac:dyDescent="0.25">
      <c r="A798" s="9" t="s">
        <v>29</v>
      </c>
      <c r="B798" s="12">
        <v>45700</v>
      </c>
      <c r="C798" s="11">
        <v>1</v>
      </c>
      <c r="D798" s="9" t="s">
        <v>8</v>
      </c>
      <c r="E798" s="10">
        <v>170</v>
      </c>
      <c r="F798" s="10">
        <f t="shared" si="12"/>
        <v>170</v>
      </c>
    </row>
    <row r="799" spans="1:6" x14ac:dyDescent="0.25">
      <c r="A799" s="9"/>
      <c r="B799" s="12"/>
      <c r="C799" s="11">
        <v>1</v>
      </c>
      <c r="D799" s="9" t="s">
        <v>8</v>
      </c>
      <c r="E799" s="10">
        <v>150</v>
      </c>
      <c r="F799" s="10">
        <f t="shared" si="12"/>
        <v>150</v>
      </c>
    </row>
    <row r="800" spans="1:6" x14ac:dyDescent="0.25">
      <c r="A800" s="9"/>
      <c r="B800" s="12"/>
      <c r="C800" s="11"/>
      <c r="D800" s="9"/>
      <c r="F800" s="8">
        <f>SUM(F798:F799)</f>
        <v>320</v>
      </c>
    </row>
    <row r="801" spans="1:6" x14ac:dyDescent="0.25">
      <c r="A801" s="9"/>
      <c r="B801" s="12"/>
      <c r="C801" s="11"/>
      <c r="D801" s="9"/>
      <c r="F801" s="10"/>
    </row>
    <row r="802" spans="1:6" x14ac:dyDescent="0.25">
      <c r="A802" s="9" t="s">
        <v>7</v>
      </c>
      <c r="B802" s="12">
        <v>45700</v>
      </c>
      <c r="C802" s="11">
        <v>3</v>
      </c>
      <c r="D802" s="9" t="s">
        <v>240</v>
      </c>
      <c r="E802" s="10">
        <v>150</v>
      </c>
      <c r="F802" s="10">
        <f t="shared" si="12"/>
        <v>450</v>
      </c>
    </row>
    <row r="803" spans="1:6" x14ac:dyDescent="0.25">
      <c r="A803" s="9"/>
      <c r="B803" s="12"/>
      <c r="C803" s="11">
        <v>2</v>
      </c>
      <c r="D803" s="9" t="s">
        <v>8</v>
      </c>
      <c r="E803" s="10">
        <v>160</v>
      </c>
      <c r="F803" s="10">
        <f t="shared" si="12"/>
        <v>320</v>
      </c>
    </row>
    <row r="804" spans="1:6" x14ac:dyDescent="0.25">
      <c r="A804" s="9"/>
      <c r="B804" s="12"/>
      <c r="C804" s="11">
        <v>2</v>
      </c>
      <c r="D804" s="9" t="s">
        <v>8</v>
      </c>
      <c r="E804" s="10">
        <v>170</v>
      </c>
      <c r="F804" s="10">
        <f t="shared" si="12"/>
        <v>340</v>
      </c>
    </row>
    <row r="805" spans="1:6" x14ac:dyDescent="0.25">
      <c r="A805" s="9"/>
      <c r="B805" s="12"/>
      <c r="C805" s="11">
        <v>3</v>
      </c>
      <c r="D805" s="9" t="s">
        <v>13</v>
      </c>
      <c r="E805" s="10">
        <v>160</v>
      </c>
      <c r="F805" s="10">
        <f t="shared" si="12"/>
        <v>480</v>
      </c>
    </row>
    <row r="806" spans="1:6" x14ac:dyDescent="0.25">
      <c r="A806" s="9"/>
      <c r="B806" s="12"/>
      <c r="C806" s="11">
        <v>1</v>
      </c>
      <c r="D806" s="9" t="s">
        <v>13</v>
      </c>
      <c r="E806" s="10">
        <v>160</v>
      </c>
      <c r="F806" s="10">
        <f t="shared" si="12"/>
        <v>160</v>
      </c>
    </row>
    <row r="807" spans="1:6" x14ac:dyDescent="0.25">
      <c r="A807" s="9"/>
      <c r="B807" s="12"/>
      <c r="C807" s="11">
        <v>1</v>
      </c>
      <c r="D807" s="9" t="s">
        <v>8</v>
      </c>
      <c r="E807" s="10">
        <v>170</v>
      </c>
      <c r="F807" s="10">
        <f t="shared" si="12"/>
        <v>170</v>
      </c>
    </row>
    <row r="808" spans="1:6" x14ac:dyDescent="0.25">
      <c r="A808" s="9"/>
      <c r="B808" s="12"/>
      <c r="C808" s="11">
        <v>1</v>
      </c>
      <c r="D808" s="9" t="s">
        <v>241</v>
      </c>
      <c r="E808" s="10">
        <v>140</v>
      </c>
      <c r="F808" s="10">
        <f t="shared" si="12"/>
        <v>140</v>
      </c>
    </row>
    <row r="809" spans="1:6" x14ac:dyDescent="0.25">
      <c r="A809" s="9"/>
      <c r="B809" s="12"/>
      <c r="C809" s="11"/>
      <c r="D809" s="9" t="s">
        <v>54</v>
      </c>
      <c r="E809" s="10">
        <v>0</v>
      </c>
      <c r="F809" s="10">
        <f t="shared" si="12"/>
        <v>0</v>
      </c>
    </row>
    <row r="810" spans="1:6" x14ac:dyDescent="0.25">
      <c r="A810" s="9"/>
      <c r="B810" s="12"/>
      <c r="C810" s="11"/>
      <c r="D810" s="9"/>
      <c r="F810" s="8">
        <f>SUM(F802:F809)</f>
        <v>2060</v>
      </c>
    </row>
    <row r="811" spans="1:6" x14ac:dyDescent="0.25">
      <c r="A811" s="9"/>
      <c r="B811" s="12"/>
      <c r="C811" s="11"/>
      <c r="D811" s="9"/>
      <c r="F811" s="10"/>
    </row>
    <row r="812" spans="1:6" x14ac:dyDescent="0.25">
      <c r="A812" s="9" t="s">
        <v>89</v>
      </c>
      <c r="B812" s="12">
        <v>45701</v>
      </c>
      <c r="C812" s="11">
        <v>30</v>
      </c>
      <c r="D812" s="9" t="s">
        <v>13</v>
      </c>
      <c r="E812" s="10">
        <v>135</v>
      </c>
      <c r="F812" s="10">
        <f t="shared" si="12"/>
        <v>4050</v>
      </c>
    </row>
    <row r="813" spans="1:6" x14ac:dyDescent="0.25">
      <c r="A813" s="9"/>
      <c r="B813" s="12"/>
      <c r="C813" s="11">
        <v>60</v>
      </c>
      <c r="D813" s="9" t="s">
        <v>12</v>
      </c>
      <c r="E813" s="10">
        <v>130</v>
      </c>
      <c r="F813" s="10">
        <f t="shared" si="12"/>
        <v>7800</v>
      </c>
    </row>
    <row r="814" spans="1:6" x14ac:dyDescent="0.25">
      <c r="A814" s="9"/>
      <c r="B814" s="12"/>
      <c r="C814" s="11">
        <v>24</v>
      </c>
      <c r="D814" s="9" t="s">
        <v>14</v>
      </c>
      <c r="E814" s="10">
        <v>125</v>
      </c>
      <c r="F814" s="10">
        <f t="shared" si="12"/>
        <v>3000</v>
      </c>
    </row>
    <row r="815" spans="1:6" x14ac:dyDescent="0.25">
      <c r="A815" s="9"/>
      <c r="B815" s="12"/>
      <c r="C815" s="11">
        <v>6</v>
      </c>
      <c r="D815" s="9" t="s">
        <v>11</v>
      </c>
      <c r="E815" s="10">
        <v>125</v>
      </c>
      <c r="F815" s="10">
        <f t="shared" si="12"/>
        <v>750</v>
      </c>
    </row>
    <row r="816" spans="1:6" x14ac:dyDescent="0.25">
      <c r="A816" s="9"/>
      <c r="B816" s="12"/>
      <c r="C816" s="11"/>
      <c r="D816" s="9"/>
      <c r="F816" s="8">
        <f>SUM(F812:F815)</f>
        <v>15600</v>
      </c>
    </row>
    <row r="817" spans="1:6" x14ac:dyDescent="0.25">
      <c r="A817" s="9"/>
      <c r="B817" s="12"/>
      <c r="C817" s="11"/>
      <c r="D817" s="9"/>
      <c r="F817" s="10"/>
    </row>
    <row r="818" spans="1:6" x14ac:dyDescent="0.25">
      <c r="A818" s="9" t="s">
        <v>68</v>
      </c>
      <c r="B818" s="12">
        <v>45701</v>
      </c>
      <c r="C818" s="11">
        <v>5</v>
      </c>
      <c r="D818" s="9" t="s">
        <v>13</v>
      </c>
      <c r="E818" s="10">
        <v>150</v>
      </c>
      <c r="F818" s="10">
        <f t="shared" si="12"/>
        <v>750</v>
      </c>
    </row>
    <row r="819" spans="1:6" x14ac:dyDescent="0.25">
      <c r="A819" s="9"/>
      <c r="B819" s="12"/>
      <c r="C819" s="11"/>
      <c r="D819" s="9"/>
      <c r="F819" s="8">
        <f>SUM(F818)</f>
        <v>750</v>
      </c>
    </row>
    <row r="820" spans="1:6" x14ac:dyDescent="0.25">
      <c r="A820" s="9"/>
      <c r="B820" s="12"/>
      <c r="C820" s="11"/>
      <c r="D820" s="9"/>
      <c r="F820" s="10"/>
    </row>
    <row r="821" spans="1:6" x14ac:dyDescent="0.25">
      <c r="A821" s="9" t="s">
        <v>218</v>
      </c>
      <c r="B821" s="12">
        <v>45701</v>
      </c>
      <c r="C821" s="11">
        <v>5</v>
      </c>
      <c r="D821" s="9" t="s">
        <v>13</v>
      </c>
      <c r="E821" s="10">
        <v>150</v>
      </c>
      <c r="F821" s="10">
        <f t="shared" si="12"/>
        <v>750</v>
      </c>
    </row>
    <row r="822" spans="1:6" x14ac:dyDescent="0.25">
      <c r="A822" s="9"/>
      <c r="B822" s="12"/>
      <c r="C822" s="11"/>
      <c r="D822" s="9"/>
      <c r="F822" s="8">
        <f>SUM(F821)</f>
        <v>750</v>
      </c>
    </row>
    <row r="823" spans="1:6" x14ac:dyDescent="0.25">
      <c r="A823" s="9"/>
      <c r="B823" s="12"/>
      <c r="C823" s="11"/>
      <c r="D823" s="9"/>
      <c r="F823" s="10"/>
    </row>
    <row r="824" spans="1:6" x14ac:dyDescent="0.25">
      <c r="A824" s="9" t="s">
        <v>87</v>
      </c>
      <c r="B824" s="12">
        <v>45701</v>
      </c>
      <c r="C824" s="11">
        <v>3</v>
      </c>
      <c r="D824" s="9" t="s">
        <v>8</v>
      </c>
      <c r="E824" s="10">
        <v>160</v>
      </c>
      <c r="F824" s="10">
        <f t="shared" si="12"/>
        <v>480</v>
      </c>
    </row>
    <row r="825" spans="1:6" x14ac:dyDescent="0.25">
      <c r="A825" s="9"/>
      <c r="B825" s="12"/>
      <c r="C825" s="11"/>
      <c r="D825" s="9"/>
      <c r="F825" s="8">
        <f>SUM(F824)</f>
        <v>480</v>
      </c>
    </row>
    <row r="826" spans="1:6" x14ac:dyDescent="0.25">
      <c r="A826" s="9"/>
      <c r="B826" s="12"/>
      <c r="C826" s="11"/>
      <c r="D826" s="9"/>
      <c r="F826" s="10"/>
    </row>
    <row r="827" spans="1:6" x14ac:dyDescent="0.25">
      <c r="A827" s="9" t="s">
        <v>117</v>
      </c>
      <c r="B827" s="12">
        <v>45701</v>
      </c>
      <c r="C827" s="11">
        <v>5</v>
      </c>
      <c r="D827" s="9" t="s">
        <v>13</v>
      </c>
      <c r="E827" s="10">
        <v>155</v>
      </c>
      <c r="F827" s="10">
        <f t="shared" si="12"/>
        <v>775</v>
      </c>
    </row>
    <row r="828" spans="1:6" x14ac:dyDescent="0.25">
      <c r="A828" s="9"/>
      <c r="B828" s="12"/>
      <c r="C828" s="11"/>
      <c r="D828" s="9"/>
      <c r="F828" s="8">
        <f>SUM(F827)</f>
        <v>775</v>
      </c>
    </row>
    <row r="829" spans="1:6" x14ac:dyDescent="0.25">
      <c r="A829" s="9"/>
      <c r="B829" s="12"/>
      <c r="C829" s="11"/>
      <c r="D829" s="9"/>
      <c r="F829" s="10"/>
    </row>
    <row r="830" spans="1:6" x14ac:dyDescent="0.25">
      <c r="A830" s="9" t="s">
        <v>29</v>
      </c>
      <c r="B830" s="12">
        <v>45701</v>
      </c>
      <c r="C830" s="11">
        <v>1</v>
      </c>
      <c r="D830" s="9" t="s">
        <v>12</v>
      </c>
      <c r="E830" s="10">
        <v>150</v>
      </c>
      <c r="F830" s="10">
        <f t="shared" si="12"/>
        <v>150</v>
      </c>
    </row>
    <row r="831" spans="1:6" x14ac:dyDescent="0.25">
      <c r="A831" s="9"/>
      <c r="B831" s="12"/>
      <c r="C831" s="11">
        <v>2</v>
      </c>
      <c r="D831" s="9" t="s">
        <v>12</v>
      </c>
      <c r="E831" s="10">
        <v>150</v>
      </c>
      <c r="F831" s="10">
        <f t="shared" si="12"/>
        <v>300</v>
      </c>
    </row>
    <row r="832" spans="1:6" x14ac:dyDescent="0.25">
      <c r="A832" s="9"/>
      <c r="B832" s="12"/>
      <c r="C832" s="11"/>
      <c r="D832" s="9"/>
      <c r="F832" s="8">
        <f>SUM(F830:F831)</f>
        <v>450</v>
      </c>
    </row>
    <row r="833" spans="1:6" x14ac:dyDescent="0.25">
      <c r="A833" s="9"/>
      <c r="B833" s="12"/>
      <c r="C833" s="11"/>
      <c r="D833" s="9"/>
      <c r="F833" s="10"/>
    </row>
    <row r="834" spans="1:6" x14ac:dyDescent="0.25">
      <c r="A834" s="9" t="s">
        <v>7</v>
      </c>
      <c r="B834" s="12">
        <v>45701</v>
      </c>
      <c r="C834" s="11">
        <v>2</v>
      </c>
      <c r="D834" s="9" t="s">
        <v>13</v>
      </c>
      <c r="E834" s="10">
        <v>160</v>
      </c>
      <c r="F834" s="10">
        <f t="shared" si="12"/>
        <v>320</v>
      </c>
    </row>
    <row r="835" spans="1:6" x14ac:dyDescent="0.25">
      <c r="A835" s="9"/>
      <c r="B835" s="12"/>
      <c r="C835" s="11">
        <v>2</v>
      </c>
      <c r="D835" s="9" t="s">
        <v>13</v>
      </c>
      <c r="E835" s="10">
        <v>160</v>
      </c>
      <c r="F835" s="10">
        <f t="shared" si="12"/>
        <v>320</v>
      </c>
    </row>
    <row r="836" spans="1:6" x14ac:dyDescent="0.25">
      <c r="A836" s="9"/>
      <c r="B836" s="12"/>
      <c r="C836" s="11">
        <v>5</v>
      </c>
      <c r="D836" s="9" t="s">
        <v>13</v>
      </c>
      <c r="E836" s="10">
        <v>150</v>
      </c>
      <c r="F836" s="10">
        <f t="shared" si="12"/>
        <v>750</v>
      </c>
    </row>
    <row r="837" spans="1:6" x14ac:dyDescent="0.25">
      <c r="A837" s="9"/>
      <c r="B837" s="12"/>
      <c r="C837" s="11">
        <v>1</v>
      </c>
      <c r="D837" s="9" t="s">
        <v>13</v>
      </c>
      <c r="E837" s="10">
        <v>150</v>
      </c>
      <c r="F837" s="10">
        <f t="shared" si="12"/>
        <v>150</v>
      </c>
    </row>
    <row r="838" spans="1:6" x14ac:dyDescent="0.25">
      <c r="A838" s="9"/>
      <c r="B838" s="12"/>
      <c r="C838" s="11"/>
      <c r="D838" s="9"/>
      <c r="F838" s="8">
        <f>SUM(F834:F837)</f>
        <v>1540</v>
      </c>
    </row>
    <row r="839" spans="1:6" x14ac:dyDescent="0.25">
      <c r="A839" s="9"/>
      <c r="B839" s="12"/>
      <c r="C839" s="11"/>
      <c r="D839" s="9"/>
      <c r="F839" s="10"/>
    </row>
    <row r="840" spans="1:6" x14ac:dyDescent="0.25">
      <c r="A840" s="9" t="s">
        <v>15</v>
      </c>
      <c r="B840" s="12">
        <v>45702</v>
      </c>
      <c r="C840" s="11">
        <v>31</v>
      </c>
      <c r="D840" s="9" t="s">
        <v>36</v>
      </c>
      <c r="E840" s="10">
        <v>85</v>
      </c>
      <c r="F840" s="10">
        <f t="shared" si="12"/>
        <v>2635</v>
      </c>
    </row>
    <row r="841" spans="1:6" x14ac:dyDescent="0.25">
      <c r="A841" s="9"/>
      <c r="B841" s="12"/>
      <c r="C841" s="11"/>
      <c r="D841" s="9"/>
      <c r="F841" s="8">
        <f>SUM(F840)</f>
        <v>2635</v>
      </c>
    </row>
    <row r="842" spans="1:6" x14ac:dyDescent="0.25">
      <c r="A842" s="9"/>
      <c r="B842" s="12"/>
      <c r="C842" s="11"/>
      <c r="D842" s="9"/>
      <c r="F842" s="10"/>
    </row>
    <row r="843" spans="1:6" x14ac:dyDescent="0.25">
      <c r="A843" s="9" t="s">
        <v>20</v>
      </c>
      <c r="B843" s="12">
        <v>45702</v>
      </c>
      <c r="C843" s="11">
        <v>20</v>
      </c>
      <c r="D843" s="9" t="s">
        <v>242</v>
      </c>
      <c r="E843" s="10">
        <v>140</v>
      </c>
      <c r="F843" s="10">
        <f t="shared" si="12"/>
        <v>2800</v>
      </c>
    </row>
    <row r="844" spans="1:6" x14ac:dyDescent="0.25">
      <c r="A844" s="9"/>
      <c r="B844" s="12"/>
      <c r="C844" s="11"/>
      <c r="D844" s="9"/>
      <c r="F844" s="8">
        <f>SUM(F843)</f>
        <v>2800</v>
      </c>
    </row>
    <row r="845" spans="1:6" x14ac:dyDescent="0.25">
      <c r="A845" s="9"/>
      <c r="B845" s="12"/>
      <c r="C845" s="11"/>
      <c r="D845" s="9"/>
      <c r="F845" s="10"/>
    </row>
    <row r="846" spans="1:6" x14ac:dyDescent="0.25">
      <c r="A846" s="9" t="s">
        <v>21</v>
      </c>
      <c r="B846" s="12">
        <v>45702</v>
      </c>
      <c r="C846" s="11">
        <v>30</v>
      </c>
      <c r="D846" s="9" t="s">
        <v>13</v>
      </c>
      <c r="E846" s="10">
        <v>140</v>
      </c>
      <c r="F846" s="10">
        <f t="shared" si="12"/>
        <v>4200</v>
      </c>
    </row>
    <row r="847" spans="1:6" x14ac:dyDescent="0.25">
      <c r="A847" s="9"/>
      <c r="B847" s="12"/>
      <c r="C847" s="11">
        <v>30</v>
      </c>
      <c r="D847" s="9" t="s">
        <v>12</v>
      </c>
      <c r="E847" s="10">
        <v>135</v>
      </c>
      <c r="F847" s="10">
        <f t="shared" si="12"/>
        <v>4050</v>
      </c>
    </row>
    <row r="848" spans="1:6" x14ac:dyDescent="0.25">
      <c r="A848" s="9"/>
      <c r="B848" s="12"/>
      <c r="C848" s="11">
        <v>10</v>
      </c>
      <c r="D848" s="9" t="s">
        <v>11</v>
      </c>
      <c r="E848" s="10">
        <v>125</v>
      </c>
      <c r="F848" s="10">
        <f t="shared" si="12"/>
        <v>1250</v>
      </c>
    </row>
    <row r="849" spans="1:6" x14ac:dyDescent="0.25">
      <c r="A849" s="9"/>
      <c r="B849" s="12"/>
      <c r="C849" s="11"/>
      <c r="D849" s="9"/>
      <c r="F849" s="8">
        <f>SUM(F846:F848)</f>
        <v>9500</v>
      </c>
    </row>
    <row r="850" spans="1:6" x14ac:dyDescent="0.25">
      <c r="A850" s="9"/>
      <c r="B850" s="12"/>
      <c r="C850" s="11"/>
      <c r="D850" s="9"/>
      <c r="F850" s="10"/>
    </row>
    <row r="851" spans="1:6" x14ac:dyDescent="0.25">
      <c r="A851" s="9" t="s">
        <v>40</v>
      </c>
      <c r="B851" s="12">
        <v>45702</v>
      </c>
      <c r="C851" s="11">
        <v>10</v>
      </c>
      <c r="D851" s="9" t="s">
        <v>13</v>
      </c>
      <c r="E851" s="10">
        <v>140</v>
      </c>
      <c r="F851" s="10">
        <f t="shared" si="12"/>
        <v>1400</v>
      </c>
    </row>
    <row r="852" spans="1:6" x14ac:dyDescent="0.25">
      <c r="A852" s="9"/>
      <c r="B852" s="12"/>
      <c r="C852" s="11">
        <v>7</v>
      </c>
      <c r="D852" s="9" t="s">
        <v>12</v>
      </c>
      <c r="E852" s="10">
        <v>135</v>
      </c>
      <c r="F852" s="10">
        <f t="shared" si="12"/>
        <v>945</v>
      </c>
    </row>
    <row r="853" spans="1:6" x14ac:dyDescent="0.25">
      <c r="A853" s="9"/>
      <c r="B853" s="12"/>
      <c r="C853" s="11"/>
      <c r="D853" s="9"/>
      <c r="F853" s="8">
        <f>SUM(F851:F852)</f>
        <v>2345</v>
      </c>
    </row>
    <row r="854" spans="1:6" x14ac:dyDescent="0.25">
      <c r="A854" s="9"/>
      <c r="B854" s="12"/>
      <c r="C854" s="11"/>
      <c r="D854" s="9"/>
      <c r="F854" s="10"/>
    </row>
    <row r="855" spans="1:6" x14ac:dyDescent="0.25">
      <c r="A855" s="9" t="s">
        <v>56</v>
      </c>
      <c r="B855" s="12">
        <v>45702</v>
      </c>
      <c r="C855" s="11">
        <v>9</v>
      </c>
      <c r="D855" s="9" t="s">
        <v>98</v>
      </c>
      <c r="E855" s="10">
        <v>100</v>
      </c>
      <c r="F855" s="10">
        <f t="shared" si="12"/>
        <v>900</v>
      </c>
    </row>
    <row r="856" spans="1:6" x14ac:dyDescent="0.25">
      <c r="A856" s="9"/>
      <c r="B856" s="12"/>
      <c r="C856" s="11"/>
      <c r="D856" s="9"/>
      <c r="F856" s="8">
        <f>SUM(F855)</f>
        <v>900</v>
      </c>
    </row>
    <row r="857" spans="1:6" x14ac:dyDescent="0.25">
      <c r="A857" s="9"/>
      <c r="B857" s="12"/>
      <c r="C857" s="11"/>
      <c r="D857" s="9"/>
      <c r="F857" s="10"/>
    </row>
    <row r="858" spans="1:6" x14ac:dyDescent="0.25">
      <c r="A858" s="9" t="s">
        <v>18</v>
      </c>
      <c r="B858" s="12">
        <v>45702</v>
      </c>
      <c r="C858" s="11">
        <v>5</v>
      </c>
      <c r="D858" s="9" t="s">
        <v>13</v>
      </c>
      <c r="E858" s="10">
        <v>145</v>
      </c>
      <c r="F858" s="10">
        <f t="shared" ref="F858:F918" si="13">+C858*E858</f>
        <v>725</v>
      </c>
    </row>
    <row r="859" spans="1:6" x14ac:dyDescent="0.25">
      <c r="A859" s="9"/>
      <c r="B859" s="12"/>
      <c r="C859" s="11"/>
      <c r="D859" s="9"/>
      <c r="F859" s="8">
        <f>SUM(F858)</f>
        <v>725</v>
      </c>
    </row>
    <row r="860" spans="1:6" x14ac:dyDescent="0.25">
      <c r="A860" s="9"/>
      <c r="B860" s="12"/>
      <c r="C860" s="11"/>
      <c r="D860" s="9"/>
      <c r="F860" s="10"/>
    </row>
    <row r="861" spans="1:6" x14ac:dyDescent="0.25">
      <c r="A861" s="9" t="s">
        <v>58</v>
      </c>
      <c r="B861" s="12">
        <v>45702</v>
      </c>
      <c r="C861" s="11">
        <v>10</v>
      </c>
      <c r="D861" s="9" t="s">
        <v>13</v>
      </c>
      <c r="E861" s="10">
        <v>150</v>
      </c>
      <c r="F861" s="10">
        <f t="shared" si="13"/>
        <v>1500</v>
      </c>
    </row>
    <row r="862" spans="1:6" x14ac:dyDescent="0.25">
      <c r="A862" s="9"/>
      <c r="B862" s="12"/>
      <c r="C862" s="11"/>
      <c r="D862" s="9"/>
      <c r="F862" s="8">
        <f>SUM(F861)</f>
        <v>1500</v>
      </c>
    </row>
    <row r="863" spans="1:6" x14ac:dyDescent="0.25">
      <c r="A863" s="9"/>
      <c r="B863" s="12"/>
      <c r="C863" s="11"/>
      <c r="D863" s="9"/>
      <c r="F863" s="10"/>
    </row>
    <row r="864" spans="1:6" x14ac:dyDescent="0.25">
      <c r="A864" s="9" t="s">
        <v>157</v>
      </c>
      <c r="B864" s="12">
        <v>45702</v>
      </c>
      <c r="C864" s="11">
        <v>10</v>
      </c>
      <c r="D864" s="9" t="s">
        <v>13</v>
      </c>
      <c r="E864" s="10">
        <v>140</v>
      </c>
      <c r="F864" s="10">
        <f t="shared" si="13"/>
        <v>1400</v>
      </c>
    </row>
    <row r="865" spans="1:6" x14ac:dyDescent="0.25">
      <c r="A865" s="9"/>
      <c r="B865" s="12"/>
      <c r="C865" s="11"/>
      <c r="D865" s="9"/>
      <c r="F865" s="8">
        <f>SUM(F864)</f>
        <v>1400</v>
      </c>
    </row>
    <row r="866" spans="1:6" x14ac:dyDescent="0.25">
      <c r="A866" s="9"/>
      <c r="B866" s="12"/>
      <c r="C866" s="11"/>
      <c r="D866" s="9"/>
      <c r="F866" s="10"/>
    </row>
    <row r="867" spans="1:6" x14ac:dyDescent="0.25">
      <c r="A867" s="9" t="s">
        <v>80</v>
      </c>
      <c r="B867" s="12">
        <v>45702</v>
      </c>
      <c r="C867" s="11">
        <v>10</v>
      </c>
      <c r="D867" s="9" t="s">
        <v>13</v>
      </c>
      <c r="E867" s="10">
        <v>145</v>
      </c>
      <c r="F867" s="10">
        <f t="shared" si="13"/>
        <v>1450</v>
      </c>
    </row>
    <row r="868" spans="1:6" x14ac:dyDescent="0.25">
      <c r="A868" s="9"/>
      <c r="B868" s="12"/>
      <c r="C868" s="11"/>
      <c r="D868" s="9"/>
      <c r="F868" s="8">
        <f>SUM(F867)</f>
        <v>1450</v>
      </c>
    </row>
    <row r="869" spans="1:6" x14ac:dyDescent="0.25">
      <c r="A869" s="9"/>
      <c r="B869" s="12"/>
      <c r="C869" s="11"/>
      <c r="D869" s="9"/>
      <c r="F869" s="10"/>
    </row>
    <row r="870" spans="1:6" x14ac:dyDescent="0.25">
      <c r="A870" s="9" t="s">
        <v>43</v>
      </c>
      <c r="B870" s="12">
        <v>45702</v>
      </c>
      <c r="C870" s="11">
        <v>10</v>
      </c>
      <c r="D870" s="9" t="s">
        <v>49</v>
      </c>
      <c r="E870" s="10">
        <v>145</v>
      </c>
      <c r="F870" s="10">
        <f t="shared" si="13"/>
        <v>1450</v>
      </c>
    </row>
    <row r="871" spans="1:6" x14ac:dyDescent="0.25">
      <c r="A871" s="9"/>
      <c r="B871" s="12"/>
      <c r="C871" s="11">
        <v>30</v>
      </c>
      <c r="D871" s="9" t="s">
        <v>14</v>
      </c>
      <c r="E871" s="10">
        <v>125</v>
      </c>
      <c r="F871" s="10">
        <f t="shared" si="13"/>
        <v>3750</v>
      </c>
    </row>
    <row r="872" spans="1:6" x14ac:dyDescent="0.25">
      <c r="A872" s="9"/>
      <c r="B872" s="12"/>
      <c r="C872" s="11"/>
      <c r="D872" s="9"/>
      <c r="F872" s="8">
        <f>SUM(F870:F871)</f>
        <v>5200</v>
      </c>
    </row>
    <row r="873" spans="1:6" x14ac:dyDescent="0.25">
      <c r="A873" s="9"/>
      <c r="B873" s="12"/>
      <c r="C873" s="11"/>
      <c r="D873" s="9"/>
      <c r="F873" s="10"/>
    </row>
    <row r="874" spans="1:6" x14ac:dyDescent="0.25">
      <c r="A874" s="9" t="s">
        <v>41</v>
      </c>
      <c r="B874" s="12">
        <v>45702</v>
      </c>
      <c r="C874" s="11">
        <v>35</v>
      </c>
      <c r="D874" s="9" t="s">
        <v>243</v>
      </c>
      <c r="E874" s="10">
        <v>135</v>
      </c>
      <c r="F874" s="10">
        <f t="shared" si="13"/>
        <v>4725</v>
      </c>
    </row>
    <row r="875" spans="1:6" x14ac:dyDescent="0.25">
      <c r="A875" s="9"/>
      <c r="B875" s="12"/>
      <c r="C875" s="11"/>
      <c r="D875" s="9"/>
      <c r="F875" s="8">
        <f>SUM(F874)</f>
        <v>4725</v>
      </c>
    </row>
    <row r="876" spans="1:6" x14ac:dyDescent="0.25">
      <c r="A876" s="9"/>
      <c r="B876" s="12"/>
      <c r="C876" s="11"/>
      <c r="D876" s="9"/>
      <c r="F876" s="10"/>
    </row>
    <row r="877" spans="1:6" x14ac:dyDescent="0.25">
      <c r="A877" s="9" t="s">
        <v>44</v>
      </c>
      <c r="B877" s="12">
        <v>45702</v>
      </c>
      <c r="C877" s="11">
        <v>70</v>
      </c>
      <c r="D877" s="9" t="s">
        <v>14</v>
      </c>
      <c r="E877" s="10">
        <v>125</v>
      </c>
      <c r="F877" s="10">
        <f t="shared" si="13"/>
        <v>8750</v>
      </c>
    </row>
    <row r="878" spans="1:6" x14ac:dyDescent="0.25">
      <c r="A878" s="9"/>
      <c r="B878" s="12"/>
      <c r="C878" s="11"/>
      <c r="D878" s="9"/>
      <c r="F878" s="8">
        <f>SUM(F877)</f>
        <v>8750</v>
      </c>
    </row>
    <row r="879" spans="1:6" x14ac:dyDescent="0.25">
      <c r="A879" s="9"/>
      <c r="B879" s="12"/>
      <c r="C879" s="11"/>
      <c r="D879" s="9"/>
      <c r="F879" s="10"/>
    </row>
    <row r="880" spans="1:6" x14ac:dyDescent="0.25">
      <c r="A880" s="9" t="s">
        <v>46</v>
      </c>
      <c r="B880" s="12">
        <v>45702</v>
      </c>
      <c r="C880" s="11">
        <v>20</v>
      </c>
      <c r="D880" s="9" t="s">
        <v>14</v>
      </c>
      <c r="E880" s="10">
        <v>130</v>
      </c>
      <c r="F880" s="10">
        <f t="shared" si="13"/>
        <v>2600</v>
      </c>
    </row>
    <row r="881" spans="1:6" x14ac:dyDescent="0.25">
      <c r="A881" s="9"/>
      <c r="B881" s="12"/>
      <c r="C881" s="11"/>
      <c r="D881" s="9"/>
      <c r="F881" s="8">
        <f>SUM(F880)</f>
        <v>2600</v>
      </c>
    </row>
    <row r="882" spans="1:6" x14ac:dyDescent="0.25">
      <c r="A882" s="9"/>
      <c r="B882" s="12"/>
      <c r="C882" s="11"/>
      <c r="D882" s="9"/>
      <c r="F882" s="10"/>
    </row>
    <row r="883" spans="1:6" x14ac:dyDescent="0.25">
      <c r="A883" s="9" t="s">
        <v>47</v>
      </c>
      <c r="B883" s="12">
        <v>45702</v>
      </c>
      <c r="C883" s="11">
        <v>30</v>
      </c>
      <c r="D883" s="9" t="s">
        <v>14</v>
      </c>
      <c r="E883" s="10">
        <v>130</v>
      </c>
      <c r="F883" s="10">
        <f t="shared" si="13"/>
        <v>3900</v>
      </c>
    </row>
    <row r="884" spans="1:6" x14ac:dyDescent="0.25">
      <c r="A884" s="9"/>
      <c r="B884" s="12"/>
      <c r="C884" s="11"/>
      <c r="D884" s="9"/>
      <c r="F884" s="8">
        <f>SUM(F883)</f>
        <v>3900</v>
      </c>
    </row>
    <row r="885" spans="1:6" x14ac:dyDescent="0.25">
      <c r="A885" s="9"/>
      <c r="B885" s="12"/>
      <c r="C885" s="11"/>
      <c r="D885" s="9"/>
      <c r="F885" s="10"/>
    </row>
    <row r="886" spans="1:6" x14ac:dyDescent="0.25">
      <c r="A886" s="9" t="s">
        <v>51</v>
      </c>
      <c r="B886" s="12">
        <v>45702</v>
      </c>
      <c r="C886" s="11">
        <v>150</v>
      </c>
      <c r="D886" s="9" t="s">
        <v>14</v>
      </c>
      <c r="E886" s="10">
        <v>120</v>
      </c>
      <c r="F886" s="10">
        <f t="shared" si="13"/>
        <v>18000</v>
      </c>
    </row>
    <row r="887" spans="1:6" x14ac:dyDescent="0.25">
      <c r="A887" s="9"/>
      <c r="B887" s="12"/>
      <c r="C887" s="11"/>
      <c r="D887" s="9"/>
      <c r="F887" s="8">
        <f>SUM(F886)</f>
        <v>18000</v>
      </c>
    </row>
    <row r="888" spans="1:6" x14ac:dyDescent="0.25">
      <c r="A888" s="9"/>
      <c r="B888" s="12"/>
      <c r="C888" s="11"/>
      <c r="D888" s="9"/>
      <c r="F888" s="10"/>
    </row>
    <row r="889" spans="1:6" x14ac:dyDescent="0.25">
      <c r="A889" s="9" t="s">
        <v>48</v>
      </c>
      <c r="B889" s="12">
        <v>45702</v>
      </c>
      <c r="C889" s="11">
        <v>110</v>
      </c>
      <c r="D889" s="9" t="s">
        <v>8</v>
      </c>
      <c r="F889" s="10">
        <f t="shared" si="13"/>
        <v>0</v>
      </c>
    </row>
    <row r="890" spans="1:6" x14ac:dyDescent="0.25">
      <c r="A890" s="9"/>
      <c r="B890" s="12"/>
      <c r="C890" s="11">
        <v>300</v>
      </c>
      <c r="D890" s="9" t="s">
        <v>13</v>
      </c>
      <c r="F890" s="10">
        <f t="shared" si="13"/>
        <v>0</v>
      </c>
    </row>
    <row r="891" spans="1:6" x14ac:dyDescent="0.25">
      <c r="A891" s="9"/>
      <c r="B891" s="12"/>
      <c r="C891" s="11">
        <v>50</v>
      </c>
      <c r="D891" s="9" t="s">
        <v>12</v>
      </c>
      <c r="F891" s="10">
        <f t="shared" si="13"/>
        <v>0</v>
      </c>
    </row>
    <row r="892" spans="1:6" x14ac:dyDescent="0.25">
      <c r="A892" s="9"/>
      <c r="B892" s="12"/>
      <c r="C892" s="11">
        <v>26</v>
      </c>
      <c r="D892" s="9" t="s">
        <v>50</v>
      </c>
      <c r="F892" s="10">
        <f t="shared" si="13"/>
        <v>0</v>
      </c>
    </row>
    <row r="893" spans="1:6" x14ac:dyDescent="0.25">
      <c r="A893" s="9"/>
      <c r="B893" s="12"/>
      <c r="C893" s="11">
        <v>38</v>
      </c>
      <c r="D893" s="9" t="s">
        <v>22</v>
      </c>
      <c r="F893" s="10">
        <f t="shared" si="13"/>
        <v>0</v>
      </c>
    </row>
    <row r="894" spans="1:6" x14ac:dyDescent="0.25">
      <c r="A894" s="9"/>
      <c r="B894" s="12"/>
      <c r="C894" s="11">
        <v>10</v>
      </c>
      <c r="D894" s="9" t="s">
        <v>98</v>
      </c>
      <c r="F894" s="10">
        <f t="shared" si="13"/>
        <v>0</v>
      </c>
    </row>
    <row r="895" spans="1:6" x14ac:dyDescent="0.25">
      <c r="A895" s="9"/>
      <c r="B895" s="12"/>
      <c r="C895" s="11"/>
      <c r="D895" s="9"/>
      <c r="F895" s="8">
        <f>SUM(F889:F894)</f>
        <v>0</v>
      </c>
    </row>
    <row r="896" spans="1:6" x14ac:dyDescent="0.25">
      <c r="A896" s="9"/>
      <c r="B896" s="12"/>
      <c r="C896" s="11"/>
      <c r="D896" s="9"/>
      <c r="F896" s="10"/>
    </row>
    <row r="897" spans="1:6" x14ac:dyDescent="0.25">
      <c r="A897" s="9" t="s">
        <v>112</v>
      </c>
      <c r="B897" s="12">
        <v>45702</v>
      </c>
      <c r="C897" s="11">
        <v>60</v>
      </c>
      <c r="D897" s="9" t="s">
        <v>14</v>
      </c>
      <c r="E897" s="10">
        <v>125</v>
      </c>
      <c r="F897" s="10">
        <f t="shared" si="13"/>
        <v>7500</v>
      </c>
    </row>
    <row r="898" spans="1:6" x14ac:dyDescent="0.25">
      <c r="A898" s="9"/>
      <c r="B898" s="12"/>
      <c r="C898" s="11">
        <v>40</v>
      </c>
      <c r="D898" s="9" t="s">
        <v>11</v>
      </c>
      <c r="E898" s="10">
        <v>120</v>
      </c>
      <c r="F898" s="10">
        <f t="shared" si="13"/>
        <v>4800</v>
      </c>
    </row>
    <row r="899" spans="1:6" x14ac:dyDescent="0.25">
      <c r="A899" s="9"/>
      <c r="B899" s="12"/>
      <c r="C899" s="11"/>
      <c r="D899" s="9"/>
      <c r="F899" s="8">
        <f>SUM(F897:F898)</f>
        <v>12300</v>
      </c>
    </row>
    <row r="900" spans="1:6" x14ac:dyDescent="0.25">
      <c r="A900" s="9"/>
      <c r="B900" s="12"/>
      <c r="C900" s="11"/>
      <c r="D900" s="9"/>
      <c r="F900" s="10"/>
    </row>
    <row r="901" spans="1:6" x14ac:dyDescent="0.25">
      <c r="A901" s="9" t="s">
        <v>69</v>
      </c>
      <c r="B901" s="12">
        <v>45702</v>
      </c>
      <c r="C901" s="11">
        <v>20</v>
      </c>
      <c r="D901" s="9" t="s">
        <v>8</v>
      </c>
      <c r="E901" s="10">
        <v>155</v>
      </c>
      <c r="F901" s="10">
        <f t="shared" si="13"/>
        <v>3100</v>
      </c>
    </row>
    <row r="902" spans="1:6" x14ac:dyDescent="0.25">
      <c r="A902" s="9"/>
      <c r="B902" s="12"/>
      <c r="C902" s="11"/>
      <c r="D902" s="9"/>
      <c r="F902" s="8">
        <f>SUM(F901)</f>
        <v>3100</v>
      </c>
    </row>
    <row r="903" spans="1:6" x14ac:dyDescent="0.25">
      <c r="A903" s="9"/>
      <c r="B903" s="12"/>
      <c r="C903" s="11"/>
      <c r="D903" s="9"/>
      <c r="F903" s="10"/>
    </row>
    <row r="904" spans="1:6" x14ac:dyDescent="0.25">
      <c r="A904" s="9" t="s">
        <v>244</v>
      </c>
      <c r="B904" s="12">
        <v>45702</v>
      </c>
      <c r="C904" s="11">
        <v>10</v>
      </c>
      <c r="D904" s="9" t="s">
        <v>8</v>
      </c>
      <c r="E904" s="10">
        <v>160</v>
      </c>
      <c r="F904" s="10">
        <f t="shared" si="13"/>
        <v>1600</v>
      </c>
    </row>
    <row r="905" spans="1:6" x14ac:dyDescent="0.25">
      <c r="A905" s="9"/>
      <c r="B905" s="12"/>
      <c r="C905" s="11"/>
      <c r="D905" s="9"/>
      <c r="F905" s="8">
        <f>SUM(F904)</f>
        <v>1600</v>
      </c>
    </row>
    <row r="906" spans="1:6" x14ac:dyDescent="0.25">
      <c r="A906" s="9"/>
      <c r="B906" s="12"/>
      <c r="C906" s="11"/>
      <c r="D906" s="9"/>
      <c r="F906" s="10"/>
    </row>
    <row r="907" spans="1:6" x14ac:dyDescent="0.25">
      <c r="A907" s="9" t="s">
        <v>245</v>
      </c>
      <c r="B907" s="12">
        <v>45702</v>
      </c>
      <c r="C907" s="11">
        <v>10</v>
      </c>
      <c r="D907" s="9" t="s">
        <v>13</v>
      </c>
      <c r="E907" s="10">
        <v>135</v>
      </c>
      <c r="F907" s="10">
        <f t="shared" si="13"/>
        <v>1350</v>
      </c>
    </row>
    <row r="908" spans="1:6" x14ac:dyDescent="0.25">
      <c r="A908" s="9"/>
      <c r="B908" s="12"/>
      <c r="C908" s="11">
        <v>90</v>
      </c>
      <c r="D908" s="9" t="s">
        <v>14</v>
      </c>
      <c r="E908" s="10">
        <v>130</v>
      </c>
      <c r="F908" s="10">
        <f t="shared" si="13"/>
        <v>11700</v>
      </c>
    </row>
    <row r="909" spans="1:6" x14ac:dyDescent="0.25">
      <c r="A909" s="9"/>
      <c r="B909" s="12"/>
      <c r="C909" s="11"/>
      <c r="D909" s="9"/>
      <c r="F909" s="8">
        <f>SUM(F907:F908)</f>
        <v>13050</v>
      </c>
    </row>
    <row r="910" spans="1:6" x14ac:dyDescent="0.25">
      <c r="A910" s="9"/>
      <c r="B910" s="12"/>
      <c r="C910" s="11"/>
      <c r="D910" s="9"/>
      <c r="F910" s="10"/>
    </row>
    <row r="911" spans="1:6" x14ac:dyDescent="0.25">
      <c r="A911" s="9" t="s">
        <v>167</v>
      </c>
      <c r="B911" s="12">
        <v>45702</v>
      </c>
      <c r="C911" s="11">
        <v>10</v>
      </c>
      <c r="D911" s="9" t="s">
        <v>13</v>
      </c>
      <c r="E911" s="10">
        <v>150</v>
      </c>
      <c r="F911" s="10">
        <f t="shared" si="13"/>
        <v>1500</v>
      </c>
    </row>
    <row r="912" spans="1:6" x14ac:dyDescent="0.25">
      <c r="A912" s="9"/>
      <c r="B912" s="12"/>
      <c r="C912" s="11">
        <v>5</v>
      </c>
      <c r="D912" s="9" t="s">
        <v>14</v>
      </c>
      <c r="E912" s="10">
        <v>135</v>
      </c>
      <c r="F912" s="10">
        <f t="shared" si="13"/>
        <v>675</v>
      </c>
    </row>
    <row r="913" spans="1:6" x14ac:dyDescent="0.25">
      <c r="A913" s="9"/>
      <c r="B913" s="12"/>
      <c r="C913" s="11"/>
      <c r="D913" s="9"/>
      <c r="F913" s="8">
        <f>SUM(F911:F912)</f>
        <v>2175</v>
      </c>
    </row>
    <row r="914" spans="1:6" x14ac:dyDescent="0.25">
      <c r="A914" s="9"/>
      <c r="B914" s="12"/>
      <c r="C914" s="11"/>
      <c r="D914" s="9"/>
      <c r="F914" s="10"/>
    </row>
    <row r="915" spans="1:6" x14ac:dyDescent="0.25">
      <c r="A915" s="9" t="s">
        <v>184</v>
      </c>
      <c r="B915" s="12">
        <v>45702</v>
      </c>
      <c r="C915" s="11">
        <v>5</v>
      </c>
      <c r="D915" s="9" t="s">
        <v>246</v>
      </c>
      <c r="E915" s="10">
        <v>150</v>
      </c>
      <c r="F915" s="10">
        <f t="shared" si="13"/>
        <v>750</v>
      </c>
    </row>
    <row r="916" spans="1:6" x14ac:dyDescent="0.25">
      <c r="A916" s="9"/>
      <c r="B916" s="12"/>
      <c r="C916" s="11"/>
      <c r="D916" s="9"/>
      <c r="F916" s="8">
        <f>SUM(F915)</f>
        <v>750</v>
      </c>
    </row>
    <row r="917" spans="1:6" x14ac:dyDescent="0.25">
      <c r="A917" s="9"/>
      <c r="B917" s="12"/>
      <c r="C917" s="11"/>
      <c r="D917" s="9"/>
      <c r="F917" s="10"/>
    </row>
    <row r="918" spans="1:6" x14ac:dyDescent="0.25">
      <c r="A918" s="9" t="s">
        <v>66</v>
      </c>
      <c r="B918" s="12">
        <v>45702</v>
      </c>
      <c r="C918" s="11">
        <v>20</v>
      </c>
      <c r="D918" s="9" t="s">
        <v>8</v>
      </c>
      <c r="E918" s="10">
        <v>155</v>
      </c>
      <c r="F918" s="10">
        <f t="shared" si="13"/>
        <v>3100</v>
      </c>
    </row>
    <row r="919" spans="1:6" x14ac:dyDescent="0.25">
      <c r="A919" s="9"/>
      <c r="B919" s="12"/>
      <c r="C919" s="11"/>
      <c r="D919" s="9"/>
      <c r="F919" s="8">
        <f>SUM(F918)</f>
        <v>3100</v>
      </c>
    </row>
    <row r="920" spans="1:6" x14ac:dyDescent="0.25">
      <c r="A920" s="9"/>
      <c r="B920" s="12"/>
      <c r="C920" s="11"/>
      <c r="D920" s="9"/>
      <c r="F920" s="10"/>
    </row>
    <row r="921" spans="1:6" x14ac:dyDescent="0.25">
      <c r="A921" s="9" t="s">
        <v>113</v>
      </c>
      <c r="B921" s="12">
        <v>45702</v>
      </c>
      <c r="C921" s="11">
        <v>15</v>
      </c>
      <c r="D921" s="9" t="s">
        <v>13</v>
      </c>
      <c r="E921" s="10">
        <v>150</v>
      </c>
      <c r="F921" s="10">
        <f t="shared" ref="F921:F983" si="14">+C921*E921</f>
        <v>2250</v>
      </c>
    </row>
    <row r="922" spans="1:6" x14ac:dyDescent="0.25">
      <c r="A922" s="9"/>
      <c r="B922" s="12"/>
      <c r="C922" s="11"/>
      <c r="D922" s="9"/>
      <c r="F922" s="8">
        <f>SUM(F921)</f>
        <v>2250</v>
      </c>
    </row>
    <row r="923" spans="1:6" x14ac:dyDescent="0.25">
      <c r="A923" s="9"/>
      <c r="B923" s="12"/>
      <c r="C923" s="11"/>
      <c r="D923" s="9"/>
      <c r="F923" s="10"/>
    </row>
    <row r="924" spans="1:6" x14ac:dyDescent="0.25">
      <c r="A924" s="9" t="s">
        <v>29</v>
      </c>
      <c r="B924" s="12">
        <v>45702</v>
      </c>
      <c r="C924" s="11">
        <v>5</v>
      </c>
      <c r="D924" s="9" t="s">
        <v>91</v>
      </c>
      <c r="E924" s="10">
        <v>100</v>
      </c>
      <c r="F924" s="10">
        <f t="shared" si="14"/>
        <v>500</v>
      </c>
    </row>
    <row r="925" spans="1:6" x14ac:dyDescent="0.25">
      <c r="A925" s="9"/>
      <c r="B925" s="12"/>
      <c r="C925" s="11">
        <v>0.5</v>
      </c>
      <c r="D925" s="9" t="s">
        <v>8</v>
      </c>
      <c r="E925" s="10">
        <v>170</v>
      </c>
      <c r="F925" s="10">
        <f t="shared" si="14"/>
        <v>85</v>
      </c>
    </row>
    <row r="926" spans="1:6" x14ac:dyDescent="0.25">
      <c r="A926" s="9"/>
      <c r="B926" s="12"/>
      <c r="C926" s="11">
        <v>1</v>
      </c>
      <c r="D926" s="9" t="s">
        <v>8</v>
      </c>
      <c r="E926" s="10">
        <v>170</v>
      </c>
      <c r="F926" s="10">
        <f t="shared" si="14"/>
        <v>170</v>
      </c>
    </row>
    <row r="927" spans="1:6" x14ac:dyDescent="0.25">
      <c r="A927" s="9"/>
      <c r="B927" s="12"/>
      <c r="C927" s="11"/>
      <c r="D927" s="9"/>
      <c r="F927" s="8">
        <f>SUM(F924:F926)</f>
        <v>755</v>
      </c>
    </row>
    <row r="928" spans="1:6" x14ac:dyDescent="0.25">
      <c r="A928" s="9"/>
      <c r="B928" s="12"/>
      <c r="C928" s="11"/>
      <c r="D928" s="9"/>
      <c r="F928" s="10"/>
    </row>
    <row r="929" spans="1:6" x14ac:dyDescent="0.25">
      <c r="A929" s="9" t="s">
        <v>7</v>
      </c>
      <c r="B929" s="12">
        <v>45702</v>
      </c>
      <c r="C929" s="11">
        <v>2</v>
      </c>
      <c r="D929" s="9" t="s">
        <v>13</v>
      </c>
      <c r="E929" s="10">
        <v>140</v>
      </c>
      <c r="F929" s="10">
        <f t="shared" si="14"/>
        <v>280</v>
      </c>
    </row>
    <row r="930" spans="1:6" x14ac:dyDescent="0.25">
      <c r="A930" s="9"/>
      <c r="B930" s="12"/>
      <c r="C930" s="11"/>
      <c r="D930" s="9"/>
      <c r="F930" s="8">
        <f>SUM(F929)</f>
        <v>280</v>
      </c>
    </row>
    <row r="931" spans="1:6" x14ac:dyDescent="0.25">
      <c r="A931" s="9"/>
      <c r="B931" s="12"/>
      <c r="C931" s="11"/>
      <c r="D931" s="9"/>
      <c r="F931" s="10"/>
    </row>
    <row r="932" spans="1:6" x14ac:dyDescent="0.25">
      <c r="A932" s="9" t="s">
        <v>20</v>
      </c>
      <c r="B932" s="12">
        <v>45703</v>
      </c>
      <c r="C932" s="11">
        <v>10</v>
      </c>
      <c r="D932" s="9" t="s">
        <v>13</v>
      </c>
      <c r="E932" s="10">
        <v>140</v>
      </c>
      <c r="F932" s="10">
        <f t="shared" si="14"/>
        <v>1400</v>
      </c>
    </row>
    <row r="933" spans="1:6" x14ac:dyDescent="0.25">
      <c r="A933" s="9"/>
      <c r="B933" s="12"/>
      <c r="C933" s="11"/>
      <c r="D933" s="9"/>
      <c r="F933" s="8">
        <f>SUM(F932)</f>
        <v>1400</v>
      </c>
    </row>
    <row r="934" spans="1:6" x14ac:dyDescent="0.25">
      <c r="A934" s="9"/>
      <c r="B934" s="12"/>
      <c r="C934" s="11"/>
      <c r="D934" s="9"/>
      <c r="F934" s="10"/>
    </row>
    <row r="935" spans="1:6" x14ac:dyDescent="0.25">
      <c r="A935" s="9" t="s">
        <v>21</v>
      </c>
      <c r="B935" s="12">
        <v>45703</v>
      </c>
      <c r="C935" s="11">
        <v>10</v>
      </c>
      <c r="D935" s="9" t="s">
        <v>13</v>
      </c>
      <c r="E935" s="10">
        <v>140</v>
      </c>
      <c r="F935" s="10">
        <f t="shared" si="14"/>
        <v>1400</v>
      </c>
    </row>
    <row r="936" spans="1:6" x14ac:dyDescent="0.25">
      <c r="A936" s="9"/>
      <c r="B936" s="12"/>
      <c r="C936" s="11">
        <v>10</v>
      </c>
      <c r="D936" s="9" t="s">
        <v>12</v>
      </c>
      <c r="E936" s="10">
        <v>135</v>
      </c>
      <c r="F936" s="10">
        <f t="shared" si="14"/>
        <v>1350</v>
      </c>
    </row>
    <row r="937" spans="1:6" x14ac:dyDescent="0.25">
      <c r="A937" s="9"/>
      <c r="B937" s="12"/>
      <c r="C937" s="11">
        <v>20</v>
      </c>
      <c r="D937" s="9" t="s">
        <v>11</v>
      </c>
      <c r="E937" s="10">
        <v>125</v>
      </c>
      <c r="F937" s="10">
        <f t="shared" si="14"/>
        <v>2500</v>
      </c>
    </row>
    <row r="938" spans="1:6" x14ac:dyDescent="0.25">
      <c r="A938" s="9"/>
      <c r="B938" s="12"/>
      <c r="C938" s="11"/>
      <c r="D938" s="9"/>
      <c r="F938" s="8">
        <f>SUM(F935:F937)</f>
        <v>5250</v>
      </c>
    </row>
    <row r="939" spans="1:6" x14ac:dyDescent="0.25">
      <c r="A939" s="9"/>
      <c r="B939" s="12"/>
      <c r="C939" s="11"/>
      <c r="D939" s="9"/>
      <c r="F939" s="10"/>
    </row>
    <row r="940" spans="1:6" x14ac:dyDescent="0.25">
      <c r="A940" s="9" t="s">
        <v>57</v>
      </c>
      <c r="B940" s="12">
        <v>45703</v>
      </c>
      <c r="C940" s="11">
        <v>20</v>
      </c>
      <c r="D940" s="9" t="s">
        <v>13</v>
      </c>
      <c r="E940" s="10">
        <v>140</v>
      </c>
      <c r="F940" s="10">
        <f t="shared" si="14"/>
        <v>2800</v>
      </c>
    </row>
    <row r="941" spans="1:6" x14ac:dyDescent="0.25">
      <c r="A941" s="9"/>
      <c r="B941" s="12"/>
      <c r="C941" s="11"/>
      <c r="D941" s="9"/>
      <c r="F941" s="8">
        <f>SUM(F940)</f>
        <v>2800</v>
      </c>
    </row>
    <row r="942" spans="1:6" x14ac:dyDescent="0.25">
      <c r="A942" s="9"/>
      <c r="B942" s="12"/>
      <c r="C942" s="11"/>
      <c r="D942" s="9"/>
      <c r="F942" s="10"/>
    </row>
    <row r="943" spans="1:6" x14ac:dyDescent="0.25">
      <c r="A943" s="9" t="s">
        <v>58</v>
      </c>
      <c r="B943" s="12">
        <v>45703</v>
      </c>
      <c r="C943" s="11">
        <v>5</v>
      </c>
      <c r="D943" s="9" t="s">
        <v>13</v>
      </c>
      <c r="E943" s="10">
        <v>150</v>
      </c>
      <c r="F943" s="10">
        <f t="shared" si="14"/>
        <v>750</v>
      </c>
    </row>
    <row r="944" spans="1:6" x14ac:dyDescent="0.25">
      <c r="A944" s="9"/>
      <c r="B944" s="12"/>
      <c r="C944" s="11"/>
      <c r="D944" s="9"/>
      <c r="F944" s="8">
        <f>SUM(F943)</f>
        <v>750</v>
      </c>
    </row>
    <row r="945" spans="1:6" x14ac:dyDescent="0.25">
      <c r="A945" s="9"/>
      <c r="B945" s="12"/>
      <c r="C945" s="11"/>
      <c r="D945" s="9"/>
      <c r="F945" s="10"/>
    </row>
    <row r="946" spans="1:6" x14ac:dyDescent="0.25">
      <c r="A946" s="9" t="s">
        <v>183</v>
      </c>
      <c r="B946" s="12">
        <v>45703</v>
      </c>
      <c r="C946" s="11">
        <v>10</v>
      </c>
      <c r="D946" s="9" t="s">
        <v>13</v>
      </c>
      <c r="E946" s="10">
        <v>145</v>
      </c>
      <c r="F946" s="10">
        <f t="shared" si="14"/>
        <v>1450</v>
      </c>
    </row>
    <row r="947" spans="1:6" x14ac:dyDescent="0.25">
      <c r="A947" s="9"/>
      <c r="B947" s="12"/>
      <c r="C947" s="11"/>
      <c r="D947" s="9"/>
      <c r="F947" s="8">
        <f>SUM(F946)</f>
        <v>1450</v>
      </c>
    </row>
    <row r="948" spans="1:6" x14ac:dyDescent="0.25">
      <c r="A948" s="9"/>
      <c r="B948" s="12"/>
      <c r="C948" s="11"/>
      <c r="D948" s="9"/>
      <c r="F948" s="10"/>
    </row>
    <row r="949" spans="1:6" x14ac:dyDescent="0.25">
      <c r="A949" s="9" t="s">
        <v>25</v>
      </c>
      <c r="B949" s="12">
        <v>45703</v>
      </c>
      <c r="C949" s="11">
        <v>20</v>
      </c>
      <c r="D949" s="9" t="s">
        <v>13</v>
      </c>
      <c r="E949" s="10">
        <v>145</v>
      </c>
      <c r="F949" s="10">
        <f t="shared" si="14"/>
        <v>2900</v>
      </c>
    </row>
    <row r="950" spans="1:6" x14ac:dyDescent="0.25">
      <c r="A950" s="9"/>
      <c r="B950" s="12"/>
      <c r="C950" s="11"/>
      <c r="D950" s="9"/>
      <c r="F950" s="8">
        <f>SUM(F949)</f>
        <v>2900</v>
      </c>
    </row>
    <row r="951" spans="1:6" x14ac:dyDescent="0.25">
      <c r="A951" s="9"/>
      <c r="B951" s="12"/>
      <c r="C951" s="11"/>
      <c r="D951" s="9"/>
      <c r="F951" s="10"/>
    </row>
    <row r="952" spans="1:6" x14ac:dyDescent="0.25">
      <c r="A952" s="9" t="s">
        <v>40</v>
      </c>
      <c r="B952" s="12">
        <v>45703</v>
      </c>
      <c r="C952" s="11">
        <v>16</v>
      </c>
      <c r="D952" s="9" t="s">
        <v>13</v>
      </c>
      <c r="E952" s="10">
        <v>140</v>
      </c>
      <c r="F952" s="10">
        <f t="shared" si="14"/>
        <v>2240</v>
      </c>
    </row>
    <row r="953" spans="1:6" x14ac:dyDescent="0.25">
      <c r="A953" s="9"/>
      <c r="B953" s="12"/>
      <c r="C953" s="11"/>
      <c r="D953" s="9"/>
      <c r="F953" s="8">
        <f>SUM(F952)</f>
        <v>2240</v>
      </c>
    </row>
    <row r="954" spans="1:6" x14ac:dyDescent="0.25">
      <c r="A954" s="9"/>
      <c r="B954" s="12"/>
      <c r="C954" s="11"/>
      <c r="D954" s="9"/>
      <c r="F954" s="10"/>
    </row>
    <row r="955" spans="1:6" x14ac:dyDescent="0.25">
      <c r="A955" s="9" t="s">
        <v>61</v>
      </c>
      <c r="B955" s="12">
        <v>45703</v>
      </c>
      <c r="C955" s="11">
        <v>50</v>
      </c>
      <c r="D955" s="9" t="s">
        <v>13</v>
      </c>
      <c r="E955" s="10">
        <v>145</v>
      </c>
      <c r="F955" s="10">
        <f t="shared" si="14"/>
        <v>7250</v>
      </c>
    </row>
    <row r="956" spans="1:6" x14ac:dyDescent="0.25">
      <c r="A956" s="9"/>
      <c r="B956" s="12"/>
      <c r="C956" s="11"/>
      <c r="D956" s="9"/>
      <c r="F956" s="8">
        <f>SUM(F955)</f>
        <v>7250</v>
      </c>
    </row>
    <row r="957" spans="1:6" x14ac:dyDescent="0.25">
      <c r="A957" s="9"/>
      <c r="B957" s="12"/>
      <c r="C957" s="11"/>
      <c r="D957" s="9"/>
      <c r="F957" s="10"/>
    </row>
    <row r="958" spans="1:6" x14ac:dyDescent="0.25">
      <c r="A958" s="9" t="s">
        <v>127</v>
      </c>
      <c r="B958" s="12">
        <v>45703</v>
      </c>
      <c r="C958" s="11">
        <v>30</v>
      </c>
      <c r="D958" s="9" t="s">
        <v>13</v>
      </c>
      <c r="E958" s="10">
        <v>145</v>
      </c>
      <c r="F958" s="10">
        <f t="shared" si="14"/>
        <v>4350</v>
      </c>
    </row>
    <row r="959" spans="1:6" x14ac:dyDescent="0.25">
      <c r="A959" s="9"/>
      <c r="B959" s="12"/>
      <c r="C959" s="11"/>
      <c r="D959" s="9"/>
      <c r="F959" s="8">
        <f>SUM(F958)</f>
        <v>4350</v>
      </c>
    </row>
    <row r="960" spans="1:6" x14ac:dyDescent="0.25">
      <c r="A960" s="9"/>
      <c r="B960" s="12"/>
      <c r="C960" s="11"/>
      <c r="D960" s="9"/>
      <c r="F960" s="10"/>
    </row>
    <row r="961" spans="1:6" x14ac:dyDescent="0.25">
      <c r="A961" s="9" t="s">
        <v>60</v>
      </c>
      <c r="B961" s="12">
        <v>45703</v>
      </c>
      <c r="C961" s="11">
        <v>30</v>
      </c>
      <c r="D961" s="9" t="s">
        <v>13</v>
      </c>
      <c r="E961" s="10">
        <v>145</v>
      </c>
      <c r="F961" s="10">
        <f t="shared" si="14"/>
        <v>4350</v>
      </c>
    </row>
    <row r="962" spans="1:6" x14ac:dyDescent="0.25">
      <c r="A962" s="9"/>
      <c r="B962" s="12"/>
      <c r="C962" s="11"/>
      <c r="D962" s="9"/>
      <c r="F962" s="8">
        <f>SUM(F961)</f>
        <v>4350</v>
      </c>
    </row>
    <row r="963" spans="1:6" x14ac:dyDescent="0.25">
      <c r="A963" s="9"/>
      <c r="B963" s="12"/>
      <c r="C963" s="11"/>
      <c r="D963" s="9"/>
      <c r="F963" s="10"/>
    </row>
    <row r="964" spans="1:6" x14ac:dyDescent="0.25">
      <c r="A964" s="9" t="s">
        <v>151</v>
      </c>
      <c r="B964" s="12">
        <v>45703</v>
      </c>
      <c r="C964" s="11">
        <v>150</v>
      </c>
      <c r="D964" s="9" t="s">
        <v>8</v>
      </c>
      <c r="E964" s="10">
        <v>150</v>
      </c>
      <c r="F964" s="10">
        <f t="shared" si="14"/>
        <v>22500</v>
      </c>
    </row>
    <row r="965" spans="1:6" x14ac:dyDescent="0.25">
      <c r="A965" s="9"/>
      <c r="B965" s="12"/>
      <c r="C965" s="11"/>
      <c r="D965" s="9"/>
      <c r="F965" s="8">
        <f>SUM(F964)</f>
        <v>22500</v>
      </c>
    </row>
    <row r="966" spans="1:6" x14ac:dyDescent="0.25">
      <c r="A966" s="9"/>
      <c r="B966" s="12"/>
      <c r="C966" s="11"/>
      <c r="D966" s="9"/>
      <c r="F966" s="10"/>
    </row>
    <row r="967" spans="1:6" x14ac:dyDescent="0.25">
      <c r="A967" s="9" t="s">
        <v>62</v>
      </c>
      <c r="B967" s="12">
        <v>45703</v>
      </c>
      <c r="C967" s="11">
        <v>50</v>
      </c>
      <c r="D967" s="9" t="s">
        <v>8</v>
      </c>
      <c r="E967" s="10">
        <v>160</v>
      </c>
      <c r="F967" s="10">
        <f t="shared" si="14"/>
        <v>8000</v>
      </c>
    </row>
    <row r="968" spans="1:6" x14ac:dyDescent="0.25">
      <c r="A968" s="9"/>
      <c r="B968" s="12"/>
      <c r="C968" s="11"/>
      <c r="D968" s="9"/>
      <c r="F968" s="8">
        <f>SUM(F967)</f>
        <v>8000</v>
      </c>
    </row>
    <row r="969" spans="1:6" x14ac:dyDescent="0.25">
      <c r="A969" s="9"/>
      <c r="B969" s="12"/>
      <c r="C969" s="11"/>
      <c r="D969" s="9"/>
      <c r="F969" s="10"/>
    </row>
    <row r="970" spans="1:6" x14ac:dyDescent="0.25">
      <c r="A970" s="9" t="s">
        <v>65</v>
      </c>
      <c r="B970" s="12">
        <v>45703</v>
      </c>
      <c r="C970" s="11">
        <v>300</v>
      </c>
      <c r="D970" s="9" t="s">
        <v>13</v>
      </c>
      <c r="E970" s="10">
        <v>135</v>
      </c>
      <c r="F970" s="10">
        <f t="shared" si="14"/>
        <v>40500</v>
      </c>
    </row>
    <row r="971" spans="1:6" x14ac:dyDescent="0.25">
      <c r="A971" s="9"/>
      <c r="B971" s="12"/>
      <c r="C971" s="11">
        <v>1370</v>
      </c>
      <c r="D971" s="9" t="s">
        <v>12</v>
      </c>
      <c r="E971" s="10">
        <v>130</v>
      </c>
      <c r="F971" s="10">
        <f t="shared" si="14"/>
        <v>178100</v>
      </c>
    </row>
    <row r="972" spans="1:6" x14ac:dyDescent="0.25">
      <c r="A972" s="9"/>
      <c r="B972" s="12"/>
      <c r="C972" s="11">
        <v>170</v>
      </c>
      <c r="D972" s="9" t="s">
        <v>14</v>
      </c>
      <c r="E972" s="10">
        <v>130</v>
      </c>
      <c r="F972" s="10">
        <f t="shared" si="14"/>
        <v>22100</v>
      </c>
    </row>
    <row r="973" spans="1:6" x14ac:dyDescent="0.25">
      <c r="A973" s="9"/>
      <c r="B973" s="12"/>
      <c r="C973" s="11">
        <v>300</v>
      </c>
      <c r="D973" s="9" t="s">
        <v>22</v>
      </c>
      <c r="E973" s="10">
        <v>120</v>
      </c>
      <c r="F973" s="10">
        <f t="shared" si="14"/>
        <v>36000</v>
      </c>
    </row>
    <row r="974" spans="1:6" x14ac:dyDescent="0.25">
      <c r="A974" s="9"/>
      <c r="B974" s="12"/>
      <c r="C974" s="11">
        <v>100</v>
      </c>
      <c r="D974" s="9" t="s">
        <v>12</v>
      </c>
      <c r="E974" s="10">
        <v>125</v>
      </c>
      <c r="F974" s="10">
        <f t="shared" si="14"/>
        <v>12500</v>
      </c>
    </row>
    <row r="975" spans="1:6" x14ac:dyDescent="0.25">
      <c r="A975" s="9"/>
      <c r="B975" s="12"/>
      <c r="C975" s="11"/>
      <c r="D975" s="9"/>
      <c r="F975" s="8">
        <f>SUM(F970:F974)</f>
        <v>289200</v>
      </c>
    </row>
    <row r="976" spans="1:6" x14ac:dyDescent="0.25">
      <c r="A976" s="9"/>
      <c r="B976" s="12"/>
      <c r="C976" s="11"/>
      <c r="D976" s="9"/>
      <c r="F976" s="10"/>
    </row>
    <row r="977" spans="1:6" x14ac:dyDescent="0.25">
      <c r="A977" s="9" t="s">
        <v>53</v>
      </c>
      <c r="B977" s="12">
        <v>45703</v>
      </c>
      <c r="C977" s="11">
        <v>120</v>
      </c>
      <c r="D977" s="9" t="s">
        <v>13</v>
      </c>
      <c r="E977" s="10">
        <v>140</v>
      </c>
      <c r="F977" s="10">
        <f t="shared" si="14"/>
        <v>16800</v>
      </c>
    </row>
    <row r="978" spans="1:6" x14ac:dyDescent="0.25">
      <c r="A978" s="9"/>
      <c r="B978" s="12"/>
      <c r="C978" s="11">
        <v>20</v>
      </c>
      <c r="D978" s="9" t="s">
        <v>8</v>
      </c>
      <c r="E978" s="10">
        <v>150</v>
      </c>
      <c r="F978" s="10">
        <f t="shared" si="14"/>
        <v>3000</v>
      </c>
    </row>
    <row r="979" spans="1:6" x14ac:dyDescent="0.25">
      <c r="A979" s="9"/>
      <c r="B979" s="12"/>
      <c r="C979" s="11">
        <v>30</v>
      </c>
      <c r="D979" s="9" t="s">
        <v>12</v>
      </c>
      <c r="E979" s="10">
        <v>130</v>
      </c>
      <c r="F979" s="10">
        <f t="shared" si="14"/>
        <v>3900</v>
      </c>
    </row>
    <row r="980" spans="1:6" x14ac:dyDescent="0.25">
      <c r="A980" s="9"/>
      <c r="B980" s="12"/>
      <c r="C980" s="11">
        <v>7</v>
      </c>
      <c r="D980" s="9" t="s">
        <v>8</v>
      </c>
      <c r="E980" s="10">
        <v>150</v>
      </c>
      <c r="F980" s="10">
        <f t="shared" si="14"/>
        <v>1050</v>
      </c>
    </row>
    <row r="981" spans="1:6" x14ac:dyDescent="0.25">
      <c r="A981" s="9"/>
      <c r="B981" s="12"/>
      <c r="C981" s="11"/>
      <c r="D981" s="9"/>
      <c r="F981" s="8">
        <f>SUM(F977:F980)</f>
        <v>24750</v>
      </c>
    </row>
    <row r="982" spans="1:6" x14ac:dyDescent="0.25">
      <c r="A982" s="9"/>
      <c r="B982" s="12"/>
      <c r="C982" s="11"/>
      <c r="D982" s="9"/>
      <c r="F982" s="10"/>
    </row>
    <row r="983" spans="1:6" x14ac:dyDescent="0.25">
      <c r="A983" s="9" t="s">
        <v>32</v>
      </c>
      <c r="B983" s="12">
        <v>45703</v>
      </c>
      <c r="C983" s="11">
        <v>25</v>
      </c>
      <c r="D983" s="9" t="s">
        <v>13</v>
      </c>
      <c r="E983" s="10">
        <v>125</v>
      </c>
      <c r="F983" s="10">
        <f t="shared" si="14"/>
        <v>3125</v>
      </c>
    </row>
    <row r="984" spans="1:6" x14ac:dyDescent="0.25">
      <c r="A984" s="9"/>
      <c r="B984" s="12"/>
      <c r="C984" s="11"/>
      <c r="D984" s="9"/>
      <c r="F984" s="8">
        <f>SUM(F983)</f>
        <v>3125</v>
      </c>
    </row>
    <row r="985" spans="1:6" x14ac:dyDescent="0.25">
      <c r="A985" s="9"/>
      <c r="B985" s="12"/>
      <c r="C985" s="11"/>
      <c r="D985" s="9"/>
      <c r="F985" s="10"/>
    </row>
    <row r="986" spans="1:6" x14ac:dyDescent="0.25">
      <c r="A986" s="9" t="s">
        <v>247</v>
      </c>
      <c r="B986" s="12">
        <v>45703</v>
      </c>
      <c r="C986" s="11">
        <v>385</v>
      </c>
      <c r="D986" s="9" t="s">
        <v>13</v>
      </c>
      <c r="E986" s="10">
        <v>135</v>
      </c>
      <c r="F986" s="10">
        <f t="shared" ref="F986:F1047" si="15">+C986*E986</f>
        <v>51975</v>
      </c>
    </row>
    <row r="987" spans="1:6" x14ac:dyDescent="0.25">
      <c r="A987" s="9"/>
      <c r="B987" s="12"/>
      <c r="C987" s="11">
        <v>140</v>
      </c>
      <c r="D987" s="9" t="s">
        <v>12</v>
      </c>
      <c r="E987" s="10">
        <v>125</v>
      </c>
      <c r="F987" s="10">
        <f t="shared" si="15"/>
        <v>17500</v>
      </c>
    </row>
    <row r="988" spans="1:6" x14ac:dyDescent="0.25">
      <c r="A988" s="9"/>
      <c r="B988" s="12"/>
      <c r="C988" s="11">
        <v>30</v>
      </c>
      <c r="D988" s="9" t="s">
        <v>14</v>
      </c>
      <c r="E988" s="10">
        <v>130</v>
      </c>
      <c r="F988" s="10">
        <f t="shared" si="15"/>
        <v>3900</v>
      </c>
    </row>
    <row r="989" spans="1:6" x14ac:dyDescent="0.25">
      <c r="A989" s="9"/>
      <c r="B989" s="12"/>
      <c r="C989" s="11">
        <v>45</v>
      </c>
      <c r="D989" s="9" t="s">
        <v>11</v>
      </c>
      <c r="E989" s="10">
        <v>125</v>
      </c>
      <c r="F989" s="10">
        <f t="shared" si="15"/>
        <v>5625</v>
      </c>
    </row>
    <row r="990" spans="1:6" x14ac:dyDescent="0.25">
      <c r="A990" s="9"/>
      <c r="B990" s="12"/>
      <c r="C990" s="11"/>
      <c r="D990" s="9"/>
      <c r="F990" s="8">
        <f>SUM(F986:F989)</f>
        <v>79000</v>
      </c>
    </row>
    <row r="991" spans="1:6" x14ac:dyDescent="0.25">
      <c r="A991" s="9"/>
      <c r="B991" s="12"/>
      <c r="C991" s="11"/>
      <c r="D991" s="9"/>
      <c r="F991" s="10"/>
    </row>
    <row r="992" spans="1:6" x14ac:dyDescent="0.25">
      <c r="A992" s="9" t="s">
        <v>248</v>
      </c>
      <c r="B992" s="12">
        <v>45703</v>
      </c>
      <c r="C992" s="11">
        <v>100</v>
      </c>
      <c r="D992" s="9" t="s">
        <v>13</v>
      </c>
      <c r="E992" s="10">
        <v>140</v>
      </c>
      <c r="F992" s="10">
        <f t="shared" si="15"/>
        <v>14000</v>
      </c>
    </row>
    <row r="993" spans="1:6" x14ac:dyDescent="0.25">
      <c r="A993" s="9"/>
      <c r="B993" s="12"/>
      <c r="C993" s="11"/>
      <c r="D993" s="9"/>
      <c r="F993" s="8">
        <f>SUM(F992)</f>
        <v>14000</v>
      </c>
    </row>
    <row r="994" spans="1:6" x14ac:dyDescent="0.25">
      <c r="A994" s="9"/>
      <c r="B994" s="12"/>
      <c r="C994" s="11"/>
      <c r="D994" s="9"/>
      <c r="F994" s="10"/>
    </row>
    <row r="995" spans="1:6" x14ac:dyDescent="0.25">
      <c r="A995" s="9" t="s">
        <v>29</v>
      </c>
      <c r="B995" s="12">
        <v>45703</v>
      </c>
      <c r="C995" s="11">
        <v>1</v>
      </c>
      <c r="D995" s="9" t="s">
        <v>78</v>
      </c>
      <c r="E995" s="10">
        <v>100</v>
      </c>
      <c r="F995" s="10">
        <f t="shared" si="15"/>
        <v>100</v>
      </c>
    </row>
    <row r="996" spans="1:6" x14ac:dyDescent="0.25">
      <c r="A996" s="9"/>
      <c r="B996" s="12"/>
      <c r="C996" s="11">
        <v>1</v>
      </c>
      <c r="D996" s="9" t="s">
        <v>22</v>
      </c>
      <c r="E996" s="10">
        <v>140</v>
      </c>
      <c r="F996" s="10">
        <f t="shared" si="15"/>
        <v>140</v>
      </c>
    </row>
    <row r="997" spans="1:6" x14ac:dyDescent="0.25">
      <c r="A997" s="9"/>
      <c r="B997" s="12"/>
      <c r="C997" s="11"/>
      <c r="D997" s="9"/>
      <c r="F997" s="8">
        <f>SUM(F995:F996)</f>
        <v>240</v>
      </c>
    </row>
    <row r="998" spans="1:6" x14ac:dyDescent="0.25">
      <c r="A998" s="9"/>
      <c r="B998" s="12"/>
      <c r="C998" s="11"/>
      <c r="D998" s="9"/>
      <c r="F998" s="10"/>
    </row>
    <row r="999" spans="1:6" x14ac:dyDescent="0.25">
      <c r="A999" s="9" t="s">
        <v>7</v>
      </c>
      <c r="B999" s="12">
        <v>45703</v>
      </c>
      <c r="C999" s="11">
        <v>2</v>
      </c>
      <c r="D999" s="9" t="s">
        <v>8</v>
      </c>
      <c r="E999" s="10">
        <v>170</v>
      </c>
      <c r="F999" s="10">
        <f t="shared" si="15"/>
        <v>340</v>
      </c>
    </row>
    <row r="1000" spans="1:6" x14ac:dyDescent="0.25">
      <c r="A1000" s="9"/>
      <c r="B1000" s="12"/>
      <c r="C1000" s="11">
        <v>1</v>
      </c>
      <c r="D1000" s="9" t="s">
        <v>8</v>
      </c>
      <c r="E1000" s="10">
        <v>150</v>
      </c>
      <c r="F1000" s="10">
        <f t="shared" si="15"/>
        <v>150</v>
      </c>
    </row>
    <row r="1001" spans="1:6" x14ac:dyDescent="0.25">
      <c r="A1001" s="9"/>
      <c r="B1001" s="12"/>
      <c r="C1001" s="11">
        <v>2</v>
      </c>
      <c r="D1001" s="9" t="s">
        <v>249</v>
      </c>
      <c r="E1001" s="10">
        <v>150</v>
      </c>
      <c r="F1001" s="10">
        <f t="shared" si="15"/>
        <v>300</v>
      </c>
    </row>
    <row r="1002" spans="1:6" x14ac:dyDescent="0.25">
      <c r="A1002" s="9"/>
      <c r="B1002" s="12"/>
      <c r="C1002" s="11"/>
      <c r="D1002" s="9"/>
      <c r="F1002" s="8">
        <f>SUM(F999:F1001)</f>
        <v>790</v>
      </c>
    </row>
    <row r="1003" spans="1:6" x14ac:dyDescent="0.25">
      <c r="A1003" s="9"/>
      <c r="B1003" s="12"/>
      <c r="C1003" s="11"/>
      <c r="D1003" s="9"/>
      <c r="F1003" s="10"/>
    </row>
    <row r="1004" spans="1:6" x14ac:dyDescent="0.25">
      <c r="A1004" s="9" t="s">
        <v>29</v>
      </c>
      <c r="B1004" s="12">
        <v>45704</v>
      </c>
      <c r="C1004" s="11">
        <v>6</v>
      </c>
      <c r="D1004" s="9" t="s">
        <v>13</v>
      </c>
      <c r="E1004" s="10">
        <v>140</v>
      </c>
      <c r="F1004" s="10">
        <f t="shared" si="15"/>
        <v>840</v>
      </c>
    </row>
    <row r="1005" spans="1:6" x14ac:dyDescent="0.25">
      <c r="A1005" s="9"/>
      <c r="B1005" s="12"/>
      <c r="C1005" s="11">
        <v>2</v>
      </c>
      <c r="D1005" s="9" t="s">
        <v>22</v>
      </c>
      <c r="E1005" s="10">
        <v>120</v>
      </c>
      <c r="F1005" s="10">
        <f t="shared" si="15"/>
        <v>240</v>
      </c>
    </row>
    <row r="1006" spans="1:6" x14ac:dyDescent="0.25">
      <c r="A1006" s="9"/>
      <c r="B1006" s="12"/>
      <c r="C1006" s="11">
        <v>1</v>
      </c>
      <c r="D1006" s="9" t="s">
        <v>250</v>
      </c>
      <c r="E1006" s="10">
        <v>0</v>
      </c>
      <c r="F1006" s="10">
        <f t="shared" si="15"/>
        <v>0</v>
      </c>
    </row>
    <row r="1007" spans="1:6" x14ac:dyDescent="0.25">
      <c r="A1007" s="9"/>
      <c r="B1007" s="12"/>
      <c r="C1007" s="11"/>
      <c r="D1007" s="9"/>
      <c r="F1007" s="8">
        <f>SUM(F1004:F1006)</f>
        <v>1080</v>
      </c>
    </row>
    <row r="1008" spans="1:6" x14ac:dyDescent="0.25">
      <c r="A1008" s="9"/>
      <c r="B1008" s="12"/>
      <c r="C1008" s="11"/>
      <c r="D1008" s="9"/>
      <c r="F1008" s="10"/>
    </row>
    <row r="1009" spans="1:6" x14ac:dyDescent="0.25">
      <c r="A1009" s="9" t="s">
        <v>7</v>
      </c>
      <c r="B1009" s="12">
        <v>45704</v>
      </c>
      <c r="C1009" s="11">
        <v>10</v>
      </c>
      <c r="D1009" s="9" t="s">
        <v>13</v>
      </c>
      <c r="E1009" s="10">
        <v>160</v>
      </c>
      <c r="F1009" s="10">
        <f t="shared" si="15"/>
        <v>1600</v>
      </c>
    </row>
    <row r="1010" spans="1:6" x14ac:dyDescent="0.25">
      <c r="A1010" s="9"/>
      <c r="B1010" s="12"/>
      <c r="C1010" s="11">
        <v>1</v>
      </c>
      <c r="D1010" s="9" t="s">
        <v>8</v>
      </c>
      <c r="E1010" s="10">
        <v>150</v>
      </c>
      <c r="F1010" s="10">
        <f t="shared" si="15"/>
        <v>150</v>
      </c>
    </row>
    <row r="1011" spans="1:6" x14ac:dyDescent="0.25">
      <c r="A1011" s="9"/>
      <c r="B1011" s="12"/>
      <c r="C1011" s="11">
        <v>1</v>
      </c>
      <c r="D1011" s="9" t="s">
        <v>8</v>
      </c>
      <c r="E1011" s="10">
        <v>150</v>
      </c>
      <c r="F1011" s="10">
        <f t="shared" si="15"/>
        <v>150</v>
      </c>
    </row>
    <row r="1012" spans="1:6" x14ac:dyDescent="0.25">
      <c r="A1012" s="9"/>
      <c r="B1012" s="12"/>
      <c r="C1012" s="11"/>
      <c r="D1012" s="9"/>
      <c r="F1012" s="8">
        <f>SUM(F1009:F1011)</f>
        <v>1900</v>
      </c>
    </row>
    <row r="1013" spans="1:6" x14ac:dyDescent="0.25">
      <c r="A1013" s="9"/>
      <c r="B1013" s="12"/>
      <c r="C1013" s="11"/>
      <c r="D1013" s="9"/>
      <c r="F1013" s="10"/>
    </row>
    <row r="1014" spans="1:6" x14ac:dyDescent="0.25">
      <c r="A1014" s="9" t="s">
        <v>89</v>
      </c>
      <c r="B1014" s="12">
        <v>45705</v>
      </c>
      <c r="C1014" s="11">
        <v>20</v>
      </c>
      <c r="D1014" s="9" t="s">
        <v>13</v>
      </c>
      <c r="E1014" s="10">
        <v>135</v>
      </c>
      <c r="F1014" s="10">
        <f t="shared" si="15"/>
        <v>2700</v>
      </c>
    </row>
    <row r="1015" spans="1:6" x14ac:dyDescent="0.25">
      <c r="A1015" s="9"/>
      <c r="B1015" s="12"/>
      <c r="C1015" s="11">
        <v>44</v>
      </c>
      <c r="D1015" s="9" t="s">
        <v>12</v>
      </c>
      <c r="E1015" s="10">
        <v>130</v>
      </c>
      <c r="F1015" s="10">
        <f t="shared" si="15"/>
        <v>5720</v>
      </c>
    </row>
    <row r="1016" spans="1:6" x14ac:dyDescent="0.25">
      <c r="A1016" s="9"/>
      <c r="B1016" s="12"/>
      <c r="C1016" s="11"/>
      <c r="D1016" s="9"/>
      <c r="F1016" s="8">
        <f>SUM(F1014:F1015)</f>
        <v>8420</v>
      </c>
    </row>
    <row r="1017" spans="1:6" x14ac:dyDescent="0.25">
      <c r="A1017" s="9"/>
      <c r="B1017" s="12"/>
      <c r="C1017" s="11"/>
      <c r="D1017" s="9"/>
      <c r="F1017" s="10"/>
    </row>
    <row r="1018" spans="1:6" x14ac:dyDescent="0.25">
      <c r="A1018" s="9" t="s">
        <v>41</v>
      </c>
      <c r="B1018" s="12">
        <v>45705</v>
      </c>
      <c r="C1018" s="11">
        <v>40</v>
      </c>
      <c r="D1018" s="9" t="s">
        <v>14</v>
      </c>
      <c r="E1018" s="10">
        <v>135</v>
      </c>
      <c r="F1018" s="10">
        <f t="shared" si="15"/>
        <v>5400</v>
      </c>
    </row>
    <row r="1019" spans="1:6" x14ac:dyDescent="0.25">
      <c r="A1019" s="9"/>
      <c r="B1019" s="12"/>
      <c r="C1019" s="11"/>
      <c r="D1019" s="9"/>
      <c r="F1019" s="8">
        <f>SUM(F1018)</f>
        <v>5400</v>
      </c>
    </row>
    <row r="1020" spans="1:6" x14ac:dyDescent="0.25">
      <c r="A1020" s="9"/>
      <c r="B1020" s="12"/>
      <c r="C1020" s="11"/>
      <c r="D1020" s="9"/>
      <c r="F1020" s="10"/>
    </row>
    <row r="1021" spans="1:6" x14ac:dyDescent="0.25">
      <c r="A1021" s="9" t="s">
        <v>251</v>
      </c>
      <c r="B1021" s="12">
        <v>45705</v>
      </c>
      <c r="C1021" s="11">
        <v>30</v>
      </c>
      <c r="D1021" s="9" t="s">
        <v>12</v>
      </c>
      <c r="E1021" s="10">
        <v>135</v>
      </c>
      <c r="F1021" s="10">
        <f t="shared" si="15"/>
        <v>4050</v>
      </c>
    </row>
    <row r="1022" spans="1:6" x14ac:dyDescent="0.25">
      <c r="A1022" s="9"/>
      <c r="B1022" s="12"/>
      <c r="C1022" s="11"/>
      <c r="D1022" s="9"/>
      <c r="F1022" s="8">
        <f>SUM(F1021)</f>
        <v>4050</v>
      </c>
    </row>
    <row r="1023" spans="1:6" x14ac:dyDescent="0.25">
      <c r="A1023" s="9"/>
      <c r="B1023" s="12"/>
      <c r="C1023" s="11"/>
      <c r="D1023" s="9"/>
      <c r="F1023" s="10"/>
    </row>
    <row r="1024" spans="1:6" x14ac:dyDescent="0.25">
      <c r="A1024" s="9" t="s">
        <v>252</v>
      </c>
      <c r="B1024" s="12">
        <v>45705</v>
      </c>
      <c r="C1024" s="11">
        <v>8</v>
      </c>
      <c r="D1024" s="9" t="s">
        <v>242</v>
      </c>
      <c r="E1024" s="10">
        <v>125</v>
      </c>
      <c r="F1024" s="10">
        <f t="shared" si="15"/>
        <v>1000</v>
      </c>
    </row>
    <row r="1025" spans="1:6" x14ac:dyDescent="0.25">
      <c r="A1025" s="9"/>
      <c r="B1025" s="12"/>
      <c r="C1025" s="11"/>
      <c r="D1025" s="9"/>
      <c r="F1025" s="8">
        <f>SUM(F1024)</f>
        <v>1000</v>
      </c>
    </row>
    <row r="1026" spans="1:6" x14ac:dyDescent="0.25">
      <c r="A1026" s="9"/>
      <c r="B1026" s="12"/>
      <c r="C1026" s="11"/>
      <c r="D1026" s="9"/>
      <c r="F1026" s="10"/>
    </row>
    <row r="1027" spans="1:6" x14ac:dyDescent="0.25">
      <c r="A1027" s="9" t="s">
        <v>43</v>
      </c>
      <c r="B1027" s="12">
        <v>45705</v>
      </c>
      <c r="C1027" s="11">
        <v>30</v>
      </c>
      <c r="D1027" s="9" t="s">
        <v>14</v>
      </c>
      <c r="E1027" s="10">
        <v>125</v>
      </c>
      <c r="F1027" s="10">
        <f t="shared" si="15"/>
        <v>3750</v>
      </c>
    </row>
    <row r="1028" spans="1:6" x14ac:dyDescent="0.25">
      <c r="A1028" s="9"/>
      <c r="B1028" s="12"/>
      <c r="C1028" s="11"/>
      <c r="D1028" s="9"/>
      <c r="F1028" s="8">
        <f>SUM(F1027)</f>
        <v>3750</v>
      </c>
    </row>
    <row r="1029" spans="1:6" x14ac:dyDescent="0.25">
      <c r="A1029" s="9"/>
      <c r="B1029" s="12"/>
      <c r="C1029" s="11"/>
      <c r="D1029" s="9"/>
      <c r="F1029" s="10"/>
    </row>
    <row r="1030" spans="1:6" x14ac:dyDescent="0.25">
      <c r="A1030" s="9" t="s">
        <v>44</v>
      </c>
      <c r="B1030" s="12">
        <v>45705</v>
      </c>
      <c r="C1030" s="11">
        <v>80</v>
      </c>
      <c r="D1030" s="9" t="s">
        <v>14</v>
      </c>
      <c r="E1030" s="10">
        <v>125</v>
      </c>
      <c r="F1030" s="10">
        <f t="shared" si="15"/>
        <v>10000</v>
      </c>
    </row>
    <row r="1031" spans="1:6" x14ac:dyDescent="0.25">
      <c r="A1031" s="9"/>
      <c r="B1031" s="12"/>
      <c r="C1031" s="11"/>
      <c r="D1031" s="9"/>
      <c r="F1031" s="8">
        <f>SUM(F1030)</f>
        <v>10000</v>
      </c>
    </row>
    <row r="1032" spans="1:6" x14ac:dyDescent="0.25">
      <c r="A1032" s="9"/>
      <c r="B1032" s="12"/>
      <c r="C1032" s="11"/>
      <c r="D1032" s="9"/>
      <c r="F1032" s="10"/>
    </row>
    <row r="1033" spans="1:6" x14ac:dyDescent="0.25">
      <c r="A1033" s="9" t="s">
        <v>18</v>
      </c>
      <c r="B1033" s="12">
        <v>45705</v>
      </c>
      <c r="C1033" s="11">
        <v>10</v>
      </c>
      <c r="D1033" s="9" t="s">
        <v>12</v>
      </c>
      <c r="E1033" s="10">
        <v>135</v>
      </c>
      <c r="F1033" s="10">
        <f t="shared" si="15"/>
        <v>1350</v>
      </c>
    </row>
    <row r="1034" spans="1:6" x14ac:dyDescent="0.25">
      <c r="A1034" s="9"/>
      <c r="B1034" s="12"/>
      <c r="C1034" s="11">
        <v>20</v>
      </c>
      <c r="D1034" s="9" t="s">
        <v>14</v>
      </c>
      <c r="E1034" s="10">
        <v>125</v>
      </c>
      <c r="F1034" s="10">
        <f t="shared" si="15"/>
        <v>2500</v>
      </c>
    </row>
    <row r="1035" spans="1:6" x14ac:dyDescent="0.25">
      <c r="A1035" s="9"/>
      <c r="B1035" s="12"/>
      <c r="C1035" s="11"/>
      <c r="D1035" s="9"/>
      <c r="F1035" s="8">
        <f>SUM(F1033:F1034)</f>
        <v>3850</v>
      </c>
    </row>
    <row r="1036" spans="1:6" x14ac:dyDescent="0.25">
      <c r="A1036" s="9"/>
      <c r="B1036" s="12"/>
      <c r="C1036" s="11"/>
      <c r="D1036" s="9"/>
      <c r="F1036" s="10"/>
    </row>
    <row r="1037" spans="1:6" x14ac:dyDescent="0.25">
      <c r="A1037" s="9" t="s">
        <v>138</v>
      </c>
      <c r="B1037" s="12">
        <v>45705</v>
      </c>
      <c r="C1037" s="11">
        <v>30</v>
      </c>
      <c r="D1037" s="9" t="s">
        <v>14</v>
      </c>
      <c r="E1037" s="10">
        <v>130</v>
      </c>
      <c r="F1037" s="10">
        <f t="shared" si="15"/>
        <v>3900</v>
      </c>
    </row>
    <row r="1038" spans="1:6" x14ac:dyDescent="0.25">
      <c r="A1038" s="9"/>
      <c r="B1038" s="12"/>
      <c r="C1038" s="11"/>
      <c r="D1038" s="9"/>
      <c r="F1038" s="8">
        <f>SUM(F1037)</f>
        <v>3900</v>
      </c>
    </row>
    <row r="1039" spans="1:6" x14ac:dyDescent="0.25">
      <c r="A1039" s="9"/>
      <c r="B1039" s="12"/>
      <c r="C1039" s="11"/>
      <c r="D1039" s="9"/>
      <c r="F1039" s="10"/>
    </row>
    <row r="1040" spans="1:6" x14ac:dyDescent="0.25">
      <c r="A1040" s="9" t="s">
        <v>47</v>
      </c>
      <c r="B1040" s="12">
        <v>45705</v>
      </c>
      <c r="C1040" s="11">
        <v>20</v>
      </c>
      <c r="D1040" s="9" t="s">
        <v>14</v>
      </c>
      <c r="E1040" s="10">
        <v>130</v>
      </c>
      <c r="F1040" s="10">
        <f t="shared" si="15"/>
        <v>2600</v>
      </c>
    </row>
    <row r="1041" spans="1:6" x14ac:dyDescent="0.25">
      <c r="A1041" s="9"/>
      <c r="B1041" s="12"/>
      <c r="C1041" s="11"/>
      <c r="D1041" s="9"/>
      <c r="F1041" s="8">
        <f>SUM(F1040)</f>
        <v>2600</v>
      </c>
    </row>
    <row r="1042" spans="1:6" x14ac:dyDescent="0.25">
      <c r="A1042" s="9"/>
      <c r="B1042" s="12"/>
      <c r="C1042" s="11"/>
      <c r="D1042" s="9"/>
      <c r="F1042" s="10"/>
    </row>
    <row r="1043" spans="1:6" x14ac:dyDescent="0.25">
      <c r="A1043" s="9" t="s">
        <v>253</v>
      </c>
      <c r="B1043" s="12">
        <v>45705</v>
      </c>
      <c r="C1043" s="11">
        <v>10</v>
      </c>
      <c r="D1043" s="9" t="s">
        <v>14</v>
      </c>
      <c r="E1043" s="10">
        <v>125</v>
      </c>
      <c r="F1043" s="10">
        <f t="shared" si="15"/>
        <v>1250</v>
      </c>
    </row>
    <row r="1044" spans="1:6" x14ac:dyDescent="0.25">
      <c r="A1044" s="9"/>
      <c r="B1044" s="12"/>
      <c r="C1044" s="11"/>
      <c r="D1044" s="9"/>
      <c r="F1044" s="10">
        <f>SUM(F1043)</f>
        <v>1250</v>
      </c>
    </row>
    <row r="1045" spans="1:6" x14ac:dyDescent="0.25">
      <c r="A1045" s="9"/>
      <c r="B1045" s="12"/>
      <c r="C1045" s="11"/>
      <c r="D1045" s="9"/>
      <c r="F1045" s="10"/>
    </row>
    <row r="1046" spans="1:6" x14ac:dyDescent="0.25">
      <c r="A1046" s="9" t="s">
        <v>245</v>
      </c>
      <c r="B1046" s="12">
        <v>45705</v>
      </c>
      <c r="C1046" s="11">
        <v>120</v>
      </c>
      <c r="D1046" s="9" t="s">
        <v>13</v>
      </c>
      <c r="E1046" s="10">
        <v>140</v>
      </c>
      <c r="F1046" s="10">
        <f t="shared" si="15"/>
        <v>16800</v>
      </c>
    </row>
    <row r="1047" spans="1:6" x14ac:dyDescent="0.25">
      <c r="A1047" s="9"/>
      <c r="B1047" s="12"/>
      <c r="C1047" s="11">
        <v>50</v>
      </c>
      <c r="D1047" s="9" t="s">
        <v>14</v>
      </c>
      <c r="E1047" s="10">
        <v>135</v>
      </c>
      <c r="F1047" s="10">
        <f t="shared" si="15"/>
        <v>6750</v>
      </c>
    </row>
    <row r="1048" spans="1:6" x14ac:dyDescent="0.25">
      <c r="A1048" s="9"/>
      <c r="B1048" s="12"/>
      <c r="C1048" s="11"/>
      <c r="D1048" s="9"/>
      <c r="F1048" s="8">
        <f>SUM(F1046:F1047)</f>
        <v>23550</v>
      </c>
    </row>
    <row r="1049" spans="1:6" x14ac:dyDescent="0.25">
      <c r="A1049" s="9"/>
      <c r="B1049" s="12"/>
      <c r="C1049" s="11"/>
      <c r="D1049" s="9"/>
      <c r="F1049" s="10"/>
    </row>
    <row r="1050" spans="1:6" x14ac:dyDescent="0.25">
      <c r="A1050" s="9" t="s">
        <v>40</v>
      </c>
      <c r="B1050" s="12">
        <v>45705</v>
      </c>
      <c r="C1050" s="11">
        <v>15</v>
      </c>
      <c r="D1050" s="9" t="s">
        <v>14</v>
      </c>
      <c r="E1050" s="10">
        <v>135</v>
      </c>
      <c r="F1050" s="10">
        <f t="shared" ref="F1050:F1112" si="16">+C1050*E1050</f>
        <v>2025</v>
      </c>
    </row>
    <row r="1051" spans="1:6" x14ac:dyDescent="0.25">
      <c r="A1051" s="9"/>
      <c r="B1051" s="12"/>
      <c r="C1051" s="11">
        <v>5</v>
      </c>
      <c r="D1051" s="9" t="s">
        <v>11</v>
      </c>
      <c r="E1051" s="10">
        <v>130</v>
      </c>
      <c r="F1051" s="10">
        <f t="shared" si="16"/>
        <v>650</v>
      </c>
    </row>
    <row r="1052" spans="1:6" x14ac:dyDescent="0.25">
      <c r="A1052" s="9"/>
      <c r="B1052" s="12"/>
      <c r="C1052" s="11"/>
      <c r="D1052" s="9"/>
      <c r="F1052" s="8">
        <f>SUM(F1050:F1051)</f>
        <v>2675</v>
      </c>
    </row>
    <row r="1053" spans="1:6" x14ac:dyDescent="0.25">
      <c r="A1053" s="9"/>
      <c r="B1053" s="12"/>
      <c r="C1053" s="11"/>
      <c r="D1053" s="9"/>
      <c r="F1053" s="10"/>
    </row>
    <row r="1054" spans="1:6" x14ac:dyDescent="0.25">
      <c r="A1054" s="9" t="s">
        <v>27</v>
      </c>
      <c r="B1054" s="12">
        <v>45705</v>
      </c>
      <c r="C1054" s="11">
        <v>5</v>
      </c>
      <c r="D1054" s="9" t="s">
        <v>13</v>
      </c>
      <c r="E1054" s="10">
        <v>150</v>
      </c>
      <c r="F1054" s="10">
        <f t="shared" si="16"/>
        <v>750</v>
      </c>
    </row>
    <row r="1055" spans="1:6" x14ac:dyDescent="0.25">
      <c r="A1055" s="9"/>
      <c r="B1055" s="12"/>
      <c r="C1055" s="11"/>
      <c r="D1055" s="9"/>
      <c r="F1055" s="8">
        <f>SUM(F1054)</f>
        <v>750</v>
      </c>
    </row>
    <row r="1056" spans="1:6" x14ac:dyDescent="0.25">
      <c r="A1056" s="9"/>
      <c r="B1056" s="12"/>
      <c r="C1056" s="11"/>
      <c r="D1056" s="9"/>
      <c r="F1056" s="10"/>
    </row>
    <row r="1057" spans="1:6" x14ac:dyDescent="0.25">
      <c r="A1057" s="9" t="s">
        <v>191</v>
      </c>
      <c r="B1057" s="12">
        <v>45705</v>
      </c>
      <c r="C1057" s="11">
        <v>260</v>
      </c>
      <c r="D1057" s="9" t="s">
        <v>12</v>
      </c>
      <c r="E1057" s="10">
        <v>125</v>
      </c>
      <c r="F1057" s="10">
        <f t="shared" si="16"/>
        <v>32500</v>
      </c>
    </row>
    <row r="1058" spans="1:6" x14ac:dyDescent="0.25">
      <c r="A1058" s="9"/>
      <c r="B1058" s="12"/>
      <c r="C1058" s="11">
        <v>40</v>
      </c>
      <c r="D1058" s="9" t="s">
        <v>22</v>
      </c>
      <c r="E1058" s="10">
        <v>115</v>
      </c>
      <c r="F1058" s="10">
        <f t="shared" si="16"/>
        <v>4600</v>
      </c>
    </row>
    <row r="1059" spans="1:6" x14ac:dyDescent="0.25">
      <c r="A1059" s="9"/>
      <c r="B1059" s="12"/>
      <c r="C1059" s="11"/>
      <c r="D1059" s="9"/>
      <c r="F1059" s="8">
        <f>SUM(F1057:F1058)</f>
        <v>37100</v>
      </c>
    </row>
    <row r="1060" spans="1:6" x14ac:dyDescent="0.25">
      <c r="A1060" s="9"/>
      <c r="B1060" s="12"/>
      <c r="C1060" s="11"/>
      <c r="D1060" s="9"/>
      <c r="F1060" s="10"/>
    </row>
    <row r="1061" spans="1:6" x14ac:dyDescent="0.25">
      <c r="A1061" s="9" t="s">
        <v>53</v>
      </c>
      <c r="B1061" s="12">
        <v>45705</v>
      </c>
      <c r="C1061" s="11"/>
      <c r="D1061" s="9"/>
      <c r="F1061" s="10">
        <f t="shared" si="16"/>
        <v>0</v>
      </c>
    </row>
    <row r="1062" spans="1:6" x14ac:dyDescent="0.25">
      <c r="A1062" s="9"/>
      <c r="B1062" s="12"/>
      <c r="C1062" s="11"/>
      <c r="D1062" s="9"/>
      <c r="F1062" s="10">
        <f t="shared" si="16"/>
        <v>0</v>
      </c>
    </row>
    <row r="1063" spans="1:6" x14ac:dyDescent="0.25">
      <c r="A1063" s="9"/>
      <c r="B1063" s="12"/>
      <c r="C1063" s="11"/>
      <c r="D1063" s="9"/>
      <c r="F1063" s="10">
        <f t="shared" si="16"/>
        <v>0</v>
      </c>
    </row>
    <row r="1064" spans="1:6" x14ac:dyDescent="0.25">
      <c r="A1064" s="9"/>
      <c r="B1064" s="12"/>
      <c r="C1064" s="11"/>
      <c r="D1064" s="9"/>
      <c r="F1064" s="8">
        <f>SUM(F1061:F1063)</f>
        <v>0</v>
      </c>
    </row>
    <row r="1065" spans="1:6" x14ac:dyDescent="0.25">
      <c r="A1065" s="9"/>
      <c r="B1065" s="12"/>
      <c r="C1065" s="11"/>
      <c r="D1065" s="9"/>
      <c r="F1065" s="10"/>
    </row>
    <row r="1066" spans="1:6" x14ac:dyDescent="0.25">
      <c r="A1066" s="9" t="s">
        <v>29</v>
      </c>
      <c r="B1066" s="12">
        <v>45705</v>
      </c>
      <c r="C1066" s="11">
        <v>1</v>
      </c>
      <c r="D1066" s="9" t="s">
        <v>91</v>
      </c>
      <c r="E1066" s="10">
        <v>100</v>
      </c>
      <c r="F1066" s="10">
        <f t="shared" si="16"/>
        <v>100</v>
      </c>
    </row>
    <row r="1067" spans="1:6" x14ac:dyDescent="0.25">
      <c r="A1067" s="9"/>
      <c r="B1067" s="12"/>
      <c r="C1067" s="11"/>
      <c r="D1067" s="9"/>
      <c r="F1067" s="8">
        <f>SUM(F1066)</f>
        <v>100</v>
      </c>
    </row>
    <row r="1068" spans="1:6" x14ac:dyDescent="0.25">
      <c r="A1068" s="9"/>
      <c r="B1068" s="12"/>
      <c r="C1068" s="11"/>
      <c r="D1068" s="9"/>
      <c r="F1068" s="10"/>
    </row>
    <row r="1069" spans="1:6" x14ac:dyDescent="0.25">
      <c r="A1069" s="9" t="s">
        <v>7</v>
      </c>
      <c r="B1069" s="12">
        <v>45705</v>
      </c>
      <c r="C1069" s="11">
        <v>3</v>
      </c>
      <c r="D1069" s="9" t="s">
        <v>14</v>
      </c>
      <c r="E1069" s="10">
        <v>140</v>
      </c>
      <c r="F1069" s="10">
        <f t="shared" si="16"/>
        <v>420</v>
      </c>
    </row>
    <row r="1070" spans="1:6" x14ac:dyDescent="0.25">
      <c r="A1070" s="9"/>
      <c r="B1070" s="12"/>
      <c r="C1070" s="11">
        <v>0.5</v>
      </c>
      <c r="D1070" s="9" t="s">
        <v>8</v>
      </c>
      <c r="E1070" s="10">
        <v>170</v>
      </c>
      <c r="F1070" s="10">
        <f t="shared" si="16"/>
        <v>85</v>
      </c>
    </row>
    <row r="1071" spans="1:6" x14ac:dyDescent="0.25">
      <c r="A1071" s="9"/>
      <c r="B1071" s="12"/>
      <c r="C1071" s="11">
        <v>5</v>
      </c>
      <c r="D1071" s="9" t="s">
        <v>12</v>
      </c>
      <c r="E1071" s="10">
        <v>150</v>
      </c>
      <c r="F1071" s="10">
        <f t="shared" si="16"/>
        <v>750</v>
      </c>
    </row>
    <row r="1072" spans="1:6" x14ac:dyDescent="0.25">
      <c r="A1072" s="9"/>
      <c r="B1072" s="12"/>
      <c r="C1072" s="11">
        <v>4</v>
      </c>
      <c r="D1072" s="9" t="s">
        <v>254</v>
      </c>
      <c r="E1072" s="10">
        <v>155</v>
      </c>
      <c r="F1072" s="10">
        <f t="shared" si="16"/>
        <v>620</v>
      </c>
    </row>
    <row r="1073" spans="1:6" x14ac:dyDescent="0.25">
      <c r="A1073" s="9"/>
      <c r="B1073" s="12"/>
      <c r="C1073" s="11">
        <v>1</v>
      </c>
      <c r="D1073" s="9" t="s">
        <v>8</v>
      </c>
      <c r="E1073" s="10">
        <v>170</v>
      </c>
      <c r="F1073" s="10">
        <f t="shared" si="16"/>
        <v>170</v>
      </c>
    </row>
    <row r="1074" spans="1:6" x14ac:dyDescent="0.25">
      <c r="A1074" s="9"/>
      <c r="B1074" s="12"/>
      <c r="C1074" s="11"/>
      <c r="D1074" s="9"/>
      <c r="F1074" s="8">
        <f>SUM(F1069:F1073)</f>
        <v>2045</v>
      </c>
    </row>
    <row r="1075" spans="1:6" x14ac:dyDescent="0.25">
      <c r="A1075" s="9"/>
      <c r="B1075" s="12"/>
      <c r="C1075" s="11"/>
      <c r="D1075" s="9"/>
      <c r="F1075" s="10"/>
    </row>
    <row r="1076" spans="1:6" x14ac:dyDescent="0.25">
      <c r="A1076" s="9" t="s">
        <v>255</v>
      </c>
      <c r="B1076" s="12">
        <v>45706</v>
      </c>
      <c r="C1076" s="11">
        <v>90</v>
      </c>
      <c r="D1076" s="9" t="s">
        <v>8</v>
      </c>
      <c r="E1076" s="10">
        <v>160</v>
      </c>
      <c r="F1076" s="10">
        <f t="shared" si="16"/>
        <v>14400</v>
      </c>
    </row>
    <row r="1077" spans="1:6" x14ac:dyDescent="0.25">
      <c r="A1077" s="9"/>
      <c r="B1077" s="12"/>
      <c r="C1077" s="11">
        <v>40</v>
      </c>
      <c r="D1077" s="9" t="s">
        <v>13</v>
      </c>
      <c r="E1077" s="10">
        <v>145</v>
      </c>
      <c r="F1077" s="10">
        <f t="shared" si="16"/>
        <v>5800</v>
      </c>
    </row>
    <row r="1078" spans="1:6" x14ac:dyDescent="0.25">
      <c r="A1078" s="9"/>
      <c r="B1078" s="12"/>
      <c r="C1078" s="11"/>
      <c r="D1078" s="9"/>
      <c r="F1078" s="8">
        <f>SUM(F1076:F1077)</f>
        <v>20200</v>
      </c>
    </row>
    <row r="1079" spans="1:6" x14ac:dyDescent="0.25">
      <c r="A1079" s="9"/>
      <c r="B1079" s="12"/>
      <c r="C1079" s="11"/>
      <c r="D1079" s="9"/>
      <c r="F1079" s="10"/>
    </row>
    <row r="1080" spans="1:6" x14ac:dyDescent="0.25">
      <c r="A1080" s="9" t="s">
        <v>61</v>
      </c>
      <c r="B1080" s="12">
        <v>45706</v>
      </c>
      <c r="C1080" s="11">
        <v>60</v>
      </c>
      <c r="D1080" s="9" t="s">
        <v>13</v>
      </c>
      <c r="E1080" s="10">
        <v>145</v>
      </c>
      <c r="F1080" s="10">
        <f t="shared" si="16"/>
        <v>8700</v>
      </c>
    </row>
    <row r="1081" spans="1:6" x14ac:dyDescent="0.25">
      <c r="A1081" s="9"/>
      <c r="B1081" s="12"/>
      <c r="C1081" s="11"/>
      <c r="D1081" s="9"/>
      <c r="F1081" s="8">
        <f>SUM(F1080)</f>
        <v>8700</v>
      </c>
    </row>
    <row r="1082" spans="1:6" x14ac:dyDescent="0.25">
      <c r="A1082" s="9"/>
      <c r="B1082" s="12"/>
      <c r="C1082" s="11"/>
      <c r="D1082" s="9"/>
      <c r="F1082" s="10"/>
    </row>
    <row r="1083" spans="1:6" x14ac:dyDescent="0.25">
      <c r="A1083" s="9" t="s">
        <v>60</v>
      </c>
      <c r="B1083" s="12">
        <v>45706</v>
      </c>
      <c r="C1083" s="11">
        <v>30</v>
      </c>
      <c r="D1083" s="9" t="s">
        <v>13</v>
      </c>
      <c r="E1083" s="10">
        <v>145</v>
      </c>
      <c r="F1083" s="10">
        <f t="shared" si="16"/>
        <v>4350</v>
      </c>
    </row>
    <row r="1084" spans="1:6" x14ac:dyDescent="0.25">
      <c r="A1084" s="9"/>
      <c r="B1084" s="12"/>
      <c r="C1084" s="11"/>
      <c r="D1084" s="9"/>
      <c r="F1084" s="8">
        <f>SUM(F1083)</f>
        <v>4350</v>
      </c>
    </row>
    <row r="1085" spans="1:6" x14ac:dyDescent="0.25">
      <c r="A1085" s="9"/>
      <c r="B1085" s="12"/>
      <c r="C1085" s="11"/>
      <c r="D1085" s="9"/>
      <c r="F1085" s="10"/>
    </row>
    <row r="1086" spans="1:6" x14ac:dyDescent="0.25">
      <c r="A1086" s="9" t="s">
        <v>127</v>
      </c>
      <c r="B1086" s="12">
        <v>45706</v>
      </c>
      <c r="C1086" s="11">
        <v>30</v>
      </c>
      <c r="D1086" s="9" t="s">
        <v>13</v>
      </c>
      <c r="E1086" s="10">
        <v>145</v>
      </c>
      <c r="F1086" s="10">
        <f t="shared" si="16"/>
        <v>4350</v>
      </c>
    </row>
    <row r="1087" spans="1:6" x14ac:dyDescent="0.25">
      <c r="A1087" s="9"/>
      <c r="B1087" s="12"/>
      <c r="C1087" s="11"/>
      <c r="D1087" s="9"/>
      <c r="F1087" s="8">
        <f>SUM(F1086)</f>
        <v>4350</v>
      </c>
    </row>
    <row r="1088" spans="1:6" x14ac:dyDescent="0.25">
      <c r="A1088" s="9"/>
      <c r="B1088" s="12"/>
      <c r="C1088" s="11"/>
      <c r="D1088" s="9"/>
      <c r="F1088" s="10"/>
    </row>
    <row r="1089" spans="1:6" x14ac:dyDescent="0.25">
      <c r="A1089" s="9" t="s">
        <v>151</v>
      </c>
      <c r="B1089" s="12">
        <v>45706</v>
      </c>
      <c r="C1089" s="11">
        <v>100</v>
      </c>
      <c r="D1089" s="9" t="s">
        <v>13</v>
      </c>
      <c r="E1089" s="10">
        <v>135</v>
      </c>
      <c r="F1089" s="10">
        <f t="shared" si="16"/>
        <v>13500</v>
      </c>
    </row>
    <row r="1090" spans="1:6" x14ac:dyDescent="0.25">
      <c r="A1090" s="9"/>
      <c r="B1090" s="12"/>
      <c r="C1090" s="11">
        <v>30</v>
      </c>
      <c r="D1090" s="9" t="s">
        <v>12</v>
      </c>
      <c r="E1090" s="10">
        <v>125</v>
      </c>
      <c r="F1090" s="10">
        <f t="shared" si="16"/>
        <v>3750</v>
      </c>
    </row>
    <row r="1091" spans="1:6" x14ac:dyDescent="0.25">
      <c r="A1091" s="9"/>
      <c r="B1091" s="12"/>
      <c r="C1091" s="11"/>
      <c r="D1091" s="9"/>
      <c r="F1091" s="8">
        <f>SUM(F1089:F1090)</f>
        <v>17250</v>
      </c>
    </row>
    <row r="1092" spans="1:6" x14ac:dyDescent="0.25">
      <c r="A1092" s="9"/>
      <c r="B1092" s="12"/>
      <c r="C1092" s="11"/>
      <c r="D1092" s="9"/>
      <c r="F1092" s="10"/>
    </row>
    <row r="1093" spans="1:6" x14ac:dyDescent="0.25">
      <c r="A1093" s="9" t="s">
        <v>26</v>
      </c>
      <c r="B1093" s="12">
        <v>45706</v>
      </c>
      <c r="C1093" s="11">
        <v>60</v>
      </c>
      <c r="D1093" s="9" t="s">
        <v>13</v>
      </c>
      <c r="E1093" s="10">
        <v>140</v>
      </c>
      <c r="F1093" s="10">
        <f t="shared" si="16"/>
        <v>8400</v>
      </c>
    </row>
    <row r="1094" spans="1:6" x14ac:dyDescent="0.25">
      <c r="A1094" s="9"/>
      <c r="B1094" s="12"/>
      <c r="C1094" s="11">
        <v>10</v>
      </c>
      <c r="D1094" s="9" t="s">
        <v>14</v>
      </c>
      <c r="E1094" s="10">
        <v>135</v>
      </c>
      <c r="F1094" s="10">
        <f t="shared" si="16"/>
        <v>1350</v>
      </c>
    </row>
    <row r="1095" spans="1:6" x14ac:dyDescent="0.25">
      <c r="A1095" s="9"/>
      <c r="B1095" s="12"/>
      <c r="C1095" s="11"/>
      <c r="D1095" s="9"/>
      <c r="F1095" s="8">
        <f>SUM(F1093:F1094)</f>
        <v>9750</v>
      </c>
    </row>
    <row r="1096" spans="1:6" x14ac:dyDescent="0.25">
      <c r="A1096" s="9"/>
      <c r="B1096" s="12"/>
      <c r="C1096" s="11"/>
      <c r="D1096" s="9"/>
      <c r="F1096" s="10"/>
    </row>
    <row r="1097" spans="1:6" x14ac:dyDescent="0.25">
      <c r="A1097" s="9" t="s">
        <v>53</v>
      </c>
      <c r="B1097" s="12">
        <v>45706</v>
      </c>
      <c r="C1097" s="11">
        <v>100</v>
      </c>
      <c r="D1097" s="9" t="s">
        <v>13</v>
      </c>
      <c r="E1097" s="10">
        <v>140</v>
      </c>
      <c r="F1097" s="10">
        <f t="shared" si="16"/>
        <v>14000</v>
      </c>
    </row>
    <row r="1098" spans="1:6" x14ac:dyDescent="0.25">
      <c r="A1098" s="9"/>
      <c r="B1098" s="12"/>
      <c r="C1098" s="11">
        <v>40</v>
      </c>
      <c r="D1098" s="9" t="s">
        <v>8</v>
      </c>
      <c r="E1098" s="10">
        <v>150</v>
      </c>
      <c r="F1098" s="10">
        <f t="shared" si="16"/>
        <v>6000</v>
      </c>
    </row>
    <row r="1099" spans="1:6" x14ac:dyDescent="0.25">
      <c r="A1099" s="9"/>
      <c r="B1099" s="12"/>
      <c r="C1099" s="11">
        <v>26</v>
      </c>
      <c r="D1099" s="9" t="s">
        <v>12</v>
      </c>
      <c r="E1099" s="10">
        <v>135</v>
      </c>
      <c r="F1099" s="10">
        <f t="shared" si="16"/>
        <v>3510</v>
      </c>
    </row>
    <row r="1100" spans="1:6" x14ac:dyDescent="0.25">
      <c r="A1100" s="9"/>
      <c r="B1100" s="12"/>
      <c r="C1100" s="11">
        <v>22</v>
      </c>
      <c r="D1100" s="9" t="s">
        <v>13</v>
      </c>
      <c r="E1100" s="10">
        <v>145</v>
      </c>
      <c r="F1100" s="10">
        <f t="shared" si="16"/>
        <v>3190</v>
      </c>
    </row>
    <row r="1101" spans="1:6" x14ac:dyDescent="0.25">
      <c r="A1101" s="9"/>
      <c r="B1101" s="12"/>
      <c r="C1101" s="11"/>
      <c r="D1101" s="9"/>
      <c r="F1101" s="8">
        <f>SUM(F1097:F1100)</f>
        <v>26700</v>
      </c>
    </row>
    <row r="1102" spans="1:6" x14ac:dyDescent="0.25">
      <c r="A1102" s="9"/>
      <c r="B1102" s="12"/>
      <c r="C1102" s="11"/>
      <c r="D1102" s="9"/>
      <c r="F1102" s="10"/>
    </row>
    <row r="1103" spans="1:6" x14ac:dyDescent="0.25">
      <c r="A1103" s="9" t="s">
        <v>15</v>
      </c>
      <c r="B1103" s="12">
        <v>45706</v>
      </c>
      <c r="C1103" s="11">
        <v>70</v>
      </c>
      <c r="D1103" s="9" t="s">
        <v>36</v>
      </c>
      <c r="E1103" s="10">
        <v>85</v>
      </c>
      <c r="F1103" s="10">
        <f t="shared" si="16"/>
        <v>5950</v>
      </c>
    </row>
    <row r="1104" spans="1:6" x14ac:dyDescent="0.25">
      <c r="A1104" s="9"/>
      <c r="B1104" s="12"/>
      <c r="C1104" s="11"/>
      <c r="D1104" s="9"/>
      <c r="F1104" s="8">
        <f>SUM(F1103)</f>
        <v>5950</v>
      </c>
    </row>
    <row r="1105" spans="1:6" x14ac:dyDescent="0.25">
      <c r="A1105" s="9"/>
      <c r="B1105" s="12"/>
      <c r="C1105" s="11"/>
      <c r="D1105" s="9"/>
      <c r="F1105" s="10"/>
    </row>
    <row r="1106" spans="1:6" x14ac:dyDescent="0.25">
      <c r="A1106" s="9" t="s">
        <v>56</v>
      </c>
      <c r="B1106" s="12">
        <v>45706</v>
      </c>
      <c r="C1106" s="11">
        <v>10</v>
      </c>
      <c r="D1106" s="9" t="s">
        <v>36</v>
      </c>
      <c r="E1106" s="10">
        <v>100</v>
      </c>
      <c r="F1106" s="10">
        <f t="shared" si="16"/>
        <v>1000</v>
      </c>
    </row>
    <row r="1107" spans="1:6" x14ac:dyDescent="0.25">
      <c r="A1107" s="9"/>
      <c r="B1107" s="12"/>
      <c r="C1107" s="11"/>
      <c r="D1107" s="9"/>
      <c r="F1107" s="8">
        <f>SUM(F1106)</f>
        <v>1000</v>
      </c>
    </row>
    <row r="1108" spans="1:6" x14ac:dyDescent="0.25">
      <c r="A1108" s="9"/>
      <c r="B1108" s="12"/>
      <c r="C1108" s="11"/>
      <c r="D1108" s="9"/>
      <c r="F1108" s="10"/>
    </row>
    <row r="1109" spans="1:6" x14ac:dyDescent="0.25">
      <c r="A1109" s="9" t="s">
        <v>40</v>
      </c>
      <c r="B1109" s="12">
        <v>45706</v>
      </c>
      <c r="C1109" s="11">
        <v>20</v>
      </c>
      <c r="D1109" s="9" t="s">
        <v>13</v>
      </c>
      <c r="E1109" s="10">
        <v>140</v>
      </c>
      <c r="F1109" s="10">
        <f t="shared" si="16"/>
        <v>2800</v>
      </c>
    </row>
    <row r="1110" spans="1:6" x14ac:dyDescent="0.25">
      <c r="A1110" s="9"/>
      <c r="B1110" s="12"/>
      <c r="C1110" s="11">
        <v>14</v>
      </c>
      <c r="D1110" s="9" t="s">
        <v>12</v>
      </c>
      <c r="E1110" s="10">
        <v>130</v>
      </c>
      <c r="F1110" s="10">
        <f t="shared" si="16"/>
        <v>1820</v>
      </c>
    </row>
    <row r="1111" spans="1:6" x14ac:dyDescent="0.25">
      <c r="A1111" s="9"/>
      <c r="B1111" s="12"/>
      <c r="C1111" s="11">
        <v>10</v>
      </c>
      <c r="D1111" s="9" t="s">
        <v>11</v>
      </c>
      <c r="E1111" s="10">
        <v>125</v>
      </c>
      <c r="F1111" s="10">
        <f t="shared" si="16"/>
        <v>1250</v>
      </c>
    </row>
    <row r="1112" spans="1:6" x14ac:dyDescent="0.25">
      <c r="A1112" s="9"/>
      <c r="B1112" s="12"/>
      <c r="C1112" s="11">
        <v>5</v>
      </c>
      <c r="D1112" s="9" t="s">
        <v>14</v>
      </c>
      <c r="E1112" s="10">
        <v>130</v>
      </c>
      <c r="F1112" s="10">
        <f t="shared" si="16"/>
        <v>650</v>
      </c>
    </row>
    <row r="1113" spans="1:6" x14ac:dyDescent="0.25">
      <c r="A1113" s="9"/>
      <c r="B1113" s="12"/>
      <c r="C1113" s="11"/>
      <c r="D1113" s="9"/>
      <c r="F1113" s="8">
        <f>SUM(F1109:F1112)</f>
        <v>6520</v>
      </c>
    </row>
    <row r="1114" spans="1:6" x14ac:dyDescent="0.25">
      <c r="A1114" s="9"/>
      <c r="B1114" s="12"/>
      <c r="C1114" s="11"/>
      <c r="D1114" s="9"/>
      <c r="F1114" s="10"/>
    </row>
    <row r="1115" spans="1:6" x14ac:dyDescent="0.25">
      <c r="A1115" s="9" t="s">
        <v>148</v>
      </c>
      <c r="B1115" s="12">
        <v>45706</v>
      </c>
      <c r="C1115" s="11">
        <v>10</v>
      </c>
      <c r="D1115" s="9" t="s">
        <v>13</v>
      </c>
      <c r="E1115" s="10">
        <v>140</v>
      </c>
      <c r="F1115" s="10">
        <f t="shared" ref="F1115:F1176" si="17">+C1115*E1115</f>
        <v>1400</v>
      </c>
    </row>
    <row r="1116" spans="1:6" x14ac:dyDescent="0.25">
      <c r="A1116" s="9"/>
      <c r="B1116" s="12"/>
      <c r="C1116" s="11">
        <v>5</v>
      </c>
      <c r="D1116" s="9" t="s">
        <v>14</v>
      </c>
      <c r="E1116" s="10">
        <v>130</v>
      </c>
      <c r="F1116" s="10">
        <f t="shared" si="17"/>
        <v>650</v>
      </c>
    </row>
    <row r="1117" spans="1:6" x14ac:dyDescent="0.25">
      <c r="A1117" s="9"/>
      <c r="B1117" s="12"/>
      <c r="C1117" s="11"/>
      <c r="D1117" s="9"/>
      <c r="F1117" s="8">
        <f>SUM(F1115:F1116)</f>
        <v>2050</v>
      </c>
    </row>
    <row r="1118" spans="1:6" x14ac:dyDescent="0.25">
      <c r="A1118" s="9"/>
      <c r="B1118" s="12"/>
      <c r="C1118" s="11"/>
      <c r="D1118" s="9"/>
      <c r="F1118" s="10"/>
    </row>
    <row r="1119" spans="1:6" x14ac:dyDescent="0.25">
      <c r="A1119" s="9" t="s">
        <v>21</v>
      </c>
      <c r="B1119" s="12">
        <v>45706</v>
      </c>
      <c r="C1119" s="11">
        <v>20</v>
      </c>
      <c r="D1119" s="9" t="s">
        <v>13</v>
      </c>
      <c r="E1119" s="10">
        <v>140</v>
      </c>
      <c r="F1119" s="10">
        <f t="shared" si="17"/>
        <v>2800</v>
      </c>
    </row>
    <row r="1120" spans="1:6" x14ac:dyDescent="0.25">
      <c r="A1120" s="9"/>
      <c r="B1120" s="12"/>
      <c r="C1120" s="11">
        <v>20</v>
      </c>
      <c r="D1120" s="9" t="s">
        <v>12</v>
      </c>
      <c r="E1120" s="10">
        <v>130</v>
      </c>
      <c r="F1120" s="10">
        <f t="shared" si="17"/>
        <v>2600</v>
      </c>
    </row>
    <row r="1121" spans="1:6" x14ac:dyDescent="0.25">
      <c r="A1121" s="9"/>
      <c r="B1121" s="12"/>
      <c r="C1121" s="11">
        <v>20</v>
      </c>
      <c r="D1121" s="9" t="s">
        <v>11</v>
      </c>
      <c r="E1121" s="10">
        <v>125</v>
      </c>
      <c r="F1121" s="10">
        <f t="shared" si="17"/>
        <v>2500</v>
      </c>
    </row>
    <row r="1122" spans="1:6" x14ac:dyDescent="0.25">
      <c r="A1122" s="9"/>
      <c r="B1122" s="12"/>
      <c r="C1122" s="11"/>
      <c r="D1122" s="9"/>
      <c r="F1122" s="8">
        <f>SUM(F1119:F1121)</f>
        <v>7900</v>
      </c>
    </row>
    <row r="1123" spans="1:6" x14ac:dyDescent="0.25">
      <c r="A1123" s="9"/>
      <c r="B1123" s="12"/>
      <c r="C1123" s="11"/>
      <c r="D1123" s="9"/>
      <c r="F1123" s="10"/>
    </row>
    <row r="1124" spans="1:6" x14ac:dyDescent="0.25">
      <c r="A1124" s="9" t="s">
        <v>157</v>
      </c>
      <c r="B1124" s="12">
        <v>45706</v>
      </c>
      <c r="C1124" s="11">
        <v>10</v>
      </c>
      <c r="D1124" s="9" t="s">
        <v>13</v>
      </c>
      <c r="E1124" s="10">
        <v>140</v>
      </c>
      <c r="F1124" s="10">
        <f t="shared" si="17"/>
        <v>1400</v>
      </c>
    </row>
    <row r="1125" spans="1:6" x14ac:dyDescent="0.25">
      <c r="A1125" s="9"/>
      <c r="B1125" s="12"/>
      <c r="C1125" s="11"/>
      <c r="D1125" s="9"/>
      <c r="F1125" s="8">
        <f>SUM(F1124)</f>
        <v>1400</v>
      </c>
    </row>
    <row r="1126" spans="1:6" x14ac:dyDescent="0.25">
      <c r="A1126" s="9"/>
      <c r="B1126" s="12"/>
      <c r="C1126" s="11"/>
      <c r="D1126" s="9"/>
      <c r="F1126" s="10"/>
    </row>
    <row r="1127" spans="1:6" x14ac:dyDescent="0.25">
      <c r="A1127" s="9" t="s">
        <v>23</v>
      </c>
      <c r="B1127" s="12">
        <v>45706</v>
      </c>
      <c r="C1127" s="11">
        <v>12</v>
      </c>
      <c r="D1127" s="9" t="s">
        <v>13</v>
      </c>
      <c r="E1127" s="10">
        <v>140</v>
      </c>
      <c r="F1127" s="10">
        <f t="shared" si="17"/>
        <v>1680</v>
      </c>
    </row>
    <row r="1128" spans="1:6" x14ac:dyDescent="0.25">
      <c r="A1128" s="9"/>
      <c r="B1128" s="12"/>
      <c r="C1128" s="11">
        <v>12</v>
      </c>
      <c r="D1128" s="9" t="s">
        <v>12</v>
      </c>
      <c r="E1128" s="10">
        <v>130</v>
      </c>
      <c r="F1128" s="10">
        <f t="shared" si="17"/>
        <v>1560</v>
      </c>
    </row>
    <row r="1129" spans="1:6" x14ac:dyDescent="0.25">
      <c r="A1129" s="9"/>
      <c r="B1129" s="12"/>
      <c r="C1129" s="11">
        <v>12</v>
      </c>
      <c r="D1129" s="9" t="s">
        <v>14</v>
      </c>
      <c r="E1129" s="10">
        <v>130</v>
      </c>
      <c r="F1129" s="10">
        <f t="shared" si="17"/>
        <v>1560</v>
      </c>
    </row>
    <row r="1130" spans="1:6" x14ac:dyDescent="0.25">
      <c r="A1130" s="9"/>
      <c r="B1130" s="12"/>
      <c r="C1130" s="11">
        <v>12</v>
      </c>
      <c r="D1130" s="9" t="s">
        <v>256</v>
      </c>
      <c r="E1130" s="10">
        <v>125</v>
      </c>
      <c r="F1130" s="10">
        <f t="shared" si="17"/>
        <v>1500</v>
      </c>
    </row>
    <row r="1131" spans="1:6" x14ac:dyDescent="0.25">
      <c r="A1131" s="9"/>
      <c r="B1131" s="12"/>
      <c r="C1131" s="11">
        <v>12</v>
      </c>
      <c r="D1131" s="9" t="s">
        <v>257</v>
      </c>
      <c r="E1131" s="10">
        <v>120</v>
      </c>
      <c r="F1131" s="10">
        <f t="shared" si="17"/>
        <v>1440</v>
      </c>
    </row>
    <row r="1132" spans="1:6" x14ac:dyDescent="0.25">
      <c r="A1132" s="9"/>
      <c r="B1132" s="12"/>
      <c r="C1132" s="11"/>
      <c r="D1132" s="9"/>
      <c r="F1132" s="8">
        <f>SUM(F1127:F1131)</f>
        <v>7740</v>
      </c>
    </row>
    <row r="1133" spans="1:6" x14ac:dyDescent="0.25">
      <c r="A1133" s="9"/>
      <c r="B1133" s="12"/>
      <c r="C1133" s="11"/>
      <c r="D1133" s="9"/>
      <c r="F1133" s="10"/>
    </row>
    <row r="1134" spans="1:6" x14ac:dyDescent="0.25">
      <c r="A1134" s="9" t="s">
        <v>79</v>
      </c>
      <c r="B1134" s="12">
        <v>45706</v>
      </c>
      <c r="C1134" s="11">
        <v>20</v>
      </c>
      <c r="D1134" s="9" t="s">
        <v>13</v>
      </c>
      <c r="E1134" s="10">
        <v>140</v>
      </c>
      <c r="F1134" s="10">
        <f t="shared" si="17"/>
        <v>2800</v>
      </c>
    </row>
    <row r="1135" spans="1:6" x14ac:dyDescent="0.25">
      <c r="A1135" s="9"/>
      <c r="B1135" s="12"/>
      <c r="C1135" s="11"/>
      <c r="D1135" s="9"/>
      <c r="F1135" s="8">
        <f>SUM(F1134)</f>
        <v>2800</v>
      </c>
    </row>
    <row r="1136" spans="1:6" x14ac:dyDescent="0.25">
      <c r="A1136" s="9"/>
      <c r="B1136" s="12"/>
      <c r="C1136" s="11"/>
      <c r="D1136" s="9"/>
      <c r="F1136" s="10"/>
    </row>
    <row r="1137" spans="1:6" x14ac:dyDescent="0.25">
      <c r="A1137" s="9" t="s">
        <v>51</v>
      </c>
      <c r="B1137" s="12">
        <v>45706</v>
      </c>
      <c r="C1137" s="11">
        <v>265</v>
      </c>
      <c r="D1137" s="9" t="s">
        <v>13</v>
      </c>
      <c r="E1137" s="10">
        <v>120</v>
      </c>
      <c r="F1137" s="10">
        <f t="shared" si="17"/>
        <v>31800</v>
      </c>
    </row>
    <row r="1138" spans="1:6" x14ac:dyDescent="0.25">
      <c r="A1138" s="9"/>
      <c r="B1138" s="12"/>
      <c r="C1138" s="11">
        <v>48</v>
      </c>
      <c r="D1138" s="9" t="s">
        <v>258</v>
      </c>
      <c r="E1138" s="10">
        <v>115</v>
      </c>
      <c r="F1138" s="10">
        <f t="shared" si="17"/>
        <v>5520</v>
      </c>
    </row>
    <row r="1139" spans="1:6" x14ac:dyDescent="0.25">
      <c r="A1139" s="9"/>
      <c r="B1139" s="12"/>
      <c r="C1139" s="11"/>
      <c r="D1139" s="9"/>
      <c r="F1139" s="8">
        <f>SUM(F1137:F1138)</f>
        <v>37320</v>
      </c>
    </row>
    <row r="1140" spans="1:6" x14ac:dyDescent="0.25">
      <c r="A1140" s="9"/>
      <c r="B1140" s="12"/>
      <c r="C1140" s="11"/>
      <c r="D1140" s="9"/>
      <c r="F1140" s="10"/>
    </row>
    <row r="1141" spans="1:6" x14ac:dyDescent="0.25">
      <c r="A1141" s="9" t="s">
        <v>259</v>
      </c>
      <c r="B1141" s="12">
        <v>45706</v>
      </c>
      <c r="C1141" s="11">
        <v>80</v>
      </c>
      <c r="D1141" s="9" t="s">
        <v>36</v>
      </c>
      <c r="E1141" s="10">
        <v>85</v>
      </c>
      <c r="F1141" s="10">
        <f t="shared" si="17"/>
        <v>6800</v>
      </c>
    </row>
    <row r="1142" spans="1:6" x14ac:dyDescent="0.25">
      <c r="A1142" s="9"/>
      <c r="B1142" s="12"/>
      <c r="C1142" s="11"/>
      <c r="D1142" s="9"/>
      <c r="F1142" s="8">
        <f>SUM(F1141)</f>
        <v>6800</v>
      </c>
    </row>
    <row r="1143" spans="1:6" x14ac:dyDescent="0.25">
      <c r="A1143" s="9"/>
      <c r="B1143" s="12"/>
      <c r="C1143" s="11"/>
      <c r="D1143" s="9"/>
      <c r="F1143" s="10"/>
    </row>
    <row r="1144" spans="1:6" x14ac:dyDescent="0.25">
      <c r="A1144" s="9" t="s">
        <v>48</v>
      </c>
      <c r="B1144" s="12">
        <v>45706</v>
      </c>
      <c r="C1144" s="11">
        <v>300</v>
      </c>
      <c r="D1144" s="9" t="s">
        <v>14</v>
      </c>
      <c r="F1144" s="10">
        <f t="shared" si="17"/>
        <v>0</v>
      </c>
    </row>
    <row r="1145" spans="1:6" x14ac:dyDescent="0.25">
      <c r="A1145" s="9"/>
      <c r="B1145" s="12"/>
      <c r="C1145" s="11">
        <v>100</v>
      </c>
      <c r="D1145" s="9" t="s">
        <v>11</v>
      </c>
      <c r="F1145" s="10">
        <f t="shared" si="17"/>
        <v>0</v>
      </c>
    </row>
    <row r="1146" spans="1:6" x14ac:dyDescent="0.25">
      <c r="A1146" s="9"/>
      <c r="B1146" s="12"/>
      <c r="C1146" s="11">
        <v>91</v>
      </c>
      <c r="D1146" s="9" t="s">
        <v>49</v>
      </c>
      <c r="F1146" s="10">
        <f t="shared" si="17"/>
        <v>0</v>
      </c>
    </row>
    <row r="1147" spans="1:6" x14ac:dyDescent="0.25">
      <c r="A1147" s="9"/>
      <c r="B1147" s="12"/>
      <c r="C1147" s="11">
        <v>41</v>
      </c>
      <c r="D1147" s="9" t="s">
        <v>22</v>
      </c>
      <c r="F1147" s="10">
        <f t="shared" si="17"/>
        <v>0</v>
      </c>
    </row>
    <row r="1148" spans="1:6" x14ac:dyDescent="0.25">
      <c r="A1148" s="9"/>
      <c r="B1148" s="12"/>
      <c r="C1148" s="11">
        <v>31</v>
      </c>
      <c r="D1148" s="9" t="s">
        <v>50</v>
      </c>
      <c r="F1148" s="10">
        <f t="shared" si="17"/>
        <v>0</v>
      </c>
    </row>
    <row r="1149" spans="1:6" x14ac:dyDescent="0.25">
      <c r="A1149" s="9"/>
      <c r="B1149" s="12"/>
      <c r="C1149" s="11"/>
      <c r="D1149" s="9"/>
      <c r="F1149" s="8">
        <f>SUM(F1144:F1148)</f>
        <v>0</v>
      </c>
    </row>
    <row r="1150" spans="1:6" x14ac:dyDescent="0.25">
      <c r="A1150" s="9"/>
      <c r="B1150" s="12"/>
      <c r="C1150" s="11"/>
      <c r="D1150" s="9"/>
      <c r="F1150" s="10"/>
    </row>
    <row r="1151" spans="1:6" x14ac:dyDescent="0.25">
      <c r="A1151" s="9" t="s">
        <v>151</v>
      </c>
      <c r="B1151" s="12">
        <v>45706</v>
      </c>
      <c r="C1151" s="11">
        <v>60</v>
      </c>
      <c r="D1151" s="9" t="s">
        <v>14</v>
      </c>
      <c r="E1151" s="10">
        <v>125</v>
      </c>
      <c r="F1151" s="10">
        <f t="shared" si="17"/>
        <v>7500</v>
      </c>
    </row>
    <row r="1152" spans="1:6" x14ac:dyDescent="0.25">
      <c r="A1152" s="9"/>
      <c r="B1152" s="12"/>
      <c r="C1152" s="11">
        <v>50</v>
      </c>
      <c r="D1152" s="9" t="s">
        <v>12</v>
      </c>
      <c r="E1152" s="10">
        <v>125</v>
      </c>
      <c r="F1152" s="10">
        <f t="shared" si="17"/>
        <v>6250</v>
      </c>
    </row>
    <row r="1153" spans="1:6" x14ac:dyDescent="0.25">
      <c r="A1153" s="9"/>
      <c r="B1153" s="12"/>
      <c r="C1153" s="11">
        <v>20</v>
      </c>
      <c r="D1153" s="9" t="s">
        <v>11</v>
      </c>
      <c r="E1153" s="10">
        <v>120</v>
      </c>
      <c r="F1153" s="10">
        <f t="shared" si="17"/>
        <v>2400</v>
      </c>
    </row>
    <row r="1154" spans="1:6" x14ac:dyDescent="0.25">
      <c r="A1154" s="9"/>
      <c r="B1154" s="12"/>
      <c r="C1154" s="11"/>
      <c r="D1154" s="9"/>
      <c r="F1154" s="8">
        <f>SUM(F1151:F1153)</f>
        <v>16150</v>
      </c>
    </row>
    <row r="1155" spans="1:6" x14ac:dyDescent="0.25">
      <c r="A1155" s="9"/>
      <c r="B1155" s="12"/>
      <c r="C1155" s="11"/>
      <c r="D1155" s="9"/>
      <c r="F1155" s="10"/>
    </row>
    <row r="1156" spans="1:6" x14ac:dyDescent="0.25">
      <c r="A1156" s="9" t="s">
        <v>181</v>
      </c>
      <c r="B1156" s="12">
        <v>45706</v>
      </c>
      <c r="C1156" s="11">
        <v>1</v>
      </c>
      <c r="D1156" s="9" t="s">
        <v>8</v>
      </c>
      <c r="E1156" s="10">
        <v>170</v>
      </c>
      <c r="F1156" s="10">
        <f t="shared" si="17"/>
        <v>170</v>
      </c>
    </row>
    <row r="1157" spans="1:6" x14ac:dyDescent="0.25">
      <c r="A1157" s="9"/>
      <c r="B1157" s="12"/>
      <c r="C1157" s="11"/>
      <c r="D1157" s="9"/>
      <c r="F1157" s="8">
        <f>SUM(F1156)</f>
        <v>170</v>
      </c>
    </row>
    <row r="1158" spans="1:6" x14ac:dyDescent="0.25">
      <c r="A1158" s="9"/>
      <c r="B1158" s="12"/>
      <c r="C1158" s="11"/>
      <c r="D1158" s="9"/>
      <c r="F1158" s="10"/>
    </row>
    <row r="1159" spans="1:6" x14ac:dyDescent="0.25">
      <c r="A1159" s="9" t="s">
        <v>260</v>
      </c>
      <c r="B1159" s="12">
        <v>45707</v>
      </c>
      <c r="C1159" s="11">
        <v>10</v>
      </c>
      <c r="D1159" s="9" t="s">
        <v>13</v>
      </c>
      <c r="E1159" s="10">
        <v>145</v>
      </c>
      <c r="F1159" s="10">
        <f t="shared" si="17"/>
        <v>1450</v>
      </c>
    </row>
    <row r="1160" spans="1:6" x14ac:dyDescent="0.25">
      <c r="A1160" s="9"/>
      <c r="B1160" s="12"/>
      <c r="C1160" s="11"/>
      <c r="D1160" s="9"/>
      <c r="F1160" s="8">
        <f>SUM(F1159)</f>
        <v>1450</v>
      </c>
    </row>
    <row r="1161" spans="1:6" x14ac:dyDescent="0.25">
      <c r="A1161" s="9"/>
      <c r="B1161" s="12"/>
      <c r="C1161" s="11"/>
      <c r="D1161" s="9"/>
      <c r="F1161" s="10"/>
    </row>
    <row r="1162" spans="1:6" x14ac:dyDescent="0.25">
      <c r="A1162" s="9" t="s">
        <v>15</v>
      </c>
      <c r="B1162" s="12">
        <v>45707</v>
      </c>
      <c r="C1162" s="11">
        <v>29</v>
      </c>
      <c r="D1162" s="9" t="s">
        <v>36</v>
      </c>
      <c r="E1162" s="10">
        <v>85</v>
      </c>
      <c r="F1162" s="10">
        <f t="shared" si="17"/>
        <v>2465</v>
      </c>
    </row>
    <row r="1163" spans="1:6" x14ac:dyDescent="0.25">
      <c r="A1163" s="9"/>
      <c r="B1163" s="12"/>
      <c r="C1163" s="11"/>
      <c r="D1163" s="9"/>
      <c r="F1163" s="8">
        <f>SUM(F1162)</f>
        <v>2465</v>
      </c>
    </row>
    <row r="1164" spans="1:6" x14ac:dyDescent="0.25">
      <c r="A1164" s="9"/>
      <c r="B1164" s="12"/>
      <c r="C1164" s="11"/>
      <c r="D1164" s="9"/>
      <c r="F1164" s="10"/>
    </row>
    <row r="1165" spans="1:6" x14ac:dyDescent="0.25">
      <c r="A1165" s="9" t="s">
        <v>182</v>
      </c>
      <c r="B1165" s="12">
        <v>45707</v>
      </c>
      <c r="C1165" s="11">
        <v>10</v>
      </c>
      <c r="D1165" s="9" t="s">
        <v>36</v>
      </c>
      <c r="E1165" s="10">
        <v>100</v>
      </c>
      <c r="F1165" s="10">
        <f t="shared" si="17"/>
        <v>1000</v>
      </c>
    </row>
    <row r="1166" spans="1:6" x14ac:dyDescent="0.25">
      <c r="A1166" s="9"/>
      <c r="B1166" s="12"/>
      <c r="C1166" s="11"/>
      <c r="D1166" s="9"/>
      <c r="F1166" s="8">
        <f>SUM(F1165)</f>
        <v>1000</v>
      </c>
    </row>
    <row r="1167" spans="1:6" x14ac:dyDescent="0.25">
      <c r="A1167" s="9"/>
      <c r="B1167" s="12"/>
      <c r="C1167" s="11"/>
      <c r="D1167" s="9"/>
      <c r="F1167" s="10"/>
    </row>
    <row r="1168" spans="1:6" x14ac:dyDescent="0.25">
      <c r="A1168" s="9" t="s">
        <v>17</v>
      </c>
      <c r="B1168" s="12">
        <v>45707</v>
      </c>
      <c r="C1168" s="11">
        <v>10</v>
      </c>
      <c r="D1168" s="9" t="s">
        <v>13</v>
      </c>
      <c r="E1168" s="10">
        <v>140</v>
      </c>
      <c r="F1168" s="10">
        <f t="shared" si="17"/>
        <v>1400</v>
      </c>
    </row>
    <row r="1169" spans="1:6" x14ac:dyDescent="0.25">
      <c r="A1169" s="9"/>
      <c r="B1169" s="12"/>
      <c r="C1169" s="11"/>
      <c r="D1169" s="9"/>
      <c r="F1169" s="8">
        <f>SUM(F1168)</f>
        <v>1400</v>
      </c>
    </row>
    <row r="1170" spans="1:6" x14ac:dyDescent="0.25">
      <c r="A1170" s="9"/>
      <c r="B1170" s="12"/>
      <c r="C1170" s="11"/>
      <c r="D1170" s="9"/>
      <c r="F1170" s="10"/>
    </row>
    <row r="1171" spans="1:6" x14ac:dyDescent="0.25">
      <c r="A1171" s="9" t="s">
        <v>261</v>
      </c>
      <c r="B1171" s="12">
        <v>45707</v>
      </c>
      <c r="C1171" s="11">
        <v>10</v>
      </c>
      <c r="D1171" s="9" t="s">
        <v>8</v>
      </c>
      <c r="E1171" s="10">
        <v>150</v>
      </c>
      <c r="F1171" s="10">
        <f t="shared" si="17"/>
        <v>1500</v>
      </c>
    </row>
    <row r="1172" spans="1:6" x14ac:dyDescent="0.25">
      <c r="A1172" s="9"/>
      <c r="B1172" s="12"/>
      <c r="C1172" s="11"/>
      <c r="D1172" s="9"/>
      <c r="F1172" s="8">
        <f>SUM(F1171)</f>
        <v>1500</v>
      </c>
    </row>
    <row r="1173" spans="1:6" x14ac:dyDescent="0.25">
      <c r="A1173" s="9"/>
      <c r="B1173" s="12"/>
      <c r="C1173" s="11"/>
      <c r="D1173" s="9"/>
      <c r="F1173" s="10"/>
    </row>
    <row r="1174" spans="1:6" x14ac:dyDescent="0.25">
      <c r="A1174" s="9" t="s">
        <v>21</v>
      </c>
      <c r="B1174" s="12">
        <v>45707</v>
      </c>
      <c r="C1174" s="11">
        <v>20</v>
      </c>
      <c r="D1174" s="9" t="s">
        <v>13</v>
      </c>
      <c r="E1174" s="10">
        <v>140</v>
      </c>
      <c r="F1174" s="10">
        <f t="shared" si="17"/>
        <v>2800</v>
      </c>
    </row>
    <row r="1175" spans="1:6" x14ac:dyDescent="0.25">
      <c r="A1175" s="9"/>
      <c r="B1175" s="12"/>
      <c r="C1175" s="11">
        <v>20</v>
      </c>
      <c r="D1175" s="9" t="s">
        <v>12</v>
      </c>
      <c r="E1175" s="10">
        <v>130</v>
      </c>
      <c r="F1175" s="10">
        <f t="shared" si="17"/>
        <v>2600</v>
      </c>
    </row>
    <row r="1176" spans="1:6" x14ac:dyDescent="0.25">
      <c r="A1176" s="9"/>
      <c r="B1176" s="12"/>
      <c r="C1176" s="11">
        <v>10</v>
      </c>
      <c r="D1176" s="9" t="s">
        <v>22</v>
      </c>
      <c r="E1176" s="10">
        <v>110</v>
      </c>
      <c r="F1176" s="10">
        <f t="shared" si="17"/>
        <v>1100</v>
      </c>
    </row>
    <row r="1177" spans="1:6" x14ac:dyDescent="0.25">
      <c r="A1177" s="9"/>
      <c r="B1177" s="12"/>
      <c r="C1177" s="11">
        <v>20</v>
      </c>
      <c r="D1177" s="9" t="s">
        <v>14</v>
      </c>
      <c r="E1177" s="10">
        <v>125</v>
      </c>
      <c r="F1177" s="10">
        <f t="shared" ref="F1177:F1238" si="18">+C1177*E1177</f>
        <v>2500</v>
      </c>
    </row>
    <row r="1178" spans="1:6" x14ac:dyDescent="0.25">
      <c r="A1178" s="9"/>
      <c r="B1178" s="12"/>
      <c r="C1178" s="11"/>
      <c r="D1178" s="9"/>
      <c r="F1178" s="8">
        <f>SUM(F1174:F1177)</f>
        <v>9000</v>
      </c>
    </row>
    <row r="1179" spans="1:6" x14ac:dyDescent="0.25">
      <c r="A1179" s="9"/>
      <c r="B1179" s="12"/>
      <c r="C1179" s="11"/>
      <c r="D1179" s="9"/>
      <c r="F1179" s="10"/>
    </row>
    <row r="1180" spans="1:6" x14ac:dyDescent="0.25">
      <c r="A1180" s="9" t="s">
        <v>148</v>
      </c>
      <c r="B1180" s="12">
        <v>45707</v>
      </c>
      <c r="C1180" s="11">
        <v>15</v>
      </c>
      <c r="D1180" s="9" t="s">
        <v>13</v>
      </c>
      <c r="E1180" s="10">
        <v>140</v>
      </c>
      <c r="F1180" s="10">
        <f t="shared" si="18"/>
        <v>2100</v>
      </c>
    </row>
    <row r="1181" spans="1:6" x14ac:dyDescent="0.25">
      <c r="A1181" s="9"/>
      <c r="B1181" s="12"/>
      <c r="C1181" s="11">
        <v>10</v>
      </c>
      <c r="D1181" s="9" t="s">
        <v>14</v>
      </c>
      <c r="E1181" s="10">
        <v>130</v>
      </c>
      <c r="F1181" s="10">
        <f t="shared" si="18"/>
        <v>1300</v>
      </c>
    </row>
    <row r="1182" spans="1:6" x14ac:dyDescent="0.25">
      <c r="A1182" s="9"/>
      <c r="B1182" s="12"/>
      <c r="C1182" s="11"/>
      <c r="D1182" s="9"/>
      <c r="F1182" s="8">
        <f>SUM(F1180:F1181)</f>
        <v>3400</v>
      </c>
    </row>
    <row r="1183" spans="1:6" x14ac:dyDescent="0.25">
      <c r="A1183" s="9"/>
      <c r="B1183" s="12"/>
      <c r="C1183" s="11"/>
      <c r="D1183" s="9"/>
      <c r="F1183" s="10"/>
    </row>
    <row r="1184" spans="1:6" x14ac:dyDescent="0.25">
      <c r="A1184" s="9" t="s">
        <v>20</v>
      </c>
      <c r="B1184" s="12">
        <v>45707</v>
      </c>
      <c r="C1184" s="11">
        <v>20</v>
      </c>
      <c r="D1184" s="9" t="s">
        <v>13</v>
      </c>
      <c r="E1184" s="10">
        <v>140</v>
      </c>
      <c r="F1184" s="10">
        <f t="shared" si="18"/>
        <v>2800</v>
      </c>
    </row>
    <row r="1185" spans="1:6" x14ac:dyDescent="0.25">
      <c r="A1185" s="9"/>
      <c r="B1185" s="12"/>
      <c r="C1185" s="11"/>
      <c r="D1185" s="9"/>
      <c r="F1185" s="8">
        <f>SUM(F1184)</f>
        <v>2800</v>
      </c>
    </row>
    <row r="1186" spans="1:6" x14ac:dyDescent="0.25">
      <c r="A1186" s="9"/>
      <c r="B1186" s="12"/>
      <c r="C1186" s="11"/>
      <c r="D1186" s="9"/>
      <c r="F1186" s="10"/>
    </row>
    <row r="1187" spans="1:6" x14ac:dyDescent="0.25">
      <c r="A1187" s="9" t="s">
        <v>37</v>
      </c>
      <c r="B1187" s="12">
        <v>45707</v>
      </c>
      <c r="C1187" s="11">
        <v>20</v>
      </c>
      <c r="D1187" s="9" t="s">
        <v>12</v>
      </c>
      <c r="E1187" s="10">
        <v>130</v>
      </c>
      <c r="F1187" s="10">
        <f t="shared" si="18"/>
        <v>2600</v>
      </c>
    </row>
    <row r="1188" spans="1:6" x14ac:dyDescent="0.25">
      <c r="A1188" s="9"/>
      <c r="B1188" s="12"/>
      <c r="C1188" s="11"/>
      <c r="D1188" s="9"/>
      <c r="F1188" s="8">
        <f>SUM(F1187)</f>
        <v>2600</v>
      </c>
    </row>
    <row r="1189" spans="1:6" x14ac:dyDescent="0.25">
      <c r="A1189" s="9"/>
      <c r="B1189" s="12"/>
      <c r="C1189" s="11"/>
      <c r="D1189" s="9"/>
      <c r="F1189" s="10"/>
    </row>
    <row r="1190" spans="1:6" x14ac:dyDescent="0.25">
      <c r="A1190" s="9" t="s">
        <v>25</v>
      </c>
      <c r="B1190" s="12">
        <v>45707</v>
      </c>
      <c r="C1190" s="11">
        <v>20</v>
      </c>
      <c r="D1190" s="9" t="s">
        <v>22</v>
      </c>
      <c r="E1190" s="10">
        <v>110</v>
      </c>
      <c r="F1190" s="10">
        <f t="shared" si="18"/>
        <v>2200</v>
      </c>
    </row>
    <row r="1191" spans="1:6" x14ac:dyDescent="0.25">
      <c r="A1191" s="9"/>
      <c r="B1191" s="12"/>
      <c r="C1191" s="11"/>
      <c r="D1191" s="9"/>
      <c r="F1191" s="8">
        <f>SUM(F1190)</f>
        <v>2200</v>
      </c>
    </row>
    <row r="1192" spans="1:6" x14ac:dyDescent="0.25">
      <c r="A1192" s="9"/>
      <c r="B1192" s="12"/>
      <c r="C1192" s="11"/>
      <c r="D1192" s="9"/>
      <c r="F1192" s="10"/>
    </row>
    <row r="1193" spans="1:6" x14ac:dyDescent="0.25">
      <c r="A1193" s="9" t="s">
        <v>40</v>
      </c>
      <c r="B1193" s="12">
        <v>45707</v>
      </c>
      <c r="C1193" s="11">
        <v>10</v>
      </c>
      <c r="D1193" s="9" t="s">
        <v>12</v>
      </c>
      <c r="E1193" s="10">
        <v>130</v>
      </c>
      <c r="F1193" s="10">
        <f t="shared" si="18"/>
        <v>1300</v>
      </c>
    </row>
    <row r="1194" spans="1:6" x14ac:dyDescent="0.25">
      <c r="A1194" s="9"/>
      <c r="B1194" s="12"/>
      <c r="C1194" s="11">
        <v>20</v>
      </c>
      <c r="D1194" s="9" t="s">
        <v>13</v>
      </c>
      <c r="E1194" s="10">
        <v>140</v>
      </c>
      <c r="F1194" s="10">
        <f t="shared" si="18"/>
        <v>2800</v>
      </c>
    </row>
    <row r="1195" spans="1:6" x14ac:dyDescent="0.25">
      <c r="A1195" s="9"/>
      <c r="B1195" s="12"/>
      <c r="C1195" s="11">
        <v>10</v>
      </c>
      <c r="D1195" s="9" t="s">
        <v>14</v>
      </c>
      <c r="E1195" s="10">
        <v>130</v>
      </c>
      <c r="F1195" s="10">
        <f t="shared" si="18"/>
        <v>1300</v>
      </c>
    </row>
    <row r="1196" spans="1:6" x14ac:dyDescent="0.25">
      <c r="A1196" s="9"/>
      <c r="B1196" s="12"/>
      <c r="C1196" s="11"/>
      <c r="D1196" s="9"/>
      <c r="F1196" s="8">
        <f>SUM(F1193:F1195)</f>
        <v>5400</v>
      </c>
    </row>
    <row r="1197" spans="1:6" x14ac:dyDescent="0.25">
      <c r="A1197" s="9"/>
      <c r="B1197" s="12"/>
      <c r="C1197" s="11"/>
      <c r="D1197" s="9"/>
      <c r="F1197" s="10"/>
    </row>
    <row r="1198" spans="1:6" x14ac:dyDescent="0.25">
      <c r="A1198" s="9" t="s">
        <v>46</v>
      </c>
      <c r="B1198" s="12">
        <v>45707</v>
      </c>
      <c r="C1198" s="11">
        <v>20</v>
      </c>
      <c r="D1198" s="9" t="s">
        <v>14</v>
      </c>
      <c r="E1198" s="10">
        <v>130</v>
      </c>
      <c r="F1198" s="10">
        <f t="shared" si="18"/>
        <v>2600</v>
      </c>
    </row>
    <row r="1199" spans="1:6" x14ac:dyDescent="0.25">
      <c r="A1199" s="9"/>
      <c r="B1199" s="12"/>
      <c r="C1199" s="11"/>
      <c r="D1199" s="9"/>
      <c r="F1199" s="8">
        <f>SUM(F1198)</f>
        <v>2600</v>
      </c>
    </row>
    <row r="1200" spans="1:6" x14ac:dyDescent="0.25">
      <c r="A1200" s="9"/>
      <c r="B1200" s="12"/>
      <c r="C1200" s="11"/>
      <c r="D1200" s="9"/>
      <c r="F1200" s="10"/>
    </row>
    <row r="1201" spans="1:6" x14ac:dyDescent="0.25">
      <c r="A1201" s="9" t="s">
        <v>42</v>
      </c>
      <c r="B1201" s="12">
        <v>45707</v>
      </c>
      <c r="C1201" s="11">
        <v>10</v>
      </c>
      <c r="D1201" s="9" t="s">
        <v>14</v>
      </c>
      <c r="E1201" s="10">
        <v>125</v>
      </c>
      <c r="F1201" s="10">
        <f t="shared" si="18"/>
        <v>1250</v>
      </c>
    </row>
    <row r="1202" spans="1:6" x14ac:dyDescent="0.25">
      <c r="A1202" s="9"/>
      <c r="B1202" s="12"/>
      <c r="C1202" s="11"/>
      <c r="D1202" s="9"/>
      <c r="F1202" s="8">
        <f>SUM(F1201)</f>
        <v>1250</v>
      </c>
    </row>
    <row r="1203" spans="1:6" x14ac:dyDescent="0.25">
      <c r="A1203" s="9"/>
      <c r="B1203" s="12"/>
      <c r="C1203" s="11"/>
      <c r="D1203" s="9"/>
      <c r="F1203" s="10"/>
    </row>
    <row r="1204" spans="1:6" x14ac:dyDescent="0.25">
      <c r="A1204" s="9" t="s">
        <v>47</v>
      </c>
      <c r="B1204" s="12">
        <v>45707</v>
      </c>
      <c r="C1204" s="11">
        <v>40</v>
      </c>
      <c r="D1204" s="9" t="s">
        <v>14</v>
      </c>
      <c r="E1204" s="10">
        <v>130</v>
      </c>
      <c r="F1204" s="10">
        <f t="shared" si="18"/>
        <v>5200</v>
      </c>
    </row>
    <row r="1205" spans="1:6" x14ac:dyDescent="0.25">
      <c r="A1205" s="9"/>
      <c r="B1205" s="12"/>
      <c r="C1205" s="11"/>
      <c r="D1205" s="9"/>
      <c r="F1205" s="8">
        <f>SUM(F1204)</f>
        <v>5200</v>
      </c>
    </row>
    <row r="1206" spans="1:6" x14ac:dyDescent="0.25">
      <c r="A1206" s="9"/>
      <c r="B1206" s="12"/>
      <c r="C1206" s="11"/>
      <c r="D1206" s="9"/>
      <c r="F1206" s="10"/>
    </row>
    <row r="1207" spans="1:6" x14ac:dyDescent="0.25">
      <c r="A1207" s="9" t="s">
        <v>245</v>
      </c>
      <c r="B1207" s="12">
        <v>45707</v>
      </c>
      <c r="C1207" s="11">
        <v>50</v>
      </c>
      <c r="D1207" s="9" t="s">
        <v>13</v>
      </c>
      <c r="E1207" s="10">
        <v>140</v>
      </c>
      <c r="F1207" s="10">
        <f t="shared" si="18"/>
        <v>7000</v>
      </c>
    </row>
    <row r="1208" spans="1:6" x14ac:dyDescent="0.25">
      <c r="A1208" s="9"/>
      <c r="B1208" s="12"/>
      <c r="C1208" s="11"/>
      <c r="D1208" s="9"/>
      <c r="F1208" s="8">
        <f>SUM(F1207)</f>
        <v>7000</v>
      </c>
    </row>
    <row r="1209" spans="1:6" x14ac:dyDescent="0.25">
      <c r="A1209" s="9"/>
      <c r="B1209" s="12"/>
      <c r="C1209" s="11"/>
      <c r="D1209" s="9"/>
      <c r="F1209" s="10"/>
    </row>
    <row r="1210" spans="1:6" x14ac:dyDescent="0.25">
      <c r="A1210" s="9" t="s">
        <v>41</v>
      </c>
      <c r="B1210" s="12">
        <v>45707</v>
      </c>
      <c r="C1210" s="11">
        <v>30</v>
      </c>
      <c r="D1210" s="9" t="s">
        <v>14</v>
      </c>
      <c r="E1210" s="10">
        <v>135</v>
      </c>
      <c r="F1210" s="10">
        <f t="shared" si="18"/>
        <v>4050</v>
      </c>
    </row>
    <row r="1211" spans="1:6" x14ac:dyDescent="0.25">
      <c r="A1211" s="9"/>
      <c r="B1211" s="12"/>
      <c r="C1211" s="11"/>
      <c r="D1211" s="9"/>
      <c r="F1211" s="8">
        <f>SUM(F1210)</f>
        <v>4050</v>
      </c>
    </row>
    <row r="1212" spans="1:6" x14ac:dyDescent="0.25">
      <c r="A1212" s="9"/>
      <c r="B1212" s="12"/>
      <c r="C1212" s="11"/>
      <c r="D1212" s="9"/>
      <c r="F1212" s="10"/>
    </row>
    <row r="1213" spans="1:6" x14ac:dyDescent="0.25">
      <c r="A1213" s="9" t="s">
        <v>107</v>
      </c>
      <c r="B1213" s="12">
        <v>45707</v>
      </c>
      <c r="C1213" s="11">
        <v>16</v>
      </c>
      <c r="D1213" s="9" t="s">
        <v>14</v>
      </c>
      <c r="E1213" s="10">
        <v>140</v>
      </c>
      <c r="F1213" s="10">
        <f t="shared" si="18"/>
        <v>2240</v>
      </c>
    </row>
    <row r="1214" spans="1:6" x14ac:dyDescent="0.25">
      <c r="A1214" s="9"/>
      <c r="B1214" s="12"/>
      <c r="C1214" s="11"/>
      <c r="D1214" s="9"/>
      <c r="F1214" s="8">
        <f>SUM(F1213)</f>
        <v>2240</v>
      </c>
    </row>
    <row r="1215" spans="1:6" x14ac:dyDescent="0.25">
      <c r="A1215" s="9"/>
      <c r="B1215" s="12"/>
      <c r="C1215" s="11"/>
      <c r="D1215" s="9"/>
      <c r="F1215" s="10"/>
    </row>
    <row r="1216" spans="1:6" x14ac:dyDescent="0.25">
      <c r="A1216" s="9" t="s">
        <v>262</v>
      </c>
      <c r="B1216" s="12">
        <v>45707</v>
      </c>
      <c r="C1216" s="11">
        <v>26</v>
      </c>
      <c r="D1216" s="9" t="s">
        <v>49</v>
      </c>
      <c r="E1216" s="10">
        <v>140</v>
      </c>
      <c r="F1216" s="10">
        <f t="shared" si="18"/>
        <v>3640</v>
      </c>
    </row>
    <row r="1217" spans="1:6" x14ac:dyDescent="0.25">
      <c r="A1217" s="9"/>
      <c r="B1217" s="12"/>
      <c r="C1217" s="11"/>
      <c r="D1217" s="9"/>
      <c r="F1217" s="8">
        <f>SUM(F1216)</f>
        <v>3640</v>
      </c>
    </row>
    <row r="1218" spans="1:6" x14ac:dyDescent="0.25">
      <c r="A1218" s="9"/>
      <c r="B1218" s="12"/>
      <c r="C1218" s="11"/>
      <c r="D1218" s="9"/>
      <c r="F1218" s="10"/>
    </row>
    <row r="1219" spans="1:6" x14ac:dyDescent="0.25">
      <c r="A1219" s="9" t="s">
        <v>44</v>
      </c>
      <c r="B1219" s="12">
        <v>45707</v>
      </c>
      <c r="C1219" s="11">
        <v>30</v>
      </c>
      <c r="D1219" s="9" t="s">
        <v>14</v>
      </c>
      <c r="E1219" s="10">
        <v>125</v>
      </c>
      <c r="F1219" s="10">
        <f t="shared" si="18"/>
        <v>3750</v>
      </c>
    </row>
    <row r="1220" spans="1:6" x14ac:dyDescent="0.25">
      <c r="A1220" s="9"/>
      <c r="B1220" s="12"/>
      <c r="C1220" s="11"/>
      <c r="D1220" s="9"/>
      <c r="F1220" s="8">
        <f>SUM(F1219)</f>
        <v>3750</v>
      </c>
    </row>
    <row r="1221" spans="1:6" x14ac:dyDescent="0.25">
      <c r="A1221" s="9"/>
      <c r="B1221" s="12"/>
      <c r="C1221" s="11"/>
      <c r="D1221" s="9"/>
      <c r="F1221" s="10"/>
    </row>
    <row r="1222" spans="1:6" x14ac:dyDescent="0.25">
      <c r="A1222" s="9" t="s">
        <v>18</v>
      </c>
      <c r="B1222" s="12">
        <v>45707</v>
      </c>
      <c r="C1222" s="11">
        <v>30</v>
      </c>
      <c r="D1222" s="9" t="s">
        <v>14</v>
      </c>
      <c r="E1222" s="10">
        <v>125</v>
      </c>
      <c r="F1222" s="10">
        <f t="shared" si="18"/>
        <v>3750</v>
      </c>
    </row>
    <row r="1223" spans="1:6" x14ac:dyDescent="0.25">
      <c r="A1223" s="9"/>
      <c r="B1223" s="12"/>
      <c r="C1223" s="11"/>
      <c r="D1223" s="9"/>
      <c r="F1223" s="8">
        <f>SUM(F1222)</f>
        <v>3750</v>
      </c>
    </row>
    <row r="1224" spans="1:6" x14ac:dyDescent="0.25">
      <c r="A1224" s="9"/>
      <c r="B1224" s="12"/>
      <c r="C1224" s="11"/>
      <c r="D1224" s="9"/>
      <c r="F1224" s="10"/>
    </row>
    <row r="1225" spans="1:6" x14ac:dyDescent="0.25">
      <c r="A1225" s="9" t="s">
        <v>140</v>
      </c>
      <c r="B1225" s="12">
        <v>45707</v>
      </c>
      <c r="C1225" s="11">
        <v>140</v>
      </c>
      <c r="D1225" s="9" t="s">
        <v>11</v>
      </c>
      <c r="E1225" s="10">
        <v>120</v>
      </c>
      <c r="F1225" s="10">
        <f t="shared" si="18"/>
        <v>16800</v>
      </c>
    </row>
    <row r="1226" spans="1:6" x14ac:dyDescent="0.25">
      <c r="A1226" s="9"/>
      <c r="B1226" s="12"/>
      <c r="C1226" s="11">
        <v>110</v>
      </c>
      <c r="D1226" s="9" t="s">
        <v>49</v>
      </c>
      <c r="E1226" s="10">
        <v>145</v>
      </c>
      <c r="F1226" s="10">
        <f t="shared" si="18"/>
        <v>15950</v>
      </c>
    </row>
    <row r="1227" spans="1:6" x14ac:dyDescent="0.25">
      <c r="A1227" s="9"/>
      <c r="B1227" s="12"/>
      <c r="C1227" s="11">
        <v>200</v>
      </c>
      <c r="D1227" s="9" t="s">
        <v>13</v>
      </c>
      <c r="E1227" s="10">
        <v>145</v>
      </c>
      <c r="F1227" s="10">
        <f t="shared" si="18"/>
        <v>29000</v>
      </c>
    </row>
    <row r="1228" spans="1:6" x14ac:dyDescent="0.25">
      <c r="A1228" s="9"/>
      <c r="B1228" s="12"/>
      <c r="C1228" s="11">
        <v>200</v>
      </c>
      <c r="D1228" s="9" t="s">
        <v>12</v>
      </c>
      <c r="E1228" s="10">
        <v>130</v>
      </c>
      <c r="F1228" s="10">
        <f t="shared" si="18"/>
        <v>26000</v>
      </c>
    </row>
    <row r="1229" spans="1:6" x14ac:dyDescent="0.25">
      <c r="A1229" s="9"/>
      <c r="B1229" s="12"/>
      <c r="C1229" s="11">
        <v>24</v>
      </c>
      <c r="D1229" s="9" t="s">
        <v>8</v>
      </c>
      <c r="E1229" s="10">
        <v>155</v>
      </c>
      <c r="F1229" s="10">
        <f t="shared" si="18"/>
        <v>3720</v>
      </c>
    </row>
    <row r="1230" spans="1:6" x14ac:dyDescent="0.25">
      <c r="A1230" s="9"/>
      <c r="B1230" s="12"/>
      <c r="C1230" s="11"/>
      <c r="D1230" s="9"/>
      <c r="F1230" s="8">
        <f>SUM(F1225:F1229)</f>
        <v>91470</v>
      </c>
    </row>
    <row r="1231" spans="1:6" x14ac:dyDescent="0.25">
      <c r="A1231" s="9"/>
      <c r="B1231" s="12"/>
      <c r="C1231" s="11"/>
      <c r="D1231" s="9"/>
      <c r="F1231" s="10"/>
    </row>
    <row r="1232" spans="1:6" x14ac:dyDescent="0.25">
      <c r="A1232" s="9" t="s">
        <v>90</v>
      </c>
      <c r="B1232" s="12">
        <v>45707</v>
      </c>
      <c r="C1232" s="11">
        <v>30</v>
      </c>
      <c r="D1232" s="9" t="s">
        <v>12</v>
      </c>
      <c r="E1232" s="10">
        <v>140</v>
      </c>
      <c r="F1232" s="10">
        <f t="shared" si="18"/>
        <v>4200</v>
      </c>
    </row>
    <row r="1233" spans="1:6" x14ac:dyDescent="0.25">
      <c r="A1233" s="9"/>
      <c r="B1233" s="12"/>
      <c r="C1233" s="11"/>
      <c r="D1233" s="9"/>
      <c r="F1233" s="8">
        <f>SUM(F1232)</f>
        <v>4200</v>
      </c>
    </row>
    <row r="1234" spans="1:6" x14ac:dyDescent="0.25">
      <c r="A1234" s="9"/>
      <c r="B1234" s="12"/>
      <c r="C1234" s="11"/>
      <c r="D1234" s="9"/>
      <c r="F1234" s="10"/>
    </row>
    <row r="1235" spans="1:6" x14ac:dyDescent="0.25">
      <c r="A1235" s="9" t="s">
        <v>72</v>
      </c>
      <c r="B1235" s="12">
        <v>45707</v>
      </c>
      <c r="C1235" s="11">
        <v>200</v>
      </c>
      <c r="D1235" s="9" t="s">
        <v>13</v>
      </c>
      <c r="E1235" s="10">
        <v>135</v>
      </c>
      <c r="F1235" s="10">
        <f t="shared" si="18"/>
        <v>27000</v>
      </c>
    </row>
    <row r="1236" spans="1:6" x14ac:dyDescent="0.25">
      <c r="A1236" s="9"/>
      <c r="B1236" s="12"/>
      <c r="C1236" s="11">
        <v>150</v>
      </c>
      <c r="D1236" s="9" t="s">
        <v>12</v>
      </c>
      <c r="E1236" s="10">
        <v>125</v>
      </c>
      <c r="F1236" s="10">
        <f t="shared" si="18"/>
        <v>18750</v>
      </c>
    </row>
    <row r="1237" spans="1:6" x14ac:dyDescent="0.25">
      <c r="A1237" s="9"/>
      <c r="B1237" s="12"/>
      <c r="C1237" s="11">
        <v>80</v>
      </c>
      <c r="D1237" s="9" t="s">
        <v>11</v>
      </c>
      <c r="E1237" s="10">
        <v>125</v>
      </c>
      <c r="F1237" s="10">
        <f t="shared" si="18"/>
        <v>10000</v>
      </c>
    </row>
    <row r="1238" spans="1:6" x14ac:dyDescent="0.25">
      <c r="A1238" s="9"/>
      <c r="B1238" s="12"/>
      <c r="C1238" s="11">
        <v>20</v>
      </c>
      <c r="D1238" s="9" t="s">
        <v>14</v>
      </c>
      <c r="E1238" s="10">
        <v>130</v>
      </c>
      <c r="F1238" s="10">
        <f t="shared" si="18"/>
        <v>2600</v>
      </c>
    </row>
    <row r="1239" spans="1:6" x14ac:dyDescent="0.25">
      <c r="A1239" s="9"/>
      <c r="B1239" s="12"/>
      <c r="C1239" s="11"/>
      <c r="D1239" s="9"/>
      <c r="F1239" s="8">
        <f>SUM(F1235:F1238)</f>
        <v>58350</v>
      </c>
    </row>
    <row r="1240" spans="1:6" x14ac:dyDescent="0.25">
      <c r="A1240" s="9"/>
      <c r="B1240" s="12"/>
      <c r="C1240" s="11"/>
      <c r="D1240" s="9"/>
      <c r="F1240" s="10"/>
    </row>
    <row r="1241" spans="1:6" x14ac:dyDescent="0.25">
      <c r="A1241" s="9" t="s">
        <v>184</v>
      </c>
      <c r="B1241" s="12">
        <v>45707</v>
      </c>
      <c r="C1241" s="11">
        <v>5</v>
      </c>
      <c r="D1241" s="9" t="s">
        <v>13</v>
      </c>
      <c r="E1241" s="10">
        <v>150</v>
      </c>
      <c r="F1241" s="10">
        <f t="shared" ref="F1241:F1304" si="19">+C1241*E1241</f>
        <v>750</v>
      </c>
    </row>
    <row r="1242" spans="1:6" x14ac:dyDescent="0.25">
      <c r="A1242" s="9"/>
      <c r="B1242" s="12"/>
      <c r="C1242" s="11"/>
      <c r="D1242" s="9"/>
      <c r="F1242" s="8">
        <f>SUM(F1241)</f>
        <v>750</v>
      </c>
    </row>
    <row r="1243" spans="1:6" x14ac:dyDescent="0.25">
      <c r="A1243" s="9"/>
      <c r="B1243" s="12"/>
      <c r="C1243" s="11"/>
      <c r="D1243" s="9"/>
      <c r="F1243" s="10"/>
    </row>
    <row r="1244" spans="1:6" x14ac:dyDescent="0.25">
      <c r="A1244" s="9" t="s">
        <v>7</v>
      </c>
      <c r="B1244" s="12">
        <v>45707</v>
      </c>
      <c r="C1244" s="11">
        <v>4</v>
      </c>
      <c r="D1244" s="9" t="s">
        <v>13</v>
      </c>
      <c r="E1244" s="10">
        <v>150</v>
      </c>
      <c r="F1244" s="10">
        <f t="shared" si="19"/>
        <v>600</v>
      </c>
    </row>
    <row r="1245" spans="1:6" x14ac:dyDescent="0.25">
      <c r="A1245" s="9"/>
      <c r="B1245" s="12"/>
      <c r="C1245" s="11">
        <v>1</v>
      </c>
      <c r="D1245" s="9" t="s">
        <v>263</v>
      </c>
      <c r="E1245" s="10">
        <v>135</v>
      </c>
      <c r="F1245" s="10">
        <f t="shared" si="19"/>
        <v>135</v>
      </c>
    </row>
    <row r="1246" spans="1:6" x14ac:dyDescent="0.25">
      <c r="A1246" s="9"/>
      <c r="B1246" s="12"/>
      <c r="C1246" s="11"/>
      <c r="D1246" s="9"/>
      <c r="F1246" s="8">
        <f>SUM(F1244:F1245)</f>
        <v>735</v>
      </c>
    </row>
    <row r="1247" spans="1:6" x14ac:dyDescent="0.25">
      <c r="A1247" s="9"/>
      <c r="B1247" s="12"/>
      <c r="C1247" s="11"/>
      <c r="D1247" s="9"/>
      <c r="F1247" s="10"/>
    </row>
    <row r="1248" spans="1:6" x14ac:dyDescent="0.25">
      <c r="A1248" s="9" t="s">
        <v>29</v>
      </c>
      <c r="B1248" s="12">
        <v>45707</v>
      </c>
      <c r="C1248" s="11">
        <v>1</v>
      </c>
      <c r="D1248" s="9" t="s">
        <v>12</v>
      </c>
      <c r="E1248" s="10">
        <v>150</v>
      </c>
      <c r="F1248" s="10">
        <f t="shared" si="19"/>
        <v>150</v>
      </c>
    </row>
    <row r="1249" spans="1:6" x14ac:dyDescent="0.25">
      <c r="A1249" s="9"/>
      <c r="B1249" s="12"/>
      <c r="C1249" s="11">
        <v>2</v>
      </c>
      <c r="D1249" s="9" t="s">
        <v>13</v>
      </c>
      <c r="E1249" s="10">
        <v>160</v>
      </c>
      <c r="F1249" s="10">
        <f t="shared" si="19"/>
        <v>320</v>
      </c>
    </row>
    <row r="1250" spans="1:6" x14ac:dyDescent="0.25">
      <c r="A1250" s="9"/>
      <c r="B1250" s="12"/>
      <c r="C1250" s="11">
        <v>5</v>
      </c>
      <c r="D1250" s="9" t="s">
        <v>8</v>
      </c>
      <c r="E1250" s="10">
        <v>170</v>
      </c>
      <c r="F1250" s="10">
        <f t="shared" si="19"/>
        <v>850</v>
      </c>
    </row>
    <row r="1251" spans="1:6" x14ac:dyDescent="0.25">
      <c r="A1251" s="9"/>
      <c r="B1251" s="12"/>
      <c r="C1251" s="11">
        <v>1</v>
      </c>
      <c r="D1251" s="9" t="s">
        <v>13</v>
      </c>
      <c r="E1251" s="10">
        <v>140</v>
      </c>
      <c r="F1251" s="10">
        <f t="shared" si="19"/>
        <v>140</v>
      </c>
    </row>
    <row r="1252" spans="1:6" x14ac:dyDescent="0.25">
      <c r="A1252" s="9"/>
      <c r="B1252" s="12"/>
      <c r="C1252" s="11"/>
      <c r="D1252" s="9"/>
      <c r="F1252" s="8">
        <f>SUM(F1248:F1251)</f>
        <v>1460</v>
      </c>
    </row>
    <row r="1253" spans="1:6" x14ac:dyDescent="0.25">
      <c r="A1253" s="9"/>
      <c r="B1253" s="12"/>
      <c r="C1253" s="11"/>
      <c r="D1253" s="9"/>
      <c r="F1253" s="10"/>
    </row>
    <row r="1254" spans="1:6" x14ac:dyDescent="0.25">
      <c r="A1254" s="9" t="s">
        <v>7</v>
      </c>
      <c r="B1254" s="12">
        <v>45707</v>
      </c>
      <c r="C1254" s="11">
        <v>10</v>
      </c>
      <c r="D1254" s="9" t="s">
        <v>13</v>
      </c>
      <c r="E1254" s="10">
        <v>140</v>
      </c>
      <c r="F1254" s="10">
        <f t="shared" si="19"/>
        <v>1400</v>
      </c>
    </row>
    <row r="1255" spans="1:6" x14ac:dyDescent="0.25">
      <c r="A1255" s="9"/>
      <c r="B1255" s="12"/>
      <c r="C1255" s="11">
        <v>2</v>
      </c>
      <c r="D1255" s="9" t="s">
        <v>8</v>
      </c>
      <c r="E1255" s="10">
        <v>170</v>
      </c>
      <c r="F1255" s="10">
        <f t="shared" si="19"/>
        <v>340</v>
      </c>
    </row>
    <row r="1256" spans="1:6" x14ac:dyDescent="0.25">
      <c r="A1256" s="9"/>
      <c r="B1256" s="12"/>
      <c r="C1256" s="11">
        <v>3</v>
      </c>
      <c r="D1256" s="9" t="s">
        <v>8</v>
      </c>
      <c r="E1256" s="10">
        <v>170</v>
      </c>
      <c r="F1256" s="10">
        <f t="shared" si="19"/>
        <v>510</v>
      </c>
    </row>
    <row r="1257" spans="1:6" x14ac:dyDescent="0.25">
      <c r="A1257" s="9"/>
      <c r="B1257" s="12"/>
      <c r="C1257" s="11">
        <v>1</v>
      </c>
      <c r="D1257" s="9" t="s">
        <v>8</v>
      </c>
      <c r="E1257" s="10">
        <v>170</v>
      </c>
      <c r="F1257" s="10">
        <f t="shared" si="19"/>
        <v>170</v>
      </c>
    </row>
    <row r="1258" spans="1:6" x14ac:dyDescent="0.25">
      <c r="A1258" s="9"/>
      <c r="B1258" s="12"/>
      <c r="C1258" s="11">
        <v>1</v>
      </c>
      <c r="D1258" s="9" t="s">
        <v>264</v>
      </c>
      <c r="E1258" s="10">
        <v>140</v>
      </c>
      <c r="F1258" s="10">
        <f t="shared" si="19"/>
        <v>140</v>
      </c>
    </row>
    <row r="1259" spans="1:6" x14ac:dyDescent="0.25">
      <c r="A1259" s="9"/>
      <c r="B1259" s="12"/>
      <c r="C1259" s="11">
        <v>2</v>
      </c>
      <c r="D1259" s="9" t="s">
        <v>265</v>
      </c>
      <c r="E1259" s="10">
        <v>150</v>
      </c>
      <c r="F1259" s="10">
        <f t="shared" si="19"/>
        <v>300</v>
      </c>
    </row>
    <row r="1260" spans="1:6" x14ac:dyDescent="0.25">
      <c r="A1260" s="9"/>
      <c r="B1260" s="12"/>
      <c r="C1260" s="11"/>
      <c r="D1260" s="9"/>
      <c r="F1260" s="8">
        <f>SUM(F1254:F1259)</f>
        <v>2860</v>
      </c>
    </row>
    <row r="1261" spans="1:6" x14ac:dyDescent="0.25">
      <c r="A1261" s="9"/>
      <c r="B1261" s="12"/>
      <c r="C1261" s="11"/>
      <c r="D1261" s="9"/>
      <c r="F1261" s="10"/>
    </row>
    <row r="1262" spans="1:6" x14ac:dyDescent="0.25">
      <c r="A1262" s="9" t="s">
        <v>174</v>
      </c>
      <c r="B1262" s="12">
        <v>45708</v>
      </c>
      <c r="C1262" s="11">
        <v>60</v>
      </c>
      <c r="D1262" s="9" t="s">
        <v>12</v>
      </c>
      <c r="E1262" s="10">
        <v>140</v>
      </c>
      <c r="F1262" s="10">
        <f t="shared" si="19"/>
        <v>8400</v>
      </c>
    </row>
    <row r="1263" spans="1:6" x14ac:dyDescent="0.25">
      <c r="A1263" s="9"/>
      <c r="B1263" s="12"/>
      <c r="C1263" s="11">
        <v>70</v>
      </c>
      <c r="D1263" s="9" t="s">
        <v>22</v>
      </c>
      <c r="E1263" s="10">
        <v>125</v>
      </c>
      <c r="F1263" s="10">
        <f t="shared" si="19"/>
        <v>8750</v>
      </c>
    </row>
    <row r="1264" spans="1:6" x14ac:dyDescent="0.25">
      <c r="A1264" s="9"/>
      <c r="B1264" s="12"/>
      <c r="C1264" s="11"/>
      <c r="D1264" s="9"/>
      <c r="F1264" s="8">
        <f>SUM(F1262:F1263)</f>
        <v>17150</v>
      </c>
    </row>
    <row r="1265" spans="1:6" x14ac:dyDescent="0.25">
      <c r="A1265" s="9"/>
      <c r="B1265" s="12"/>
      <c r="C1265" s="11"/>
      <c r="D1265" s="9"/>
      <c r="F1265" s="10"/>
    </row>
    <row r="1266" spans="1:6" x14ac:dyDescent="0.25">
      <c r="A1266" s="9" t="s">
        <v>89</v>
      </c>
      <c r="B1266" s="12">
        <v>45708</v>
      </c>
      <c r="C1266" s="11">
        <v>30</v>
      </c>
      <c r="D1266" s="9" t="s">
        <v>13</v>
      </c>
      <c r="E1266" s="10">
        <v>135</v>
      </c>
      <c r="F1266" s="10">
        <f t="shared" si="19"/>
        <v>4050</v>
      </c>
    </row>
    <row r="1267" spans="1:6" x14ac:dyDescent="0.25">
      <c r="A1267" s="9"/>
      <c r="B1267" s="12"/>
      <c r="C1267" s="11">
        <v>60</v>
      </c>
      <c r="D1267" s="9" t="s">
        <v>12</v>
      </c>
      <c r="E1267" s="10">
        <v>130</v>
      </c>
      <c r="F1267" s="10">
        <f t="shared" si="19"/>
        <v>7800</v>
      </c>
    </row>
    <row r="1268" spans="1:6" x14ac:dyDescent="0.25">
      <c r="A1268" s="9"/>
      <c r="B1268" s="12"/>
      <c r="C1268" s="11">
        <v>20</v>
      </c>
      <c r="D1268" s="9" t="s">
        <v>14</v>
      </c>
      <c r="E1268" s="10">
        <v>125</v>
      </c>
      <c r="F1268" s="10">
        <f t="shared" si="19"/>
        <v>2500</v>
      </c>
    </row>
    <row r="1269" spans="1:6" x14ac:dyDescent="0.25">
      <c r="A1269" s="9"/>
      <c r="B1269" s="12"/>
      <c r="C1269" s="11"/>
      <c r="D1269" s="9"/>
      <c r="F1269" s="8">
        <f>SUM(F1266:F1268)</f>
        <v>14350</v>
      </c>
    </row>
    <row r="1270" spans="1:6" x14ac:dyDescent="0.25">
      <c r="A1270" s="9"/>
      <c r="B1270" s="12"/>
      <c r="C1270" s="11"/>
      <c r="D1270" s="9"/>
      <c r="F1270" s="10"/>
    </row>
    <row r="1271" spans="1:6" x14ac:dyDescent="0.25">
      <c r="A1271" s="9" t="s">
        <v>26</v>
      </c>
      <c r="B1271" s="12">
        <v>45708</v>
      </c>
      <c r="C1271" s="11">
        <v>50</v>
      </c>
      <c r="D1271" s="9" t="s">
        <v>13</v>
      </c>
      <c r="E1271" s="10">
        <v>140</v>
      </c>
      <c r="F1271" s="10">
        <f t="shared" si="19"/>
        <v>7000</v>
      </c>
    </row>
    <row r="1272" spans="1:6" x14ac:dyDescent="0.25">
      <c r="A1272" s="9"/>
      <c r="B1272" s="12"/>
      <c r="C1272" s="11">
        <v>30</v>
      </c>
      <c r="D1272" s="9" t="s">
        <v>223</v>
      </c>
      <c r="E1272" s="10">
        <v>135</v>
      </c>
      <c r="F1272" s="10">
        <f t="shared" si="19"/>
        <v>4050</v>
      </c>
    </row>
    <row r="1273" spans="1:6" x14ac:dyDescent="0.25">
      <c r="A1273" s="9"/>
      <c r="B1273" s="12"/>
      <c r="C1273" s="11"/>
      <c r="D1273" s="9"/>
      <c r="F1273" s="8">
        <f>SUM(F1271:F1272)</f>
        <v>11050</v>
      </c>
    </row>
    <row r="1274" spans="1:6" x14ac:dyDescent="0.25">
      <c r="A1274" s="9"/>
      <c r="B1274" s="12"/>
      <c r="C1274" s="11"/>
      <c r="D1274" s="9"/>
      <c r="F1274" s="10"/>
    </row>
    <row r="1275" spans="1:6" x14ac:dyDescent="0.25">
      <c r="A1275" s="9" t="s">
        <v>114</v>
      </c>
      <c r="B1275" s="12">
        <v>45708</v>
      </c>
      <c r="C1275" s="11">
        <v>4</v>
      </c>
      <c r="D1275" s="9" t="s">
        <v>13</v>
      </c>
      <c r="E1275" s="10">
        <v>150</v>
      </c>
      <c r="F1275" s="10">
        <f t="shared" si="19"/>
        <v>600</v>
      </c>
    </row>
    <row r="1276" spans="1:6" x14ac:dyDescent="0.25">
      <c r="A1276" s="9"/>
      <c r="B1276" s="12"/>
      <c r="C1276" s="11"/>
      <c r="D1276" s="9"/>
      <c r="F1276" s="8">
        <f>SUM(F1275)</f>
        <v>600</v>
      </c>
    </row>
    <row r="1277" spans="1:6" x14ac:dyDescent="0.25">
      <c r="A1277" s="9"/>
      <c r="B1277" s="12"/>
      <c r="C1277" s="11"/>
      <c r="D1277" s="9"/>
      <c r="F1277" s="10"/>
    </row>
    <row r="1278" spans="1:6" x14ac:dyDescent="0.25">
      <c r="A1278" s="9" t="s">
        <v>7</v>
      </c>
      <c r="B1278" s="12">
        <v>45708</v>
      </c>
      <c r="C1278" s="11">
        <v>3</v>
      </c>
      <c r="D1278" s="9" t="s">
        <v>13</v>
      </c>
      <c r="E1278" s="10">
        <v>150</v>
      </c>
      <c r="F1278" s="10">
        <f t="shared" si="19"/>
        <v>450</v>
      </c>
    </row>
    <row r="1279" spans="1:6" x14ac:dyDescent="0.25">
      <c r="A1279" s="9"/>
      <c r="B1279" s="12"/>
      <c r="C1279" s="11"/>
      <c r="D1279" s="9"/>
      <c r="F1279" s="8">
        <f>SUM(F1278)</f>
        <v>450</v>
      </c>
    </row>
    <row r="1280" spans="1:6" x14ac:dyDescent="0.25">
      <c r="A1280" s="9"/>
      <c r="B1280" s="12"/>
      <c r="C1280" s="11"/>
      <c r="D1280" s="9"/>
      <c r="F1280" s="10"/>
    </row>
    <row r="1281" spans="1:6" x14ac:dyDescent="0.25">
      <c r="A1281" s="9" t="s">
        <v>266</v>
      </c>
      <c r="B1281" s="12">
        <v>45708</v>
      </c>
      <c r="C1281" s="11">
        <v>30</v>
      </c>
      <c r="D1281" s="9" t="s">
        <v>8</v>
      </c>
      <c r="E1281" s="10">
        <v>155</v>
      </c>
      <c r="F1281" s="10">
        <f t="shared" si="19"/>
        <v>4650</v>
      </c>
    </row>
    <row r="1282" spans="1:6" x14ac:dyDescent="0.25">
      <c r="A1282" s="9"/>
      <c r="B1282" s="12"/>
      <c r="C1282" s="11">
        <v>20</v>
      </c>
      <c r="D1282" s="9" t="s">
        <v>13</v>
      </c>
      <c r="E1282" s="10">
        <v>145</v>
      </c>
      <c r="F1282" s="10">
        <f t="shared" si="19"/>
        <v>2900</v>
      </c>
    </row>
    <row r="1283" spans="1:6" x14ac:dyDescent="0.25">
      <c r="A1283" s="9"/>
      <c r="B1283" s="12"/>
      <c r="C1283" s="11">
        <v>30</v>
      </c>
      <c r="D1283" s="9" t="s">
        <v>267</v>
      </c>
      <c r="E1283" s="10">
        <v>135</v>
      </c>
      <c r="F1283" s="10">
        <f t="shared" si="19"/>
        <v>4050</v>
      </c>
    </row>
    <row r="1284" spans="1:6" x14ac:dyDescent="0.25">
      <c r="A1284" s="9"/>
      <c r="B1284" s="12"/>
      <c r="C1284" s="11">
        <v>10</v>
      </c>
      <c r="D1284" s="9" t="s">
        <v>49</v>
      </c>
      <c r="E1284" s="10">
        <v>145</v>
      </c>
      <c r="F1284" s="10">
        <f t="shared" si="19"/>
        <v>1450</v>
      </c>
    </row>
    <row r="1285" spans="1:6" x14ac:dyDescent="0.25">
      <c r="A1285" s="9"/>
      <c r="B1285" s="12"/>
      <c r="C1285" s="11">
        <v>20</v>
      </c>
      <c r="D1285" s="9" t="s">
        <v>14</v>
      </c>
      <c r="E1285" s="10">
        <v>135</v>
      </c>
      <c r="F1285" s="10">
        <f t="shared" si="19"/>
        <v>2700</v>
      </c>
    </row>
    <row r="1286" spans="1:6" x14ac:dyDescent="0.25">
      <c r="A1286" s="9"/>
      <c r="B1286" s="12"/>
      <c r="C1286" s="11">
        <v>20</v>
      </c>
      <c r="D1286" s="9" t="s">
        <v>11</v>
      </c>
      <c r="E1286" s="10">
        <v>125</v>
      </c>
      <c r="F1286" s="10">
        <f t="shared" si="19"/>
        <v>2500</v>
      </c>
    </row>
    <row r="1287" spans="1:6" x14ac:dyDescent="0.25">
      <c r="A1287" s="9"/>
      <c r="B1287" s="12"/>
      <c r="C1287" s="11"/>
      <c r="D1287" s="9"/>
      <c r="F1287" s="8">
        <f>SUM(F1281:F1286)</f>
        <v>18250</v>
      </c>
    </row>
    <row r="1288" spans="1:6" x14ac:dyDescent="0.25">
      <c r="A1288" s="9"/>
      <c r="B1288" s="12"/>
      <c r="C1288" s="11"/>
      <c r="D1288" s="9"/>
      <c r="F1288" s="10"/>
    </row>
    <row r="1289" spans="1:6" x14ac:dyDescent="0.25">
      <c r="A1289" s="9" t="s">
        <v>60</v>
      </c>
      <c r="B1289" s="12">
        <v>45708</v>
      </c>
      <c r="C1289" s="11">
        <v>15</v>
      </c>
      <c r="D1289" s="9" t="s">
        <v>13</v>
      </c>
      <c r="E1289" s="10">
        <v>145</v>
      </c>
      <c r="F1289" s="10">
        <f t="shared" si="19"/>
        <v>2175</v>
      </c>
    </row>
    <row r="1290" spans="1:6" x14ac:dyDescent="0.25">
      <c r="A1290" s="9"/>
      <c r="B1290" s="12"/>
      <c r="C1290" s="11">
        <v>10</v>
      </c>
      <c r="D1290" s="9" t="s">
        <v>13</v>
      </c>
      <c r="E1290" s="10">
        <v>145</v>
      </c>
      <c r="F1290" s="10">
        <f t="shared" si="19"/>
        <v>1450</v>
      </c>
    </row>
    <row r="1291" spans="1:6" x14ac:dyDescent="0.25">
      <c r="A1291" s="9"/>
      <c r="B1291" s="12"/>
      <c r="C1291" s="11"/>
      <c r="D1291" s="9"/>
      <c r="F1291" s="8">
        <f>SUM(F1289:F1290)</f>
        <v>3625</v>
      </c>
    </row>
    <row r="1292" spans="1:6" x14ac:dyDescent="0.25">
      <c r="A1292" s="9"/>
      <c r="B1292" s="12"/>
      <c r="C1292" s="11"/>
      <c r="D1292" s="9"/>
      <c r="F1292" s="10"/>
    </row>
    <row r="1293" spans="1:6" x14ac:dyDescent="0.25">
      <c r="A1293" s="9" t="s">
        <v>112</v>
      </c>
      <c r="B1293" s="12">
        <v>45708</v>
      </c>
      <c r="C1293" s="11">
        <v>60</v>
      </c>
      <c r="D1293" s="9" t="s">
        <v>14</v>
      </c>
      <c r="E1293" s="10">
        <v>125</v>
      </c>
      <c r="F1293" s="10">
        <f t="shared" si="19"/>
        <v>7500</v>
      </c>
    </row>
    <row r="1294" spans="1:6" x14ac:dyDescent="0.25">
      <c r="A1294" s="9"/>
      <c r="B1294" s="12"/>
      <c r="C1294" s="11">
        <v>10</v>
      </c>
      <c r="D1294" s="9" t="s">
        <v>11</v>
      </c>
      <c r="E1294" s="10">
        <v>120</v>
      </c>
      <c r="F1294" s="10">
        <f t="shared" si="19"/>
        <v>1200</v>
      </c>
    </row>
    <row r="1295" spans="1:6" x14ac:dyDescent="0.25">
      <c r="A1295" s="9"/>
      <c r="B1295" s="12"/>
      <c r="C1295" s="11"/>
      <c r="D1295" s="9"/>
      <c r="F1295" s="8">
        <f>SUM(F1293:F1294)</f>
        <v>8700</v>
      </c>
    </row>
    <row r="1296" spans="1:6" x14ac:dyDescent="0.25">
      <c r="A1296" s="9"/>
      <c r="B1296" s="12"/>
      <c r="C1296" s="11"/>
      <c r="D1296" s="9"/>
      <c r="F1296" s="10"/>
    </row>
    <row r="1297" spans="1:6" x14ac:dyDescent="0.25">
      <c r="A1297" s="9" t="s">
        <v>32</v>
      </c>
      <c r="B1297" s="12">
        <v>45708</v>
      </c>
      <c r="C1297" s="11">
        <v>40</v>
      </c>
      <c r="D1297" s="9" t="s">
        <v>13</v>
      </c>
      <c r="E1297" s="10">
        <v>150</v>
      </c>
      <c r="F1297" s="10">
        <f t="shared" si="19"/>
        <v>6000</v>
      </c>
    </row>
    <row r="1298" spans="1:6" x14ac:dyDescent="0.25">
      <c r="A1298" s="9"/>
      <c r="B1298" s="12"/>
      <c r="C1298" s="11"/>
      <c r="D1298" s="9"/>
      <c r="F1298" s="8">
        <f>SUM(F1297)</f>
        <v>6000</v>
      </c>
    </row>
    <row r="1299" spans="1:6" x14ac:dyDescent="0.25">
      <c r="A1299" s="9"/>
      <c r="B1299" s="12"/>
      <c r="C1299" s="11"/>
      <c r="D1299" s="9"/>
      <c r="F1299" s="10"/>
    </row>
    <row r="1300" spans="1:6" x14ac:dyDescent="0.25">
      <c r="A1300" s="9" t="s">
        <v>268</v>
      </c>
      <c r="B1300" s="12">
        <v>45708</v>
      </c>
      <c r="C1300" s="11">
        <v>5</v>
      </c>
      <c r="D1300" s="9" t="s">
        <v>13</v>
      </c>
      <c r="E1300" s="10">
        <v>150</v>
      </c>
      <c r="F1300" s="10">
        <f t="shared" si="19"/>
        <v>750</v>
      </c>
    </row>
    <row r="1301" spans="1:6" x14ac:dyDescent="0.25">
      <c r="A1301" s="9"/>
      <c r="B1301" s="12"/>
      <c r="C1301" s="11"/>
      <c r="D1301" s="9"/>
      <c r="F1301" s="8">
        <f>SUM(F1300)</f>
        <v>750</v>
      </c>
    </row>
    <row r="1302" spans="1:6" x14ac:dyDescent="0.25">
      <c r="A1302" s="9"/>
      <c r="B1302" s="12"/>
      <c r="C1302" s="11"/>
      <c r="D1302" s="9"/>
      <c r="F1302" s="10"/>
    </row>
    <row r="1303" spans="1:6" x14ac:dyDescent="0.25">
      <c r="A1303" s="9" t="s">
        <v>29</v>
      </c>
      <c r="B1303" s="12">
        <v>45708</v>
      </c>
      <c r="C1303" s="11">
        <v>1</v>
      </c>
      <c r="D1303" s="9" t="s">
        <v>12</v>
      </c>
      <c r="E1303" s="10">
        <v>150</v>
      </c>
      <c r="F1303" s="10">
        <f t="shared" si="19"/>
        <v>150</v>
      </c>
    </row>
    <row r="1304" spans="1:6" x14ac:dyDescent="0.25">
      <c r="A1304" s="9"/>
      <c r="B1304" s="12"/>
      <c r="C1304" s="11">
        <v>5</v>
      </c>
      <c r="D1304" s="9" t="s">
        <v>13</v>
      </c>
      <c r="E1304" s="10">
        <v>150</v>
      </c>
      <c r="F1304" s="10">
        <f t="shared" si="19"/>
        <v>750</v>
      </c>
    </row>
    <row r="1305" spans="1:6" x14ac:dyDescent="0.25">
      <c r="A1305" s="9"/>
      <c r="B1305" s="12"/>
      <c r="C1305" s="11">
        <v>5</v>
      </c>
      <c r="D1305" s="9" t="s">
        <v>13</v>
      </c>
      <c r="E1305" s="10">
        <v>150</v>
      </c>
      <c r="F1305" s="10">
        <f t="shared" ref="F1305:F1366" si="20">+C1305*E1305</f>
        <v>750</v>
      </c>
    </row>
    <row r="1306" spans="1:6" x14ac:dyDescent="0.25">
      <c r="A1306" s="9"/>
      <c r="B1306" s="12"/>
      <c r="C1306" s="11">
        <v>6</v>
      </c>
      <c r="D1306" s="9" t="s">
        <v>13</v>
      </c>
      <c r="E1306" s="10">
        <v>150</v>
      </c>
      <c r="F1306" s="10">
        <f t="shared" si="20"/>
        <v>900</v>
      </c>
    </row>
    <row r="1307" spans="1:6" x14ac:dyDescent="0.25">
      <c r="A1307" s="9"/>
      <c r="B1307" s="12"/>
      <c r="C1307" s="11">
        <v>2</v>
      </c>
      <c r="D1307" s="9" t="s">
        <v>12</v>
      </c>
      <c r="E1307" s="10">
        <v>145</v>
      </c>
      <c r="F1307" s="10">
        <f t="shared" si="20"/>
        <v>290</v>
      </c>
    </row>
    <row r="1308" spans="1:6" x14ac:dyDescent="0.25">
      <c r="A1308" s="9"/>
      <c r="B1308" s="12"/>
      <c r="C1308" s="11">
        <v>2</v>
      </c>
      <c r="D1308" s="9" t="s">
        <v>8</v>
      </c>
      <c r="E1308" s="10">
        <v>170</v>
      </c>
      <c r="F1308" s="10">
        <f t="shared" si="20"/>
        <v>340</v>
      </c>
    </row>
    <row r="1309" spans="1:6" x14ac:dyDescent="0.25">
      <c r="A1309" s="9"/>
      <c r="B1309" s="12"/>
      <c r="C1309" s="11"/>
      <c r="D1309" s="9"/>
      <c r="F1309" s="8">
        <f>SUM(F1303:F1308)</f>
        <v>3180</v>
      </c>
    </row>
    <row r="1310" spans="1:6" x14ac:dyDescent="0.25">
      <c r="A1310" s="9"/>
      <c r="B1310" s="12"/>
      <c r="C1310" s="11"/>
      <c r="D1310" s="9"/>
      <c r="F1310" s="10"/>
    </row>
    <row r="1311" spans="1:6" x14ac:dyDescent="0.25">
      <c r="A1311" s="9" t="s">
        <v>181</v>
      </c>
      <c r="B1311" s="12">
        <v>45708</v>
      </c>
      <c r="C1311" s="11">
        <v>2</v>
      </c>
      <c r="D1311" s="9" t="s">
        <v>13</v>
      </c>
      <c r="E1311" s="10">
        <v>160</v>
      </c>
      <c r="F1311" s="10">
        <f t="shared" si="20"/>
        <v>320</v>
      </c>
    </row>
    <row r="1312" spans="1:6" x14ac:dyDescent="0.25">
      <c r="A1312" s="9"/>
      <c r="B1312" s="12"/>
      <c r="C1312" s="11">
        <v>5</v>
      </c>
      <c r="D1312" s="9" t="s">
        <v>269</v>
      </c>
      <c r="E1312" s="10">
        <v>150</v>
      </c>
      <c r="F1312" s="10">
        <f t="shared" si="20"/>
        <v>750</v>
      </c>
    </row>
    <row r="1313" spans="1:6" x14ac:dyDescent="0.25">
      <c r="A1313" s="9"/>
      <c r="B1313" s="12"/>
      <c r="C1313" s="11">
        <v>4</v>
      </c>
      <c r="D1313" s="9" t="s">
        <v>13</v>
      </c>
      <c r="E1313" s="10">
        <v>150</v>
      </c>
      <c r="F1313" s="10">
        <f t="shared" si="20"/>
        <v>600</v>
      </c>
    </row>
    <row r="1314" spans="1:6" x14ac:dyDescent="0.25">
      <c r="A1314" s="9"/>
      <c r="B1314" s="12"/>
      <c r="C1314" s="11">
        <v>9</v>
      </c>
      <c r="D1314" s="9" t="s">
        <v>9</v>
      </c>
      <c r="E1314" s="10">
        <v>3.3332999999999999</v>
      </c>
      <c r="F1314" s="10">
        <f t="shared" si="20"/>
        <v>29.999700000000001</v>
      </c>
    </row>
    <row r="1315" spans="1:6" x14ac:dyDescent="0.25">
      <c r="A1315" s="9"/>
      <c r="B1315" s="12"/>
      <c r="C1315" s="11">
        <v>10</v>
      </c>
      <c r="D1315" s="9" t="s">
        <v>13</v>
      </c>
      <c r="E1315" s="10">
        <v>150</v>
      </c>
      <c r="F1315" s="10">
        <f t="shared" si="20"/>
        <v>1500</v>
      </c>
    </row>
    <row r="1316" spans="1:6" x14ac:dyDescent="0.25">
      <c r="A1316" s="9"/>
      <c r="B1316" s="12"/>
      <c r="C1316" s="11">
        <v>4</v>
      </c>
      <c r="D1316" s="9" t="s">
        <v>8</v>
      </c>
      <c r="E1316" s="10">
        <v>170</v>
      </c>
      <c r="F1316" s="10">
        <f t="shared" si="20"/>
        <v>680</v>
      </c>
    </row>
    <row r="1317" spans="1:6" x14ac:dyDescent="0.25">
      <c r="A1317" s="9"/>
      <c r="B1317" s="12"/>
      <c r="C1317" s="11"/>
      <c r="D1317" s="9"/>
      <c r="F1317" s="8">
        <f>SUM(F1311:F1316)</f>
        <v>3879.9997000000003</v>
      </c>
    </row>
    <row r="1318" spans="1:6" x14ac:dyDescent="0.25">
      <c r="A1318" s="9"/>
      <c r="B1318" s="12"/>
      <c r="C1318" s="11"/>
      <c r="D1318" s="9"/>
      <c r="F1318" s="10"/>
    </row>
    <row r="1319" spans="1:6" x14ac:dyDescent="0.25">
      <c r="A1319" s="9" t="s">
        <v>270</v>
      </c>
      <c r="B1319" s="12">
        <v>45709</v>
      </c>
      <c r="C1319" s="11">
        <v>10</v>
      </c>
      <c r="D1319" s="9" t="s">
        <v>36</v>
      </c>
      <c r="E1319" s="10">
        <v>100</v>
      </c>
      <c r="F1319" s="10">
        <f t="shared" si="20"/>
        <v>1000</v>
      </c>
    </row>
    <row r="1320" spans="1:6" x14ac:dyDescent="0.25">
      <c r="A1320" s="9"/>
      <c r="B1320" s="12"/>
      <c r="C1320" s="11"/>
      <c r="D1320" s="9"/>
      <c r="F1320" s="8">
        <f>SUM(F1319)</f>
        <v>1000</v>
      </c>
    </row>
    <row r="1321" spans="1:6" x14ac:dyDescent="0.25">
      <c r="A1321" s="9"/>
      <c r="B1321" s="12"/>
      <c r="C1321" s="11"/>
      <c r="D1321" s="9"/>
      <c r="F1321" s="10"/>
    </row>
    <row r="1322" spans="1:6" x14ac:dyDescent="0.25">
      <c r="A1322" s="9" t="s">
        <v>271</v>
      </c>
      <c r="B1322" s="12">
        <v>45709</v>
      </c>
      <c r="C1322" s="11">
        <v>32</v>
      </c>
      <c r="D1322" s="9" t="s">
        <v>36</v>
      </c>
      <c r="E1322" s="10">
        <v>85</v>
      </c>
      <c r="F1322" s="10">
        <f t="shared" si="20"/>
        <v>2720</v>
      </c>
    </row>
    <row r="1323" spans="1:6" x14ac:dyDescent="0.25">
      <c r="A1323" s="9"/>
      <c r="B1323" s="12"/>
      <c r="C1323" s="11"/>
      <c r="D1323" s="9"/>
      <c r="F1323" s="8">
        <f>SUM(F1322)</f>
        <v>2720</v>
      </c>
    </row>
    <row r="1324" spans="1:6" x14ac:dyDescent="0.25">
      <c r="A1324" s="9"/>
      <c r="B1324" s="12"/>
      <c r="C1324" s="11"/>
      <c r="D1324" s="9"/>
      <c r="F1324" s="10"/>
    </row>
    <row r="1325" spans="1:6" x14ac:dyDescent="0.25">
      <c r="A1325" s="9" t="s">
        <v>40</v>
      </c>
      <c r="B1325" s="12">
        <v>45709</v>
      </c>
      <c r="C1325" s="11">
        <v>19</v>
      </c>
      <c r="D1325" s="9" t="s">
        <v>13</v>
      </c>
      <c r="E1325" s="10">
        <v>140</v>
      </c>
      <c r="F1325" s="10">
        <f t="shared" si="20"/>
        <v>2660</v>
      </c>
    </row>
    <row r="1326" spans="1:6" x14ac:dyDescent="0.25">
      <c r="A1326" s="9"/>
      <c r="B1326" s="12"/>
      <c r="C1326" s="11">
        <v>13</v>
      </c>
      <c r="D1326" s="9" t="s">
        <v>12</v>
      </c>
      <c r="E1326" s="10">
        <v>130</v>
      </c>
      <c r="F1326" s="10">
        <f t="shared" si="20"/>
        <v>1690</v>
      </c>
    </row>
    <row r="1327" spans="1:6" x14ac:dyDescent="0.25">
      <c r="A1327" s="9"/>
      <c r="B1327" s="12"/>
      <c r="C1327" s="11">
        <v>10</v>
      </c>
      <c r="D1327" s="9" t="s">
        <v>11</v>
      </c>
      <c r="E1327" s="10">
        <v>125</v>
      </c>
      <c r="F1327" s="10">
        <f t="shared" si="20"/>
        <v>1250</v>
      </c>
    </row>
    <row r="1328" spans="1:6" x14ac:dyDescent="0.25">
      <c r="A1328" s="9"/>
      <c r="B1328" s="12"/>
      <c r="C1328" s="11"/>
      <c r="D1328" s="9"/>
      <c r="F1328" s="8">
        <f>SUM(F1325:F1327)</f>
        <v>5600</v>
      </c>
    </row>
    <row r="1329" spans="1:6" x14ac:dyDescent="0.25">
      <c r="A1329" s="9"/>
      <c r="B1329" s="12"/>
      <c r="C1329" s="11"/>
      <c r="D1329" s="9"/>
      <c r="F1329" s="10"/>
    </row>
    <row r="1330" spans="1:6" x14ac:dyDescent="0.25">
      <c r="A1330" s="9" t="s">
        <v>272</v>
      </c>
      <c r="B1330" s="12">
        <v>45709</v>
      </c>
      <c r="C1330" s="11">
        <v>10</v>
      </c>
      <c r="D1330" s="9" t="s">
        <v>13</v>
      </c>
      <c r="E1330" s="10">
        <v>145</v>
      </c>
      <c r="F1330" s="10">
        <f t="shared" si="20"/>
        <v>1450</v>
      </c>
    </row>
    <row r="1331" spans="1:6" x14ac:dyDescent="0.25">
      <c r="A1331" s="9"/>
      <c r="B1331" s="12"/>
      <c r="C1331" s="11"/>
      <c r="D1331" s="9"/>
      <c r="F1331" s="8">
        <f>SUM(F1330)</f>
        <v>1450</v>
      </c>
    </row>
    <row r="1332" spans="1:6" x14ac:dyDescent="0.25">
      <c r="A1332" s="9"/>
      <c r="B1332" s="12"/>
      <c r="C1332" s="11"/>
      <c r="D1332" s="9"/>
      <c r="F1332" s="10"/>
    </row>
    <row r="1333" spans="1:6" x14ac:dyDescent="0.25">
      <c r="A1333" s="9" t="s">
        <v>106</v>
      </c>
      <c r="B1333" s="12">
        <v>45709</v>
      </c>
      <c r="C1333" s="11">
        <v>40</v>
      </c>
      <c r="D1333" s="9" t="s">
        <v>12</v>
      </c>
      <c r="E1333" s="10">
        <v>135</v>
      </c>
      <c r="F1333" s="10">
        <f t="shared" si="20"/>
        <v>5400</v>
      </c>
    </row>
    <row r="1334" spans="1:6" x14ac:dyDescent="0.25">
      <c r="A1334" s="9"/>
      <c r="B1334" s="12"/>
      <c r="C1334" s="11"/>
      <c r="D1334" s="9"/>
      <c r="F1334" s="8">
        <f>SUM(F1333)</f>
        <v>5400</v>
      </c>
    </row>
    <row r="1335" spans="1:6" x14ac:dyDescent="0.25">
      <c r="A1335" s="9"/>
      <c r="B1335" s="12"/>
      <c r="C1335" s="11"/>
      <c r="D1335" s="9"/>
      <c r="F1335" s="10"/>
    </row>
    <row r="1336" spans="1:6" x14ac:dyDescent="0.25">
      <c r="A1336" s="9" t="s">
        <v>41</v>
      </c>
      <c r="B1336" s="12">
        <v>45709</v>
      </c>
      <c r="C1336" s="11">
        <v>30</v>
      </c>
      <c r="D1336" s="9" t="s">
        <v>14</v>
      </c>
      <c r="E1336" s="10">
        <v>135</v>
      </c>
      <c r="F1336" s="10">
        <f t="shared" si="20"/>
        <v>4050</v>
      </c>
    </row>
    <row r="1337" spans="1:6" x14ac:dyDescent="0.25">
      <c r="A1337" s="9"/>
      <c r="B1337" s="12"/>
      <c r="C1337" s="11"/>
      <c r="D1337" s="9"/>
      <c r="F1337" s="8">
        <f>SUM(F1336)</f>
        <v>4050</v>
      </c>
    </row>
    <row r="1338" spans="1:6" x14ac:dyDescent="0.25">
      <c r="A1338" s="9"/>
      <c r="B1338" s="12"/>
      <c r="C1338" s="11"/>
      <c r="D1338" s="9"/>
      <c r="F1338" s="10"/>
    </row>
    <row r="1339" spans="1:6" x14ac:dyDescent="0.25">
      <c r="A1339" s="9" t="s">
        <v>43</v>
      </c>
      <c r="B1339" s="12">
        <v>45709</v>
      </c>
      <c r="C1339" s="11">
        <v>30</v>
      </c>
      <c r="D1339" s="9" t="s">
        <v>14</v>
      </c>
      <c r="E1339" s="10">
        <v>125</v>
      </c>
      <c r="F1339" s="10">
        <f t="shared" si="20"/>
        <v>3750</v>
      </c>
    </row>
    <row r="1340" spans="1:6" x14ac:dyDescent="0.25">
      <c r="A1340" s="9"/>
      <c r="B1340" s="12"/>
      <c r="C1340" s="11"/>
      <c r="D1340" s="9"/>
      <c r="F1340" s="8">
        <f>SUM(F1339)</f>
        <v>3750</v>
      </c>
    </row>
    <row r="1341" spans="1:6" x14ac:dyDescent="0.25">
      <c r="A1341" s="9"/>
      <c r="B1341" s="12"/>
      <c r="C1341" s="11"/>
      <c r="D1341" s="9"/>
      <c r="F1341" s="10"/>
    </row>
    <row r="1342" spans="1:6" x14ac:dyDescent="0.25">
      <c r="A1342" s="9" t="s">
        <v>44</v>
      </c>
      <c r="B1342" s="12">
        <v>45709</v>
      </c>
      <c r="C1342" s="11">
        <v>70</v>
      </c>
      <c r="D1342" s="9" t="s">
        <v>14</v>
      </c>
      <c r="E1342" s="10">
        <v>125</v>
      </c>
      <c r="F1342" s="10">
        <f t="shared" si="20"/>
        <v>8750</v>
      </c>
    </row>
    <row r="1343" spans="1:6" x14ac:dyDescent="0.25">
      <c r="A1343" s="9"/>
      <c r="B1343" s="12"/>
      <c r="C1343" s="11"/>
      <c r="D1343" s="9"/>
      <c r="F1343" s="8">
        <f>SUM(F1342)</f>
        <v>8750</v>
      </c>
    </row>
    <row r="1344" spans="1:6" x14ac:dyDescent="0.25">
      <c r="A1344" s="9"/>
      <c r="B1344" s="12"/>
      <c r="C1344" s="11"/>
      <c r="D1344" s="9"/>
      <c r="F1344" s="10"/>
    </row>
    <row r="1345" spans="1:6" x14ac:dyDescent="0.25">
      <c r="A1345" s="9" t="s">
        <v>18</v>
      </c>
      <c r="B1345" s="12">
        <v>45709</v>
      </c>
      <c r="C1345" s="11">
        <v>40</v>
      </c>
      <c r="D1345" s="9" t="s">
        <v>14</v>
      </c>
      <c r="E1345" s="10">
        <v>125</v>
      </c>
      <c r="F1345" s="10">
        <f t="shared" si="20"/>
        <v>5000</v>
      </c>
    </row>
    <row r="1346" spans="1:6" x14ac:dyDescent="0.25">
      <c r="A1346" s="9"/>
      <c r="B1346" s="12"/>
      <c r="C1346" s="11"/>
      <c r="D1346" s="9"/>
      <c r="F1346" s="8">
        <f>SUM(F1345)</f>
        <v>5000</v>
      </c>
    </row>
    <row r="1347" spans="1:6" x14ac:dyDescent="0.25">
      <c r="A1347" s="9"/>
      <c r="B1347" s="12"/>
      <c r="C1347" s="11"/>
      <c r="D1347" s="9"/>
      <c r="F1347" s="10"/>
    </row>
    <row r="1348" spans="1:6" x14ac:dyDescent="0.25">
      <c r="A1348" s="9" t="s">
        <v>42</v>
      </c>
      <c r="B1348" s="12">
        <v>45709</v>
      </c>
      <c r="C1348" s="11">
        <v>10</v>
      </c>
      <c r="D1348" s="9" t="s">
        <v>14</v>
      </c>
      <c r="E1348" s="10">
        <v>125</v>
      </c>
      <c r="F1348" s="10">
        <f t="shared" si="20"/>
        <v>1250</v>
      </c>
    </row>
    <row r="1349" spans="1:6" x14ac:dyDescent="0.25">
      <c r="A1349" s="9"/>
      <c r="B1349" s="12"/>
      <c r="C1349" s="11"/>
      <c r="D1349" s="9"/>
      <c r="F1349" s="8">
        <f>SUM(F1348)</f>
        <v>1250</v>
      </c>
    </row>
    <row r="1350" spans="1:6" x14ac:dyDescent="0.25">
      <c r="A1350" s="9"/>
      <c r="B1350" s="12"/>
      <c r="C1350" s="11"/>
      <c r="D1350" s="9"/>
      <c r="F1350" s="10"/>
    </row>
    <row r="1351" spans="1:6" x14ac:dyDescent="0.25">
      <c r="A1351" s="9" t="s">
        <v>46</v>
      </c>
      <c r="B1351" s="12">
        <v>45709</v>
      </c>
      <c r="C1351" s="11">
        <v>20</v>
      </c>
      <c r="D1351" s="9" t="s">
        <v>14</v>
      </c>
      <c r="E1351" s="10">
        <v>130</v>
      </c>
      <c r="F1351" s="10">
        <f t="shared" si="20"/>
        <v>2600</v>
      </c>
    </row>
    <row r="1352" spans="1:6" x14ac:dyDescent="0.25">
      <c r="A1352" s="9"/>
      <c r="B1352" s="12"/>
      <c r="C1352" s="11"/>
      <c r="D1352" s="9"/>
      <c r="F1352" s="8">
        <f>SUM(F1351)</f>
        <v>2600</v>
      </c>
    </row>
    <row r="1353" spans="1:6" x14ac:dyDescent="0.25">
      <c r="A1353" s="9"/>
      <c r="B1353" s="12"/>
      <c r="C1353" s="11"/>
      <c r="D1353" s="9"/>
      <c r="F1353" s="10"/>
    </row>
    <row r="1354" spans="1:6" x14ac:dyDescent="0.25">
      <c r="A1354" s="9" t="s">
        <v>47</v>
      </c>
      <c r="B1354" s="12">
        <v>45709</v>
      </c>
      <c r="C1354" s="11">
        <v>10</v>
      </c>
      <c r="D1354" s="9" t="s">
        <v>12</v>
      </c>
      <c r="E1354" s="10">
        <v>140</v>
      </c>
      <c r="F1354" s="10">
        <f t="shared" si="20"/>
        <v>1400</v>
      </c>
    </row>
    <row r="1355" spans="1:6" x14ac:dyDescent="0.25">
      <c r="A1355" s="9"/>
      <c r="B1355" s="12"/>
      <c r="C1355" s="11"/>
      <c r="D1355" s="9"/>
      <c r="F1355" s="8">
        <f>SUM(F1354)</f>
        <v>1400</v>
      </c>
    </row>
    <row r="1356" spans="1:6" x14ac:dyDescent="0.25">
      <c r="A1356" s="9"/>
      <c r="B1356" s="12"/>
      <c r="C1356" s="11"/>
      <c r="D1356" s="9"/>
      <c r="F1356" s="10"/>
    </row>
    <row r="1357" spans="1:6" x14ac:dyDescent="0.25">
      <c r="A1357" s="9" t="s">
        <v>273</v>
      </c>
      <c r="B1357" s="12">
        <v>45709</v>
      </c>
      <c r="C1357" s="11">
        <v>20</v>
      </c>
      <c r="D1357" s="9" t="s">
        <v>14</v>
      </c>
      <c r="E1357" s="10">
        <v>125</v>
      </c>
      <c r="F1357" s="10">
        <f t="shared" si="20"/>
        <v>2500</v>
      </c>
    </row>
    <row r="1358" spans="1:6" x14ac:dyDescent="0.25">
      <c r="A1358" s="9"/>
      <c r="B1358" s="12"/>
      <c r="C1358" s="11"/>
      <c r="D1358" s="9"/>
      <c r="F1358" s="8">
        <f>SUM(F1357)</f>
        <v>2500</v>
      </c>
    </row>
    <row r="1359" spans="1:6" x14ac:dyDescent="0.25">
      <c r="A1359" s="9"/>
      <c r="B1359" s="12"/>
      <c r="C1359" s="11"/>
      <c r="D1359" s="9"/>
      <c r="F1359" s="10"/>
    </row>
    <row r="1360" spans="1:6" x14ac:dyDescent="0.25">
      <c r="A1360" s="9" t="s">
        <v>146</v>
      </c>
      <c r="B1360" s="12">
        <v>45709</v>
      </c>
      <c r="C1360" s="11">
        <v>15</v>
      </c>
      <c r="D1360" s="9" t="s">
        <v>14</v>
      </c>
      <c r="E1360" s="10">
        <v>125</v>
      </c>
      <c r="F1360" s="10">
        <f t="shared" si="20"/>
        <v>1875</v>
      </c>
    </row>
    <row r="1361" spans="1:6" x14ac:dyDescent="0.25">
      <c r="A1361" s="9"/>
      <c r="B1361" s="12"/>
      <c r="C1361" s="11"/>
      <c r="D1361" s="9"/>
      <c r="F1361" s="8">
        <f>SUM(F1360)</f>
        <v>1875</v>
      </c>
    </row>
    <row r="1362" spans="1:6" x14ac:dyDescent="0.25">
      <c r="A1362" s="9"/>
      <c r="B1362" s="12"/>
      <c r="C1362" s="11"/>
      <c r="D1362" s="9"/>
      <c r="F1362" s="10"/>
    </row>
    <row r="1363" spans="1:6" x14ac:dyDescent="0.25">
      <c r="A1363" s="9" t="s">
        <v>116</v>
      </c>
      <c r="B1363" s="12">
        <v>45709</v>
      </c>
      <c r="C1363" s="11">
        <v>100</v>
      </c>
      <c r="D1363" s="9" t="s">
        <v>98</v>
      </c>
      <c r="F1363" s="10">
        <f t="shared" si="20"/>
        <v>0</v>
      </c>
    </row>
    <row r="1364" spans="1:6" x14ac:dyDescent="0.25">
      <c r="A1364" s="9"/>
      <c r="B1364" s="12"/>
      <c r="C1364" s="11"/>
      <c r="D1364" s="9"/>
      <c r="F1364" s="8">
        <f>SUM(F1363)</f>
        <v>0</v>
      </c>
    </row>
    <row r="1365" spans="1:6" x14ac:dyDescent="0.25">
      <c r="A1365" s="9"/>
      <c r="B1365" s="12"/>
      <c r="C1365" s="11"/>
      <c r="D1365" s="9"/>
      <c r="F1365" s="10"/>
    </row>
    <row r="1366" spans="1:6" x14ac:dyDescent="0.25">
      <c r="A1366" s="9" t="s">
        <v>28</v>
      </c>
      <c r="B1366" s="12">
        <v>45709</v>
      </c>
      <c r="C1366" s="11">
        <v>150</v>
      </c>
      <c r="D1366" s="9" t="s">
        <v>14</v>
      </c>
      <c r="F1366" s="10">
        <f t="shared" si="20"/>
        <v>0</v>
      </c>
    </row>
    <row r="1367" spans="1:6" x14ac:dyDescent="0.25">
      <c r="A1367" s="9"/>
      <c r="B1367" s="12"/>
      <c r="C1367" s="11"/>
      <c r="D1367" s="9"/>
      <c r="F1367" s="8">
        <f>SUM(F1366)</f>
        <v>0</v>
      </c>
    </row>
    <row r="1368" spans="1:6" x14ac:dyDescent="0.25">
      <c r="A1368" s="9"/>
      <c r="B1368" s="12"/>
      <c r="C1368" s="11"/>
      <c r="D1368" s="9"/>
      <c r="F1368" s="10"/>
    </row>
    <row r="1369" spans="1:6" x14ac:dyDescent="0.25">
      <c r="A1369" s="9" t="s">
        <v>66</v>
      </c>
      <c r="B1369" s="12">
        <v>45709</v>
      </c>
      <c r="C1369" s="11">
        <v>20</v>
      </c>
      <c r="D1369" s="9" t="s">
        <v>8</v>
      </c>
      <c r="E1369" s="10">
        <v>155</v>
      </c>
      <c r="F1369" s="10">
        <f t="shared" ref="F1369:F1436" si="21">+C1369*E1369</f>
        <v>3100</v>
      </c>
    </row>
    <row r="1370" spans="1:6" x14ac:dyDescent="0.25">
      <c r="A1370" s="9"/>
      <c r="B1370" s="12"/>
      <c r="C1370" s="11"/>
      <c r="D1370" s="9"/>
      <c r="F1370" s="8">
        <f>SUM(F1369)</f>
        <v>3100</v>
      </c>
    </row>
    <row r="1371" spans="1:6" x14ac:dyDescent="0.25">
      <c r="A1371" s="9"/>
      <c r="B1371" s="12"/>
      <c r="C1371" s="11"/>
      <c r="D1371" s="9"/>
      <c r="F1371" s="10"/>
    </row>
    <row r="1372" spans="1:6" x14ac:dyDescent="0.25">
      <c r="A1372" s="9" t="s">
        <v>117</v>
      </c>
      <c r="B1372" s="12">
        <v>45709</v>
      </c>
      <c r="C1372" s="11">
        <v>5</v>
      </c>
      <c r="D1372" s="9" t="s">
        <v>13</v>
      </c>
      <c r="E1372" s="10">
        <v>155</v>
      </c>
      <c r="F1372" s="10">
        <f t="shared" si="21"/>
        <v>775</v>
      </c>
    </row>
    <row r="1373" spans="1:6" x14ac:dyDescent="0.25">
      <c r="A1373" s="9"/>
      <c r="B1373" s="12"/>
      <c r="C1373" s="11"/>
      <c r="D1373" s="9"/>
      <c r="F1373" s="8">
        <f>SUM(F1372)</f>
        <v>775</v>
      </c>
    </row>
    <row r="1374" spans="1:6" x14ac:dyDescent="0.25">
      <c r="A1374" s="9"/>
      <c r="B1374" s="12"/>
      <c r="C1374" s="11"/>
      <c r="D1374" s="9"/>
      <c r="F1374" s="10"/>
    </row>
    <row r="1375" spans="1:6" x14ac:dyDescent="0.25">
      <c r="A1375" s="9" t="s">
        <v>167</v>
      </c>
      <c r="B1375" s="12">
        <v>45709</v>
      </c>
      <c r="C1375" s="11">
        <v>6</v>
      </c>
      <c r="D1375" s="9" t="s">
        <v>14</v>
      </c>
      <c r="E1375" s="10">
        <v>135</v>
      </c>
      <c r="F1375" s="10">
        <f t="shared" si="21"/>
        <v>810</v>
      </c>
    </row>
    <row r="1376" spans="1:6" x14ac:dyDescent="0.25">
      <c r="A1376" s="9"/>
      <c r="B1376" s="12"/>
      <c r="C1376" s="11">
        <v>5</v>
      </c>
      <c r="D1376" s="9" t="s">
        <v>13</v>
      </c>
      <c r="E1376" s="10">
        <v>130</v>
      </c>
      <c r="F1376" s="10">
        <f t="shared" si="21"/>
        <v>650</v>
      </c>
    </row>
    <row r="1377" spans="1:6" x14ac:dyDescent="0.25">
      <c r="A1377" s="9"/>
      <c r="B1377" s="12"/>
      <c r="C1377" s="11"/>
      <c r="D1377" s="9"/>
      <c r="F1377" s="8">
        <f>SUM(F1375:F1376)</f>
        <v>1460</v>
      </c>
    </row>
    <row r="1378" spans="1:6" x14ac:dyDescent="0.25">
      <c r="A1378" s="9"/>
      <c r="B1378" s="12"/>
      <c r="C1378" s="11"/>
      <c r="D1378" s="9"/>
      <c r="F1378" s="10"/>
    </row>
    <row r="1379" spans="1:6" x14ac:dyDescent="0.25">
      <c r="A1379" s="9" t="s">
        <v>245</v>
      </c>
      <c r="B1379" s="12">
        <v>45709</v>
      </c>
      <c r="C1379" s="11">
        <v>100</v>
      </c>
      <c r="D1379" s="9" t="s">
        <v>13</v>
      </c>
      <c r="E1379" s="10">
        <v>140</v>
      </c>
      <c r="F1379" s="10">
        <f t="shared" si="21"/>
        <v>14000</v>
      </c>
    </row>
    <row r="1380" spans="1:6" x14ac:dyDescent="0.25">
      <c r="A1380" s="9"/>
      <c r="B1380" s="12"/>
      <c r="C1380" s="11">
        <v>20</v>
      </c>
      <c r="D1380" s="9" t="s">
        <v>14</v>
      </c>
      <c r="E1380" s="10">
        <v>135</v>
      </c>
      <c r="F1380" s="10">
        <f t="shared" si="21"/>
        <v>2700</v>
      </c>
    </row>
    <row r="1381" spans="1:6" x14ac:dyDescent="0.25">
      <c r="A1381" s="9"/>
      <c r="B1381" s="12"/>
      <c r="C1381" s="11"/>
      <c r="D1381" s="9"/>
      <c r="F1381" s="8">
        <f>SUM(F1379:F1380)</f>
        <v>16700</v>
      </c>
    </row>
    <row r="1382" spans="1:6" x14ac:dyDescent="0.25">
      <c r="A1382" s="9"/>
      <c r="B1382" s="12"/>
      <c r="C1382" s="11"/>
      <c r="D1382" s="9"/>
      <c r="F1382" s="10"/>
    </row>
    <row r="1383" spans="1:6" x14ac:dyDescent="0.25">
      <c r="A1383" s="9" t="s">
        <v>113</v>
      </c>
      <c r="B1383" s="12">
        <v>45709</v>
      </c>
      <c r="C1383" s="11">
        <v>20</v>
      </c>
      <c r="D1383" s="9" t="s">
        <v>13</v>
      </c>
      <c r="E1383" s="10">
        <v>150</v>
      </c>
      <c r="F1383" s="10">
        <f t="shared" si="21"/>
        <v>3000</v>
      </c>
    </row>
    <row r="1384" spans="1:6" x14ac:dyDescent="0.25">
      <c r="A1384" s="9"/>
      <c r="B1384" s="12"/>
      <c r="C1384" s="11"/>
      <c r="D1384" s="9"/>
      <c r="F1384" s="8">
        <f>SUM(F1383)</f>
        <v>3000</v>
      </c>
    </row>
    <row r="1385" spans="1:6" x14ac:dyDescent="0.25">
      <c r="A1385" s="9"/>
      <c r="B1385" s="12"/>
      <c r="C1385" s="11"/>
      <c r="D1385" s="9"/>
      <c r="F1385" s="10"/>
    </row>
    <row r="1386" spans="1:6" x14ac:dyDescent="0.25">
      <c r="A1386" s="9" t="s">
        <v>72</v>
      </c>
      <c r="B1386" s="12">
        <v>45709</v>
      </c>
      <c r="C1386" s="11">
        <v>350</v>
      </c>
      <c r="D1386" s="9" t="s">
        <v>13</v>
      </c>
      <c r="E1386" s="10">
        <v>135</v>
      </c>
      <c r="F1386" s="10">
        <f t="shared" si="21"/>
        <v>47250</v>
      </c>
    </row>
    <row r="1387" spans="1:6" x14ac:dyDescent="0.25">
      <c r="A1387" s="9"/>
      <c r="B1387" s="12"/>
      <c r="C1387" s="11">
        <v>80</v>
      </c>
      <c r="D1387" s="9" t="s">
        <v>12</v>
      </c>
      <c r="E1387" s="10">
        <v>125</v>
      </c>
      <c r="F1387" s="10">
        <f t="shared" si="21"/>
        <v>10000</v>
      </c>
    </row>
    <row r="1388" spans="1:6" x14ac:dyDescent="0.25">
      <c r="A1388" s="9"/>
      <c r="B1388" s="12"/>
      <c r="C1388" s="11">
        <v>100</v>
      </c>
      <c r="D1388" s="9" t="s">
        <v>11</v>
      </c>
      <c r="E1388" s="10">
        <v>125</v>
      </c>
      <c r="F1388" s="10">
        <f t="shared" si="21"/>
        <v>12500</v>
      </c>
    </row>
    <row r="1389" spans="1:6" x14ac:dyDescent="0.25">
      <c r="A1389" s="9"/>
      <c r="B1389" s="12"/>
      <c r="C1389" s="11">
        <v>20</v>
      </c>
      <c r="D1389" s="9" t="s">
        <v>274</v>
      </c>
      <c r="E1389" s="10">
        <v>125</v>
      </c>
      <c r="F1389" s="10">
        <f t="shared" si="21"/>
        <v>2500</v>
      </c>
    </row>
    <row r="1390" spans="1:6" x14ac:dyDescent="0.25">
      <c r="A1390" s="9"/>
      <c r="B1390" s="12"/>
      <c r="C1390" s="11"/>
      <c r="D1390" s="9"/>
      <c r="F1390" s="8">
        <f>SUM(F1386:F1389)</f>
        <v>72250</v>
      </c>
    </row>
    <row r="1391" spans="1:6" x14ac:dyDescent="0.25">
      <c r="A1391" s="9"/>
      <c r="B1391" s="12"/>
      <c r="C1391" s="11"/>
      <c r="D1391" s="9"/>
      <c r="F1391" s="10"/>
    </row>
    <row r="1392" spans="1:6" x14ac:dyDescent="0.25">
      <c r="A1392" s="9" t="s">
        <v>48</v>
      </c>
      <c r="B1392" s="12">
        <v>45709</v>
      </c>
      <c r="C1392" s="11">
        <v>300</v>
      </c>
      <c r="D1392" s="9" t="s">
        <v>14</v>
      </c>
      <c r="F1392" s="10">
        <f t="shared" si="21"/>
        <v>0</v>
      </c>
    </row>
    <row r="1393" spans="1:6" x14ac:dyDescent="0.25">
      <c r="A1393" s="9"/>
      <c r="B1393" s="12"/>
      <c r="C1393" s="11">
        <v>105</v>
      </c>
      <c r="D1393" s="9" t="s">
        <v>49</v>
      </c>
      <c r="F1393" s="10">
        <f t="shared" si="21"/>
        <v>0</v>
      </c>
    </row>
    <row r="1394" spans="1:6" x14ac:dyDescent="0.25">
      <c r="A1394" s="9"/>
      <c r="B1394" s="12"/>
      <c r="C1394" s="11">
        <v>39</v>
      </c>
      <c r="D1394" s="9" t="s">
        <v>22</v>
      </c>
      <c r="F1394" s="10">
        <f t="shared" si="21"/>
        <v>0</v>
      </c>
    </row>
    <row r="1395" spans="1:6" x14ac:dyDescent="0.25">
      <c r="A1395" s="9"/>
      <c r="B1395" s="12"/>
      <c r="C1395" s="11">
        <v>39</v>
      </c>
      <c r="D1395" s="9" t="s">
        <v>50</v>
      </c>
      <c r="F1395" s="10">
        <f t="shared" si="21"/>
        <v>0</v>
      </c>
    </row>
    <row r="1396" spans="1:6" x14ac:dyDescent="0.25">
      <c r="A1396" s="9"/>
      <c r="B1396" s="12"/>
      <c r="C1396" s="11"/>
      <c r="D1396" s="9"/>
      <c r="F1396" s="8">
        <f>SUM(F1392:F1395)</f>
        <v>0</v>
      </c>
    </row>
    <row r="1397" spans="1:6" x14ac:dyDescent="0.25">
      <c r="A1397" s="9"/>
      <c r="B1397" s="12"/>
      <c r="C1397" s="11"/>
      <c r="D1397" s="9"/>
      <c r="F1397" s="10"/>
    </row>
    <row r="1398" spans="1:6" x14ac:dyDescent="0.25">
      <c r="A1398" s="9" t="s">
        <v>101</v>
      </c>
      <c r="B1398" s="12">
        <v>45709</v>
      </c>
      <c r="C1398" s="11">
        <v>2</v>
      </c>
      <c r="D1398" s="9" t="s">
        <v>13</v>
      </c>
      <c r="E1398" s="10">
        <v>150</v>
      </c>
      <c r="F1398" s="10">
        <f t="shared" si="21"/>
        <v>300</v>
      </c>
    </row>
    <row r="1399" spans="1:6" x14ac:dyDescent="0.25">
      <c r="A1399" s="9"/>
      <c r="B1399" s="12"/>
      <c r="C1399" s="11">
        <v>1</v>
      </c>
      <c r="D1399" s="9" t="s">
        <v>14</v>
      </c>
      <c r="E1399" s="10">
        <v>150</v>
      </c>
      <c r="F1399" s="10">
        <f t="shared" si="21"/>
        <v>150</v>
      </c>
    </row>
    <row r="1400" spans="1:6" x14ac:dyDescent="0.25">
      <c r="A1400" s="9"/>
      <c r="B1400" s="12"/>
      <c r="C1400" s="11">
        <v>2</v>
      </c>
      <c r="D1400" s="9" t="s">
        <v>8</v>
      </c>
      <c r="E1400" s="10">
        <v>140</v>
      </c>
      <c r="F1400" s="10">
        <f t="shared" si="21"/>
        <v>280</v>
      </c>
    </row>
    <row r="1401" spans="1:6" x14ac:dyDescent="0.25">
      <c r="A1401" s="9"/>
      <c r="B1401" s="12"/>
      <c r="C1401" s="11">
        <v>1</v>
      </c>
      <c r="D1401" s="9" t="s">
        <v>13</v>
      </c>
      <c r="E1401" s="10">
        <v>160</v>
      </c>
      <c r="F1401" s="10">
        <f t="shared" si="21"/>
        <v>160</v>
      </c>
    </row>
    <row r="1402" spans="1:6" x14ac:dyDescent="0.25">
      <c r="A1402" s="9"/>
      <c r="B1402" s="12"/>
      <c r="C1402" s="11">
        <v>10</v>
      </c>
      <c r="D1402" s="9" t="s">
        <v>219</v>
      </c>
      <c r="E1402" s="10">
        <v>150</v>
      </c>
      <c r="F1402" s="10">
        <f t="shared" si="21"/>
        <v>1500</v>
      </c>
    </row>
    <row r="1403" spans="1:6" x14ac:dyDescent="0.25">
      <c r="A1403" s="9"/>
      <c r="B1403" s="12"/>
      <c r="C1403" s="11">
        <v>2</v>
      </c>
      <c r="D1403" s="9" t="s">
        <v>13</v>
      </c>
      <c r="E1403" s="10">
        <v>150</v>
      </c>
      <c r="F1403" s="10">
        <f t="shared" si="21"/>
        <v>300</v>
      </c>
    </row>
    <row r="1404" spans="1:6" x14ac:dyDescent="0.25">
      <c r="A1404" s="9"/>
      <c r="B1404" s="12"/>
      <c r="C1404" s="11"/>
      <c r="D1404" s="9"/>
      <c r="F1404" s="8">
        <f>SUM(F1398:F1403)</f>
        <v>2690</v>
      </c>
    </row>
    <row r="1405" spans="1:6" x14ac:dyDescent="0.25">
      <c r="A1405" s="9"/>
      <c r="B1405" s="12"/>
      <c r="C1405" s="11"/>
      <c r="D1405" s="9"/>
      <c r="F1405" s="10"/>
    </row>
    <row r="1406" spans="1:6" x14ac:dyDescent="0.25">
      <c r="A1406" s="9" t="s">
        <v>181</v>
      </c>
      <c r="B1406" s="12">
        <v>45709</v>
      </c>
      <c r="C1406" s="11">
        <v>2</v>
      </c>
      <c r="D1406" s="9" t="s">
        <v>8</v>
      </c>
      <c r="E1406" s="10">
        <v>170</v>
      </c>
      <c r="F1406" s="10">
        <f t="shared" si="21"/>
        <v>340</v>
      </c>
    </row>
    <row r="1407" spans="1:6" x14ac:dyDescent="0.25">
      <c r="A1407" s="9"/>
      <c r="B1407" s="12"/>
      <c r="C1407" s="11"/>
      <c r="D1407" s="9"/>
      <c r="F1407" s="8">
        <f>SUM(F1406)</f>
        <v>340</v>
      </c>
    </row>
    <row r="1408" spans="1:6" x14ac:dyDescent="0.25">
      <c r="A1408" s="9"/>
      <c r="B1408" s="12"/>
      <c r="C1408" s="11"/>
      <c r="D1408" s="9"/>
      <c r="F1408" s="10"/>
    </row>
    <row r="1409" spans="1:6" s="9" customFormat="1" x14ac:dyDescent="0.25">
      <c r="A1409" s="9" t="s">
        <v>271</v>
      </c>
      <c r="B1409" s="12">
        <v>45710</v>
      </c>
      <c r="C1409" s="11">
        <v>60</v>
      </c>
      <c r="D1409" s="9" t="s">
        <v>275</v>
      </c>
      <c r="E1409" s="10">
        <v>85</v>
      </c>
      <c r="F1409" s="10">
        <f t="shared" si="21"/>
        <v>5100</v>
      </c>
    </row>
    <row r="1410" spans="1:6" s="9" customFormat="1" x14ac:dyDescent="0.25">
      <c r="B1410" s="12"/>
      <c r="C1410" s="11"/>
      <c r="E1410" s="10"/>
      <c r="F1410" s="8">
        <f>SUM(F1409:F1409)</f>
        <v>5100</v>
      </c>
    </row>
    <row r="1411" spans="1:6" s="9" customFormat="1" x14ac:dyDescent="0.25">
      <c r="B1411" s="12"/>
      <c r="C1411" s="11"/>
      <c r="E1411" s="10"/>
      <c r="F1411" s="8"/>
    </row>
    <row r="1412" spans="1:6" x14ac:dyDescent="0.25">
      <c r="A1412" s="9" t="s">
        <v>270</v>
      </c>
      <c r="B1412" s="12">
        <v>45710</v>
      </c>
      <c r="C1412" s="11">
        <v>5</v>
      </c>
      <c r="D1412" s="9" t="s">
        <v>36</v>
      </c>
      <c r="E1412" s="10">
        <v>100</v>
      </c>
      <c r="F1412" s="10">
        <f t="shared" si="21"/>
        <v>500</v>
      </c>
    </row>
    <row r="1413" spans="1:6" x14ac:dyDescent="0.25">
      <c r="A1413" s="9"/>
      <c r="B1413" s="12"/>
      <c r="C1413" s="11"/>
      <c r="D1413" s="9"/>
      <c r="F1413" s="8">
        <f>SUM(F1412)</f>
        <v>500</v>
      </c>
    </row>
    <row r="1414" spans="1:6" x14ac:dyDescent="0.25">
      <c r="A1414" s="9"/>
      <c r="B1414" s="12"/>
      <c r="C1414" s="11"/>
      <c r="D1414" s="9"/>
      <c r="F1414" s="10"/>
    </row>
    <row r="1415" spans="1:6" x14ac:dyDescent="0.25">
      <c r="A1415" s="9" t="s">
        <v>276</v>
      </c>
      <c r="B1415" s="12">
        <v>45710</v>
      </c>
      <c r="C1415" s="11">
        <v>10</v>
      </c>
      <c r="D1415" s="9" t="s">
        <v>13</v>
      </c>
      <c r="E1415" s="10">
        <v>140</v>
      </c>
      <c r="F1415" s="10">
        <f t="shared" si="21"/>
        <v>1400</v>
      </c>
    </row>
    <row r="1416" spans="1:6" x14ac:dyDescent="0.25">
      <c r="A1416" s="9"/>
      <c r="B1416" s="12"/>
      <c r="C1416" s="11"/>
      <c r="D1416" s="9"/>
      <c r="F1416" s="8">
        <f>SUM(F1415)</f>
        <v>1400</v>
      </c>
    </row>
    <row r="1417" spans="1:6" x14ac:dyDescent="0.25">
      <c r="A1417" s="9"/>
      <c r="B1417" s="12"/>
      <c r="C1417" s="11"/>
      <c r="D1417" s="9"/>
      <c r="F1417" s="10"/>
    </row>
    <row r="1418" spans="1:6" x14ac:dyDescent="0.25">
      <c r="A1418" s="9" t="s">
        <v>17</v>
      </c>
      <c r="B1418" s="12">
        <v>45710</v>
      </c>
      <c r="C1418" s="11">
        <v>10</v>
      </c>
      <c r="D1418" s="9" t="s">
        <v>8</v>
      </c>
      <c r="E1418" s="10">
        <v>150</v>
      </c>
      <c r="F1418" s="10">
        <f t="shared" si="21"/>
        <v>1500</v>
      </c>
    </row>
    <row r="1419" spans="1:6" x14ac:dyDescent="0.25">
      <c r="A1419" s="9"/>
      <c r="B1419" s="12"/>
      <c r="C1419" s="11"/>
      <c r="D1419" s="9"/>
      <c r="F1419" s="8">
        <f>SUM(F1418)</f>
        <v>1500</v>
      </c>
    </row>
    <row r="1420" spans="1:6" x14ac:dyDescent="0.25">
      <c r="A1420" s="9"/>
      <c r="B1420" s="12"/>
      <c r="C1420" s="11"/>
      <c r="D1420" s="9"/>
      <c r="F1420" s="10"/>
    </row>
    <row r="1421" spans="1:6" x14ac:dyDescent="0.25">
      <c r="A1421" s="9" t="s">
        <v>18</v>
      </c>
      <c r="B1421" s="12">
        <v>45710</v>
      </c>
      <c r="C1421" s="11">
        <v>6</v>
      </c>
      <c r="D1421" s="9" t="s">
        <v>13</v>
      </c>
      <c r="E1421" s="10">
        <v>140</v>
      </c>
      <c r="F1421" s="10">
        <f t="shared" si="21"/>
        <v>840</v>
      </c>
    </row>
    <row r="1422" spans="1:6" x14ac:dyDescent="0.25">
      <c r="A1422" s="9"/>
      <c r="B1422" s="12"/>
      <c r="C1422" s="11"/>
      <c r="D1422" s="9"/>
      <c r="F1422" s="8">
        <f>SUM(F1421)</f>
        <v>840</v>
      </c>
    </row>
    <row r="1423" spans="1:6" x14ac:dyDescent="0.25">
      <c r="A1423" s="9"/>
      <c r="B1423" s="12"/>
      <c r="C1423" s="11"/>
      <c r="D1423" s="9"/>
      <c r="F1423" s="10"/>
    </row>
    <row r="1424" spans="1:6" x14ac:dyDescent="0.25">
      <c r="A1424" s="9" t="s">
        <v>261</v>
      </c>
      <c r="B1424" s="12">
        <v>45710</v>
      </c>
      <c r="C1424" s="11">
        <v>10</v>
      </c>
      <c r="D1424" s="9" t="s">
        <v>13</v>
      </c>
      <c r="E1424" s="10">
        <v>140</v>
      </c>
      <c r="F1424" s="10">
        <f t="shared" si="21"/>
        <v>1400</v>
      </c>
    </row>
    <row r="1425" spans="1:6" x14ac:dyDescent="0.25">
      <c r="A1425" s="9"/>
      <c r="B1425" s="12"/>
      <c r="C1425" s="11"/>
      <c r="D1425" s="9"/>
      <c r="F1425" s="8">
        <f>SUM(F1424)</f>
        <v>1400</v>
      </c>
    </row>
    <row r="1426" spans="1:6" x14ac:dyDescent="0.25">
      <c r="A1426" s="9"/>
      <c r="B1426" s="12"/>
      <c r="C1426" s="11"/>
      <c r="D1426" s="9"/>
      <c r="F1426" s="10"/>
    </row>
    <row r="1427" spans="1:6" s="9" customFormat="1" x14ac:dyDescent="0.25">
      <c r="A1427" s="9" t="s">
        <v>15</v>
      </c>
      <c r="B1427" s="12">
        <v>45710</v>
      </c>
      <c r="C1427" s="11">
        <v>60</v>
      </c>
      <c r="D1427" s="9" t="s">
        <v>98</v>
      </c>
      <c r="E1427" s="10">
        <v>85</v>
      </c>
      <c r="F1427" s="10">
        <f t="shared" si="21"/>
        <v>5100</v>
      </c>
    </row>
    <row r="1428" spans="1:6" s="9" customFormat="1" x14ac:dyDescent="0.25">
      <c r="B1428" s="12"/>
      <c r="C1428" s="11"/>
      <c r="E1428" s="10"/>
      <c r="F1428" s="8">
        <f>SUM(F1427)</f>
        <v>5100</v>
      </c>
    </row>
    <row r="1429" spans="1:6" s="9" customFormat="1" x14ac:dyDescent="0.25">
      <c r="B1429" s="12"/>
      <c r="C1429" s="11"/>
      <c r="E1429" s="10"/>
      <c r="F1429" s="10"/>
    </row>
    <row r="1430" spans="1:6" x14ac:dyDescent="0.25">
      <c r="A1430" s="9" t="s">
        <v>40</v>
      </c>
      <c r="B1430" s="12">
        <v>45710</v>
      </c>
      <c r="C1430" s="11">
        <v>10</v>
      </c>
      <c r="D1430" s="9" t="s">
        <v>13</v>
      </c>
      <c r="E1430" s="10">
        <v>140</v>
      </c>
      <c r="F1430" s="10">
        <f t="shared" si="21"/>
        <v>1400</v>
      </c>
    </row>
    <row r="1431" spans="1:6" x14ac:dyDescent="0.25">
      <c r="A1431" s="9"/>
      <c r="B1431" s="12"/>
      <c r="C1431" s="11">
        <v>10</v>
      </c>
      <c r="D1431" s="9" t="s">
        <v>14</v>
      </c>
      <c r="E1431" s="10">
        <v>130</v>
      </c>
      <c r="F1431" s="10">
        <f t="shared" si="21"/>
        <v>1300</v>
      </c>
    </row>
    <row r="1432" spans="1:6" x14ac:dyDescent="0.25">
      <c r="A1432" s="9"/>
      <c r="B1432" s="12"/>
      <c r="C1432" s="11">
        <v>10</v>
      </c>
      <c r="D1432" s="9" t="s">
        <v>22</v>
      </c>
      <c r="E1432" s="10">
        <v>110</v>
      </c>
      <c r="F1432" s="10">
        <f t="shared" si="21"/>
        <v>1100</v>
      </c>
    </row>
    <row r="1433" spans="1:6" x14ac:dyDescent="0.25">
      <c r="A1433" s="9"/>
      <c r="B1433" s="12"/>
      <c r="C1433" s="11"/>
      <c r="D1433" s="9"/>
      <c r="F1433" s="8">
        <f>SUM(F1430:F1432)</f>
        <v>3800</v>
      </c>
    </row>
    <row r="1434" spans="1:6" x14ac:dyDescent="0.25">
      <c r="A1434" s="9"/>
      <c r="B1434" s="12"/>
      <c r="C1434" s="11"/>
      <c r="D1434" s="9"/>
      <c r="F1434" s="10"/>
    </row>
    <row r="1435" spans="1:6" x14ac:dyDescent="0.25">
      <c r="A1435" s="9" t="s">
        <v>23</v>
      </c>
      <c r="B1435" s="12">
        <v>45710</v>
      </c>
      <c r="C1435" s="11">
        <v>15</v>
      </c>
      <c r="D1435" s="9" t="s">
        <v>13</v>
      </c>
      <c r="E1435" s="10">
        <v>140</v>
      </c>
      <c r="F1435" s="10">
        <f t="shared" si="21"/>
        <v>2100</v>
      </c>
    </row>
    <row r="1436" spans="1:6" x14ac:dyDescent="0.25">
      <c r="A1436" s="9"/>
      <c r="B1436" s="12"/>
      <c r="C1436" s="11">
        <v>10</v>
      </c>
      <c r="D1436" s="9" t="s">
        <v>22</v>
      </c>
      <c r="E1436" s="10">
        <v>120</v>
      </c>
      <c r="F1436" s="10">
        <f t="shared" si="21"/>
        <v>1200</v>
      </c>
    </row>
    <row r="1437" spans="1:6" x14ac:dyDescent="0.25">
      <c r="A1437" s="9"/>
      <c r="B1437" s="12"/>
      <c r="C1437" s="11"/>
      <c r="D1437" s="9"/>
      <c r="F1437" s="8">
        <f>SUM(F1435:F1436)</f>
        <v>3300</v>
      </c>
    </row>
    <row r="1438" spans="1:6" x14ac:dyDescent="0.25">
      <c r="A1438" s="9"/>
      <c r="B1438" s="12"/>
      <c r="C1438" s="11"/>
      <c r="D1438" s="9"/>
      <c r="F1438" s="10"/>
    </row>
    <row r="1439" spans="1:6" x14ac:dyDescent="0.25">
      <c r="A1439" s="9" t="s">
        <v>148</v>
      </c>
      <c r="B1439" s="12">
        <v>45710</v>
      </c>
      <c r="C1439" s="11">
        <v>10</v>
      </c>
      <c r="D1439" s="9" t="s">
        <v>13</v>
      </c>
      <c r="E1439" s="10">
        <v>140</v>
      </c>
      <c r="F1439" s="10">
        <f t="shared" ref="F1439:F1502" si="22">+C1439*E1439</f>
        <v>1400</v>
      </c>
    </row>
    <row r="1440" spans="1:6" x14ac:dyDescent="0.25">
      <c r="A1440" s="9"/>
      <c r="B1440" s="12"/>
      <c r="C1440" s="11">
        <v>5</v>
      </c>
      <c r="D1440" s="9" t="s">
        <v>14</v>
      </c>
      <c r="E1440" s="10">
        <v>130</v>
      </c>
      <c r="F1440" s="10">
        <f t="shared" si="22"/>
        <v>650</v>
      </c>
    </row>
    <row r="1441" spans="1:6" x14ac:dyDescent="0.25">
      <c r="A1441" s="9"/>
      <c r="B1441" s="12"/>
      <c r="C1441" s="11"/>
      <c r="D1441" s="9"/>
      <c r="F1441" s="8">
        <f>SUM(F1439:F1440)</f>
        <v>2050</v>
      </c>
    </row>
    <row r="1442" spans="1:6" x14ac:dyDescent="0.25">
      <c r="A1442" s="9"/>
      <c r="B1442" s="12"/>
      <c r="C1442" s="11"/>
      <c r="D1442" s="9"/>
      <c r="F1442" s="10"/>
    </row>
    <row r="1443" spans="1:6" x14ac:dyDescent="0.25">
      <c r="A1443" s="9" t="s">
        <v>21</v>
      </c>
      <c r="B1443" s="12">
        <v>45710</v>
      </c>
      <c r="C1443" s="11">
        <v>40</v>
      </c>
      <c r="D1443" s="9" t="s">
        <v>13</v>
      </c>
      <c r="E1443" s="10">
        <v>140</v>
      </c>
      <c r="F1443" s="10">
        <f t="shared" si="22"/>
        <v>5600</v>
      </c>
    </row>
    <row r="1444" spans="1:6" x14ac:dyDescent="0.25">
      <c r="A1444" s="9"/>
      <c r="B1444" s="12"/>
      <c r="C1444" s="11">
        <v>20</v>
      </c>
      <c r="D1444" s="9" t="s">
        <v>22</v>
      </c>
      <c r="E1444" s="10">
        <v>110</v>
      </c>
      <c r="F1444" s="10">
        <f t="shared" si="22"/>
        <v>2200</v>
      </c>
    </row>
    <row r="1445" spans="1:6" x14ac:dyDescent="0.25">
      <c r="A1445" s="9"/>
      <c r="B1445" s="12"/>
      <c r="C1445" s="11"/>
      <c r="D1445" s="9"/>
      <c r="F1445" s="8">
        <f>SUM(F1443:F1444)</f>
        <v>7800</v>
      </c>
    </row>
    <row r="1446" spans="1:6" x14ac:dyDescent="0.25">
      <c r="A1446" s="9"/>
      <c r="B1446" s="12"/>
      <c r="C1446" s="11"/>
      <c r="D1446" s="9"/>
      <c r="F1446" s="10"/>
    </row>
    <row r="1447" spans="1:6" x14ac:dyDescent="0.25">
      <c r="A1447" s="9" t="s">
        <v>7</v>
      </c>
      <c r="B1447" s="12">
        <v>45710</v>
      </c>
      <c r="C1447" s="11">
        <v>3</v>
      </c>
      <c r="D1447" s="9" t="s">
        <v>13</v>
      </c>
      <c r="E1447" s="10">
        <v>150</v>
      </c>
      <c r="F1447" s="10">
        <f t="shared" si="22"/>
        <v>450</v>
      </c>
    </row>
    <row r="1448" spans="1:6" x14ac:dyDescent="0.25">
      <c r="A1448" s="9"/>
      <c r="B1448" s="12"/>
      <c r="C1448" s="11"/>
      <c r="D1448" s="9"/>
      <c r="F1448" s="8">
        <f>SUM(F1447)</f>
        <v>450</v>
      </c>
    </row>
    <row r="1449" spans="1:6" x14ac:dyDescent="0.25">
      <c r="A1449" s="9"/>
      <c r="B1449" s="12"/>
      <c r="C1449" s="11"/>
      <c r="D1449" s="9"/>
      <c r="F1449" s="10"/>
    </row>
    <row r="1450" spans="1:6" x14ac:dyDescent="0.25">
      <c r="A1450" s="9" t="s">
        <v>65</v>
      </c>
      <c r="B1450" s="12">
        <v>45710</v>
      </c>
      <c r="C1450" s="11">
        <v>1620</v>
      </c>
      <c r="D1450" s="9" t="s">
        <v>12</v>
      </c>
      <c r="E1450" s="10">
        <v>130</v>
      </c>
      <c r="F1450" s="10">
        <f t="shared" si="22"/>
        <v>210600</v>
      </c>
    </row>
    <row r="1451" spans="1:6" x14ac:dyDescent="0.25">
      <c r="A1451" s="9"/>
      <c r="B1451" s="12"/>
      <c r="C1451" s="11">
        <v>243</v>
      </c>
      <c r="D1451" s="9" t="s">
        <v>11</v>
      </c>
      <c r="E1451" s="10">
        <v>125</v>
      </c>
      <c r="F1451" s="10">
        <f t="shared" si="22"/>
        <v>30375</v>
      </c>
    </row>
    <row r="1452" spans="1:6" x14ac:dyDescent="0.25">
      <c r="A1452" s="9"/>
      <c r="B1452" s="12"/>
      <c r="C1452" s="11">
        <v>122</v>
      </c>
      <c r="D1452" s="9" t="s">
        <v>14</v>
      </c>
      <c r="E1452" s="10">
        <v>130</v>
      </c>
      <c r="F1452" s="10">
        <f t="shared" si="22"/>
        <v>15860</v>
      </c>
    </row>
    <row r="1453" spans="1:6" x14ac:dyDescent="0.25">
      <c r="A1453" s="9"/>
      <c r="B1453" s="12"/>
      <c r="C1453" s="11">
        <v>511</v>
      </c>
      <c r="D1453" s="9" t="s">
        <v>22</v>
      </c>
      <c r="E1453" s="10">
        <v>120</v>
      </c>
      <c r="F1453" s="10">
        <f t="shared" si="22"/>
        <v>61320</v>
      </c>
    </row>
    <row r="1454" spans="1:6" x14ac:dyDescent="0.25">
      <c r="A1454" s="9"/>
      <c r="B1454" s="12"/>
      <c r="C1454" s="11"/>
      <c r="D1454" s="9"/>
      <c r="F1454" s="8">
        <f>SUM(F1450:F1453)</f>
        <v>318155</v>
      </c>
    </row>
    <row r="1455" spans="1:6" x14ac:dyDescent="0.25">
      <c r="A1455" s="9"/>
      <c r="B1455" s="12"/>
      <c r="C1455" s="11"/>
      <c r="D1455" s="9"/>
      <c r="F1455" s="10"/>
    </row>
    <row r="1456" spans="1:6" x14ac:dyDescent="0.25">
      <c r="A1456" s="9" t="s">
        <v>277</v>
      </c>
      <c r="B1456" s="12">
        <v>45710</v>
      </c>
      <c r="C1456" s="11">
        <v>5</v>
      </c>
      <c r="D1456" s="9" t="s">
        <v>13</v>
      </c>
      <c r="E1456" s="10">
        <v>150</v>
      </c>
      <c r="F1456" s="10">
        <f t="shared" si="22"/>
        <v>750</v>
      </c>
    </row>
    <row r="1457" spans="1:6" x14ac:dyDescent="0.25">
      <c r="A1457" s="9"/>
      <c r="B1457" s="12"/>
      <c r="C1457" s="11"/>
      <c r="D1457" s="9"/>
      <c r="F1457" s="8">
        <f>SUM(F1456)</f>
        <v>750</v>
      </c>
    </row>
    <row r="1458" spans="1:6" x14ac:dyDescent="0.25">
      <c r="A1458" s="9"/>
      <c r="B1458" s="12"/>
      <c r="C1458" s="11"/>
      <c r="D1458" s="9"/>
      <c r="F1458" s="10"/>
    </row>
    <row r="1459" spans="1:6" x14ac:dyDescent="0.25">
      <c r="A1459" s="9" t="s">
        <v>151</v>
      </c>
      <c r="B1459" s="12">
        <v>45710</v>
      </c>
      <c r="C1459" s="11">
        <v>100</v>
      </c>
      <c r="D1459" s="9" t="s">
        <v>8</v>
      </c>
      <c r="E1459" s="10">
        <v>148</v>
      </c>
      <c r="F1459" s="10">
        <f t="shared" si="22"/>
        <v>14800</v>
      </c>
    </row>
    <row r="1460" spans="1:6" x14ac:dyDescent="0.25">
      <c r="A1460" s="9"/>
      <c r="B1460" s="12"/>
      <c r="C1460" s="11"/>
      <c r="D1460" s="9"/>
      <c r="F1460" s="8">
        <f>SUM(F1459)</f>
        <v>14800</v>
      </c>
    </row>
    <row r="1461" spans="1:6" x14ac:dyDescent="0.25">
      <c r="A1461" s="9"/>
      <c r="B1461" s="12"/>
      <c r="C1461" s="11"/>
      <c r="D1461" s="9"/>
      <c r="F1461" s="10"/>
    </row>
    <row r="1462" spans="1:6" x14ac:dyDescent="0.25">
      <c r="A1462" s="9" t="s">
        <v>60</v>
      </c>
      <c r="B1462" s="12">
        <v>45710</v>
      </c>
      <c r="C1462" s="11">
        <v>30</v>
      </c>
      <c r="D1462" s="9" t="s">
        <v>13</v>
      </c>
      <c r="E1462" s="10">
        <v>145</v>
      </c>
      <c r="F1462" s="10">
        <f t="shared" si="22"/>
        <v>4350</v>
      </c>
    </row>
    <row r="1463" spans="1:6" x14ac:dyDescent="0.25">
      <c r="A1463" s="9"/>
      <c r="B1463" s="12"/>
      <c r="C1463" s="11"/>
      <c r="D1463" s="9"/>
      <c r="F1463" s="8">
        <f>SUM(F1462)</f>
        <v>4350</v>
      </c>
    </row>
    <row r="1464" spans="1:6" x14ac:dyDescent="0.25">
      <c r="A1464" s="9"/>
      <c r="B1464" s="12"/>
      <c r="C1464" s="11"/>
      <c r="D1464" s="9"/>
      <c r="F1464" s="10"/>
    </row>
    <row r="1465" spans="1:6" x14ac:dyDescent="0.25">
      <c r="A1465" s="9" t="s">
        <v>61</v>
      </c>
      <c r="B1465" s="12">
        <v>45710</v>
      </c>
      <c r="C1465" s="11">
        <v>100</v>
      </c>
      <c r="D1465" s="9" t="s">
        <v>13</v>
      </c>
      <c r="E1465" s="10">
        <v>140</v>
      </c>
      <c r="F1465" s="10">
        <f t="shared" si="22"/>
        <v>14000</v>
      </c>
    </row>
    <row r="1466" spans="1:6" x14ac:dyDescent="0.25">
      <c r="A1466" s="9"/>
      <c r="B1466" s="12"/>
      <c r="C1466" s="11"/>
      <c r="D1466" s="9"/>
      <c r="F1466" s="8">
        <f>SUM(F1465)</f>
        <v>14000</v>
      </c>
    </row>
    <row r="1467" spans="1:6" x14ac:dyDescent="0.25">
      <c r="A1467" s="9"/>
      <c r="B1467" s="12"/>
      <c r="C1467" s="11"/>
      <c r="D1467" s="9"/>
      <c r="F1467" s="10"/>
    </row>
    <row r="1468" spans="1:6" x14ac:dyDescent="0.25">
      <c r="A1468" s="9" t="s">
        <v>59</v>
      </c>
      <c r="B1468" s="12">
        <v>45710</v>
      </c>
      <c r="C1468" s="11">
        <v>20</v>
      </c>
      <c r="D1468" s="9" t="s">
        <v>13</v>
      </c>
      <c r="E1468" s="10">
        <v>140</v>
      </c>
      <c r="F1468" s="10">
        <f t="shared" si="22"/>
        <v>2800</v>
      </c>
    </row>
    <row r="1469" spans="1:6" x14ac:dyDescent="0.25">
      <c r="A1469" s="9"/>
      <c r="B1469" s="12"/>
      <c r="C1469" s="11"/>
      <c r="D1469" s="9"/>
      <c r="F1469" s="8">
        <f>SUM(F1468)</f>
        <v>2800</v>
      </c>
    </row>
    <row r="1470" spans="1:6" x14ac:dyDescent="0.25">
      <c r="A1470" s="9"/>
      <c r="B1470" s="12"/>
      <c r="C1470" s="11"/>
      <c r="D1470" s="9"/>
      <c r="F1470" s="10"/>
    </row>
    <row r="1471" spans="1:6" x14ac:dyDescent="0.25">
      <c r="A1471" s="9" t="s">
        <v>62</v>
      </c>
      <c r="B1471" s="12">
        <v>45710</v>
      </c>
      <c r="C1471" s="11">
        <v>60</v>
      </c>
      <c r="D1471" s="9" t="s">
        <v>8</v>
      </c>
      <c r="E1471" s="10">
        <v>160</v>
      </c>
      <c r="F1471" s="10">
        <f t="shared" si="22"/>
        <v>9600</v>
      </c>
    </row>
    <row r="1472" spans="1:6" x14ac:dyDescent="0.25">
      <c r="A1472" s="9"/>
      <c r="B1472" s="12"/>
      <c r="C1472" s="11"/>
      <c r="D1472" s="9"/>
      <c r="F1472" s="8">
        <f>SUM(F1471)</f>
        <v>9600</v>
      </c>
    </row>
    <row r="1473" spans="1:6" x14ac:dyDescent="0.25">
      <c r="A1473" s="9"/>
      <c r="B1473" s="12"/>
      <c r="C1473" s="11"/>
      <c r="D1473" s="9"/>
      <c r="F1473" s="10"/>
    </row>
    <row r="1474" spans="1:6" x14ac:dyDescent="0.25">
      <c r="A1474" s="9" t="s">
        <v>64</v>
      </c>
      <c r="B1474" s="12">
        <v>45710</v>
      </c>
      <c r="C1474" s="11">
        <v>86</v>
      </c>
      <c r="D1474" s="9" t="s">
        <v>22</v>
      </c>
      <c r="E1474" s="10">
        <v>115</v>
      </c>
      <c r="F1474" s="10">
        <f t="shared" si="22"/>
        <v>9890</v>
      </c>
    </row>
    <row r="1475" spans="1:6" x14ac:dyDescent="0.25">
      <c r="A1475" s="9"/>
      <c r="B1475" s="12"/>
      <c r="C1475" s="11"/>
      <c r="D1475" s="9"/>
      <c r="F1475" s="8">
        <f>SUM(F1474)</f>
        <v>9890</v>
      </c>
    </row>
    <row r="1476" spans="1:6" x14ac:dyDescent="0.25">
      <c r="A1476" s="9"/>
      <c r="B1476" s="12"/>
      <c r="C1476" s="11"/>
      <c r="D1476" s="9"/>
      <c r="F1476" s="10"/>
    </row>
    <row r="1477" spans="1:6" x14ac:dyDescent="0.25">
      <c r="A1477" s="9" t="s">
        <v>278</v>
      </c>
      <c r="B1477" s="12">
        <v>45710</v>
      </c>
      <c r="C1477" s="11">
        <v>60</v>
      </c>
      <c r="D1477" s="9" t="s">
        <v>13</v>
      </c>
      <c r="E1477" s="10">
        <v>140</v>
      </c>
      <c r="F1477" s="10">
        <f t="shared" si="22"/>
        <v>8400</v>
      </c>
    </row>
    <row r="1478" spans="1:6" x14ac:dyDescent="0.25">
      <c r="A1478" s="9"/>
      <c r="B1478" s="12"/>
      <c r="C1478" s="11"/>
      <c r="D1478" s="9"/>
      <c r="F1478" s="8">
        <f>SUM(F1477)</f>
        <v>8400</v>
      </c>
    </row>
    <row r="1479" spans="1:6" x14ac:dyDescent="0.25">
      <c r="A1479" s="9"/>
      <c r="B1479" s="12"/>
      <c r="C1479" s="11"/>
      <c r="D1479" s="9"/>
      <c r="F1479" s="10"/>
    </row>
    <row r="1480" spans="1:6" x14ac:dyDescent="0.25">
      <c r="A1480" s="9" t="s">
        <v>244</v>
      </c>
      <c r="B1480" s="12">
        <v>45710</v>
      </c>
      <c r="C1480" s="11">
        <v>10</v>
      </c>
      <c r="D1480" s="9" t="s">
        <v>8</v>
      </c>
      <c r="E1480" s="10">
        <v>160</v>
      </c>
      <c r="F1480" s="10">
        <f t="shared" si="22"/>
        <v>1600</v>
      </c>
    </row>
    <row r="1481" spans="1:6" x14ac:dyDescent="0.25">
      <c r="A1481" s="9"/>
      <c r="B1481" s="12"/>
      <c r="C1481" s="11"/>
      <c r="D1481" s="9"/>
      <c r="F1481" s="8">
        <f>SUM(F1480)</f>
        <v>1600</v>
      </c>
    </row>
    <row r="1482" spans="1:6" x14ac:dyDescent="0.25">
      <c r="A1482" s="9"/>
      <c r="B1482" s="12"/>
      <c r="C1482" s="11"/>
      <c r="D1482" s="9"/>
      <c r="F1482" s="10"/>
    </row>
    <row r="1483" spans="1:6" x14ac:dyDescent="0.25">
      <c r="A1483" s="9" t="s">
        <v>29</v>
      </c>
      <c r="B1483" s="12">
        <v>45710</v>
      </c>
      <c r="C1483" s="11">
        <v>5</v>
      </c>
      <c r="D1483" s="9" t="s">
        <v>13</v>
      </c>
      <c r="E1483" s="10">
        <v>150</v>
      </c>
      <c r="F1483" s="10">
        <f t="shared" si="22"/>
        <v>750</v>
      </c>
    </row>
    <row r="1484" spans="1:6" x14ac:dyDescent="0.25">
      <c r="A1484" s="9"/>
      <c r="B1484" s="12"/>
      <c r="C1484" s="11">
        <v>1</v>
      </c>
      <c r="D1484" s="9" t="s">
        <v>8</v>
      </c>
      <c r="E1484" s="10">
        <v>170</v>
      </c>
      <c r="F1484" s="10">
        <f t="shared" si="22"/>
        <v>170</v>
      </c>
    </row>
    <row r="1485" spans="1:6" x14ac:dyDescent="0.25">
      <c r="A1485" s="9"/>
      <c r="B1485" s="12"/>
      <c r="C1485" s="11"/>
      <c r="D1485" s="9"/>
      <c r="F1485" s="8">
        <f>SUM(F1483:F1484)</f>
        <v>920</v>
      </c>
    </row>
    <row r="1486" spans="1:6" x14ac:dyDescent="0.25">
      <c r="A1486" s="9"/>
      <c r="B1486" s="12"/>
      <c r="C1486" s="11"/>
      <c r="D1486" s="9"/>
      <c r="F1486" s="10"/>
    </row>
    <row r="1487" spans="1:6" x14ac:dyDescent="0.25">
      <c r="A1487" s="9" t="s">
        <v>7</v>
      </c>
      <c r="B1487" s="12">
        <v>45710</v>
      </c>
      <c r="C1487" s="11">
        <v>1</v>
      </c>
      <c r="D1487" s="9" t="s">
        <v>170</v>
      </c>
      <c r="E1487" s="10">
        <v>100</v>
      </c>
      <c r="F1487" s="10">
        <f t="shared" si="22"/>
        <v>100</v>
      </c>
    </row>
    <row r="1488" spans="1:6" x14ac:dyDescent="0.25">
      <c r="A1488" s="9"/>
      <c r="B1488" s="12"/>
      <c r="C1488" s="11">
        <v>2</v>
      </c>
      <c r="D1488" s="9" t="s">
        <v>13</v>
      </c>
      <c r="E1488" s="10">
        <v>140</v>
      </c>
      <c r="F1488" s="10">
        <f t="shared" si="22"/>
        <v>280</v>
      </c>
    </row>
    <row r="1489" spans="1:6" x14ac:dyDescent="0.25">
      <c r="A1489" s="9"/>
      <c r="B1489" s="12"/>
      <c r="C1489" s="11"/>
      <c r="D1489" s="9"/>
      <c r="F1489" s="8">
        <f>SUM(F1487:F1488)</f>
        <v>380</v>
      </c>
    </row>
    <row r="1490" spans="1:6" x14ac:dyDescent="0.25">
      <c r="A1490" s="9"/>
      <c r="B1490" s="12"/>
      <c r="C1490" s="11"/>
      <c r="D1490" s="9"/>
      <c r="F1490" s="10"/>
    </row>
    <row r="1491" spans="1:6" x14ac:dyDescent="0.25">
      <c r="A1491" s="9" t="s">
        <v>279</v>
      </c>
      <c r="B1491" s="12">
        <v>45711</v>
      </c>
      <c r="C1491" s="11">
        <v>90</v>
      </c>
      <c r="D1491" s="9" t="s">
        <v>13</v>
      </c>
      <c r="E1491" s="10">
        <v>140</v>
      </c>
      <c r="F1491" s="10">
        <f t="shared" si="22"/>
        <v>12600</v>
      </c>
    </row>
    <row r="1492" spans="1:6" x14ac:dyDescent="0.25">
      <c r="A1492" s="9"/>
      <c r="B1492" s="12"/>
      <c r="C1492" s="11">
        <v>5</v>
      </c>
      <c r="D1492" s="9" t="s">
        <v>8</v>
      </c>
      <c r="E1492" s="10">
        <v>150</v>
      </c>
      <c r="F1492" s="10">
        <f t="shared" si="22"/>
        <v>750</v>
      </c>
    </row>
    <row r="1493" spans="1:6" x14ac:dyDescent="0.25">
      <c r="A1493" s="9"/>
      <c r="B1493" s="12"/>
      <c r="C1493" s="11"/>
      <c r="D1493" s="9"/>
      <c r="F1493" s="8">
        <f>SUM(F1491:F1492)</f>
        <v>13350</v>
      </c>
    </row>
    <row r="1494" spans="1:6" x14ac:dyDescent="0.25">
      <c r="A1494" s="9"/>
      <c r="B1494" s="12"/>
      <c r="C1494" s="11"/>
      <c r="D1494" s="9"/>
      <c r="F1494" s="10"/>
    </row>
    <row r="1495" spans="1:6" x14ac:dyDescent="0.25">
      <c r="A1495" s="9" t="s">
        <v>280</v>
      </c>
      <c r="B1495" s="12">
        <v>45711</v>
      </c>
      <c r="C1495" s="11">
        <v>10</v>
      </c>
      <c r="D1495" s="9" t="s">
        <v>13</v>
      </c>
      <c r="E1495" s="10">
        <v>150</v>
      </c>
      <c r="F1495" s="10">
        <f t="shared" si="22"/>
        <v>1500</v>
      </c>
    </row>
    <row r="1496" spans="1:6" x14ac:dyDescent="0.25">
      <c r="A1496" s="9"/>
      <c r="B1496" s="12"/>
      <c r="C1496" s="11"/>
      <c r="D1496" s="9"/>
      <c r="F1496" s="8">
        <f>SUM(F1495)</f>
        <v>1500</v>
      </c>
    </row>
    <row r="1497" spans="1:6" x14ac:dyDescent="0.25">
      <c r="A1497" s="9"/>
      <c r="B1497" s="12"/>
      <c r="C1497" s="11"/>
      <c r="D1497" s="9"/>
      <c r="F1497" s="10"/>
    </row>
    <row r="1498" spans="1:6" x14ac:dyDescent="0.25">
      <c r="A1498" s="9" t="s">
        <v>29</v>
      </c>
      <c r="B1498" s="12">
        <v>45711</v>
      </c>
      <c r="C1498" s="11">
        <v>12</v>
      </c>
      <c r="D1498" s="9" t="s">
        <v>12</v>
      </c>
      <c r="E1498" s="10">
        <v>130</v>
      </c>
      <c r="F1498" s="10">
        <f t="shared" si="22"/>
        <v>1560</v>
      </c>
    </row>
    <row r="1499" spans="1:6" x14ac:dyDescent="0.25">
      <c r="A1499" s="9"/>
      <c r="B1499" s="12"/>
      <c r="C1499" s="11">
        <v>4</v>
      </c>
      <c r="D1499" s="9" t="s">
        <v>22</v>
      </c>
      <c r="E1499" s="10">
        <v>120</v>
      </c>
      <c r="F1499" s="10">
        <f t="shared" si="22"/>
        <v>480</v>
      </c>
    </row>
    <row r="1500" spans="1:6" x14ac:dyDescent="0.25">
      <c r="A1500" s="9"/>
      <c r="B1500" s="12"/>
      <c r="C1500" s="11"/>
      <c r="D1500" s="9"/>
      <c r="F1500" s="8">
        <f>SUM(F1498:F1499)</f>
        <v>2040</v>
      </c>
    </row>
    <row r="1501" spans="1:6" x14ac:dyDescent="0.25">
      <c r="A1501" s="9"/>
      <c r="B1501" s="12"/>
      <c r="C1501" s="11"/>
      <c r="D1501" s="9"/>
      <c r="F1501" s="10"/>
    </row>
    <row r="1502" spans="1:6" x14ac:dyDescent="0.25">
      <c r="A1502" s="9" t="s">
        <v>181</v>
      </c>
      <c r="B1502" s="12">
        <v>45711</v>
      </c>
      <c r="C1502" s="11">
        <v>1</v>
      </c>
      <c r="D1502" s="9" t="s">
        <v>54</v>
      </c>
      <c r="E1502" s="10">
        <v>0</v>
      </c>
      <c r="F1502" s="10">
        <f t="shared" si="22"/>
        <v>0</v>
      </c>
    </row>
    <row r="1503" spans="1:6" x14ac:dyDescent="0.25">
      <c r="A1503" s="9"/>
      <c r="B1503" s="12"/>
      <c r="C1503" s="11">
        <v>6</v>
      </c>
      <c r="D1503" s="9" t="s">
        <v>281</v>
      </c>
      <c r="E1503" s="10">
        <v>3.3333300000000001</v>
      </c>
      <c r="F1503" s="10">
        <f t="shared" ref="F1503:F1564" si="23">+C1503*E1503</f>
        <v>19.999980000000001</v>
      </c>
    </row>
    <row r="1504" spans="1:6" x14ac:dyDescent="0.25">
      <c r="A1504" s="9"/>
      <c r="B1504" s="12"/>
      <c r="C1504" s="11">
        <v>1</v>
      </c>
      <c r="D1504" s="9" t="s">
        <v>8</v>
      </c>
      <c r="E1504" s="10">
        <v>170</v>
      </c>
      <c r="F1504" s="10">
        <f t="shared" si="23"/>
        <v>170</v>
      </c>
    </row>
    <row r="1505" spans="1:6" x14ac:dyDescent="0.25">
      <c r="A1505" s="9"/>
      <c r="B1505" s="12"/>
      <c r="C1505" s="11"/>
      <c r="D1505" s="9"/>
      <c r="F1505" s="8">
        <f>SUM(F1502:F1504)</f>
        <v>189.99997999999999</v>
      </c>
    </row>
    <row r="1506" spans="1:6" x14ac:dyDescent="0.25">
      <c r="A1506" s="9"/>
      <c r="B1506" s="12"/>
      <c r="C1506" s="11"/>
      <c r="D1506" s="9"/>
      <c r="F1506" s="10"/>
    </row>
    <row r="1507" spans="1:6" x14ac:dyDescent="0.25">
      <c r="A1507" s="9" t="s">
        <v>89</v>
      </c>
      <c r="B1507" s="12">
        <v>45712</v>
      </c>
      <c r="C1507" s="11">
        <v>40</v>
      </c>
      <c r="D1507" s="9" t="s">
        <v>12</v>
      </c>
      <c r="E1507" s="10">
        <v>130</v>
      </c>
      <c r="F1507" s="10">
        <f t="shared" si="23"/>
        <v>5200</v>
      </c>
    </row>
    <row r="1508" spans="1:6" x14ac:dyDescent="0.25">
      <c r="A1508" s="9"/>
      <c r="B1508" s="12"/>
      <c r="C1508" s="11">
        <v>15</v>
      </c>
      <c r="D1508" s="9" t="s">
        <v>13</v>
      </c>
      <c r="E1508" s="10">
        <v>135</v>
      </c>
      <c r="F1508" s="10">
        <f t="shared" si="23"/>
        <v>2025</v>
      </c>
    </row>
    <row r="1509" spans="1:6" x14ac:dyDescent="0.25">
      <c r="A1509" s="9"/>
      <c r="B1509" s="12"/>
      <c r="C1509" s="11">
        <v>15</v>
      </c>
      <c r="D1509" s="9" t="s">
        <v>14</v>
      </c>
      <c r="E1509" s="10">
        <v>125</v>
      </c>
      <c r="F1509" s="10">
        <f t="shared" si="23"/>
        <v>1875</v>
      </c>
    </row>
    <row r="1510" spans="1:6" x14ac:dyDescent="0.25">
      <c r="A1510" s="9"/>
      <c r="B1510" s="12"/>
      <c r="C1510" s="11"/>
      <c r="D1510" s="9"/>
      <c r="F1510" s="8">
        <f>SUM(F1507:F1509)</f>
        <v>9100</v>
      </c>
    </row>
    <row r="1511" spans="1:6" x14ac:dyDescent="0.25">
      <c r="A1511" s="9"/>
      <c r="B1511" s="12"/>
      <c r="C1511" s="11"/>
      <c r="D1511" s="9"/>
      <c r="F1511" s="10"/>
    </row>
    <row r="1512" spans="1:6" x14ac:dyDescent="0.25">
      <c r="A1512" s="9" t="s">
        <v>26</v>
      </c>
      <c r="B1512" s="12">
        <v>45712</v>
      </c>
      <c r="C1512" s="11">
        <v>30</v>
      </c>
      <c r="D1512" s="9" t="s">
        <v>13</v>
      </c>
      <c r="E1512" s="10">
        <v>140</v>
      </c>
      <c r="F1512" s="10">
        <f t="shared" si="23"/>
        <v>4200</v>
      </c>
    </row>
    <row r="1513" spans="1:6" x14ac:dyDescent="0.25">
      <c r="A1513" s="9"/>
      <c r="B1513" s="12"/>
      <c r="C1513" s="11"/>
      <c r="D1513" s="9"/>
      <c r="F1513" s="8">
        <f>SUM(F1512)</f>
        <v>4200</v>
      </c>
    </row>
    <row r="1514" spans="1:6" x14ac:dyDescent="0.25">
      <c r="A1514" s="9"/>
      <c r="B1514" s="12"/>
      <c r="C1514" s="11"/>
      <c r="D1514" s="9"/>
      <c r="F1514" s="10"/>
    </row>
    <row r="1515" spans="1:6" x14ac:dyDescent="0.25">
      <c r="A1515" s="9" t="s">
        <v>112</v>
      </c>
      <c r="B1515" s="12">
        <v>45712</v>
      </c>
      <c r="C1515" s="11">
        <v>50</v>
      </c>
      <c r="D1515" s="9" t="s">
        <v>14</v>
      </c>
      <c r="E1515" s="10">
        <v>125</v>
      </c>
      <c r="F1515" s="10">
        <f t="shared" si="23"/>
        <v>6250</v>
      </c>
    </row>
    <row r="1516" spans="1:6" x14ac:dyDescent="0.25">
      <c r="A1516" s="9"/>
      <c r="B1516" s="12"/>
      <c r="C1516" s="11">
        <v>50</v>
      </c>
      <c r="D1516" s="9" t="s">
        <v>12</v>
      </c>
      <c r="E1516" s="10">
        <v>125</v>
      </c>
      <c r="F1516" s="10">
        <f t="shared" si="23"/>
        <v>6250</v>
      </c>
    </row>
    <row r="1517" spans="1:6" x14ac:dyDescent="0.25">
      <c r="A1517" s="9"/>
      <c r="B1517" s="12"/>
      <c r="C1517" s="11">
        <v>30</v>
      </c>
      <c r="D1517" s="9" t="s">
        <v>11</v>
      </c>
      <c r="E1517" s="10">
        <v>120</v>
      </c>
      <c r="F1517" s="10">
        <f t="shared" si="23"/>
        <v>3600</v>
      </c>
    </row>
    <row r="1518" spans="1:6" x14ac:dyDescent="0.25">
      <c r="A1518" s="9"/>
      <c r="B1518" s="12"/>
      <c r="C1518" s="11"/>
      <c r="D1518" s="9"/>
      <c r="F1518" s="8">
        <f>SUM(F1515:F1517)</f>
        <v>16100</v>
      </c>
    </row>
    <row r="1519" spans="1:6" x14ac:dyDescent="0.25">
      <c r="A1519" s="9"/>
      <c r="B1519" s="12"/>
      <c r="C1519" s="11"/>
      <c r="D1519" s="9"/>
      <c r="F1519" s="10"/>
    </row>
    <row r="1520" spans="1:6" x14ac:dyDescent="0.25">
      <c r="A1520" s="9" t="s">
        <v>184</v>
      </c>
      <c r="B1520" s="12">
        <v>45712</v>
      </c>
      <c r="C1520" s="11">
        <v>5</v>
      </c>
      <c r="D1520" s="9" t="s">
        <v>13</v>
      </c>
      <c r="E1520" s="10">
        <v>155</v>
      </c>
      <c r="F1520" s="10">
        <f t="shared" si="23"/>
        <v>775</v>
      </c>
    </row>
    <row r="1521" spans="1:6" x14ac:dyDescent="0.25">
      <c r="A1521" s="9"/>
      <c r="B1521" s="12"/>
      <c r="C1521" s="11"/>
      <c r="D1521" s="9"/>
      <c r="F1521" s="8">
        <f>SUM(F1520)</f>
        <v>775</v>
      </c>
    </row>
    <row r="1522" spans="1:6" x14ac:dyDescent="0.25">
      <c r="A1522" s="9"/>
      <c r="B1522" s="12"/>
      <c r="C1522" s="11"/>
      <c r="D1522" s="9"/>
      <c r="F1522" s="10"/>
    </row>
    <row r="1523" spans="1:6" x14ac:dyDescent="0.25">
      <c r="A1523" s="9" t="s">
        <v>276</v>
      </c>
      <c r="B1523" s="12">
        <v>45712</v>
      </c>
      <c r="C1523" s="11">
        <v>5</v>
      </c>
      <c r="D1523" s="9" t="s">
        <v>13</v>
      </c>
      <c r="E1523" s="10">
        <v>140</v>
      </c>
      <c r="F1523" s="10">
        <f t="shared" si="23"/>
        <v>700</v>
      </c>
    </row>
    <row r="1524" spans="1:6" x14ac:dyDescent="0.25">
      <c r="A1524" s="9"/>
      <c r="B1524" s="12"/>
      <c r="C1524" s="11"/>
      <c r="D1524" s="9"/>
      <c r="F1524" s="8">
        <f>SUM(F1523)</f>
        <v>700</v>
      </c>
    </row>
    <row r="1525" spans="1:6" x14ac:dyDescent="0.25">
      <c r="A1525" s="9"/>
      <c r="B1525" s="12"/>
      <c r="C1525" s="11"/>
      <c r="D1525" s="9"/>
      <c r="F1525" s="10"/>
    </row>
    <row r="1526" spans="1:6" x14ac:dyDescent="0.25">
      <c r="A1526" s="9" t="s">
        <v>17</v>
      </c>
      <c r="B1526" s="12">
        <v>45712</v>
      </c>
      <c r="C1526" s="11">
        <v>20</v>
      </c>
      <c r="D1526" s="9" t="s">
        <v>8</v>
      </c>
      <c r="E1526" s="10">
        <v>150</v>
      </c>
      <c r="F1526" s="10">
        <f t="shared" si="23"/>
        <v>3000</v>
      </c>
    </row>
    <row r="1527" spans="1:6" x14ac:dyDescent="0.25">
      <c r="A1527" s="9"/>
      <c r="B1527" s="12"/>
      <c r="C1527" s="11"/>
      <c r="D1527" s="9"/>
      <c r="F1527" s="8">
        <f>SUM(F1526)</f>
        <v>3000</v>
      </c>
    </row>
    <row r="1528" spans="1:6" x14ac:dyDescent="0.25">
      <c r="A1528" s="9"/>
      <c r="B1528" s="12"/>
      <c r="C1528" s="11"/>
      <c r="D1528" s="9"/>
      <c r="F1528" s="10"/>
    </row>
    <row r="1529" spans="1:6" x14ac:dyDescent="0.25">
      <c r="A1529" s="9" t="s">
        <v>18</v>
      </c>
      <c r="B1529" s="12">
        <v>45712</v>
      </c>
      <c r="C1529" s="11">
        <v>5</v>
      </c>
      <c r="D1529" s="9" t="s">
        <v>13</v>
      </c>
      <c r="E1529" s="10">
        <v>140</v>
      </c>
      <c r="F1529" s="10">
        <f t="shared" si="23"/>
        <v>700</v>
      </c>
    </row>
    <row r="1530" spans="1:6" x14ac:dyDescent="0.25">
      <c r="A1530" s="9"/>
      <c r="B1530" s="12"/>
      <c r="C1530" s="11"/>
      <c r="D1530" s="9"/>
      <c r="F1530" s="8">
        <f>SUM(F1529)</f>
        <v>700</v>
      </c>
    </row>
    <row r="1531" spans="1:6" x14ac:dyDescent="0.25">
      <c r="A1531" s="9"/>
      <c r="B1531" s="12"/>
      <c r="C1531" s="11"/>
      <c r="D1531" s="9"/>
      <c r="F1531" s="10"/>
    </row>
    <row r="1532" spans="1:6" x14ac:dyDescent="0.25">
      <c r="A1532" s="9" t="s">
        <v>20</v>
      </c>
      <c r="B1532" s="12">
        <v>45712</v>
      </c>
      <c r="C1532" s="11">
        <v>20</v>
      </c>
      <c r="D1532" s="9" t="s">
        <v>13</v>
      </c>
      <c r="E1532" s="10">
        <v>140</v>
      </c>
      <c r="F1532" s="10">
        <f t="shared" si="23"/>
        <v>2800</v>
      </c>
    </row>
    <row r="1533" spans="1:6" x14ac:dyDescent="0.25">
      <c r="A1533" s="9"/>
      <c r="B1533" s="12"/>
      <c r="C1533" s="11"/>
      <c r="D1533" s="9"/>
      <c r="F1533" s="8">
        <f>SUM(F1532)</f>
        <v>2800</v>
      </c>
    </row>
    <row r="1534" spans="1:6" x14ac:dyDescent="0.25">
      <c r="A1534" s="9"/>
      <c r="B1534" s="12"/>
      <c r="C1534" s="11"/>
      <c r="D1534" s="9"/>
      <c r="F1534" s="10"/>
    </row>
    <row r="1535" spans="1:6" x14ac:dyDescent="0.25">
      <c r="A1535" s="9" t="s">
        <v>40</v>
      </c>
      <c r="B1535" s="12">
        <v>45712</v>
      </c>
      <c r="C1535" s="11">
        <v>20</v>
      </c>
      <c r="D1535" s="9" t="s">
        <v>13</v>
      </c>
      <c r="E1535" s="10">
        <v>140</v>
      </c>
      <c r="F1535" s="10">
        <f t="shared" si="23"/>
        <v>2800</v>
      </c>
    </row>
    <row r="1536" spans="1:6" x14ac:dyDescent="0.25">
      <c r="A1536" s="9"/>
      <c r="B1536" s="12"/>
      <c r="C1536" s="11">
        <v>5</v>
      </c>
      <c r="D1536" s="9" t="s">
        <v>11</v>
      </c>
      <c r="E1536" s="10">
        <v>120</v>
      </c>
      <c r="F1536" s="10">
        <f t="shared" si="23"/>
        <v>600</v>
      </c>
    </row>
    <row r="1537" spans="1:6" x14ac:dyDescent="0.25">
      <c r="A1537" s="9"/>
      <c r="B1537" s="12"/>
      <c r="C1537" s="11">
        <v>5</v>
      </c>
      <c r="D1537" s="9" t="s">
        <v>14</v>
      </c>
      <c r="E1537" s="10">
        <v>130</v>
      </c>
      <c r="F1537" s="10">
        <f t="shared" si="23"/>
        <v>650</v>
      </c>
    </row>
    <row r="1538" spans="1:6" x14ac:dyDescent="0.25">
      <c r="A1538" s="9"/>
      <c r="B1538" s="12"/>
      <c r="C1538" s="11">
        <v>10</v>
      </c>
      <c r="D1538" s="9" t="s">
        <v>22</v>
      </c>
      <c r="E1538" s="10">
        <v>110</v>
      </c>
      <c r="F1538" s="10">
        <f t="shared" si="23"/>
        <v>1100</v>
      </c>
    </row>
    <row r="1539" spans="1:6" x14ac:dyDescent="0.25">
      <c r="A1539" s="9"/>
      <c r="B1539" s="12"/>
      <c r="C1539" s="11"/>
      <c r="D1539" s="9"/>
      <c r="F1539" s="8">
        <f>SUM(F1535:F1538)</f>
        <v>5150</v>
      </c>
    </row>
    <row r="1540" spans="1:6" x14ac:dyDescent="0.25">
      <c r="A1540" s="9"/>
      <c r="B1540" s="12"/>
      <c r="C1540" s="11"/>
      <c r="D1540" s="9"/>
      <c r="F1540" s="10"/>
    </row>
    <row r="1541" spans="1:6" x14ac:dyDescent="0.25">
      <c r="A1541" s="9" t="s">
        <v>57</v>
      </c>
      <c r="B1541" s="12">
        <v>45712</v>
      </c>
      <c r="C1541" s="11">
        <v>10</v>
      </c>
      <c r="D1541" s="9" t="s">
        <v>13</v>
      </c>
      <c r="E1541" s="10">
        <v>140</v>
      </c>
      <c r="F1541" s="10">
        <f t="shared" si="23"/>
        <v>1400</v>
      </c>
    </row>
    <row r="1542" spans="1:6" x14ac:dyDescent="0.25">
      <c r="A1542" s="9"/>
      <c r="B1542" s="12"/>
      <c r="C1542" s="11">
        <v>5</v>
      </c>
      <c r="D1542" s="9" t="s">
        <v>14</v>
      </c>
      <c r="E1542" s="10">
        <v>130</v>
      </c>
      <c r="F1542" s="10">
        <f t="shared" si="23"/>
        <v>650</v>
      </c>
    </row>
    <row r="1543" spans="1:6" x14ac:dyDescent="0.25">
      <c r="A1543" s="9"/>
      <c r="B1543" s="12"/>
      <c r="C1543" s="11"/>
      <c r="D1543" s="9"/>
      <c r="F1543" s="8">
        <f>SUM(F1541:F1542)</f>
        <v>2050</v>
      </c>
    </row>
    <row r="1544" spans="1:6" x14ac:dyDescent="0.25">
      <c r="A1544" s="9"/>
      <c r="B1544" s="12"/>
      <c r="C1544" s="11"/>
      <c r="D1544" s="9"/>
      <c r="F1544" s="10"/>
    </row>
    <row r="1545" spans="1:6" x14ac:dyDescent="0.25">
      <c r="A1545" s="9" t="s">
        <v>21</v>
      </c>
      <c r="B1545" s="12">
        <v>45712</v>
      </c>
      <c r="C1545" s="11">
        <v>10</v>
      </c>
      <c r="D1545" s="9" t="s">
        <v>12</v>
      </c>
      <c r="E1545" s="10">
        <v>130</v>
      </c>
      <c r="F1545" s="10">
        <f t="shared" si="23"/>
        <v>1300</v>
      </c>
    </row>
    <row r="1546" spans="1:6" x14ac:dyDescent="0.25">
      <c r="A1546" s="9"/>
      <c r="B1546" s="12"/>
      <c r="C1546" s="11">
        <v>10</v>
      </c>
      <c r="D1546" s="9" t="s">
        <v>11</v>
      </c>
      <c r="E1546" s="10">
        <v>125</v>
      </c>
      <c r="F1546" s="10">
        <f t="shared" si="23"/>
        <v>1250</v>
      </c>
    </row>
    <row r="1547" spans="1:6" x14ac:dyDescent="0.25">
      <c r="A1547" s="9"/>
      <c r="B1547" s="12"/>
      <c r="C1547" s="11">
        <v>20</v>
      </c>
      <c r="D1547" s="9" t="s">
        <v>22</v>
      </c>
      <c r="E1547" s="10">
        <v>110</v>
      </c>
      <c r="F1547" s="10">
        <f t="shared" si="23"/>
        <v>2200</v>
      </c>
    </row>
    <row r="1548" spans="1:6" x14ac:dyDescent="0.25">
      <c r="A1548" s="9"/>
      <c r="B1548" s="12"/>
      <c r="C1548" s="11"/>
      <c r="D1548" s="9"/>
      <c r="F1548" s="8">
        <f>SUM(F1545:F1547)</f>
        <v>4750</v>
      </c>
    </row>
    <row r="1549" spans="1:6" x14ac:dyDescent="0.25">
      <c r="A1549" s="9"/>
      <c r="B1549" s="12"/>
      <c r="C1549" s="11"/>
      <c r="D1549" s="9"/>
      <c r="F1549" s="10"/>
    </row>
    <row r="1550" spans="1:6" x14ac:dyDescent="0.25">
      <c r="A1550" s="9" t="s">
        <v>272</v>
      </c>
      <c r="B1550" s="12">
        <v>45712</v>
      </c>
      <c r="C1550" s="11">
        <v>10</v>
      </c>
      <c r="D1550" s="9" t="s">
        <v>13</v>
      </c>
      <c r="E1550" s="10">
        <v>140</v>
      </c>
      <c r="F1550" s="10">
        <f t="shared" si="23"/>
        <v>1400</v>
      </c>
    </row>
    <row r="1551" spans="1:6" x14ac:dyDescent="0.25">
      <c r="A1551" s="9"/>
      <c r="B1551" s="12"/>
      <c r="C1551" s="11">
        <v>2</v>
      </c>
      <c r="D1551" s="9" t="s">
        <v>36</v>
      </c>
      <c r="E1551" s="10">
        <v>100</v>
      </c>
      <c r="F1551" s="10">
        <f t="shared" si="23"/>
        <v>200</v>
      </c>
    </row>
    <row r="1552" spans="1:6" x14ac:dyDescent="0.25">
      <c r="A1552" s="9"/>
      <c r="B1552" s="12"/>
      <c r="C1552" s="11"/>
      <c r="D1552" s="9"/>
      <c r="F1552" s="8">
        <f>SUM(F1550:F1551)</f>
        <v>1600</v>
      </c>
    </row>
    <row r="1553" spans="1:6" x14ac:dyDescent="0.25">
      <c r="A1553" s="9"/>
      <c r="B1553" s="12"/>
      <c r="C1553" s="11"/>
      <c r="D1553" s="9"/>
      <c r="F1553" s="10"/>
    </row>
    <row r="1554" spans="1:6" x14ac:dyDescent="0.25">
      <c r="A1554" s="9" t="s">
        <v>270</v>
      </c>
      <c r="B1554" s="12">
        <v>45712</v>
      </c>
      <c r="C1554" s="11">
        <v>10</v>
      </c>
      <c r="D1554" s="9" t="s">
        <v>36</v>
      </c>
      <c r="E1554" s="10">
        <v>100</v>
      </c>
      <c r="F1554" s="10">
        <f t="shared" si="23"/>
        <v>1000</v>
      </c>
    </row>
    <row r="1555" spans="1:6" x14ac:dyDescent="0.25">
      <c r="A1555" s="9"/>
      <c r="B1555" s="12"/>
      <c r="C1555" s="11"/>
      <c r="D1555" s="9"/>
      <c r="F1555" s="8">
        <f>SUM(F1554)</f>
        <v>1000</v>
      </c>
    </row>
    <row r="1556" spans="1:6" x14ac:dyDescent="0.25">
      <c r="A1556" s="9"/>
      <c r="B1556" s="12"/>
      <c r="C1556" s="11"/>
      <c r="D1556" s="9"/>
      <c r="F1556" s="10"/>
    </row>
    <row r="1557" spans="1:6" x14ac:dyDescent="0.25">
      <c r="A1557" s="9" t="s">
        <v>15</v>
      </c>
      <c r="B1557" s="12">
        <v>45712</v>
      </c>
      <c r="C1557" s="11">
        <v>32</v>
      </c>
      <c r="D1557" s="9" t="s">
        <v>36</v>
      </c>
      <c r="E1557" s="10">
        <v>85</v>
      </c>
      <c r="F1557" s="10">
        <f t="shared" si="23"/>
        <v>2720</v>
      </c>
    </row>
    <row r="1558" spans="1:6" x14ac:dyDescent="0.25">
      <c r="A1558" s="9"/>
      <c r="B1558" s="12"/>
      <c r="C1558" s="11"/>
      <c r="D1558" s="9"/>
      <c r="F1558" s="8">
        <f>SUM(F1557)</f>
        <v>2720</v>
      </c>
    </row>
    <row r="1559" spans="1:6" x14ac:dyDescent="0.25">
      <c r="A1559" s="9"/>
      <c r="B1559" s="12"/>
      <c r="C1559" s="11"/>
      <c r="D1559" s="9"/>
      <c r="F1559" s="10"/>
    </row>
    <row r="1560" spans="1:6" x14ac:dyDescent="0.25">
      <c r="A1560" s="9" t="s">
        <v>282</v>
      </c>
      <c r="B1560" s="12">
        <v>45712</v>
      </c>
      <c r="C1560" s="11">
        <v>2</v>
      </c>
      <c r="D1560" s="9" t="s">
        <v>12</v>
      </c>
      <c r="E1560" s="10">
        <v>140</v>
      </c>
      <c r="F1560" s="10">
        <f t="shared" si="23"/>
        <v>280</v>
      </c>
    </row>
    <row r="1561" spans="1:6" x14ac:dyDescent="0.25">
      <c r="A1561" s="9"/>
      <c r="B1561" s="12"/>
      <c r="C1561" s="11">
        <v>3</v>
      </c>
      <c r="D1561" s="9" t="s">
        <v>36</v>
      </c>
      <c r="E1561" s="10">
        <v>100</v>
      </c>
      <c r="F1561" s="10">
        <f t="shared" si="23"/>
        <v>300</v>
      </c>
    </row>
    <row r="1562" spans="1:6" x14ac:dyDescent="0.25">
      <c r="A1562" s="9"/>
      <c r="B1562" s="12"/>
      <c r="C1562" s="11"/>
      <c r="D1562" s="9"/>
      <c r="F1562" s="8">
        <f>SUM(F1560:F1561)</f>
        <v>580</v>
      </c>
    </row>
    <row r="1563" spans="1:6" x14ac:dyDescent="0.25">
      <c r="A1563" s="9"/>
      <c r="B1563" s="12"/>
      <c r="C1563" s="11"/>
      <c r="D1563" s="9"/>
      <c r="F1563" s="10"/>
    </row>
    <row r="1564" spans="1:6" x14ac:dyDescent="0.25">
      <c r="A1564" s="9" t="s">
        <v>283</v>
      </c>
      <c r="B1564" s="12">
        <v>45712</v>
      </c>
      <c r="C1564" s="11">
        <v>20</v>
      </c>
      <c r="D1564" s="9" t="s">
        <v>13</v>
      </c>
      <c r="E1564" s="10">
        <v>140</v>
      </c>
      <c r="F1564" s="10">
        <f t="shared" si="23"/>
        <v>2800</v>
      </c>
    </row>
    <row r="1565" spans="1:6" x14ac:dyDescent="0.25">
      <c r="A1565" s="9"/>
      <c r="B1565" s="12"/>
      <c r="C1565" s="11"/>
      <c r="D1565" s="9"/>
      <c r="F1565" s="8">
        <f>SUM(F1564)</f>
        <v>2800</v>
      </c>
    </row>
    <row r="1566" spans="1:6" x14ac:dyDescent="0.25">
      <c r="A1566" s="9"/>
      <c r="B1566" s="12"/>
      <c r="C1566" s="11"/>
      <c r="D1566" s="9"/>
      <c r="F1566" s="10"/>
    </row>
    <row r="1567" spans="1:6" x14ac:dyDescent="0.25">
      <c r="A1567" s="9" t="s">
        <v>44</v>
      </c>
      <c r="B1567" s="12">
        <v>45712</v>
      </c>
      <c r="C1567" s="11">
        <v>60</v>
      </c>
      <c r="D1567" s="9" t="s">
        <v>14</v>
      </c>
      <c r="E1567" s="10">
        <v>125</v>
      </c>
      <c r="F1567" s="10">
        <f t="shared" ref="F1567:F1630" si="24">+C1567*E1567</f>
        <v>7500</v>
      </c>
    </row>
    <row r="1568" spans="1:6" x14ac:dyDescent="0.25">
      <c r="A1568" s="9"/>
      <c r="B1568" s="12"/>
      <c r="C1568" s="11"/>
      <c r="D1568" s="9"/>
      <c r="F1568" s="8">
        <f>SUM(F1567)</f>
        <v>7500</v>
      </c>
    </row>
    <row r="1569" spans="1:6" x14ac:dyDescent="0.25">
      <c r="A1569" s="9"/>
      <c r="B1569" s="12"/>
      <c r="C1569" s="11"/>
      <c r="D1569" s="9"/>
      <c r="F1569" s="10"/>
    </row>
    <row r="1570" spans="1:6" x14ac:dyDescent="0.25">
      <c r="A1570" s="9" t="s">
        <v>18</v>
      </c>
      <c r="B1570" s="12">
        <v>45712</v>
      </c>
      <c r="C1570" s="11">
        <v>30</v>
      </c>
      <c r="D1570" s="9" t="s">
        <v>14</v>
      </c>
      <c r="E1570" s="10">
        <v>125</v>
      </c>
      <c r="F1570" s="10">
        <f t="shared" si="24"/>
        <v>3750</v>
      </c>
    </row>
    <row r="1571" spans="1:6" x14ac:dyDescent="0.25">
      <c r="A1571" s="9"/>
      <c r="B1571" s="12"/>
      <c r="C1571" s="11">
        <v>10</v>
      </c>
      <c r="D1571" s="9" t="s">
        <v>12</v>
      </c>
      <c r="E1571" s="10">
        <v>135</v>
      </c>
      <c r="F1571" s="10">
        <f t="shared" si="24"/>
        <v>1350</v>
      </c>
    </row>
    <row r="1572" spans="1:6" x14ac:dyDescent="0.25">
      <c r="A1572" s="9"/>
      <c r="B1572" s="12"/>
      <c r="C1572" s="11"/>
      <c r="D1572" s="9"/>
      <c r="F1572" s="8">
        <f>SUM(F1570:F1571)</f>
        <v>5100</v>
      </c>
    </row>
    <row r="1573" spans="1:6" x14ac:dyDescent="0.25">
      <c r="A1573" s="9"/>
      <c r="B1573" s="12"/>
      <c r="C1573" s="11"/>
      <c r="D1573" s="9"/>
      <c r="F1573" s="10"/>
    </row>
    <row r="1574" spans="1:6" x14ac:dyDescent="0.25">
      <c r="A1574" s="9" t="s">
        <v>46</v>
      </c>
      <c r="B1574" s="12">
        <v>45712</v>
      </c>
      <c r="C1574" s="11">
        <v>30</v>
      </c>
      <c r="D1574" s="9" t="s">
        <v>14</v>
      </c>
      <c r="E1574" s="10">
        <v>130</v>
      </c>
      <c r="F1574" s="10">
        <f t="shared" si="24"/>
        <v>3900</v>
      </c>
    </row>
    <row r="1575" spans="1:6" x14ac:dyDescent="0.25">
      <c r="A1575" s="9"/>
      <c r="B1575" s="12"/>
      <c r="C1575" s="11"/>
      <c r="D1575" s="9"/>
      <c r="F1575" s="8">
        <f>SUM(F1574)</f>
        <v>3900</v>
      </c>
    </row>
    <row r="1576" spans="1:6" x14ac:dyDescent="0.25">
      <c r="A1576" s="9"/>
      <c r="B1576" s="12"/>
      <c r="C1576" s="11"/>
      <c r="D1576" s="9"/>
      <c r="F1576" s="10"/>
    </row>
    <row r="1577" spans="1:6" x14ac:dyDescent="0.25">
      <c r="A1577" s="9" t="s">
        <v>41</v>
      </c>
      <c r="B1577" s="12">
        <v>45712</v>
      </c>
      <c r="C1577" s="11">
        <v>25</v>
      </c>
      <c r="D1577" s="9" t="s">
        <v>14</v>
      </c>
      <c r="E1577" s="10">
        <v>135</v>
      </c>
      <c r="F1577" s="10">
        <f t="shared" si="24"/>
        <v>3375</v>
      </c>
    </row>
    <row r="1578" spans="1:6" x14ac:dyDescent="0.25">
      <c r="A1578" s="9"/>
      <c r="B1578" s="12"/>
      <c r="C1578" s="11"/>
      <c r="D1578" s="9"/>
      <c r="F1578" s="8">
        <f>SUM(F1577)</f>
        <v>3375</v>
      </c>
    </row>
    <row r="1579" spans="1:6" x14ac:dyDescent="0.25">
      <c r="A1579" s="9"/>
      <c r="B1579" s="12"/>
      <c r="C1579" s="11"/>
      <c r="D1579" s="9"/>
      <c r="F1579" s="10"/>
    </row>
    <row r="1580" spans="1:6" x14ac:dyDescent="0.25">
      <c r="A1580" s="9" t="s">
        <v>45</v>
      </c>
      <c r="B1580" s="12">
        <v>45712</v>
      </c>
      <c r="C1580" s="11">
        <v>8</v>
      </c>
      <c r="D1580" s="9" t="s">
        <v>14</v>
      </c>
      <c r="E1580" s="10">
        <v>125</v>
      </c>
      <c r="F1580" s="10">
        <f t="shared" si="24"/>
        <v>1000</v>
      </c>
    </row>
    <row r="1581" spans="1:6" x14ac:dyDescent="0.25">
      <c r="A1581" s="9"/>
      <c r="B1581" s="12"/>
      <c r="C1581" s="11"/>
      <c r="D1581" s="9"/>
      <c r="F1581" s="8">
        <f>SUM(F1580)</f>
        <v>1000</v>
      </c>
    </row>
    <row r="1582" spans="1:6" x14ac:dyDescent="0.25">
      <c r="A1582" s="9"/>
      <c r="B1582" s="12"/>
      <c r="C1582" s="11"/>
      <c r="D1582" s="9"/>
      <c r="F1582" s="10"/>
    </row>
    <row r="1583" spans="1:6" x14ac:dyDescent="0.25">
      <c r="A1583" s="9" t="s">
        <v>251</v>
      </c>
      <c r="B1583" s="12">
        <v>45712</v>
      </c>
      <c r="C1583" s="11">
        <v>60</v>
      </c>
      <c r="D1583" s="9" t="s">
        <v>12</v>
      </c>
      <c r="E1583" s="10">
        <v>135</v>
      </c>
      <c r="F1583" s="10">
        <f t="shared" si="24"/>
        <v>8100</v>
      </c>
    </row>
    <row r="1584" spans="1:6" x14ac:dyDescent="0.25">
      <c r="A1584" s="9"/>
      <c r="B1584" s="12"/>
      <c r="C1584" s="11">
        <v>10</v>
      </c>
      <c r="D1584" s="9" t="s">
        <v>13</v>
      </c>
      <c r="E1584" s="10">
        <v>125</v>
      </c>
      <c r="F1584" s="10">
        <f t="shared" si="24"/>
        <v>1250</v>
      </c>
    </row>
    <row r="1585" spans="1:6" x14ac:dyDescent="0.25">
      <c r="A1585" s="9"/>
      <c r="B1585" s="12"/>
      <c r="C1585" s="11"/>
      <c r="D1585" s="9"/>
      <c r="F1585" s="8">
        <f>SUM(F1583:F1584)</f>
        <v>9350</v>
      </c>
    </row>
    <row r="1586" spans="1:6" x14ac:dyDescent="0.25">
      <c r="A1586" s="9"/>
      <c r="B1586" s="12"/>
      <c r="C1586" s="11"/>
      <c r="D1586" s="9"/>
      <c r="F1586" s="10"/>
    </row>
    <row r="1587" spans="1:6" x14ac:dyDescent="0.25">
      <c r="A1587" s="9" t="s">
        <v>43</v>
      </c>
      <c r="B1587" s="12">
        <v>45712</v>
      </c>
      <c r="C1587" s="11">
        <v>10</v>
      </c>
      <c r="D1587" s="9" t="s">
        <v>49</v>
      </c>
      <c r="E1587" s="10">
        <v>145</v>
      </c>
      <c r="F1587" s="10">
        <f t="shared" si="24"/>
        <v>1450</v>
      </c>
    </row>
    <row r="1588" spans="1:6" x14ac:dyDescent="0.25">
      <c r="A1588" s="9"/>
      <c r="B1588" s="12"/>
      <c r="C1588" s="11">
        <v>30</v>
      </c>
      <c r="D1588" s="9" t="s">
        <v>14</v>
      </c>
      <c r="E1588" s="10">
        <v>125</v>
      </c>
      <c r="F1588" s="10">
        <f t="shared" si="24"/>
        <v>3750</v>
      </c>
    </row>
    <row r="1589" spans="1:6" x14ac:dyDescent="0.25">
      <c r="A1589" s="9"/>
      <c r="B1589" s="12"/>
      <c r="C1589" s="11"/>
      <c r="D1589" s="9"/>
      <c r="F1589" s="8">
        <f>SUM(F1587:F1588)</f>
        <v>5200</v>
      </c>
    </row>
    <row r="1590" spans="1:6" x14ac:dyDescent="0.25">
      <c r="A1590" s="9"/>
      <c r="B1590" s="12"/>
      <c r="C1590" s="11"/>
      <c r="D1590" s="9"/>
      <c r="F1590" s="10"/>
    </row>
    <row r="1591" spans="1:6" x14ac:dyDescent="0.25">
      <c r="A1591" s="9" t="s">
        <v>284</v>
      </c>
      <c r="B1591" s="12">
        <v>45712</v>
      </c>
      <c r="C1591" s="11">
        <v>10</v>
      </c>
      <c r="D1591" s="9" t="s">
        <v>14</v>
      </c>
      <c r="E1591" s="10">
        <v>125</v>
      </c>
      <c r="F1591" s="10">
        <f t="shared" si="24"/>
        <v>1250</v>
      </c>
    </row>
    <row r="1592" spans="1:6" x14ac:dyDescent="0.25">
      <c r="A1592" s="9"/>
      <c r="B1592" s="12"/>
      <c r="C1592" s="11"/>
      <c r="D1592" s="9"/>
      <c r="F1592" s="8">
        <f>SUM(F1591)</f>
        <v>1250</v>
      </c>
    </row>
    <row r="1593" spans="1:6" x14ac:dyDescent="0.25">
      <c r="A1593" s="9"/>
      <c r="B1593" s="12"/>
      <c r="C1593" s="11"/>
      <c r="D1593" s="9"/>
      <c r="F1593" s="10"/>
    </row>
    <row r="1594" spans="1:6" x14ac:dyDescent="0.25">
      <c r="A1594" s="9" t="s">
        <v>53</v>
      </c>
      <c r="B1594" s="12">
        <v>45712</v>
      </c>
      <c r="C1594" s="11">
        <v>10</v>
      </c>
      <c r="D1594" s="9" t="s">
        <v>8</v>
      </c>
      <c r="E1594" s="10">
        <v>150</v>
      </c>
      <c r="F1594" s="10">
        <f t="shared" si="24"/>
        <v>1500</v>
      </c>
    </row>
    <row r="1595" spans="1:6" x14ac:dyDescent="0.25">
      <c r="A1595" s="9"/>
      <c r="B1595" s="12"/>
      <c r="C1595" s="11">
        <v>10</v>
      </c>
      <c r="D1595" s="9" t="s">
        <v>14</v>
      </c>
      <c r="E1595" s="10">
        <v>130</v>
      </c>
      <c r="F1595" s="10">
        <f t="shared" si="24"/>
        <v>1300</v>
      </c>
    </row>
    <row r="1596" spans="1:6" x14ac:dyDescent="0.25">
      <c r="A1596" s="9"/>
      <c r="B1596" s="12"/>
      <c r="C1596" s="11">
        <v>49</v>
      </c>
      <c r="D1596" s="9" t="s">
        <v>13</v>
      </c>
      <c r="E1596" s="10">
        <v>140</v>
      </c>
      <c r="F1596" s="10">
        <f t="shared" si="24"/>
        <v>6860</v>
      </c>
    </row>
    <row r="1597" spans="1:6" x14ac:dyDescent="0.25">
      <c r="A1597" s="9"/>
      <c r="B1597" s="12"/>
      <c r="C1597" s="11">
        <v>3</v>
      </c>
      <c r="D1597" s="9" t="s">
        <v>12</v>
      </c>
      <c r="E1597" s="10">
        <v>135</v>
      </c>
      <c r="F1597" s="10">
        <f t="shared" si="24"/>
        <v>405</v>
      </c>
    </row>
    <row r="1598" spans="1:6" x14ac:dyDescent="0.25">
      <c r="A1598" s="9"/>
      <c r="B1598" s="12"/>
      <c r="C1598" s="11">
        <v>15</v>
      </c>
      <c r="D1598" s="9" t="s">
        <v>12</v>
      </c>
      <c r="E1598" s="10">
        <v>130</v>
      </c>
      <c r="F1598" s="10">
        <f t="shared" si="24"/>
        <v>1950</v>
      </c>
    </row>
    <row r="1599" spans="1:6" x14ac:dyDescent="0.25">
      <c r="A1599" s="9"/>
      <c r="B1599" s="12"/>
      <c r="C1599" s="11"/>
      <c r="D1599" s="9"/>
      <c r="F1599" s="8">
        <f>SUM(F1594:F1598)</f>
        <v>12015</v>
      </c>
    </row>
    <row r="1600" spans="1:6" x14ac:dyDescent="0.25">
      <c r="A1600" s="9"/>
      <c r="B1600" s="12"/>
      <c r="C1600" s="11"/>
      <c r="D1600" s="9"/>
      <c r="F1600" s="10"/>
    </row>
    <row r="1601" spans="1:6" x14ac:dyDescent="0.25">
      <c r="A1601" s="9" t="s">
        <v>29</v>
      </c>
      <c r="B1601" s="12">
        <v>45712</v>
      </c>
      <c r="C1601" s="11">
        <v>5</v>
      </c>
      <c r="D1601" s="9" t="s">
        <v>8</v>
      </c>
      <c r="E1601" s="10">
        <v>170</v>
      </c>
      <c r="F1601" s="10">
        <f t="shared" si="24"/>
        <v>850</v>
      </c>
    </row>
    <row r="1602" spans="1:6" x14ac:dyDescent="0.25">
      <c r="A1602" s="9"/>
      <c r="B1602" s="12"/>
      <c r="C1602" s="11">
        <v>5</v>
      </c>
      <c r="D1602" s="9" t="s">
        <v>91</v>
      </c>
      <c r="E1602" s="10">
        <v>100</v>
      </c>
      <c r="F1602" s="10">
        <f t="shared" si="24"/>
        <v>500</v>
      </c>
    </row>
    <row r="1603" spans="1:6" x14ac:dyDescent="0.25">
      <c r="A1603" s="9"/>
      <c r="B1603" s="12"/>
      <c r="C1603" s="11">
        <v>2</v>
      </c>
      <c r="D1603" s="9" t="s">
        <v>12</v>
      </c>
      <c r="E1603" s="10">
        <v>150</v>
      </c>
      <c r="F1603" s="10">
        <f t="shared" si="24"/>
        <v>300</v>
      </c>
    </row>
    <row r="1604" spans="1:6" x14ac:dyDescent="0.25">
      <c r="A1604" s="9"/>
      <c r="B1604" s="12"/>
      <c r="C1604" s="11"/>
      <c r="D1604" s="9"/>
      <c r="F1604" s="8">
        <f>SUM(F1601:F1603)</f>
        <v>1650</v>
      </c>
    </row>
    <row r="1605" spans="1:6" x14ac:dyDescent="0.25">
      <c r="A1605" s="9"/>
      <c r="B1605" s="12"/>
      <c r="C1605" s="11"/>
      <c r="D1605" s="9"/>
      <c r="F1605" s="10"/>
    </row>
    <row r="1606" spans="1:6" x14ac:dyDescent="0.25">
      <c r="A1606" s="9" t="s">
        <v>7</v>
      </c>
      <c r="B1606" s="12">
        <v>45712</v>
      </c>
      <c r="C1606" s="11">
        <v>1.18</v>
      </c>
      <c r="D1606" s="9" t="s">
        <v>91</v>
      </c>
      <c r="E1606" s="10">
        <v>100</v>
      </c>
      <c r="F1606" s="10">
        <f t="shared" si="24"/>
        <v>118</v>
      </c>
    </row>
    <row r="1607" spans="1:6" x14ac:dyDescent="0.25">
      <c r="A1607" s="9"/>
      <c r="B1607" s="12"/>
      <c r="C1607" s="22">
        <v>21</v>
      </c>
      <c r="D1607" s="9" t="s">
        <v>281</v>
      </c>
      <c r="E1607" s="10">
        <v>3.3333333333300001</v>
      </c>
      <c r="F1607" s="10">
        <f>+C1607*E1607</f>
        <v>69.999999999929997</v>
      </c>
    </row>
    <row r="1608" spans="1:6" x14ac:dyDescent="0.25">
      <c r="A1608" s="9"/>
      <c r="B1608" s="12"/>
      <c r="C1608" s="11">
        <v>2</v>
      </c>
      <c r="D1608" s="9" t="s">
        <v>13</v>
      </c>
      <c r="E1608" s="10">
        <v>160</v>
      </c>
      <c r="F1608" s="10">
        <f t="shared" si="24"/>
        <v>320</v>
      </c>
    </row>
    <row r="1609" spans="1:6" x14ac:dyDescent="0.25">
      <c r="A1609" s="9"/>
      <c r="B1609" s="12"/>
      <c r="C1609" s="11">
        <v>4</v>
      </c>
      <c r="D1609" s="9" t="s">
        <v>12</v>
      </c>
      <c r="E1609" s="10">
        <v>150</v>
      </c>
      <c r="F1609" s="10">
        <f t="shared" si="24"/>
        <v>600</v>
      </c>
    </row>
    <row r="1610" spans="1:6" x14ac:dyDescent="0.25">
      <c r="A1610" s="9"/>
      <c r="B1610" s="12"/>
      <c r="C1610" s="11">
        <v>4</v>
      </c>
      <c r="D1610" s="9" t="s">
        <v>12</v>
      </c>
      <c r="E1610" s="10">
        <v>145</v>
      </c>
      <c r="F1610" s="10">
        <f t="shared" si="24"/>
        <v>580</v>
      </c>
    </row>
    <row r="1611" spans="1:6" x14ac:dyDescent="0.25">
      <c r="A1611" s="9"/>
      <c r="B1611" s="12"/>
      <c r="C1611" s="11"/>
      <c r="D1611" s="9"/>
      <c r="F1611" s="8">
        <f>SUM(F1606:F1610)</f>
        <v>1687.99999999993</v>
      </c>
    </row>
    <row r="1612" spans="1:6" x14ac:dyDescent="0.25">
      <c r="A1612" s="9"/>
      <c r="B1612" s="12"/>
      <c r="C1612" s="11"/>
      <c r="D1612" s="9"/>
      <c r="F1612" s="10"/>
    </row>
    <row r="1613" spans="1:6" x14ac:dyDescent="0.25">
      <c r="A1613" s="9" t="s">
        <v>79</v>
      </c>
      <c r="B1613" s="12">
        <v>45713</v>
      </c>
      <c r="C1613" s="11">
        <v>25</v>
      </c>
      <c r="D1613" s="9" t="s">
        <v>13</v>
      </c>
      <c r="E1613" s="10">
        <v>140</v>
      </c>
      <c r="F1613" s="10">
        <f t="shared" si="24"/>
        <v>3500</v>
      </c>
    </row>
    <row r="1614" spans="1:6" x14ac:dyDescent="0.25">
      <c r="A1614" s="9"/>
      <c r="B1614" s="12"/>
      <c r="C1614" s="11"/>
      <c r="D1614" s="9"/>
      <c r="F1614" s="8">
        <f>SUM(F1613)</f>
        <v>3500</v>
      </c>
    </row>
    <row r="1615" spans="1:6" x14ac:dyDescent="0.25">
      <c r="A1615" s="9"/>
      <c r="B1615" s="12"/>
      <c r="C1615" s="11"/>
      <c r="D1615" s="9"/>
      <c r="F1615" s="10"/>
    </row>
    <row r="1616" spans="1:6" x14ac:dyDescent="0.25">
      <c r="A1616" s="9" t="s">
        <v>37</v>
      </c>
      <c r="B1616" s="12">
        <v>45713</v>
      </c>
      <c r="C1616" s="11">
        <v>15</v>
      </c>
      <c r="D1616" s="9" t="s">
        <v>12</v>
      </c>
      <c r="E1616" s="10">
        <v>135</v>
      </c>
      <c r="F1616" s="10">
        <f t="shared" si="24"/>
        <v>2025</v>
      </c>
    </row>
    <row r="1617" spans="1:6" x14ac:dyDescent="0.25">
      <c r="A1617" s="9"/>
      <c r="B1617" s="12"/>
      <c r="C1617" s="11"/>
      <c r="D1617" s="9"/>
      <c r="F1617" s="8">
        <f>SUM(F1616)</f>
        <v>2025</v>
      </c>
    </row>
    <row r="1618" spans="1:6" x14ac:dyDescent="0.25">
      <c r="A1618" s="9"/>
      <c r="B1618" s="12"/>
      <c r="C1618" s="11"/>
      <c r="D1618" s="9"/>
      <c r="F1618" s="10"/>
    </row>
    <row r="1619" spans="1:6" x14ac:dyDescent="0.25">
      <c r="A1619" s="9" t="s">
        <v>100</v>
      </c>
      <c r="B1619" s="12">
        <v>45713</v>
      </c>
      <c r="C1619" s="11">
        <v>10</v>
      </c>
      <c r="D1619" s="9" t="s">
        <v>13</v>
      </c>
      <c r="E1619" s="10">
        <v>140</v>
      </c>
      <c r="F1619" s="10">
        <f t="shared" si="24"/>
        <v>1400</v>
      </c>
    </row>
    <row r="1620" spans="1:6" x14ac:dyDescent="0.25">
      <c r="A1620" s="9"/>
      <c r="B1620" s="12"/>
      <c r="C1620" s="11"/>
      <c r="D1620" s="9"/>
      <c r="F1620" s="8">
        <f>SUM(F1619)</f>
        <v>1400</v>
      </c>
    </row>
    <row r="1621" spans="1:6" x14ac:dyDescent="0.25">
      <c r="A1621" s="9"/>
      <c r="B1621" s="12"/>
      <c r="C1621" s="11"/>
      <c r="D1621" s="9"/>
      <c r="F1621" s="10"/>
    </row>
    <row r="1622" spans="1:6" x14ac:dyDescent="0.25">
      <c r="A1622" s="9" t="s">
        <v>26</v>
      </c>
      <c r="B1622" s="12">
        <v>45713</v>
      </c>
      <c r="C1622" s="11">
        <v>100</v>
      </c>
      <c r="D1622" s="9" t="s">
        <v>13</v>
      </c>
      <c r="E1622" s="10">
        <v>140</v>
      </c>
      <c r="F1622" s="10">
        <f t="shared" si="24"/>
        <v>14000</v>
      </c>
    </row>
    <row r="1623" spans="1:6" x14ac:dyDescent="0.25">
      <c r="A1623" s="9"/>
      <c r="B1623" s="12"/>
      <c r="C1623" s="11">
        <v>30</v>
      </c>
      <c r="D1623" s="9" t="s">
        <v>14</v>
      </c>
      <c r="E1623" s="10">
        <v>135</v>
      </c>
      <c r="F1623" s="10">
        <f t="shared" si="24"/>
        <v>4050</v>
      </c>
    </row>
    <row r="1624" spans="1:6" x14ac:dyDescent="0.25">
      <c r="A1624" s="9"/>
      <c r="B1624" s="12"/>
      <c r="C1624" s="11"/>
      <c r="D1624" s="9"/>
      <c r="F1624" s="8">
        <f>SUM(F1622:F1623)</f>
        <v>18050</v>
      </c>
    </row>
    <row r="1625" spans="1:6" x14ac:dyDescent="0.25">
      <c r="A1625" s="9"/>
      <c r="B1625" s="12"/>
      <c r="C1625" s="11"/>
      <c r="D1625" s="9"/>
      <c r="F1625" s="10"/>
    </row>
    <row r="1626" spans="1:6" x14ac:dyDescent="0.25">
      <c r="A1626" s="9" t="s">
        <v>69</v>
      </c>
      <c r="B1626" s="12">
        <v>45713</v>
      </c>
      <c r="C1626" s="11">
        <v>15</v>
      </c>
      <c r="D1626" s="9" t="s">
        <v>8</v>
      </c>
      <c r="E1626" s="10">
        <v>155</v>
      </c>
      <c r="F1626" s="10">
        <f t="shared" si="24"/>
        <v>2325</v>
      </c>
    </row>
    <row r="1627" spans="1:6" x14ac:dyDescent="0.25">
      <c r="A1627" s="9"/>
      <c r="B1627" s="12"/>
      <c r="C1627" s="11"/>
      <c r="D1627" s="9"/>
      <c r="F1627" s="8">
        <f>SUM(F1626)</f>
        <v>2325</v>
      </c>
    </row>
    <row r="1628" spans="1:6" x14ac:dyDescent="0.25">
      <c r="A1628" s="9"/>
      <c r="B1628" s="12"/>
      <c r="C1628" s="11"/>
      <c r="D1628" s="9"/>
      <c r="F1628" s="10"/>
    </row>
    <row r="1629" spans="1:6" x14ac:dyDescent="0.25">
      <c r="A1629" s="9" t="s">
        <v>255</v>
      </c>
      <c r="B1629" s="12">
        <v>45713</v>
      </c>
      <c r="C1629" s="11">
        <v>96</v>
      </c>
      <c r="D1629" s="9" t="s">
        <v>8</v>
      </c>
      <c r="E1629" s="10">
        <v>160</v>
      </c>
      <c r="F1629" s="10">
        <f t="shared" si="24"/>
        <v>15360</v>
      </c>
    </row>
    <row r="1630" spans="1:6" x14ac:dyDescent="0.25">
      <c r="A1630" s="9"/>
      <c r="B1630" s="12"/>
      <c r="C1630" s="11">
        <v>40</v>
      </c>
      <c r="D1630" s="9" t="s">
        <v>13</v>
      </c>
      <c r="E1630" s="10">
        <v>145</v>
      </c>
      <c r="F1630" s="10">
        <f t="shared" si="24"/>
        <v>5800</v>
      </c>
    </row>
    <row r="1631" spans="1:6" x14ac:dyDescent="0.25">
      <c r="A1631" s="9"/>
      <c r="B1631" s="12"/>
      <c r="C1631" s="11"/>
      <c r="D1631" s="9"/>
      <c r="F1631" s="8">
        <f>SUM(F1629:F1630)</f>
        <v>21160</v>
      </c>
    </row>
    <row r="1632" spans="1:6" x14ac:dyDescent="0.25">
      <c r="A1632" s="9"/>
      <c r="B1632" s="12"/>
      <c r="C1632" s="11"/>
      <c r="D1632" s="9"/>
      <c r="F1632" s="10"/>
    </row>
    <row r="1633" spans="1:6" x14ac:dyDescent="0.25">
      <c r="A1633" s="9" t="s">
        <v>60</v>
      </c>
      <c r="B1633" s="12">
        <v>45713</v>
      </c>
      <c r="C1633" s="11">
        <v>20</v>
      </c>
      <c r="D1633" s="9" t="s">
        <v>13</v>
      </c>
      <c r="E1633" s="10">
        <v>145</v>
      </c>
      <c r="F1633" s="10">
        <f t="shared" ref="F1633:F1694" si="25">+C1633*E1633</f>
        <v>2900</v>
      </c>
    </row>
    <row r="1634" spans="1:6" x14ac:dyDescent="0.25">
      <c r="A1634" s="9"/>
      <c r="B1634" s="12"/>
      <c r="C1634" s="11"/>
      <c r="D1634" s="9"/>
      <c r="F1634" s="8">
        <f>SUM(F1633)</f>
        <v>2900</v>
      </c>
    </row>
    <row r="1635" spans="1:6" x14ac:dyDescent="0.25">
      <c r="A1635" s="9"/>
      <c r="B1635" s="12"/>
      <c r="C1635" s="11"/>
      <c r="D1635" s="9"/>
      <c r="F1635" s="10"/>
    </row>
    <row r="1636" spans="1:6" x14ac:dyDescent="0.25">
      <c r="A1636" s="9" t="s">
        <v>191</v>
      </c>
      <c r="B1636" s="12">
        <v>45713</v>
      </c>
      <c r="C1636" s="11">
        <v>300</v>
      </c>
      <c r="D1636" s="9" t="s">
        <v>14</v>
      </c>
      <c r="E1636" s="10">
        <v>125</v>
      </c>
      <c r="F1636" s="10">
        <f t="shared" si="25"/>
        <v>37500</v>
      </c>
    </row>
    <row r="1637" spans="1:6" x14ac:dyDescent="0.25">
      <c r="A1637" s="9"/>
      <c r="B1637" s="12"/>
      <c r="C1637" s="11"/>
      <c r="D1637" s="9"/>
      <c r="F1637" s="8">
        <f>SUM(F1636)</f>
        <v>37500</v>
      </c>
    </row>
    <row r="1638" spans="1:6" x14ac:dyDescent="0.25">
      <c r="A1638" s="9"/>
      <c r="B1638" s="12"/>
      <c r="C1638" s="11"/>
      <c r="D1638" s="9"/>
      <c r="F1638" s="10"/>
    </row>
    <row r="1639" spans="1:6" x14ac:dyDescent="0.25">
      <c r="A1639" s="9" t="s">
        <v>32</v>
      </c>
      <c r="B1639" s="12">
        <v>45713</v>
      </c>
      <c r="C1639" s="11">
        <v>15</v>
      </c>
      <c r="D1639" s="9" t="s">
        <v>13</v>
      </c>
      <c r="E1639" s="10">
        <v>150</v>
      </c>
      <c r="F1639" s="10">
        <f t="shared" si="25"/>
        <v>2250</v>
      </c>
    </row>
    <row r="1640" spans="1:6" x14ac:dyDescent="0.25">
      <c r="A1640" s="9"/>
      <c r="B1640" s="12"/>
      <c r="C1640" s="11"/>
      <c r="D1640" s="9"/>
      <c r="F1640" s="8">
        <f>SUM(F1639)</f>
        <v>2250</v>
      </c>
    </row>
    <row r="1641" spans="1:6" x14ac:dyDescent="0.25">
      <c r="A1641" s="9"/>
      <c r="B1641" s="12"/>
      <c r="C1641" s="11"/>
      <c r="D1641" s="9"/>
      <c r="F1641" s="10"/>
    </row>
    <row r="1642" spans="1:6" x14ac:dyDescent="0.25">
      <c r="A1642" s="9" t="s">
        <v>103</v>
      </c>
      <c r="B1642" s="12">
        <v>45713</v>
      </c>
      <c r="C1642" s="11">
        <v>4</v>
      </c>
      <c r="D1642" s="9" t="s">
        <v>13</v>
      </c>
      <c r="E1642" s="10">
        <v>155</v>
      </c>
      <c r="F1642" s="10">
        <f t="shared" si="25"/>
        <v>620</v>
      </c>
    </row>
    <row r="1643" spans="1:6" x14ac:dyDescent="0.25">
      <c r="A1643" s="9"/>
      <c r="B1643" s="12"/>
      <c r="C1643" s="11"/>
      <c r="D1643" s="9"/>
      <c r="F1643" s="10">
        <f>SUM(F1642)</f>
        <v>620</v>
      </c>
    </row>
    <row r="1644" spans="1:6" x14ac:dyDescent="0.25">
      <c r="A1644" s="9"/>
      <c r="B1644" s="12"/>
      <c r="C1644" s="11"/>
      <c r="D1644" s="9"/>
      <c r="F1644" s="10"/>
    </row>
    <row r="1645" spans="1:6" x14ac:dyDescent="0.25">
      <c r="A1645" s="9" t="s">
        <v>48</v>
      </c>
      <c r="B1645" s="12">
        <v>45713</v>
      </c>
      <c r="C1645" s="11">
        <v>150</v>
      </c>
      <c r="D1645" s="9" t="s">
        <v>14</v>
      </c>
      <c r="F1645" s="10">
        <f t="shared" si="25"/>
        <v>0</v>
      </c>
    </row>
    <row r="1646" spans="1:6" x14ac:dyDescent="0.25">
      <c r="A1646" s="9"/>
      <c r="B1646" s="12"/>
      <c r="C1646" s="11">
        <v>200</v>
      </c>
      <c r="D1646" s="9" t="s">
        <v>11</v>
      </c>
      <c r="F1646" s="10">
        <f t="shared" si="25"/>
        <v>0</v>
      </c>
    </row>
    <row r="1647" spans="1:6" x14ac:dyDescent="0.25">
      <c r="A1647" s="9"/>
      <c r="B1647" s="12"/>
      <c r="C1647" s="11"/>
      <c r="D1647" s="9"/>
      <c r="F1647" s="8">
        <f>SUM(F1645:F1646)</f>
        <v>0</v>
      </c>
    </row>
    <row r="1648" spans="1:6" x14ac:dyDescent="0.25">
      <c r="A1648" s="9"/>
      <c r="B1648" s="12"/>
      <c r="C1648" s="11"/>
      <c r="D1648" s="9"/>
      <c r="F1648" s="10"/>
    </row>
    <row r="1649" spans="1:6" x14ac:dyDescent="0.25">
      <c r="A1649" s="9" t="s">
        <v>48</v>
      </c>
      <c r="B1649" s="12">
        <v>45713</v>
      </c>
      <c r="C1649" s="11">
        <v>200</v>
      </c>
      <c r="D1649" s="9" t="s">
        <v>14</v>
      </c>
      <c r="F1649" s="10">
        <f t="shared" si="25"/>
        <v>0</v>
      </c>
    </row>
    <row r="1650" spans="1:6" x14ac:dyDescent="0.25">
      <c r="A1650" s="9"/>
      <c r="B1650" s="12"/>
      <c r="C1650" s="11">
        <v>86</v>
      </c>
      <c r="D1650" s="9" t="s">
        <v>285</v>
      </c>
      <c r="F1650" s="10">
        <f t="shared" si="25"/>
        <v>0</v>
      </c>
    </row>
    <row r="1651" spans="1:6" x14ac:dyDescent="0.25">
      <c r="A1651" s="9"/>
      <c r="B1651" s="12"/>
      <c r="C1651" s="11">
        <v>59</v>
      </c>
      <c r="D1651" s="9" t="s">
        <v>286</v>
      </c>
      <c r="F1651" s="10">
        <f t="shared" si="25"/>
        <v>0</v>
      </c>
    </row>
    <row r="1652" spans="1:6" x14ac:dyDescent="0.25">
      <c r="A1652" s="9"/>
      <c r="B1652" s="12"/>
      <c r="C1652" s="11">
        <v>30</v>
      </c>
      <c r="D1652" s="9" t="s">
        <v>22</v>
      </c>
      <c r="F1652" s="10">
        <f t="shared" si="25"/>
        <v>0</v>
      </c>
    </row>
    <row r="1653" spans="1:6" x14ac:dyDescent="0.25">
      <c r="A1653" s="9"/>
      <c r="B1653" s="12"/>
      <c r="C1653" s="11">
        <v>60</v>
      </c>
      <c r="D1653" s="9" t="s">
        <v>50</v>
      </c>
      <c r="F1653" s="10">
        <f t="shared" si="25"/>
        <v>0</v>
      </c>
    </row>
    <row r="1654" spans="1:6" x14ac:dyDescent="0.25">
      <c r="A1654" s="9"/>
      <c r="B1654" s="12"/>
      <c r="C1654" s="11"/>
      <c r="D1654" s="9"/>
      <c r="F1654" s="8">
        <f>SUM(F1649:F1653)</f>
        <v>0</v>
      </c>
    </row>
    <row r="1655" spans="1:6" x14ac:dyDescent="0.25">
      <c r="A1655" s="9"/>
      <c r="B1655" s="12"/>
      <c r="C1655" s="11"/>
      <c r="D1655" s="9"/>
      <c r="F1655" s="10"/>
    </row>
    <row r="1656" spans="1:6" x14ac:dyDescent="0.25">
      <c r="A1656" s="9" t="s">
        <v>259</v>
      </c>
      <c r="B1656" s="12">
        <v>45713</v>
      </c>
      <c r="C1656" s="11">
        <v>100</v>
      </c>
      <c r="D1656" s="9" t="s">
        <v>287</v>
      </c>
      <c r="F1656" s="10">
        <f t="shared" si="25"/>
        <v>0</v>
      </c>
    </row>
    <row r="1657" spans="1:6" x14ac:dyDescent="0.25">
      <c r="A1657" s="9"/>
      <c r="B1657" s="12"/>
      <c r="C1657" s="11"/>
      <c r="D1657" s="9"/>
      <c r="F1657" s="8">
        <f>SUM(F1656)</f>
        <v>0</v>
      </c>
    </row>
    <row r="1658" spans="1:6" x14ac:dyDescent="0.25">
      <c r="A1658" s="9"/>
      <c r="B1658" s="12"/>
      <c r="C1658" s="11"/>
      <c r="D1658" s="9"/>
      <c r="F1658" s="10"/>
    </row>
    <row r="1659" spans="1:6" x14ac:dyDescent="0.25">
      <c r="A1659" s="9" t="s">
        <v>28</v>
      </c>
      <c r="B1659" s="12">
        <v>45713</v>
      </c>
      <c r="C1659" s="11">
        <v>169</v>
      </c>
      <c r="D1659" s="9" t="s">
        <v>14</v>
      </c>
      <c r="F1659" s="10">
        <f t="shared" si="25"/>
        <v>0</v>
      </c>
    </row>
    <row r="1660" spans="1:6" x14ac:dyDescent="0.25">
      <c r="A1660" s="9"/>
      <c r="B1660" s="12"/>
      <c r="C1660" s="11"/>
      <c r="D1660" s="9"/>
      <c r="F1660" s="8">
        <f>SUM(F1659)</f>
        <v>0</v>
      </c>
    </row>
    <row r="1661" spans="1:6" x14ac:dyDescent="0.25">
      <c r="A1661" s="9"/>
      <c r="B1661" s="12"/>
      <c r="C1661" s="11"/>
      <c r="D1661" s="9"/>
      <c r="F1661" s="10"/>
    </row>
    <row r="1662" spans="1:6" x14ac:dyDescent="0.25">
      <c r="A1662" s="9" t="s">
        <v>29</v>
      </c>
      <c r="B1662" s="12">
        <v>45713</v>
      </c>
      <c r="C1662" s="11">
        <v>3</v>
      </c>
      <c r="D1662" s="9" t="s">
        <v>13</v>
      </c>
      <c r="E1662" s="10">
        <v>140</v>
      </c>
      <c r="F1662" s="10">
        <f t="shared" si="25"/>
        <v>420</v>
      </c>
    </row>
    <row r="1663" spans="1:6" x14ac:dyDescent="0.25">
      <c r="A1663" s="9"/>
      <c r="B1663" s="12"/>
      <c r="C1663" s="11">
        <v>1</v>
      </c>
      <c r="D1663" s="9" t="s">
        <v>13</v>
      </c>
      <c r="E1663" s="10">
        <v>160</v>
      </c>
      <c r="F1663" s="10">
        <f t="shared" si="25"/>
        <v>160</v>
      </c>
    </row>
    <row r="1664" spans="1:6" x14ac:dyDescent="0.25">
      <c r="A1664" s="9"/>
      <c r="B1664" s="12"/>
      <c r="C1664" s="11">
        <v>2</v>
      </c>
      <c r="D1664" s="9" t="s">
        <v>12</v>
      </c>
      <c r="E1664" s="10">
        <v>145</v>
      </c>
      <c r="F1664" s="10">
        <f t="shared" si="25"/>
        <v>290</v>
      </c>
    </row>
    <row r="1665" spans="1:6" x14ac:dyDescent="0.25">
      <c r="A1665" s="9"/>
      <c r="B1665" s="12"/>
      <c r="C1665" s="11"/>
      <c r="D1665" s="9"/>
      <c r="F1665" s="8">
        <f>SUM(F1662:F1664)</f>
        <v>870</v>
      </c>
    </row>
    <row r="1666" spans="1:6" x14ac:dyDescent="0.25">
      <c r="A1666" s="9"/>
      <c r="B1666" s="12"/>
      <c r="C1666" s="11"/>
      <c r="D1666" s="9"/>
      <c r="F1666" s="10"/>
    </row>
    <row r="1667" spans="1:6" x14ac:dyDescent="0.25">
      <c r="A1667" s="9" t="s">
        <v>7</v>
      </c>
      <c r="B1667" s="12">
        <v>45713</v>
      </c>
      <c r="C1667" s="11">
        <v>2</v>
      </c>
      <c r="D1667" s="9" t="s">
        <v>13</v>
      </c>
      <c r="E1667" s="10">
        <v>160</v>
      </c>
      <c r="F1667" s="10">
        <f t="shared" si="25"/>
        <v>320</v>
      </c>
    </row>
    <row r="1668" spans="1:6" x14ac:dyDescent="0.25">
      <c r="A1668" s="9"/>
      <c r="B1668" s="12"/>
      <c r="C1668" s="11">
        <v>10</v>
      </c>
      <c r="D1668" s="9" t="s">
        <v>161</v>
      </c>
      <c r="E1668" s="10">
        <v>140</v>
      </c>
      <c r="F1668" s="10">
        <f t="shared" si="25"/>
        <v>1400</v>
      </c>
    </row>
    <row r="1669" spans="1:6" x14ac:dyDescent="0.25">
      <c r="A1669" s="9"/>
      <c r="B1669" s="12"/>
      <c r="C1669" s="11"/>
      <c r="D1669" s="9"/>
      <c r="F1669" s="8">
        <f>SUM(F1667:F1668)</f>
        <v>1720</v>
      </c>
    </row>
    <row r="1670" spans="1:6" x14ac:dyDescent="0.25">
      <c r="A1670" s="9"/>
      <c r="B1670" s="12"/>
      <c r="C1670" s="11"/>
      <c r="D1670" s="9"/>
      <c r="F1670" s="10"/>
    </row>
    <row r="1671" spans="1:6" x14ac:dyDescent="0.25">
      <c r="A1671" s="9" t="s">
        <v>270</v>
      </c>
      <c r="B1671" s="12">
        <v>45714</v>
      </c>
      <c r="C1671" s="11">
        <v>16</v>
      </c>
      <c r="D1671" s="9" t="s">
        <v>98</v>
      </c>
      <c r="E1671" s="10">
        <v>100</v>
      </c>
      <c r="F1671" s="10">
        <f t="shared" si="25"/>
        <v>1600</v>
      </c>
    </row>
    <row r="1672" spans="1:6" x14ac:dyDescent="0.25">
      <c r="A1672" s="9"/>
      <c r="B1672" s="12"/>
      <c r="C1672" s="11"/>
      <c r="D1672" s="9"/>
      <c r="F1672" s="8">
        <f>SUM(F1671)</f>
        <v>1600</v>
      </c>
    </row>
    <row r="1673" spans="1:6" x14ac:dyDescent="0.25">
      <c r="A1673" s="9"/>
      <c r="B1673" s="12"/>
      <c r="C1673" s="11"/>
      <c r="D1673" s="9"/>
      <c r="F1673" s="10"/>
    </row>
    <row r="1674" spans="1:6" x14ac:dyDescent="0.25">
      <c r="A1674" s="9" t="s">
        <v>15</v>
      </c>
      <c r="B1674" s="12">
        <v>45714</v>
      </c>
      <c r="C1674" s="11">
        <v>61</v>
      </c>
      <c r="D1674" s="9" t="s">
        <v>36</v>
      </c>
      <c r="E1674" s="10">
        <v>85</v>
      </c>
      <c r="F1674" s="10">
        <f t="shared" si="25"/>
        <v>5185</v>
      </c>
    </row>
    <row r="1675" spans="1:6" x14ac:dyDescent="0.25">
      <c r="A1675" s="9"/>
      <c r="B1675" s="12"/>
      <c r="C1675" s="11"/>
      <c r="D1675" s="9"/>
      <c r="F1675" s="8">
        <f>SUM(F1674)</f>
        <v>5185</v>
      </c>
    </row>
    <row r="1676" spans="1:6" x14ac:dyDescent="0.25">
      <c r="A1676" s="9"/>
      <c r="B1676" s="12"/>
      <c r="C1676" s="11"/>
      <c r="D1676" s="9"/>
      <c r="F1676" s="10"/>
    </row>
    <row r="1677" spans="1:6" x14ac:dyDescent="0.25">
      <c r="A1677" s="9" t="s">
        <v>44</v>
      </c>
      <c r="B1677" s="12">
        <v>45714</v>
      </c>
      <c r="C1677" s="11">
        <v>12</v>
      </c>
      <c r="D1677" s="9" t="s">
        <v>13</v>
      </c>
      <c r="E1677" s="10">
        <v>140</v>
      </c>
      <c r="F1677" s="10">
        <f t="shared" si="25"/>
        <v>1680</v>
      </c>
    </row>
    <row r="1678" spans="1:6" x14ac:dyDescent="0.25">
      <c r="A1678" s="9"/>
      <c r="B1678" s="12"/>
      <c r="C1678" s="11"/>
      <c r="D1678" s="9"/>
      <c r="F1678" s="8">
        <f>SUM(F1677)</f>
        <v>1680</v>
      </c>
    </row>
    <row r="1679" spans="1:6" x14ac:dyDescent="0.25">
      <c r="A1679" s="9"/>
      <c r="B1679" s="12"/>
      <c r="C1679" s="11"/>
      <c r="D1679" s="9"/>
      <c r="F1679" s="10"/>
    </row>
    <row r="1680" spans="1:6" x14ac:dyDescent="0.25">
      <c r="A1680" s="9" t="s">
        <v>17</v>
      </c>
      <c r="B1680" s="12">
        <v>45714</v>
      </c>
      <c r="C1680" s="11">
        <v>10</v>
      </c>
      <c r="D1680" s="9" t="s">
        <v>8</v>
      </c>
      <c r="E1680" s="10">
        <v>150</v>
      </c>
      <c r="F1680" s="10">
        <f t="shared" si="25"/>
        <v>1500</v>
      </c>
    </row>
    <row r="1681" spans="1:6" x14ac:dyDescent="0.25">
      <c r="A1681" s="9"/>
      <c r="B1681" s="12"/>
      <c r="C1681" s="11"/>
      <c r="D1681" s="9"/>
      <c r="F1681" s="8">
        <f>SUM(F1680)</f>
        <v>1500</v>
      </c>
    </row>
    <row r="1682" spans="1:6" x14ac:dyDescent="0.25">
      <c r="A1682" s="9"/>
      <c r="B1682" s="12"/>
      <c r="C1682" s="11"/>
      <c r="D1682" s="9"/>
      <c r="F1682" s="10"/>
    </row>
    <row r="1683" spans="1:6" x14ac:dyDescent="0.25">
      <c r="A1683" s="9" t="s">
        <v>20</v>
      </c>
      <c r="B1683" s="12">
        <v>45714</v>
      </c>
      <c r="C1683" s="11">
        <v>20</v>
      </c>
      <c r="D1683" s="9" t="s">
        <v>13</v>
      </c>
      <c r="E1683" s="10">
        <v>140</v>
      </c>
      <c r="F1683" s="10">
        <f t="shared" si="25"/>
        <v>2800</v>
      </c>
    </row>
    <row r="1684" spans="1:6" x14ac:dyDescent="0.25">
      <c r="A1684" s="9"/>
      <c r="B1684" s="12"/>
      <c r="C1684" s="11"/>
      <c r="D1684" s="9"/>
      <c r="F1684" s="8">
        <f>SUM(F1683)</f>
        <v>2800</v>
      </c>
    </row>
    <row r="1685" spans="1:6" x14ac:dyDescent="0.25">
      <c r="A1685" s="9"/>
      <c r="B1685" s="12"/>
      <c r="C1685" s="11"/>
      <c r="D1685" s="9"/>
      <c r="F1685" s="10"/>
    </row>
    <row r="1686" spans="1:6" x14ac:dyDescent="0.25">
      <c r="A1686" s="9" t="s">
        <v>21</v>
      </c>
      <c r="B1686" s="12">
        <v>45714</v>
      </c>
      <c r="C1686" s="11">
        <v>20</v>
      </c>
      <c r="D1686" s="9" t="s">
        <v>14</v>
      </c>
      <c r="E1686" s="10">
        <v>130</v>
      </c>
      <c r="F1686" s="10">
        <f t="shared" si="25"/>
        <v>2600</v>
      </c>
    </row>
    <row r="1687" spans="1:6" x14ac:dyDescent="0.25">
      <c r="A1687" s="9"/>
      <c r="B1687" s="12"/>
      <c r="C1687" s="11">
        <v>19</v>
      </c>
      <c r="D1687" s="9" t="s">
        <v>11</v>
      </c>
      <c r="E1687" s="10">
        <v>125</v>
      </c>
      <c r="F1687" s="10">
        <f t="shared" si="25"/>
        <v>2375</v>
      </c>
    </row>
    <row r="1688" spans="1:6" x14ac:dyDescent="0.25">
      <c r="A1688" s="9"/>
      <c r="B1688" s="12"/>
      <c r="C1688" s="11"/>
      <c r="D1688" s="9"/>
      <c r="F1688" s="8">
        <f>SUM(F1686:F1687)</f>
        <v>4975</v>
      </c>
    </row>
    <row r="1689" spans="1:6" x14ac:dyDescent="0.25">
      <c r="A1689" s="9"/>
      <c r="B1689" s="12"/>
      <c r="C1689" s="11"/>
      <c r="D1689" s="9"/>
      <c r="F1689" s="10"/>
    </row>
    <row r="1690" spans="1:6" x14ac:dyDescent="0.25">
      <c r="A1690" s="9" t="s">
        <v>148</v>
      </c>
      <c r="B1690" s="12">
        <v>45714</v>
      </c>
      <c r="C1690" s="11">
        <v>10</v>
      </c>
      <c r="D1690" s="9" t="s">
        <v>13</v>
      </c>
      <c r="E1690" s="10">
        <v>140</v>
      </c>
      <c r="F1690" s="10">
        <f t="shared" si="25"/>
        <v>1400</v>
      </c>
    </row>
    <row r="1691" spans="1:6" x14ac:dyDescent="0.25">
      <c r="A1691" s="9"/>
      <c r="B1691" s="12"/>
      <c r="C1691" s="11">
        <v>5</v>
      </c>
      <c r="D1691" s="9" t="s">
        <v>14</v>
      </c>
      <c r="E1691" s="10">
        <v>130</v>
      </c>
      <c r="F1691" s="10">
        <f t="shared" si="25"/>
        <v>650</v>
      </c>
    </row>
    <row r="1692" spans="1:6" x14ac:dyDescent="0.25">
      <c r="A1692" s="9"/>
      <c r="B1692" s="12"/>
      <c r="C1692" s="11"/>
      <c r="D1692" s="9"/>
      <c r="F1692" s="8">
        <f>SUM(F1690:F1691)</f>
        <v>2050</v>
      </c>
    </row>
    <row r="1693" spans="1:6" x14ac:dyDescent="0.25">
      <c r="A1693" s="9"/>
      <c r="B1693" s="12"/>
      <c r="C1693" s="11"/>
      <c r="D1693" s="9"/>
      <c r="F1693" s="10"/>
    </row>
    <row r="1694" spans="1:6" x14ac:dyDescent="0.25">
      <c r="A1694" s="9" t="s">
        <v>40</v>
      </c>
      <c r="B1694" s="12">
        <v>45714</v>
      </c>
      <c r="C1694" s="11">
        <v>15</v>
      </c>
      <c r="D1694" s="9" t="s">
        <v>11</v>
      </c>
      <c r="E1694" s="10">
        <v>120</v>
      </c>
      <c r="F1694" s="10">
        <f t="shared" si="25"/>
        <v>1800</v>
      </c>
    </row>
    <row r="1695" spans="1:6" x14ac:dyDescent="0.25">
      <c r="A1695" s="9"/>
      <c r="B1695" s="12"/>
      <c r="C1695" s="11">
        <v>10</v>
      </c>
      <c r="D1695" s="9" t="s">
        <v>13</v>
      </c>
      <c r="E1695" s="10">
        <v>140</v>
      </c>
      <c r="F1695" s="10">
        <f t="shared" ref="F1695:F1757" si="26">+C1695*E1695</f>
        <v>1400</v>
      </c>
    </row>
    <row r="1696" spans="1:6" x14ac:dyDescent="0.25">
      <c r="A1696" s="9"/>
      <c r="B1696" s="12"/>
      <c r="C1696" s="11"/>
      <c r="D1696" s="9"/>
      <c r="F1696" s="8">
        <f>SUM(F1694:F1695)</f>
        <v>3200</v>
      </c>
    </row>
    <row r="1697" spans="1:6" x14ac:dyDescent="0.25">
      <c r="A1697" s="9"/>
      <c r="B1697" s="12"/>
      <c r="C1697" s="11"/>
      <c r="D1697" s="9"/>
      <c r="F1697" s="10"/>
    </row>
    <row r="1698" spans="1:6" x14ac:dyDescent="0.25">
      <c r="A1698" s="9" t="s">
        <v>58</v>
      </c>
      <c r="B1698" s="12">
        <v>45714</v>
      </c>
      <c r="C1698" s="11">
        <v>10</v>
      </c>
      <c r="D1698" s="9" t="s">
        <v>13</v>
      </c>
      <c r="E1698" s="10">
        <v>140</v>
      </c>
      <c r="F1698" s="10">
        <f t="shared" si="26"/>
        <v>1400</v>
      </c>
    </row>
    <row r="1699" spans="1:6" x14ac:dyDescent="0.25">
      <c r="A1699" s="9"/>
      <c r="B1699" s="12"/>
      <c r="C1699" s="11"/>
      <c r="D1699" s="9"/>
      <c r="F1699" s="8">
        <f>SUM(F1698)</f>
        <v>1400</v>
      </c>
    </row>
    <row r="1700" spans="1:6" x14ac:dyDescent="0.25">
      <c r="A1700" s="9"/>
      <c r="B1700" s="12"/>
      <c r="C1700" s="11"/>
      <c r="D1700" s="9"/>
      <c r="F1700" s="10"/>
    </row>
    <row r="1701" spans="1:6" x14ac:dyDescent="0.25">
      <c r="A1701" s="9" t="s">
        <v>41</v>
      </c>
      <c r="B1701" s="12">
        <v>45714</v>
      </c>
      <c r="C1701" s="11">
        <v>35</v>
      </c>
      <c r="D1701" s="9" t="s">
        <v>14</v>
      </c>
      <c r="E1701" s="10">
        <v>135</v>
      </c>
      <c r="F1701" s="10">
        <f t="shared" si="26"/>
        <v>4725</v>
      </c>
    </row>
    <row r="1702" spans="1:6" x14ac:dyDescent="0.25">
      <c r="A1702" s="9"/>
      <c r="B1702" s="12"/>
      <c r="C1702" s="11"/>
      <c r="D1702" s="9"/>
      <c r="F1702" s="8">
        <f>SUM(F1701)</f>
        <v>4725</v>
      </c>
    </row>
    <row r="1703" spans="1:6" x14ac:dyDescent="0.25">
      <c r="A1703" s="9"/>
      <c r="B1703" s="12"/>
      <c r="C1703" s="11"/>
      <c r="D1703" s="9"/>
      <c r="F1703" s="10"/>
    </row>
    <row r="1704" spans="1:6" x14ac:dyDescent="0.25">
      <c r="A1704" s="9" t="s">
        <v>43</v>
      </c>
      <c r="B1704" s="12">
        <v>45714</v>
      </c>
      <c r="C1704" s="11">
        <v>20</v>
      </c>
      <c r="D1704" s="9" t="s">
        <v>49</v>
      </c>
      <c r="E1704" s="10">
        <v>145</v>
      </c>
      <c r="F1704" s="10">
        <f t="shared" si="26"/>
        <v>2900</v>
      </c>
    </row>
    <row r="1705" spans="1:6" x14ac:dyDescent="0.25">
      <c r="A1705" s="9"/>
      <c r="B1705" s="12"/>
      <c r="C1705" s="11"/>
      <c r="D1705" s="9"/>
      <c r="F1705" s="8">
        <f>SUM(F1704)</f>
        <v>2900</v>
      </c>
    </row>
    <row r="1706" spans="1:6" x14ac:dyDescent="0.25">
      <c r="A1706" s="9"/>
      <c r="B1706" s="12"/>
      <c r="C1706" s="11"/>
      <c r="D1706" s="9"/>
      <c r="F1706" s="10"/>
    </row>
    <row r="1707" spans="1:6" x14ac:dyDescent="0.25">
      <c r="A1707" s="9" t="s">
        <v>107</v>
      </c>
      <c r="B1707" s="12">
        <v>45714</v>
      </c>
      <c r="C1707" s="11">
        <v>32</v>
      </c>
      <c r="D1707" s="9" t="s">
        <v>14</v>
      </c>
      <c r="E1707" s="10">
        <v>140</v>
      </c>
      <c r="F1707" s="10">
        <f t="shared" si="26"/>
        <v>4480</v>
      </c>
    </row>
    <row r="1708" spans="1:6" x14ac:dyDescent="0.25">
      <c r="A1708" s="9"/>
      <c r="B1708" s="12"/>
      <c r="C1708" s="11"/>
      <c r="D1708" s="9"/>
      <c r="F1708" s="8">
        <f>SUM(F1707)</f>
        <v>4480</v>
      </c>
    </row>
    <row r="1709" spans="1:6" x14ac:dyDescent="0.25">
      <c r="A1709" s="9"/>
      <c r="B1709" s="12"/>
      <c r="C1709" s="11"/>
      <c r="D1709" s="9"/>
      <c r="F1709" s="10"/>
    </row>
    <row r="1710" spans="1:6" x14ac:dyDescent="0.25">
      <c r="A1710" s="9" t="s">
        <v>44</v>
      </c>
      <c r="B1710" s="12">
        <v>45714</v>
      </c>
      <c r="C1710" s="11">
        <v>40</v>
      </c>
      <c r="D1710" s="9" t="s">
        <v>14</v>
      </c>
      <c r="E1710" s="10">
        <v>125</v>
      </c>
      <c r="F1710" s="10">
        <f t="shared" si="26"/>
        <v>5000</v>
      </c>
    </row>
    <row r="1711" spans="1:6" x14ac:dyDescent="0.25">
      <c r="A1711" s="9"/>
      <c r="B1711" s="12"/>
      <c r="C1711" s="11"/>
      <c r="D1711" s="9"/>
      <c r="F1711" s="8">
        <f>SUM(F1710)</f>
        <v>5000</v>
      </c>
    </row>
    <row r="1712" spans="1:6" x14ac:dyDescent="0.25">
      <c r="A1712" s="9"/>
      <c r="B1712" s="12"/>
      <c r="C1712" s="11"/>
      <c r="D1712" s="9"/>
      <c r="F1712" s="10"/>
    </row>
    <row r="1713" spans="1:6" x14ac:dyDescent="0.25">
      <c r="A1713" s="9" t="s">
        <v>81</v>
      </c>
      <c r="B1713" s="12">
        <v>45714</v>
      </c>
      <c r="C1713" s="11">
        <v>19</v>
      </c>
      <c r="D1713" s="9" t="s">
        <v>14</v>
      </c>
      <c r="E1713" s="10">
        <v>125</v>
      </c>
      <c r="F1713" s="10">
        <f t="shared" si="26"/>
        <v>2375</v>
      </c>
    </row>
    <row r="1714" spans="1:6" x14ac:dyDescent="0.25">
      <c r="A1714" s="9"/>
      <c r="B1714" s="12"/>
      <c r="C1714" s="11"/>
      <c r="D1714" s="9"/>
      <c r="F1714" s="8">
        <f>SUM(F1713)</f>
        <v>2375</v>
      </c>
    </row>
    <row r="1715" spans="1:6" x14ac:dyDescent="0.25">
      <c r="A1715" s="9"/>
      <c r="B1715" s="12"/>
      <c r="C1715" s="11"/>
      <c r="D1715" s="9"/>
      <c r="F1715" s="10"/>
    </row>
    <row r="1716" spans="1:6" x14ac:dyDescent="0.25">
      <c r="A1716" s="9" t="s">
        <v>47</v>
      </c>
      <c r="B1716" s="12">
        <v>45714</v>
      </c>
      <c r="C1716" s="11">
        <v>20</v>
      </c>
      <c r="D1716" s="9" t="s">
        <v>14</v>
      </c>
      <c r="E1716" s="10">
        <v>130</v>
      </c>
      <c r="F1716" s="10">
        <f t="shared" si="26"/>
        <v>2600</v>
      </c>
    </row>
    <row r="1717" spans="1:6" x14ac:dyDescent="0.25">
      <c r="A1717" s="9"/>
      <c r="B1717" s="12"/>
      <c r="C1717" s="11">
        <v>30</v>
      </c>
      <c r="D1717" s="9" t="s">
        <v>12</v>
      </c>
      <c r="E1717" s="10">
        <v>140</v>
      </c>
      <c r="F1717" s="10">
        <f t="shared" si="26"/>
        <v>4200</v>
      </c>
    </row>
    <row r="1718" spans="1:6" x14ac:dyDescent="0.25">
      <c r="A1718" s="9"/>
      <c r="B1718" s="12"/>
      <c r="C1718" s="11"/>
      <c r="D1718" s="9"/>
      <c r="F1718" s="8">
        <f>SUM(F1716:F1717)</f>
        <v>6800</v>
      </c>
    </row>
    <row r="1719" spans="1:6" x14ac:dyDescent="0.25">
      <c r="A1719" s="9"/>
      <c r="B1719" s="12"/>
      <c r="C1719" s="11"/>
      <c r="D1719" s="9"/>
      <c r="F1719" s="10"/>
    </row>
    <row r="1720" spans="1:6" x14ac:dyDescent="0.25">
      <c r="A1720" s="9" t="s">
        <v>46</v>
      </c>
      <c r="B1720" s="12">
        <v>45714</v>
      </c>
      <c r="C1720" s="11">
        <v>20</v>
      </c>
      <c r="D1720" s="9" t="s">
        <v>14</v>
      </c>
      <c r="E1720" s="10">
        <v>130</v>
      </c>
      <c r="F1720" s="10">
        <f t="shared" si="26"/>
        <v>2600</v>
      </c>
    </row>
    <row r="1721" spans="1:6" x14ac:dyDescent="0.25">
      <c r="A1721" s="9"/>
      <c r="B1721" s="12"/>
      <c r="C1721" s="11"/>
      <c r="D1721" s="9"/>
      <c r="F1721" s="8">
        <f>SUM(F1720)</f>
        <v>2600</v>
      </c>
    </row>
    <row r="1722" spans="1:6" x14ac:dyDescent="0.25">
      <c r="A1722" s="9"/>
      <c r="B1722" s="12"/>
      <c r="C1722" s="11"/>
      <c r="D1722" s="9"/>
      <c r="F1722" s="10"/>
    </row>
    <row r="1723" spans="1:6" x14ac:dyDescent="0.25">
      <c r="A1723" s="9" t="s">
        <v>67</v>
      </c>
      <c r="B1723" s="12">
        <v>45714</v>
      </c>
      <c r="C1723" s="11">
        <v>20</v>
      </c>
      <c r="D1723" s="9" t="s">
        <v>13</v>
      </c>
      <c r="E1723" s="10">
        <v>140</v>
      </c>
      <c r="F1723" s="10">
        <f t="shared" si="26"/>
        <v>2800</v>
      </c>
    </row>
    <row r="1724" spans="1:6" x14ac:dyDescent="0.25">
      <c r="A1724" s="9"/>
      <c r="B1724" s="12"/>
      <c r="C1724" s="11"/>
      <c r="D1724" s="9"/>
      <c r="F1724" s="8">
        <f>SUM(F1723)</f>
        <v>2800</v>
      </c>
    </row>
    <row r="1725" spans="1:6" x14ac:dyDescent="0.25">
      <c r="A1725" s="9"/>
      <c r="B1725" s="12"/>
      <c r="C1725" s="11"/>
      <c r="D1725" s="9"/>
      <c r="F1725" s="10"/>
    </row>
    <row r="1726" spans="1:6" x14ac:dyDescent="0.25">
      <c r="A1726" s="9" t="s">
        <v>7</v>
      </c>
      <c r="B1726" s="12">
        <v>45714</v>
      </c>
      <c r="C1726" s="11">
        <v>10</v>
      </c>
      <c r="D1726" s="9" t="s">
        <v>8</v>
      </c>
      <c r="E1726" s="10">
        <v>160</v>
      </c>
      <c r="F1726" s="10">
        <f t="shared" si="26"/>
        <v>1600</v>
      </c>
    </row>
    <row r="1727" spans="1:6" x14ac:dyDescent="0.25">
      <c r="A1727" s="9"/>
      <c r="B1727" s="12"/>
      <c r="C1727" s="11"/>
      <c r="D1727" s="9"/>
      <c r="F1727" s="8">
        <f>SUM(F1726)</f>
        <v>1600</v>
      </c>
    </row>
    <row r="1728" spans="1:6" x14ac:dyDescent="0.25">
      <c r="A1728" s="9"/>
      <c r="B1728" s="12"/>
      <c r="C1728" s="11"/>
      <c r="D1728" s="9"/>
      <c r="F1728" s="10"/>
    </row>
    <row r="1729" spans="1:6" x14ac:dyDescent="0.25">
      <c r="A1729" s="9" t="s">
        <v>288</v>
      </c>
      <c r="B1729" s="12">
        <v>45714</v>
      </c>
      <c r="C1729" s="11">
        <v>7</v>
      </c>
      <c r="D1729" s="9" t="s">
        <v>13</v>
      </c>
      <c r="E1729" s="10">
        <v>140</v>
      </c>
      <c r="F1729" s="10">
        <f t="shared" si="26"/>
        <v>980</v>
      </c>
    </row>
    <row r="1730" spans="1:6" x14ac:dyDescent="0.25">
      <c r="A1730" s="9"/>
      <c r="B1730" s="12"/>
      <c r="C1730" s="11"/>
      <c r="D1730" s="9"/>
      <c r="F1730" s="8">
        <f>SUM(F1729)</f>
        <v>980</v>
      </c>
    </row>
    <row r="1731" spans="1:6" x14ac:dyDescent="0.25">
      <c r="A1731" s="9"/>
      <c r="B1731" s="12"/>
      <c r="C1731" s="11"/>
      <c r="D1731" s="9"/>
      <c r="F1731" s="10"/>
    </row>
    <row r="1732" spans="1:6" x14ac:dyDescent="0.25">
      <c r="A1732" s="9" t="s">
        <v>68</v>
      </c>
      <c r="B1732" s="12">
        <v>45714</v>
      </c>
      <c r="C1732" s="11">
        <v>4</v>
      </c>
      <c r="D1732" s="9" t="s">
        <v>289</v>
      </c>
      <c r="E1732" s="10">
        <v>150</v>
      </c>
      <c r="F1732" s="10">
        <f t="shared" si="26"/>
        <v>600</v>
      </c>
    </row>
    <row r="1733" spans="1:6" x14ac:dyDescent="0.25">
      <c r="A1733" s="9"/>
      <c r="B1733" s="12"/>
      <c r="C1733" s="11"/>
      <c r="D1733" s="9"/>
      <c r="F1733" s="8">
        <f>SUM(F1732)</f>
        <v>600</v>
      </c>
    </row>
    <row r="1734" spans="1:6" x14ac:dyDescent="0.25">
      <c r="A1734" s="9"/>
      <c r="B1734" s="12"/>
      <c r="C1734" s="11"/>
      <c r="D1734" s="9"/>
      <c r="F1734" s="10"/>
    </row>
    <row r="1735" spans="1:6" x14ac:dyDescent="0.25">
      <c r="A1735" s="9" t="s">
        <v>32</v>
      </c>
      <c r="B1735" s="12">
        <v>45714</v>
      </c>
      <c r="C1735" s="11">
        <v>10</v>
      </c>
      <c r="D1735" s="9" t="s">
        <v>13</v>
      </c>
      <c r="E1735" s="10">
        <v>140</v>
      </c>
      <c r="F1735" s="10">
        <f t="shared" si="26"/>
        <v>1400</v>
      </c>
    </row>
    <row r="1736" spans="1:6" s="9" customFormat="1" x14ac:dyDescent="0.25">
      <c r="B1736" s="12"/>
      <c r="C1736" s="11"/>
      <c r="E1736" s="10"/>
      <c r="F1736" s="8">
        <f>SUM(F1735)</f>
        <v>1400</v>
      </c>
    </row>
    <row r="1737" spans="1:6" s="9" customFormat="1" x14ac:dyDescent="0.25">
      <c r="B1737" s="12"/>
      <c r="C1737" s="11"/>
      <c r="E1737" s="10"/>
      <c r="F1737" s="10"/>
    </row>
    <row r="1738" spans="1:6" s="9" customFormat="1" x14ac:dyDescent="0.25">
      <c r="A1738" s="9" t="s">
        <v>72</v>
      </c>
      <c r="B1738" s="12">
        <v>45714</v>
      </c>
      <c r="C1738" s="11">
        <v>230</v>
      </c>
      <c r="D1738" s="9" t="s">
        <v>13</v>
      </c>
      <c r="E1738" s="10">
        <v>135</v>
      </c>
      <c r="F1738" s="10">
        <f t="shared" si="26"/>
        <v>31050</v>
      </c>
    </row>
    <row r="1739" spans="1:6" s="9" customFormat="1" x14ac:dyDescent="0.25">
      <c r="B1739" s="12"/>
      <c r="C1739" s="11">
        <v>120</v>
      </c>
      <c r="D1739" s="9" t="s">
        <v>12</v>
      </c>
      <c r="E1739" s="10">
        <v>125</v>
      </c>
      <c r="F1739" s="10">
        <f t="shared" si="26"/>
        <v>15000</v>
      </c>
    </row>
    <row r="1740" spans="1:6" s="9" customFormat="1" x14ac:dyDescent="0.25">
      <c r="B1740" s="12"/>
      <c r="C1740" s="11">
        <v>10</v>
      </c>
      <c r="D1740" s="9" t="s">
        <v>14</v>
      </c>
      <c r="E1740" s="10">
        <v>130</v>
      </c>
      <c r="F1740" s="10">
        <f t="shared" si="26"/>
        <v>1300</v>
      </c>
    </row>
    <row r="1741" spans="1:6" s="9" customFormat="1" x14ac:dyDescent="0.25">
      <c r="B1741" s="12"/>
      <c r="C1741" s="11">
        <v>90</v>
      </c>
      <c r="D1741" s="9" t="s">
        <v>11</v>
      </c>
      <c r="E1741" s="10">
        <v>125</v>
      </c>
      <c r="F1741" s="10">
        <f t="shared" si="26"/>
        <v>11250</v>
      </c>
    </row>
    <row r="1742" spans="1:6" s="9" customFormat="1" x14ac:dyDescent="0.25">
      <c r="B1742" s="12"/>
      <c r="C1742" s="11"/>
      <c r="E1742" s="10"/>
      <c r="F1742" s="8">
        <f>SUM(F1738:F1741)</f>
        <v>58600</v>
      </c>
    </row>
    <row r="1743" spans="1:6" s="9" customFormat="1" x14ac:dyDescent="0.25">
      <c r="B1743" s="12"/>
      <c r="C1743" s="11"/>
      <c r="E1743" s="10"/>
      <c r="F1743" s="10"/>
    </row>
    <row r="1744" spans="1:6" s="9" customFormat="1" x14ac:dyDescent="0.25">
      <c r="A1744" s="9" t="s">
        <v>244</v>
      </c>
      <c r="B1744" s="12">
        <v>45714</v>
      </c>
      <c r="C1744" s="11">
        <v>3</v>
      </c>
      <c r="D1744" s="9" t="s">
        <v>8</v>
      </c>
      <c r="E1744" s="10">
        <v>160</v>
      </c>
      <c r="F1744" s="10">
        <f t="shared" si="26"/>
        <v>480</v>
      </c>
    </row>
    <row r="1745" spans="1:6" s="9" customFormat="1" x14ac:dyDescent="0.25">
      <c r="B1745" s="12"/>
      <c r="C1745" s="11">
        <v>2</v>
      </c>
      <c r="D1745" s="9" t="s">
        <v>49</v>
      </c>
      <c r="E1745" s="10">
        <v>160</v>
      </c>
      <c r="F1745" s="10">
        <f t="shared" si="26"/>
        <v>320</v>
      </c>
    </row>
    <row r="1746" spans="1:6" s="9" customFormat="1" x14ac:dyDescent="0.25">
      <c r="B1746" s="12"/>
      <c r="C1746" s="11"/>
      <c r="E1746" s="10"/>
      <c r="F1746" s="8">
        <f>SUM(F1744:F1745)</f>
        <v>800</v>
      </c>
    </row>
    <row r="1747" spans="1:6" s="9" customFormat="1" x14ac:dyDescent="0.25">
      <c r="B1747" s="12"/>
      <c r="C1747" s="11"/>
      <c r="E1747" s="10"/>
      <c r="F1747" s="10"/>
    </row>
    <row r="1748" spans="1:6" s="9" customFormat="1" x14ac:dyDescent="0.25">
      <c r="A1748" s="9" t="s">
        <v>167</v>
      </c>
      <c r="B1748" s="12">
        <v>45714</v>
      </c>
      <c r="C1748" s="11">
        <v>7</v>
      </c>
      <c r="D1748" s="9" t="s">
        <v>13</v>
      </c>
      <c r="E1748" s="10">
        <v>150</v>
      </c>
      <c r="F1748" s="10">
        <f t="shared" si="26"/>
        <v>1050</v>
      </c>
    </row>
    <row r="1749" spans="1:6" s="9" customFormat="1" x14ac:dyDescent="0.25">
      <c r="B1749" s="12"/>
      <c r="C1749" s="11">
        <v>7</v>
      </c>
      <c r="D1749" s="9" t="s">
        <v>14</v>
      </c>
      <c r="E1749" s="10">
        <v>135</v>
      </c>
      <c r="F1749" s="10">
        <f t="shared" si="26"/>
        <v>945</v>
      </c>
    </row>
    <row r="1750" spans="1:6" s="9" customFormat="1" x14ac:dyDescent="0.25">
      <c r="B1750" s="12"/>
      <c r="C1750" s="11"/>
      <c r="E1750" s="10"/>
      <c r="F1750" s="8">
        <f>SUM(F1748:F1749)</f>
        <v>1995</v>
      </c>
    </row>
    <row r="1751" spans="1:6" s="9" customFormat="1" x14ac:dyDescent="0.25">
      <c r="B1751" s="12"/>
      <c r="C1751" s="11"/>
      <c r="E1751" s="10"/>
      <c r="F1751" s="10"/>
    </row>
    <row r="1752" spans="1:6" s="9" customFormat="1" x14ac:dyDescent="0.25">
      <c r="A1752" s="9" t="s">
        <v>7</v>
      </c>
      <c r="B1752" s="12">
        <v>45714</v>
      </c>
      <c r="C1752" s="11">
        <v>1</v>
      </c>
      <c r="D1752" s="9" t="s">
        <v>8</v>
      </c>
      <c r="E1752" s="10">
        <v>170</v>
      </c>
      <c r="F1752" s="10">
        <f t="shared" si="26"/>
        <v>170</v>
      </c>
    </row>
    <row r="1753" spans="1:6" s="9" customFormat="1" x14ac:dyDescent="0.25">
      <c r="B1753" s="12"/>
      <c r="C1753" s="11">
        <v>1</v>
      </c>
      <c r="D1753" s="9" t="s">
        <v>8</v>
      </c>
      <c r="E1753" s="10">
        <v>170</v>
      </c>
      <c r="F1753" s="10">
        <f t="shared" si="26"/>
        <v>170</v>
      </c>
    </row>
    <row r="1754" spans="1:6" s="9" customFormat="1" x14ac:dyDescent="0.25">
      <c r="B1754" s="12"/>
      <c r="C1754" s="11">
        <v>1</v>
      </c>
      <c r="D1754" s="9" t="s">
        <v>13</v>
      </c>
      <c r="E1754" s="10">
        <v>160</v>
      </c>
      <c r="F1754" s="10">
        <f t="shared" si="26"/>
        <v>160</v>
      </c>
    </row>
    <row r="1755" spans="1:6" s="9" customFormat="1" x14ac:dyDescent="0.25">
      <c r="B1755" s="12"/>
      <c r="C1755" s="11"/>
      <c r="E1755" s="10"/>
      <c r="F1755" s="8">
        <f>SUM(F1752:F1754)</f>
        <v>500</v>
      </c>
    </row>
    <row r="1756" spans="1:6" s="9" customFormat="1" x14ac:dyDescent="0.25">
      <c r="B1756" s="12"/>
      <c r="C1756" s="11"/>
      <c r="E1756" s="10"/>
      <c r="F1756" s="10"/>
    </row>
    <row r="1757" spans="1:6" s="9" customFormat="1" x14ac:dyDescent="0.25">
      <c r="A1757" s="9" t="s">
        <v>7</v>
      </c>
      <c r="B1757" s="12">
        <v>45714</v>
      </c>
      <c r="C1757" s="11">
        <v>3</v>
      </c>
      <c r="D1757" s="9" t="s">
        <v>8</v>
      </c>
      <c r="E1757" s="10">
        <v>160</v>
      </c>
      <c r="F1757" s="10">
        <f t="shared" si="26"/>
        <v>480</v>
      </c>
    </row>
    <row r="1758" spans="1:6" s="9" customFormat="1" x14ac:dyDescent="0.25">
      <c r="B1758" s="12"/>
      <c r="C1758" s="11"/>
      <c r="E1758" s="10"/>
      <c r="F1758" s="8">
        <f>SUM(F1757)</f>
        <v>480</v>
      </c>
    </row>
    <row r="1759" spans="1:6" s="9" customFormat="1" x14ac:dyDescent="0.25">
      <c r="B1759" s="12"/>
      <c r="C1759" s="11"/>
      <c r="E1759" s="10"/>
      <c r="F1759" s="10"/>
    </row>
    <row r="1760" spans="1:6" s="9" customFormat="1" x14ac:dyDescent="0.25">
      <c r="A1760" s="9" t="s">
        <v>290</v>
      </c>
      <c r="B1760" s="12">
        <v>45715</v>
      </c>
      <c r="C1760" s="11">
        <v>20</v>
      </c>
      <c r="D1760" s="9" t="s">
        <v>13</v>
      </c>
      <c r="E1760" s="10">
        <v>150</v>
      </c>
      <c r="F1760" s="10">
        <f t="shared" ref="F1760:F1823" si="27">+C1760*E1760</f>
        <v>3000</v>
      </c>
    </row>
    <row r="1761" spans="1:6" s="9" customFormat="1" x14ac:dyDescent="0.25">
      <c r="B1761" s="12"/>
      <c r="C1761" s="11">
        <v>18</v>
      </c>
      <c r="D1761" s="9" t="s">
        <v>13</v>
      </c>
      <c r="E1761" s="10">
        <v>145</v>
      </c>
      <c r="F1761" s="10">
        <f t="shared" si="27"/>
        <v>2610</v>
      </c>
    </row>
    <row r="1762" spans="1:6" s="9" customFormat="1" x14ac:dyDescent="0.25">
      <c r="B1762" s="12"/>
      <c r="C1762" s="11">
        <v>12</v>
      </c>
      <c r="D1762" s="9" t="s">
        <v>12</v>
      </c>
      <c r="E1762" s="10">
        <v>135</v>
      </c>
      <c r="F1762" s="10">
        <f t="shared" si="27"/>
        <v>1620</v>
      </c>
    </row>
    <row r="1763" spans="1:6" s="9" customFormat="1" x14ac:dyDescent="0.25">
      <c r="B1763" s="12"/>
      <c r="C1763" s="11"/>
      <c r="E1763" s="10"/>
      <c r="F1763" s="8">
        <f>SUM(F1760:F1762)</f>
        <v>7230</v>
      </c>
    </row>
    <row r="1764" spans="1:6" s="9" customFormat="1" x14ac:dyDescent="0.25">
      <c r="B1764" s="12"/>
      <c r="C1764" s="11"/>
      <c r="E1764" s="10"/>
      <c r="F1764" s="10"/>
    </row>
    <row r="1765" spans="1:6" s="9" customFormat="1" x14ac:dyDescent="0.25">
      <c r="A1765" s="9" t="s">
        <v>151</v>
      </c>
      <c r="B1765" s="12">
        <v>45715</v>
      </c>
      <c r="C1765" s="11">
        <v>30</v>
      </c>
      <c r="D1765" s="9" t="s">
        <v>12</v>
      </c>
      <c r="E1765" s="10">
        <v>125</v>
      </c>
      <c r="F1765" s="10">
        <f t="shared" si="27"/>
        <v>3750</v>
      </c>
    </row>
    <row r="1766" spans="1:6" s="9" customFormat="1" x14ac:dyDescent="0.25">
      <c r="B1766" s="12"/>
      <c r="C1766" s="11">
        <v>60</v>
      </c>
      <c r="D1766" s="9" t="s">
        <v>14</v>
      </c>
      <c r="E1766" s="10">
        <v>125</v>
      </c>
      <c r="F1766" s="10">
        <f t="shared" si="27"/>
        <v>7500</v>
      </c>
    </row>
    <row r="1767" spans="1:6" s="9" customFormat="1" x14ac:dyDescent="0.25">
      <c r="B1767" s="12"/>
      <c r="C1767" s="11"/>
      <c r="E1767" s="10"/>
      <c r="F1767" s="8">
        <f>SUM(F1765:F1766)</f>
        <v>11250</v>
      </c>
    </row>
    <row r="1768" spans="1:6" s="9" customFormat="1" x14ac:dyDescent="0.25">
      <c r="B1768" s="12"/>
      <c r="C1768" s="11"/>
      <c r="E1768" s="10"/>
      <c r="F1768" s="10"/>
    </row>
    <row r="1769" spans="1:6" s="9" customFormat="1" x14ac:dyDescent="0.25">
      <c r="A1769" s="9" t="s">
        <v>61</v>
      </c>
      <c r="B1769" s="12">
        <v>45715</v>
      </c>
      <c r="C1769" s="11">
        <v>60</v>
      </c>
      <c r="D1769" s="9" t="s">
        <v>13</v>
      </c>
      <c r="E1769" s="10">
        <v>140</v>
      </c>
      <c r="F1769" s="10">
        <f t="shared" si="27"/>
        <v>8400</v>
      </c>
    </row>
    <row r="1770" spans="1:6" s="9" customFormat="1" x14ac:dyDescent="0.25">
      <c r="B1770" s="12"/>
      <c r="C1770" s="11"/>
      <c r="E1770" s="10"/>
      <c r="F1770" s="8">
        <f>SUM(F1769)</f>
        <v>8400</v>
      </c>
    </row>
    <row r="1771" spans="1:6" s="9" customFormat="1" x14ac:dyDescent="0.25">
      <c r="B1771" s="12"/>
      <c r="C1771" s="11"/>
      <c r="E1771" s="10"/>
      <c r="F1771" s="10"/>
    </row>
    <row r="1772" spans="1:6" s="9" customFormat="1" x14ac:dyDescent="0.25">
      <c r="A1772" s="9" t="s">
        <v>127</v>
      </c>
      <c r="B1772" s="12">
        <v>45715</v>
      </c>
      <c r="C1772" s="11">
        <v>10</v>
      </c>
      <c r="D1772" s="9" t="s">
        <v>13</v>
      </c>
      <c r="E1772" s="10">
        <v>140</v>
      </c>
      <c r="F1772" s="10">
        <f t="shared" si="27"/>
        <v>1400</v>
      </c>
    </row>
    <row r="1773" spans="1:6" s="9" customFormat="1" x14ac:dyDescent="0.25">
      <c r="B1773" s="12"/>
      <c r="C1773" s="11"/>
      <c r="E1773" s="10"/>
      <c r="F1773" s="8">
        <f>SUM(F1772)</f>
        <v>1400</v>
      </c>
    </row>
    <row r="1774" spans="1:6" s="9" customFormat="1" x14ac:dyDescent="0.25">
      <c r="B1774" s="12"/>
      <c r="C1774" s="11"/>
      <c r="E1774" s="10"/>
      <c r="F1774" s="10"/>
    </row>
    <row r="1775" spans="1:6" s="9" customFormat="1" x14ac:dyDescent="0.25">
      <c r="A1775" s="9" t="s">
        <v>60</v>
      </c>
      <c r="B1775" s="12">
        <v>45715</v>
      </c>
      <c r="C1775" s="11">
        <v>20</v>
      </c>
      <c r="D1775" s="9" t="s">
        <v>13</v>
      </c>
      <c r="E1775" s="10">
        <v>140</v>
      </c>
      <c r="F1775" s="10">
        <f t="shared" si="27"/>
        <v>2800</v>
      </c>
    </row>
    <row r="1776" spans="1:6" s="9" customFormat="1" x14ac:dyDescent="0.25">
      <c r="B1776" s="12"/>
      <c r="C1776" s="11"/>
      <c r="E1776" s="10"/>
      <c r="F1776" s="8">
        <f>SUM(F1775)</f>
        <v>2800</v>
      </c>
    </row>
    <row r="1777" spans="1:6" s="9" customFormat="1" x14ac:dyDescent="0.25">
      <c r="B1777" s="12"/>
      <c r="C1777" s="11"/>
      <c r="E1777" s="10"/>
      <c r="F1777" s="10"/>
    </row>
    <row r="1778" spans="1:6" s="9" customFormat="1" x14ac:dyDescent="0.25">
      <c r="A1778" s="9" t="s">
        <v>26</v>
      </c>
      <c r="B1778" s="12">
        <v>45715</v>
      </c>
      <c r="C1778" s="11">
        <v>110</v>
      </c>
      <c r="D1778" s="9" t="s">
        <v>13</v>
      </c>
      <c r="E1778" s="10">
        <v>140</v>
      </c>
      <c r="F1778" s="10">
        <f t="shared" si="27"/>
        <v>15400</v>
      </c>
    </row>
    <row r="1779" spans="1:6" s="9" customFormat="1" x14ac:dyDescent="0.25">
      <c r="B1779" s="12"/>
      <c r="C1779" s="11">
        <v>10</v>
      </c>
      <c r="D1779" s="9" t="s">
        <v>172</v>
      </c>
      <c r="E1779" s="10">
        <v>135</v>
      </c>
      <c r="F1779" s="10">
        <f t="shared" si="27"/>
        <v>1350</v>
      </c>
    </row>
    <row r="1780" spans="1:6" s="9" customFormat="1" x14ac:dyDescent="0.25">
      <c r="B1780" s="12"/>
      <c r="C1780" s="11"/>
      <c r="E1780" s="10"/>
      <c r="F1780" s="8">
        <f>SUM(F1778:F1779)</f>
        <v>16750</v>
      </c>
    </row>
    <row r="1781" spans="1:6" s="9" customFormat="1" x14ac:dyDescent="0.25">
      <c r="B1781" s="12"/>
      <c r="C1781" s="11"/>
      <c r="E1781" s="10"/>
      <c r="F1781" s="10"/>
    </row>
    <row r="1782" spans="1:6" s="9" customFormat="1" x14ac:dyDescent="0.25">
      <c r="A1782" s="9" t="s">
        <v>291</v>
      </c>
      <c r="B1782" s="12">
        <v>45715</v>
      </c>
      <c r="C1782" s="11">
        <v>5</v>
      </c>
      <c r="D1782" s="9" t="s">
        <v>13</v>
      </c>
      <c r="E1782" s="10">
        <v>150</v>
      </c>
      <c r="F1782" s="10">
        <f t="shared" si="27"/>
        <v>750</v>
      </c>
    </row>
    <row r="1783" spans="1:6" s="9" customFormat="1" x14ac:dyDescent="0.25">
      <c r="B1783" s="12"/>
      <c r="C1783" s="11"/>
      <c r="E1783" s="10"/>
      <c r="F1783" s="8">
        <f>SUM(F1782)</f>
        <v>750</v>
      </c>
    </row>
    <row r="1784" spans="1:6" s="9" customFormat="1" x14ac:dyDescent="0.25">
      <c r="B1784" s="12"/>
      <c r="C1784" s="11"/>
      <c r="E1784" s="10"/>
      <c r="F1784" s="10"/>
    </row>
    <row r="1785" spans="1:6" s="9" customFormat="1" x14ac:dyDescent="0.25">
      <c r="A1785" s="9" t="s">
        <v>29</v>
      </c>
      <c r="B1785" s="12">
        <v>45715</v>
      </c>
      <c r="C1785" s="11">
        <v>1</v>
      </c>
      <c r="D1785" s="9" t="s">
        <v>13</v>
      </c>
      <c r="E1785" s="10">
        <v>160</v>
      </c>
      <c r="F1785" s="10">
        <f t="shared" si="27"/>
        <v>160</v>
      </c>
    </row>
    <row r="1786" spans="1:6" x14ac:dyDescent="0.25">
      <c r="A1786" s="9"/>
      <c r="B1786" s="12"/>
      <c r="C1786" s="11">
        <v>5</v>
      </c>
      <c r="D1786" s="9" t="s">
        <v>13</v>
      </c>
      <c r="E1786" s="10">
        <v>140</v>
      </c>
      <c r="F1786" s="10">
        <f t="shared" si="27"/>
        <v>700</v>
      </c>
    </row>
    <row r="1787" spans="1:6" x14ac:dyDescent="0.25">
      <c r="A1787" s="9"/>
      <c r="D1787" s="9"/>
      <c r="F1787" s="8">
        <f>SUM(F1785:F1786)</f>
        <v>860</v>
      </c>
    </row>
    <row r="1788" spans="1:6" s="9" customFormat="1" x14ac:dyDescent="0.25">
      <c r="B1788" s="5"/>
      <c r="C1788" s="5"/>
      <c r="E1788" s="10"/>
      <c r="F1788" s="10"/>
    </row>
    <row r="1789" spans="1:6" s="9" customFormat="1" x14ac:dyDescent="0.25">
      <c r="A1789" s="9" t="s">
        <v>7</v>
      </c>
      <c r="B1789" s="12">
        <v>45715</v>
      </c>
      <c r="C1789" s="11">
        <v>0.5</v>
      </c>
      <c r="D1789" s="9" t="s">
        <v>49</v>
      </c>
      <c r="E1789" s="10">
        <v>170</v>
      </c>
      <c r="F1789" s="10">
        <f t="shared" si="27"/>
        <v>85</v>
      </c>
    </row>
    <row r="1790" spans="1:6" s="9" customFormat="1" x14ac:dyDescent="0.25">
      <c r="B1790" s="5"/>
      <c r="C1790" s="5">
        <v>3</v>
      </c>
      <c r="D1790" s="9" t="s">
        <v>8</v>
      </c>
      <c r="E1790" s="10">
        <v>170</v>
      </c>
      <c r="F1790" s="10">
        <f t="shared" si="27"/>
        <v>510</v>
      </c>
    </row>
    <row r="1791" spans="1:6" s="9" customFormat="1" x14ac:dyDescent="0.25">
      <c r="B1791" s="5"/>
      <c r="C1791" s="5"/>
      <c r="E1791" s="10"/>
      <c r="F1791" s="8">
        <f>SUM(F1789:F1790)</f>
        <v>595</v>
      </c>
    </row>
    <row r="1792" spans="1:6" s="9" customFormat="1" x14ac:dyDescent="0.25">
      <c r="B1792" s="5"/>
      <c r="C1792" s="5"/>
      <c r="E1792" s="10"/>
      <c r="F1792" s="10"/>
    </row>
    <row r="1793" spans="1:6" s="9" customFormat="1" x14ac:dyDescent="0.25">
      <c r="A1793" s="9" t="s">
        <v>270</v>
      </c>
      <c r="B1793" s="12">
        <v>45716</v>
      </c>
      <c r="C1793" s="5">
        <v>7</v>
      </c>
      <c r="D1793" s="9" t="s">
        <v>36</v>
      </c>
      <c r="E1793" s="10">
        <v>100</v>
      </c>
      <c r="F1793" s="10">
        <f t="shared" si="27"/>
        <v>700</v>
      </c>
    </row>
    <row r="1794" spans="1:6" s="9" customFormat="1" x14ac:dyDescent="0.25">
      <c r="B1794" s="5"/>
      <c r="C1794" s="5"/>
      <c r="E1794" s="10"/>
      <c r="F1794" s="8">
        <f>SUM(F1793)</f>
        <v>700</v>
      </c>
    </row>
    <row r="1795" spans="1:6" s="9" customFormat="1" x14ac:dyDescent="0.25">
      <c r="B1795" s="5"/>
      <c r="C1795" s="5"/>
      <c r="E1795" s="10"/>
      <c r="F1795" s="10"/>
    </row>
    <row r="1796" spans="1:6" s="9" customFormat="1" x14ac:dyDescent="0.25">
      <c r="A1796" s="9" t="s">
        <v>15</v>
      </c>
      <c r="B1796" s="12">
        <v>45716</v>
      </c>
      <c r="C1796" s="5">
        <v>22</v>
      </c>
      <c r="D1796" s="9" t="s">
        <v>36</v>
      </c>
      <c r="E1796" s="10">
        <v>85</v>
      </c>
      <c r="F1796" s="10">
        <f t="shared" si="27"/>
        <v>1870</v>
      </c>
    </row>
    <row r="1797" spans="1:6" s="9" customFormat="1" x14ac:dyDescent="0.25">
      <c r="B1797" s="5"/>
      <c r="C1797" s="5"/>
      <c r="E1797" s="10"/>
      <c r="F1797" s="8">
        <f>SUM(F1796)</f>
        <v>1870</v>
      </c>
    </row>
    <row r="1798" spans="1:6" s="9" customFormat="1" x14ac:dyDescent="0.25">
      <c r="B1798" s="5"/>
      <c r="C1798" s="5"/>
      <c r="E1798" s="10"/>
      <c r="F1798" s="10"/>
    </row>
    <row r="1799" spans="1:6" s="9" customFormat="1" x14ac:dyDescent="0.25">
      <c r="A1799" s="9" t="s">
        <v>157</v>
      </c>
      <c r="B1799" s="12">
        <v>45716</v>
      </c>
      <c r="C1799" s="5">
        <v>15</v>
      </c>
      <c r="D1799" s="9" t="s">
        <v>8</v>
      </c>
      <c r="E1799" s="10">
        <v>150</v>
      </c>
      <c r="F1799" s="10">
        <f t="shared" si="27"/>
        <v>2250</v>
      </c>
    </row>
    <row r="1800" spans="1:6" s="9" customFormat="1" x14ac:dyDescent="0.25">
      <c r="B1800" s="5"/>
      <c r="C1800" s="5"/>
      <c r="E1800" s="10"/>
      <c r="F1800" s="8">
        <f>SUM(F1799)</f>
        <v>2250</v>
      </c>
    </row>
    <row r="1801" spans="1:6" s="9" customFormat="1" x14ac:dyDescent="0.25">
      <c r="B1801" s="5"/>
      <c r="C1801" s="5"/>
      <c r="E1801" s="10"/>
      <c r="F1801" s="10"/>
    </row>
    <row r="1802" spans="1:6" s="9" customFormat="1" x14ac:dyDescent="0.25">
      <c r="A1802" s="9" t="s">
        <v>40</v>
      </c>
      <c r="B1802" s="12">
        <v>45716</v>
      </c>
      <c r="C1802" s="5">
        <v>17</v>
      </c>
      <c r="D1802" s="9" t="s">
        <v>13</v>
      </c>
      <c r="E1802" s="10">
        <v>140</v>
      </c>
      <c r="F1802" s="10">
        <f t="shared" si="27"/>
        <v>2380</v>
      </c>
    </row>
    <row r="1803" spans="1:6" s="9" customFormat="1" x14ac:dyDescent="0.25">
      <c r="B1803" s="5"/>
      <c r="C1803" s="5">
        <v>10</v>
      </c>
      <c r="D1803" s="9" t="s">
        <v>14</v>
      </c>
      <c r="E1803" s="10">
        <v>130</v>
      </c>
      <c r="F1803" s="10">
        <f t="shared" si="27"/>
        <v>1300</v>
      </c>
    </row>
    <row r="1804" spans="1:6" s="9" customFormat="1" x14ac:dyDescent="0.25">
      <c r="B1804" s="5"/>
      <c r="C1804" s="5">
        <v>10</v>
      </c>
      <c r="D1804" s="9" t="s">
        <v>11</v>
      </c>
      <c r="E1804" s="10">
        <v>120</v>
      </c>
      <c r="F1804" s="10">
        <f t="shared" si="27"/>
        <v>1200</v>
      </c>
    </row>
    <row r="1805" spans="1:6" s="9" customFormat="1" x14ac:dyDescent="0.25">
      <c r="B1805" s="5"/>
      <c r="C1805" s="5"/>
      <c r="E1805" s="10"/>
      <c r="F1805" s="8">
        <f>SUM(F1802:F1804)</f>
        <v>4880</v>
      </c>
    </row>
    <row r="1806" spans="1:6" s="9" customFormat="1" x14ac:dyDescent="0.25">
      <c r="B1806" s="5"/>
      <c r="C1806" s="5"/>
      <c r="E1806" s="10"/>
      <c r="F1806" s="10"/>
    </row>
    <row r="1807" spans="1:6" s="9" customFormat="1" x14ac:dyDescent="0.25">
      <c r="A1807" s="9" t="s">
        <v>41</v>
      </c>
      <c r="B1807" s="12">
        <v>45716</v>
      </c>
      <c r="C1807" s="5">
        <v>25</v>
      </c>
      <c r="D1807" s="9" t="s">
        <v>14</v>
      </c>
      <c r="E1807" s="10">
        <v>135</v>
      </c>
      <c r="F1807" s="10">
        <f t="shared" si="27"/>
        <v>3375</v>
      </c>
    </row>
    <row r="1808" spans="1:6" s="9" customFormat="1" x14ac:dyDescent="0.25">
      <c r="B1808" s="5"/>
      <c r="C1808" s="5"/>
      <c r="E1808" s="10"/>
      <c r="F1808" s="8">
        <f>SUM(F1807)</f>
        <v>3375</v>
      </c>
    </row>
    <row r="1809" spans="1:6" s="9" customFormat="1" x14ac:dyDescent="0.25">
      <c r="B1809" s="5"/>
      <c r="C1809" s="5"/>
      <c r="E1809" s="10"/>
      <c r="F1809" s="10"/>
    </row>
    <row r="1810" spans="1:6" s="9" customFormat="1" x14ac:dyDescent="0.25">
      <c r="A1810" s="9" t="s">
        <v>106</v>
      </c>
      <c r="B1810" s="12">
        <v>45716</v>
      </c>
      <c r="C1810" s="5">
        <v>60</v>
      </c>
      <c r="D1810" s="9" t="s">
        <v>12</v>
      </c>
      <c r="E1810" s="10">
        <v>135</v>
      </c>
      <c r="F1810" s="10">
        <f t="shared" si="27"/>
        <v>8100</v>
      </c>
    </row>
    <row r="1811" spans="1:6" s="9" customFormat="1" x14ac:dyDescent="0.25">
      <c r="B1811" s="5"/>
      <c r="C1811" s="5"/>
      <c r="E1811" s="10"/>
      <c r="F1811" s="8">
        <f>SUM(F1810)</f>
        <v>8100</v>
      </c>
    </row>
    <row r="1812" spans="1:6" s="9" customFormat="1" x14ac:dyDescent="0.25">
      <c r="B1812" s="5"/>
      <c r="C1812" s="5"/>
      <c r="E1812" s="10"/>
      <c r="F1812" s="10"/>
    </row>
    <row r="1813" spans="1:6" s="9" customFormat="1" x14ac:dyDescent="0.25">
      <c r="A1813" s="9" t="s">
        <v>43</v>
      </c>
      <c r="B1813" s="12">
        <v>45716</v>
      </c>
      <c r="C1813" s="5">
        <v>20</v>
      </c>
      <c r="D1813" s="9" t="s">
        <v>14</v>
      </c>
      <c r="E1813" s="10">
        <v>125</v>
      </c>
      <c r="F1813" s="10">
        <f t="shared" si="27"/>
        <v>2500</v>
      </c>
    </row>
    <row r="1814" spans="1:6" s="9" customFormat="1" x14ac:dyDescent="0.25">
      <c r="B1814" s="5"/>
      <c r="C1814" s="5"/>
      <c r="E1814" s="10"/>
      <c r="F1814" s="8">
        <f>SUM(F1813)</f>
        <v>2500</v>
      </c>
    </row>
    <row r="1815" spans="1:6" s="9" customFormat="1" x14ac:dyDescent="0.25">
      <c r="B1815" s="5"/>
      <c r="C1815" s="5"/>
      <c r="E1815" s="10"/>
      <c r="F1815" s="10"/>
    </row>
    <row r="1816" spans="1:6" s="9" customFormat="1" x14ac:dyDescent="0.25">
      <c r="A1816" s="9" t="s">
        <v>45</v>
      </c>
      <c r="B1816" s="12">
        <v>45716</v>
      </c>
      <c r="C1816" s="5">
        <v>2</v>
      </c>
      <c r="D1816" s="9" t="s">
        <v>14</v>
      </c>
      <c r="E1816" s="10">
        <v>125</v>
      </c>
      <c r="F1816" s="10">
        <f t="shared" si="27"/>
        <v>250</v>
      </c>
    </row>
    <row r="1817" spans="1:6" s="9" customFormat="1" x14ac:dyDescent="0.25">
      <c r="B1817" s="5"/>
      <c r="C1817" s="5"/>
      <c r="E1817" s="10"/>
      <c r="F1817" s="8">
        <f>SUM(F1816)</f>
        <v>250</v>
      </c>
    </row>
    <row r="1818" spans="1:6" s="9" customFormat="1" x14ac:dyDescent="0.25">
      <c r="B1818" s="5"/>
      <c r="C1818" s="5"/>
      <c r="E1818" s="10"/>
      <c r="F1818" s="10"/>
    </row>
    <row r="1819" spans="1:6" s="9" customFormat="1" x14ac:dyDescent="0.25">
      <c r="A1819" s="9" t="s">
        <v>44</v>
      </c>
      <c r="B1819" s="12">
        <v>45716</v>
      </c>
      <c r="C1819" s="5">
        <v>70</v>
      </c>
      <c r="D1819" s="9" t="s">
        <v>14</v>
      </c>
      <c r="E1819" s="10">
        <v>125</v>
      </c>
      <c r="F1819" s="10">
        <f t="shared" si="27"/>
        <v>8750</v>
      </c>
    </row>
    <row r="1820" spans="1:6" s="9" customFormat="1" x14ac:dyDescent="0.25">
      <c r="B1820" s="5"/>
      <c r="C1820" s="5"/>
      <c r="E1820" s="10"/>
      <c r="F1820" s="8">
        <f>SUM(F1819)</f>
        <v>8750</v>
      </c>
    </row>
    <row r="1821" spans="1:6" s="9" customFormat="1" x14ac:dyDescent="0.25">
      <c r="B1821" s="5"/>
      <c r="C1821" s="5"/>
      <c r="E1821" s="10"/>
      <c r="F1821" s="10"/>
    </row>
    <row r="1822" spans="1:6" s="9" customFormat="1" x14ac:dyDescent="0.25">
      <c r="A1822" s="9" t="s">
        <v>18</v>
      </c>
      <c r="B1822" s="12">
        <v>45716</v>
      </c>
      <c r="C1822" s="5">
        <v>40</v>
      </c>
      <c r="D1822" s="9" t="s">
        <v>14</v>
      </c>
      <c r="E1822" s="10">
        <v>125</v>
      </c>
      <c r="F1822" s="10">
        <f t="shared" si="27"/>
        <v>5000</v>
      </c>
    </row>
    <row r="1823" spans="1:6" s="9" customFormat="1" x14ac:dyDescent="0.25">
      <c r="B1823" s="5"/>
      <c r="C1823" s="5">
        <v>10</v>
      </c>
      <c r="D1823" s="9" t="s">
        <v>13</v>
      </c>
      <c r="E1823" s="10">
        <v>140</v>
      </c>
      <c r="F1823" s="10">
        <f t="shared" si="27"/>
        <v>1400</v>
      </c>
    </row>
    <row r="1824" spans="1:6" s="9" customFormat="1" x14ac:dyDescent="0.25">
      <c r="B1824" s="5"/>
      <c r="C1824" s="5"/>
      <c r="E1824" s="10"/>
      <c r="F1824" s="8">
        <f>SUM(F1822:F1823)</f>
        <v>6400</v>
      </c>
    </row>
    <row r="1825" spans="1:6" s="9" customFormat="1" x14ac:dyDescent="0.25">
      <c r="B1825" s="5"/>
      <c r="C1825" s="5"/>
      <c r="E1825" s="10"/>
      <c r="F1825" s="10"/>
    </row>
    <row r="1826" spans="1:6" s="9" customFormat="1" x14ac:dyDescent="0.25">
      <c r="A1826" s="9" t="s">
        <v>46</v>
      </c>
      <c r="B1826" s="12">
        <v>45716</v>
      </c>
      <c r="C1826" s="5">
        <v>20</v>
      </c>
      <c r="D1826" s="9" t="s">
        <v>14</v>
      </c>
      <c r="E1826" s="10">
        <v>130</v>
      </c>
      <c r="F1826" s="10">
        <f t="shared" ref="F1826:F1876" si="28">+C1826*E1826</f>
        <v>2600</v>
      </c>
    </row>
    <row r="1827" spans="1:6" s="9" customFormat="1" x14ac:dyDescent="0.25">
      <c r="B1827" s="5"/>
      <c r="C1827" s="5"/>
      <c r="E1827" s="10"/>
      <c r="F1827" s="8">
        <f>SUM(F1826)</f>
        <v>2600</v>
      </c>
    </row>
    <row r="1828" spans="1:6" s="9" customFormat="1" x14ac:dyDescent="0.25">
      <c r="B1828" s="5"/>
      <c r="C1828" s="5"/>
      <c r="E1828" s="10"/>
      <c r="F1828" s="10"/>
    </row>
    <row r="1829" spans="1:6" s="9" customFormat="1" x14ac:dyDescent="0.25">
      <c r="A1829" s="9" t="s">
        <v>47</v>
      </c>
      <c r="B1829" s="12">
        <v>45716</v>
      </c>
      <c r="C1829" s="5">
        <v>30</v>
      </c>
      <c r="D1829" s="9" t="s">
        <v>14</v>
      </c>
      <c r="E1829" s="10">
        <v>130</v>
      </c>
      <c r="F1829" s="10">
        <f t="shared" si="28"/>
        <v>3900</v>
      </c>
    </row>
    <row r="1830" spans="1:6" s="9" customFormat="1" x14ac:dyDescent="0.25">
      <c r="B1830" s="5"/>
      <c r="C1830" s="5"/>
      <c r="E1830" s="10"/>
      <c r="F1830" s="8">
        <f>SUM(F1829)</f>
        <v>3900</v>
      </c>
    </row>
    <row r="1831" spans="1:6" s="9" customFormat="1" x14ac:dyDescent="0.25">
      <c r="B1831" s="5"/>
      <c r="C1831" s="5"/>
      <c r="E1831" s="10"/>
      <c r="F1831" s="10"/>
    </row>
    <row r="1832" spans="1:6" s="9" customFormat="1" x14ac:dyDescent="0.25">
      <c r="A1832" s="9" t="s">
        <v>42</v>
      </c>
      <c r="B1832" s="12">
        <v>45716</v>
      </c>
      <c r="C1832" s="5">
        <v>10</v>
      </c>
      <c r="D1832" s="9" t="s">
        <v>14</v>
      </c>
      <c r="E1832" s="10">
        <v>125</v>
      </c>
      <c r="F1832" s="10">
        <f t="shared" si="28"/>
        <v>1250</v>
      </c>
    </row>
    <row r="1833" spans="1:6" s="9" customFormat="1" x14ac:dyDescent="0.25">
      <c r="B1833" s="5"/>
      <c r="C1833" s="5"/>
      <c r="E1833" s="10"/>
      <c r="F1833" s="8">
        <f>SUM(F1832)</f>
        <v>1250</v>
      </c>
    </row>
    <row r="1834" spans="1:6" s="9" customFormat="1" x14ac:dyDescent="0.25">
      <c r="B1834" s="5"/>
      <c r="C1834" s="5"/>
      <c r="E1834" s="10"/>
      <c r="F1834" s="10"/>
    </row>
    <row r="1835" spans="1:6" s="9" customFormat="1" x14ac:dyDescent="0.25">
      <c r="A1835" s="9" t="s">
        <v>292</v>
      </c>
      <c r="B1835" s="12">
        <v>45716</v>
      </c>
      <c r="C1835" s="5">
        <v>10</v>
      </c>
      <c r="D1835" s="9" t="s">
        <v>14</v>
      </c>
      <c r="E1835" s="10">
        <v>125</v>
      </c>
      <c r="F1835" s="10">
        <f t="shared" si="28"/>
        <v>1250</v>
      </c>
    </row>
    <row r="1836" spans="1:6" s="9" customFormat="1" x14ac:dyDescent="0.25">
      <c r="B1836" s="5"/>
      <c r="C1836" s="5"/>
      <c r="E1836" s="10"/>
      <c r="F1836" s="8">
        <f>SUM(F1835)</f>
        <v>1250</v>
      </c>
    </row>
    <row r="1837" spans="1:6" s="9" customFormat="1" x14ac:dyDescent="0.25">
      <c r="B1837" s="5"/>
      <c r="C1837" s="5"/>
      <c r="E1837" s="10"/>
      <c r="F1837" s="10"/>
    </row>
    <row r="1838" spans="1:6" s="9" customFormat="1" x14ac:dyDescent="0.25">
      <c r="A1838" s="9" t="s">
        <v>116</v>
      </c>
      <c r="B1838" s="12">
        <v>45716</v>
      </c>
      <c r="C1838" s="5">
        <v>30</v>
      </c>
      <c r="D1838" s="9" t="s">
        <v>36</v>
      </c>
      <c r="E1838" s="10"/>
      <c r="F1838" s="10">
        <f t="shared" si="28"/>
        <v>0</v>
      </c>
    </row>
    <row r="1839" spans="1:6" s="9" customFormat="1" x14ac:dyDescent="0.25">
      <c r="B1839" s="5"/>
      <c r="C1839" s="5"/>
      <c r="E1839" s="10"/>
      <c r="F1839" s="8">
        <f>SUM(F1838)</f>
        <v>0</v>
      </c>
    </row>
    <row r="1840" spans="1:6" s="9" customFormat="1" x14ac:dyDescent="0.25">
      <c r="B1840" s="5"/>
      <c r="C1840" s="5"/>
      <c r="E1840" s="10"/>
      <c r="F1840" s="10"/>
    </row>
    <row r="1841" spans="1:6" s="9" customFormat="1" x14ac:dyDescent="0.25">
      <c r="A1841" s="9" t="s">
        <v>51</v>
      </c>
      <c r="B1841" s="12">
        <v>45716</v>
      </c>
      <c r="C1841" s="5">
        <v>176</v>
      </c>
      <c r="D1841" s="9" t="s">
        <v>14</v>
      </c>
      <c r="E1841" s="10"/>
      <c r="F1841" s="10">
        <f t="shared" si="28"/>
        <v>0</v>
      </c>
    </row>
    <row r="1842" spans="1:6" s="9" customFormat="1" x14ac:dyDescent="0.25">
      <c r="B1842" s="5"/>
      <c r="C1842" s="5">
        <v>60</v>
      </c>
      <c r="D1842" s="9" t="s">
        <v>11</v>
      </c>
      <c r="E1842" s="10"/>
      <c r="F1842" s="10">
        <f t="shared" si="28"/>
        <v>0</v>
      </c>
    </row>
    <row r="1843" spans="1:6" s="9" customFormat="1" x14ac:dyDescent="0.25">
      <c r="B1843" s="5"/>
      <c r="C1843" s="5"/>
      <c r="E1843" s="10"/>
      <c r="F1843" s="8">
        <f>SUM(F1841:F1842)</f>
        <v>0</v>
      </c>
    </row>
    <row r="1844" spans="1:6" s="9" customFormat="1" x14ac:dyDescent="0.25">
      <c r="B1844" s="5"/>
      <c r="C1844" s="5"/>
      <c r="E1844" s="10"/>
      <c r="F1844" s="10"/>
    </row>
    <row r="1845" spans="1:6" s="9" customFormat="1" x14ac:dyDescent="0.25">
      <c r="A1845" s="9" t="s">
        <v>48</v>
      </c>
      <c r="B1845" s="12">
        <v>45716</v>
      </c>
      <c r="C1845" s="5">
        <v>54</v>
      </c>
      <c r="D1845" s="9" t="s">
        <v>49</v>
      </c>
      <c r="E1845" s="10"/>
      <c r="F1845" s="10">
        <f t="shared" si="28"/>
        <v>0</v>
      </c>
    </row>
    <row r="1846" spans="1:6" s="9" customFormat="1" x14ac:dyDescent="0.25">
      <c r="B1846" s="5"/>
      <c r="C1846" s="5">
        <v>250</v>
      </c>
      <c r="D1846" s="9" t="s">
        <v>14</v>
      </c>
      <c r="E1846" s="10"/>
      <c r="F1846" s="10">
        <f t="shared" si="28"/>
        <v>0</v>
      </c>
    </row>
    <row r="1847" spans="1:6" s="9" customFormat="1" x14ac:dyDescent="0.25">
      <c r="B1847" s="5"/>
      <c r="C1847" s="5">
        <v>70</v>
      </c>
      <c r="D1847" s="9" t="s">
        <v>50</v>
      </c>
      <c r="E1847" s="10"/>
      <c r="F1847" s="10">
        <f t="shared" si="28"/>
        <v>0</v>
      </c>
    </row>
    <row r="1848" spans="1:6" s="9" customFormat="1" x14ac:dyDescent="0.25">
      <c r="B1848" s="5"/>
      <c r="C1848" s="5">
        <v>47</v>
      </c>
      <c r="D1848" s="9" t="s">
        <v>22</v>
      </c>
      <c r="E1848" s="10"/>
      <c r="F1848" s="10">
        <f t="shared" si="28"/>
        <v>0</v>
      </c>
    </row>
    <row r="1849" spans="1:6" s="9" customFormat="1" x14ac:dyDescent="0.25">
      <c r="B1849" s="5"/>
      <c r="C1849" s="5"/>
      <c r="E1849" s="10"/>
      <c r="F1849" s="8">
        <f>SUM(F1845:F1848)</f>
        <v>0</v>
      </c>
    </row>
    <row r="1850" spans="1:6" s="9" customFormat="1" x14ac:dyDescent="0.25">
      <c r="B1850" s="5"/>
      <c r="C1850" s="5"/>
      <c r="E1850" s="10"/>
      <c r="F1850" s="10"/>
    </row>
    <row r="1851" spans="1:6" s="9" customFormat="1" x14ac:dyDescent="0.25">
      <c r="A1851" s="9" t="s">
        <v>140</v>
      </c>
      <c r="B1851" s="12">
        <v>45716</v>
      </c>
      <c r="C1851" s="5">
        <v>200</v>
      </c>
      <c r="D1851" s="9" t="s">
        <v>13</v>
      </c>
      <c r="E1851" s="10">
        <v>135</v>
      </c>
      <c r="F1851" s="10">
        <f t="shared" si="28"/>
        <v>27000</v>
      </c>
    </row>
    <row r="1852" spans="1:6" s="9" customFormat="1" x14ac:dyDescent="0.25">
      <c r="B1852" s="5"/>
      <c r="C1852" s="5">
        <v>200</v>
      </c>
      <c r="D1852" s="9" t="s">
        <v>12</v>
      </c>
      <c r="E1852" s="10">
        <v>125</v>
      </c>
      <c r="F1852" s="10">
        <f t="shared" si="28"/>
        <v>25000</v>
      </c>
    </row>
    <row r="1853" spans="1:6" s="9" customFormat="1" x14ac:dyDescent="0.25">
      <c r="B1853" s="5"/>
      <c r="C1853" s="5">
        <v>100</v>
      </c>
      <c r="D1853" s="9" t="s">
        <v>11</v>
      </c>
      <c r="E1853" s="10">
        <v>120</v>
      </c>
      <c r="F1853" s="10">
        <f t="shared" si="28"/>
        <v>12000</v>
      </c>
    </row>
    <row r="1854" spans="1:6" s="9" customFormat="1" x14ac:dyDescent="0.25">
      <c r="B1854" s="5"/>
      <c r="C1854" s="5">
        <v>70</v>
      </c>
      <c r="D1854" s="9" t="s">
        <v>49</v>
      </c>
      <c r="E1854" s="10">
        <v>145</v>
      </c>
      <c r="F1854" s="10">
        <f t="shared" si="28"/>
        <v>10150</v>
      </c>
    </row>
    <row r="1855" spans="1:6" s="9" customFormat="1" x14ac:dyDescent="0.25">
      <c r="B1855" s="5"/>
      <c r="C1855" s="5">
        <v>50</v>
      </c>
      <c r="D1855" s="9" t="s">
        <v>8</v>
      </c>
      <c r="E1855" s="10">
        <v>155</v>
      </c>
      <c r="F1855" s="10">
        <f t="shared" si="28"/>
        <v>7750</v>
      </c>
    </row>
    <row r="1856" spans="1:6" s="9" customFormat="1" x14ac:dyDescent="0.25">
      <c r="B1856" s="5"/>
      <c r="C1856" s="5">
        <v>30</v>
      </c>
      <c r="D1856" s="9" t="s">
        <v>14</v>
      </c>
      <c r="E1856" s="10">
        <v>130</v>
      </c>
      <c r="F1856" s="10">
        <f t="shared" si="28"/>
        <v>3900</v>
      </c>
    </row>
    <row r="1857" spans="1:6" s="9" customFormat="1" x14ac:dyDescent="0.25">
      <c r="B1857" s="5"/>
      <c r="C1857" s="5"/>
      <c r="E1857" s="10"/>
      <c r="F1857" s="8">
        <f>SUM(F1851:F1856)</f>
        <v>85800</v>
      </c>
    </row>
    <row r="1858" spans="1:6" s="9" customFormat="1" x14ac:dyDescent="0.25">
      <c r="B1858" s="5"/>
      <c r="C1858" s="5"/>
      <c r="E1858" s="10"/>
      <c r="F1858" s="10"/>
    </row>
    <row r="1859" spans="1:6" s="9" customFormat="1" x14ac:dyDescent="0.25">
      <c r="A1859" s="9" t="s">
        <v>174</v>
      </c>
      <c r="B1859" s="12">
        <v>45716</v>
      </c>
      <c r="C1859" s="5">
        <v>70</v>
      </c>
      <c r="D1859" s="9" t="s">
        <v>22</v>
      </c>
      <c r="E1859" s="10">
        <v>125</v>
      </c>
      <c r="F1859" s="10">
        <f t="shared" si="28"/>
        <v>8750</v>
      </c>
    </row>
    <row r="1860" spans="1:6" s="9" customFormat="1" x14ac:dyDescent="0.25">
      <c r="B1860" s="5"/>
      <c r="C1860" s="5">
        <v>60</v>
      </c>
      <c r="D1860" s="9" t="s">
        <v>12</v>
      </c>
      <c r="E1860" s="10">
        <v>140</v>
      </c>
      <c r="F1860" s="10">
        <f t="shared" si="28"/>
        <v>8400</v>
      </c>
    </row>
    <row r="1861" spans="1:6" s="9" customFormat="1" x14ac:dyDescent="0.25">
      <c r="B1861" s="5"/>
      <c r="C1861" s="5">
        <v>2</v>
      </c>
      <c r="D1861" s="9" t="s">
        <v>13</v>
      </c>
      <c r="E1861" s="10">
        <v>150</v>
      </c>
      <c r="F1861" s="10">
        <f t="shared" si="28"/>
        <v>300</v>
      </c>
    </row>
    <row r="1862" spans="1:6" s="9" customFormat="1" x14ac:dyDescent="0.25">
      <c r="B1862" s="5"/>
      <c r="C1862" s="5"/>
      <c r="E1862" s="10"/>
      <c r="F1862" s="8">
        <f>SUM(F1859:F1861)</f>
        <v>17450</v>
      </c>
    </row>
    <row r="1863" spans="1:6" s="9" customFormat="1" x14ac:dyDescent="0.25">
      <c r="B1863" s="5"/>
      <c r="C1863" s="5"/>
      <c r="E1863" s="10"/>
      <c r="F1863" s="10"/>
    </row>
    <row r="1864" spans="1:6" s="9" customFormat="1" x14ac:dyDescent="0.25">
      <c r="A1864" s="9" t="s">
        <v>48</v>
      </c>
      <c r="B1864" s="12">
        <v>45716</v>
      </c>
      <c r="C1864" s="5">
        <v>200</v>
      </c>
      <c r="D1864" s="9" t="s">
        <v>14</v>
      </c>
      <c r="E1864" s="10">
        <v>120</v>
      </c>
      <c r="F1864" s="10">
        <f t="shared" si="28"/>
        <v>24000</v>
      </c>
    </row>
    <row r="1865" spans="1:6" s="9" customFormat="1" x14ac:dyDescent="0.25">
      <c r="B1865" s="5"/>
      <c r="C1865" s="5">
        <v>200</v>
      </c>
      <c r="D1865" s="9" t="s">
        <v>11</v>
      </c>
      <c r="E1865" s="10">
        <v>115</v>
      </c>
      <c r="F1865" s="10">
        <f t="shared" si="28"/>
        <v>23000</v>
      </c>
    </row>
    <row r="1866" spans="1:6" s="9" customFormat="1" x14ac:dyDescent="0.25">
      <c r="B1866" s="5"/>
      <c r="C1866" s="5">
        <v>430</v>
      </c>
      <c r="D1866" s="9" t="s">
        <v>13</v>
      </c>
      <c r="E1866" s="10">
        <v>135</v>
      </c>
      <c r="F1866" s="10">
        <f t="shared" si="28"/>
        <v>58050</v>
      </c>
    </row>
    <row r="1867" spans="1:6" s="9" customFormat="1" x14ac:dyDescent="0.25">
      <c r="B1867" s="5"/>
      <c r="C1867" s="5">
        <v>70</v>
      </c>
      <c r="D1867" s="9" t="s">
        <v>12</v>
      </c>
      <c r="E1867" s="10">
        <v>125</v>
      </c>
      <c r="F1867" s="10">
        <f t="shared" si="28"/>
        <v>8750</v>
      </c>
    </row>
    <row r="1868" spans="1:6" s="9" customFormat="1" x14ac:dyDescent="0.25">
      <c r="B1868" s="5"/>
      <c r="C1868" s="5"/>
      <c r="E1868" s="10"/>
      <c r="F1868" s="8">
        <f>SUM(F1864:F1867)</f>
        <v>113800</v>
      </c>
    </row>
    <row r="1869" spans="1:6" s="9" customFormat="1" x14ac:dyDescent="0.25">
      <c r="B1869" s="5"/>
      <c r="C1869" s="5"/>
      <c r="E1869" s="10"/>
      <c r="F1869" s="10"/>
    </row>
    <row r="1870" spans="1:6" s="9" customFormat="1" x14ac:dyDescent="0.25">
      <c r="A1870" s="9" t="s">
        <v>26</v>
      </c>
      <c r="B1870" s="12">
        <v>45716</v>
      </c>
      <c r="C1870" s="5">
        <v>70</v>
      </c>
      <c r="D1870" s="9" t="s">
        <v>13</v>
      </c>
      <c r="E1870" s="10">
        <v>140</v>
      </c>
      <c r="F1870" s="10">
        <f t="shared" si="28"/>
        <v>9800</v>
      </c>
    </row>
    <row r="1871" spans="1:6" s="9" customFormat="1" x14ac:dyDescent="0.25">
      <c r="B1871" s="5"/>
      <c r="C1871" s="5">
        <v>20</v>
      </c>
      <c r="D1871" s="9" t="s">
        <v>14</v>
      </c>
      <c r="E1871" s="10">
        <v>135</v>
      </c>
      <c r="F1871" s="10">
        <f t="shared" si="28"/>
        <v>2700</v>
      </c>
    </row>
    <row r="1872" spans="1:6" s="9" customFormat="1" x14ac:dyDescent="0.25">
      <c r="B1872" s="5"/>
      <c r="C1872" s="5"/>
      <c r="E1872" s="10"/>
      <c r="F1872" s="8">
        <f>SUM(F1870:F1871)</f>
        <v>12500</v>
      </c>
    </row>
    <row r="1873" spans="1:7" s="9" customFormat="1" x14ac:dyDescent="0.25">
      <c r="B1873" s="5"/>
      <c r="C1873" s="5"/>
      <c r="E1873" s="10"/>
      <c r="F1873" s="10"/>
    </row>
    <row r="1874" spans="1:7" s="9" customFormat="1" x14ac:dyDescent="0.25">
      <c r="A1874" s="9" t="s">
        <v>7</v>
      </c>
      <c r="B1874" s="12">
        <v>45716</v>
      </c>
      <c r="C1874" s="5">
        <v>3</v>
      </c>
      <c r="D1874" s="9" t="s">
        <v>13</v>
      </c>
      <c r="E1874" s="10">
        <v>160</v>
      </c>
      <c r="F1874" s="10">
        <f t="shared" si="28"/>
        <v>480</v>
      </c>
    </row>
    <row r="1875" spans="1:7" s="9" customFormat="1" x14ac:dyDescent="0.25">
      <c r="B1875" s="5"/>
      <c r="C1875" s="5">
        <v>5</v>
      </c>
      <c r="D1875" s="9" t="s">
        <v>293</v>
      </c>
      <c r="E1875" s="10">
        <v>140</v>
      </c>
      <c r="F1875" s="10">
        <f t="shared" si="28"/>
        <v>700</v>
      </c>
    </row>
    <row r="1876" spans="1:7" s="9" customFormat="1" x14ac:dyDescent="0.25">
      <c r="B1876" s="5"/>
      <c r="C1876" s="5">
        <v>4</v>
      </c>
      <c r="D1876" s="9" t="s">
        <v>240</v>
      </c>
      <c r="E1876" s="10">
        <v>150</v>
      </c>
      <c r="F1876" s="10">
        <f t="shared" si="28"/>
        <v>600</v>
      </c>
    </row>
    <row r="1877" spans="1:7" s="9" customFormat="1" x14ac:dyDescent="0.25">
      <c r="B1877" s="5"/>
      <c r="C1877" s="5"/>
      <c r="E1877" s="10"/>
      <c r="F1877" s="8">
        <f>SUM(F1874:F1876)</f>
        <v>1780</v>
      </c>
    </row>
    <row r="1878" spans="1:7" s="9" customFormat="1" x14ac:dyDescent="0.25">
      <c r="B1878" s="5"/>
      <c r="C1878" s="5"/>
      <c r="E1878" s="10"/>
      <c r="F1878" s="10"/>
    </row>
    <row r="1879" spans="1:7" s="9" customFormat="1" x14ac:dyDescent="0.25">
      <c r="B1879" s="5"/>
      <c r="C1879" s="5"/>
      <c r="E1879" s="10"/>
      <c r="F1879" s="10"/>
    </row>
    <row r="1880" spans="1:7" s="9" customFormat="1" x14ac:dyDescent="0.25">
      <c r="B1880" s="5"/>
      <c r="C1880" s="5"/>
      <c r="E1880" s="10"/>
      <c r="F1880" s="10"/>
    </row>
    <row r="1881" spans="1:7" ht="15.75" x14ac:dyDescent="0.25">
      <c r="A1881" s="9"/>
      <c r="D1881" s="9"/>
      <c r="F1881" s="7" t="s">
        <v>294</v>
      </c>
      <c r="G1881" s="7">
        <f>+F4+F7+F10+F13+F16+F19+F22+F25+F28+F31+F34+F39+F43+F46+F49+F55+F58+F62+F68+F74+F77+F80+F83+F86+F95+F98+F102+F110+F113+F116+F119+F122+F126+F129+F132+F135+F140+F144+F147+F150+F154+F157+F160+F163+F166+F170+F173+F176+F179+F185+F188+F191+F194+F198+F202+F205+F211+F217+F221+F224+F230+F239+F243+F246+F249+F253+F262+F266+F269+F275+F278+F281+F284+F289+F292+F295+F299+F302+F307+F310+F314+F317+F320+F324+F327+F330+F333+F336+F339+F342+F348+F353+F357+F363+F366+F369+F375+F378++F385+F388+F393+F397+F401+F410+F413+F416+F419+F422+F425+F428+F431+F434+F437+F440+F443+F447+F450+F453+F457++F463+F466+F470+F473+F478+F481+F484+++F495+F498+F501+F504+F509+F512+F516+F519+F522+F525+F531+F535+F541+F545+F552+F556+F565+F569+F573+F580+F583+F586+F589+F594+F597+F600+F603+F606+F609+F612+F615+F618+F622+F625+F628+F631+F634+F637+F641+F648+F653+F656+F660+F665+F668+F676+F679+F682+F685+F690+F693+F696+F701+F705+F712+F716+F719+F722+F726+F731+F734+F737+F740+F743+F746+F750+F753+F756+F759+F764+F767+F771+F774+F777+F780+F784+F787+F790+F796+F800+F810+F816+F819+F822+F825+F828+F832+F838+F841+F844+F849+F853+F856+F859+F862+F865+F868+F872+F875+F878+F881+F884+F887+F895+F899+F902+F905+F909+F913+F916+F919+F922+F927+F930+F933+F938+F941+F944+F947+F950+F953+F956+F959+F962+F965+F968+F975+F981+F984+F990+F993+F997+F1002+F1007+F1012+F1016+F1019+F1022+F1025+F1028+F1031+F1035+F1038+F1041+F1044+F1048+F1052+F1055+F1059+F1064+F1067+F1074+F1078+F1081+F1084+F1087+F1091+F1095+F1101+F1104+F1107+F1113+F1117+F1122+F1125+F1132+F1135+F1139+F1142+F1149+F1154+F1157+F1160+F1163+F1166+F1169+F1172+F1178+F1182+F1185+F1188+F1191+F1196+F1199+F1202+F1205+F1208+F1211+F1214+F1217+F1220+F1223+F1230+F1233+F1239+F1242+F1246+F1252+F1260+F1264+F1269+F1273+F1276+F1279+F1287+F1291+F1295+F1298+F1301+F1309+F1317+F1320+F1323+F1328+F1331+F1334+F1337+F1340+F1343+F1346+F1349+F1352+F1355+F1358+F1361+F1364+F1367+F1370+F1373+F1377+F1381+F1384+F1390+F1396+F1404+F1407+F1410+F1413+F1416+F1419+F1422+F1425+F1428+F1433+F1437+F1441+F1445+F1448+F1454+F1457+F1460+F1463+F1466+F1469+F1472+F1475+F1478+F1481+F1485+F1489+F1493+F1496+F1500+F1505+F1510+F1513+F1518+F1521+F1524+F1527+F1530+F1533+F1539+F1543+F1548+F1552+F1555+F1558+F1562+F1565+F1568+F1572+F1575+F1578+F1581+F1585+F1589+F1592+F1599+F1604+F1611+F1614+F1617+F1620+F1624+F1627+F1631+F1634+F1637+F1640+F1643+F1647+F1654+F1657+F1660+F1665+F1669+F1672+F1675+F1678+F1681+F1684+F1688+F1692+F1696+F1699+F1702+F1705+F1708+F1711+F1714+F1718+F1721+F1724+F1727+F1730+F1733+F1736+F1742+F1746+F1750+F1755+F1758+F1763+F1767+F1770+F1773+F1776+F1780+F1783+F1787+F1791+F1794+F1797+F1800+F1805+F1808+F1811++F1814+F1817+F1820+F1824+F1827+F1830+F1833+F1836+F1839+F1843+F1849+F1857+F1862+F1868+F1872+F1877</f>
        <v>4657872.9974179007</v>
      </c>
    </row>
    <row r="1882" spans="1:7" x14ac:dyDescent="0.25">
      <c r="A1882" s="9"/>
      <c r="D1882" s="9"/>
      <c r="F1882" s="10"/>
      <c r="G1882" s="10">
        <v>4657873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8ECB-0812-4980-B3CB-90686D7A3A5E}">
  <dimension ref="A1:G2177"/>
  <sheetViews>
    <sheetView topLeftCell="A2155" workbookViewId="0">
      <selection activeCell="G2177" sqref="G2177"/>
    </sheetView>
  </sheetViews>
  <sheetFormatPr baseColWidth="10" defaultColWidth="11.42578125" defaultRowHeight="15" x14ac:dyDescent="0.25"/>
  <cols>
    <col min="1" max="1" width="22" bestFit="1" customWidth="1"/>
    <col min="3" max="3" width="11.42578125" style="5"/>
    <col min="4" max="4" width="42.140625" bestFit="1" customWidth="1"/>
    <col min="5" max="5" width="18.140625" style="10" bestFit="1" customWidth="1"/>
    <col min="6" max="6" width="13.5703125" style="10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295</v>
      </c>
      <c r="B3" s="4">
        <v>45717</v>
      </c>
      <c r="C3" s="5">
        <v>15</v>
      </c>
      <c r="D3" s="9" t="s">
        <v>13</v>
      </c>
      <c r="E3" s="10">
        <v>140</v>
      </c>
      <c r="F3" s="10">
        <f>+C3*E3</f>
        <v>2100</v>
      </c>
    </row>
    <row r="4" spans="1:6" x14ac:dyDescent="0.25">
      <c r="A4" s="9"/>
      <c r="B4" s="9"/>
      <c r="D4" s="9"/>
      <c r="F4" s="8">
        <f>SUM(F3)</f>
        <v>2100</v>
      </c>
    </row>
    <row r="5" spans="1:6" x14ac:dyDescent="0.25">
      <c r="A5" s="9"/>
      <c r="B5" s="9"/>
      <c r="D5" s="9"/>
    </row>
    <row r="6" spans="1:6" x14ac:dyDescent="0.25">
      <c r="A6" s="9" t="s">
        <v>20</v>
      </c>
      <c r="B6" s="4">
        <v>45717</v>
      </c>
      <c r="C6" s="5">
        <v>34</v>
      </c>
      <c r="D6" s="9" t="s">
        <v>13</v>
      </c>
      <c r="E6" s="10">
        <v>140</v>
      </c>
      <c r="F6" s="10">
        <f t="shared" ref="F6:F66" si="0">+C6*E6</f>
        <v>4760</v>
      </c>
    </row>
    <row r="7" spans="1:6" x14ac:dyDescent="0.25">
      <c r="A7" s="9"/>
      <c r="B7" s="9"/>
      <c r="D7" s="9"/>
      <c r="F7" s="8">
        <f>SUM(F6)</f>
        <v>4760</v>
      </c>
    </row>
    <row r="8" spans="1:6" x14ac:dyDescent="0.25">
      <c r="A8" s="9"/>
      <c r="B8" s="9"/>
      <c r="D8" s="9"/>
    </row>
    <row r="9" spans="1:6" x14ac:dyDescent="0.25">
      <c r="A9" s="9" t="s">
        <v>18</v>
      </c>
      <c r="B9" s="4">
        <v>45717</v>
      </c>
      <c r="C9" s="5">
        <v>8</v>
      </c>
      <c r="D9" s="9" t="s">
        <v>13</v>
      </c>
      <c r="E9" s="10">
        <v>140</v>
      </c>
      <c r="F9" s="10">
        <f t="shared" si="0"/>
        <v>1120</v>
      </c>
    </row>
    <row r="10" spans="1:6" x14ac:dyDescent="0.25">
      <c r="A10" s="9"/>
      <c r="B10" s="9"/>
      <c r="D10" s="9"/>
      <c r="F10" s="8">
        <f>SUM(F9)</f>
        <v>1120</v>
      </c>
    </row>
    <row r="11" spans="1:6" x14ac:dyDescent="0.25">
      <c r="A11" s="9"/>
      <c r="B11" s="9"/>
      <c r="D11" s="9"/>
    </row>
    <row r="12" spans="1:6" x14ac:dyDescent="0.25">
      <c r="A12" s="9" t="s">
        <v>40</v>
      </c>
      <c r="B12" s="4">
        <v>45717</v>
      </c>
      <c r="C12" s="5">
        <v>10</v>
      </c>
      <c r="D12" s="9" t="s">
        <v>13</v>
      </c>
      <c r="E12" s="10">
        <v>140</v>
      </c>
      <c r="F12" s="10">
        <f t="shared" si="0"/>
        <v>1400</v>
      </c>
    </row>
    <row r="13" spans="1:6" x14ac:dyDescent="0.25">
      <c r="A13" s="9"/>
      <c r="B13" s="9"/>
      <c r="C13" s="5">
        <v>7</v>
      </c>
      <c r="D13" s="9" t="s">
        <v>14</v>
      </c>
      <c r="E13" s="10">
        <v>130</v>
      </c>
      <c r="F13" s="10">
        <f t="shared" si="0"/>
        <v>910</v>
      </c>
    </row>
    <row r="14" spans="1:6" x14ac:dyDescent="0.25">
      <c r="A14" s="9"/>
      <c r="B14" s="9"/>
      <c r="C14" s="5">
        <v>15</v>
      </c>
      <c r="D14" s="9" t="s">
        <v>11</v>
      </c>
      <c r="E14" s="10">
        <v>125</v>
      </c>
      <c r="F14" s="10">
        <f t="shared" si="0"/>
        <v>1875</v>
      </c>
    </row>
    <row r="15" spans="1:6" x14ac:dyDescent="0.25">
      <c r="A15" s="9"/>
      <c r="B15" s="9"/>
      <c r="D15" s="9"/>
      <c r="F15" s="8">
        <f>SUM(F12:F14)</f>
        <v>4185</v>
      </c>
    </row>
    <row r="16" spans="1:6" x14ac:dyDescent="0.25">
      <c r="A16" s="9"/>
      <c r="B16" s="9"/>
      <c r="D16" s="9"/>
    </row>
    <row r="17" spans="1:6" x14ac:dyDescent="0.25">
      <c r="A17" s="9" t="s">
        <v>21</v>
      </c>
      <c r="B17" s="4">
        <v>45717</v>
      </c>
      <c r="C17" s="5">
        <v>20</v>
      </c>
      <c r="D17" s="9" t="s">
        <v>13</v>
      </c>
      <c r="E17" s="10">
        <v>140</v>
      </c>
      <c r="F17" s="10">
        <f t="shared" si="0"/>
        <v>2800</v>
      </c>
    </row>
    <row r="18" spans="1:6" x14ac:dyDescent="0.25">
      <c r="A18" s="9"/>
      <c r="B18" s="9"/>
      <c r="C18" s="5">
        <v>20</v>
      </c>
      <c r="D18" s="9" t="s">
        <v>12</v>
      </c>
      <c r="E18" s="10">
        <v>130</v>
      </c>
      <c r="F18" s="10">
        <f t="shared" si="0"/>
        <v>2600</v>
      </c>
    </row>
    <row r="19" spans="1:6" x14ac:dyDescent="0.25">
      <c r="A19" s="9"/>
      <c r="B19" s="9"/>
      <c r="D19" s="9"/>
      <c r="F19" s="8">
        <f>SUM(F17:F18)</f>
        <v>5400</v>
      </c>
    </row>
    <row r="20" spans="1:6" x14ac:dyDescent="0.25">
      <c r="A20" s="9"/>
      <c r="B20" s="9"/>
      <c r="D20" s="9"/>
    </row>
    <row r="21" spans="1:6" x14ac:dyDescent="0.25">
      <c r="A21" s="9" t="s">
        <v>148</v>
      </c>
      <c r="B21" s="4">
        <v>45717</v>
      </c>
      <c r="C21" s="5">
        <v>15</v>
      </c>
      <c r="D21" s="9" t="s">
        <v>13</v>
      </c>
      <c r="E21" s="10">
        <v>140</v>
      </c>
      <c r="F21" s="10">
        <f t="shared" si="0"/>
        <v>2100</v>
      </c>
    </row>
    <row r="22" spans="1:6" x14ac:dyDescent="0.25">
      <c r="A22" s="9"/>
      <c r="B22" s="9"/>
      <c r="C22" s="5">
        <v>10</v>
      </c>
      <c r="D22" s="9" t="s">
        <v>14</v>
      </c>
      <c r="E22" s="10">
        <v>130</v>
      </c>
      <c r="F22" s="10">
        <f t="shared" si="0"/>
        <v>1300</v>
      </c>
    </row>
    <row r="23" spans="1:6" x14ac:dyDescent="0.25">
      <c r="A23" s="9"/>
      <c r="B23" s="9"/>
      <c r="D23" s="9"/>
      <c r="F23" s="8">
        <f>SUM(F21:F22)</f>
        <v>3400</v>
      </c>
    </row>
    <row r="24" spans="1:6" x14ac:dyDescent="0.25">
      <c r="A24" s="9"/>
      <c r="B24" s="9"/>
      <c r="D24" s="9"/>
    </row>
    <row r="25" spans="1:6" x14ac:dyDescent="0.25">
      <c r="A25" s="9" t="s">
        <v>157</v>
      </c>
      <c r="B25" s="4">
        <v>45717</v>
      </c>
      <c r="C25" s="5">
        <v>15</v>
      </c>
      <c r="D25" s="9" t="s">
        <v>8</v>
      </c>
      <c r="E25" s="10">
        <v>150</v>
      </c>
      <c r="F25" s="10">
        <f t="shared" si="0"/>
        <v>2250</v>
      </c>
    </row>
    <row r="26" spans="1:6" x14ac:dyDescent="0.25">
      <c r="A26" s="9"/>
      <c r="B26" s="9"/>
      <c r="C26" s="5">
        <v>5</v>
      </c>
      <c r="D26" s="9" t="s">
        <v>13</v>
      </c>
      <c r="E26" s="10">
        <v>140</v>
      </c>
      <c r="F26" s="10">
        <f t="shared" si="0"/>
        <v>700</v>
      </c>
    </row>
    <row r="27" spans="1:6" x14ac:dyDescent="0.25">
      <c r="A27" s="9"/>
      <c r="B27" s="9"/>
      <c r="D27" s="9"/>
      <c r="F27" s="8">
        <f>SUM(F25:F26)</f>
        <v>2950</v>
      </c>
    </row>
    <row r="28" spans="1:6" x14ac:dyDescent="0.25">
      <c r="A28" s="9"/>
      <c r="B28" s="9"/>
      <c r="D28" s="9"/>
    </row>
    <row r="29" spans="1:6" x14ac:dyDescent="0.25">
      <c r="A29" s="9" t="s">
        <v>17</v>
      </c>
      <c r="B29" s="4">
        <v>45717</v>
      </c>
      <c r="C29" s="5">
        <v>10</v>
      </c>
      <c r="D29" s="9" t="s">
        <v>8</v>
      </c>
      <c r="E29" s="10">
        <v>150</v>
      </c>
      <c r="F29" s="10">
        <f t="shared" si="0"/>
        <v>1500</v>
      </c>
    </row>
    <row r="30" spans="1:6" x14ac:dyDescent="0.25">
      <c r="A30" s="9"/>
      <c r="B30" s="9"/>
      <c r="D30" s="9"/>
      <c r="F30" s="8">
        <f>SUM(F29)</f>
        <v>1500</v>
      </c>
    </row>
    <row r="31" spans="1:6" x14ac:dyDescent="0.25">
      <c r="A31" s="9"/>
      <c r="B31" s="9"/>
      <c r="D31" s="9"/>
    </row>
    <row r="32" spans="1:6" x14ac:dyDescent="0.25">
      <c r="A32" s="9" t="s">
        <v>15</v>
      </c>
      <c r="B32" s="4">
        <v>45717</v>
      </c>
      <c r="C32" s="5">
        <v>60</v>
      </c>
      <c r="D32" s="9" t="s">
        <v>36</v>
      </c>
      <c r="E32" s="10">
        <v>85</v>
      </c>
      <c r="F32" s="10">
        <f t="shared" si="0"/>
        <v>5100</v>
      </c>
    </row>
    <row r="33" spans="1:6" x14ac:dyDescent="0.25">
      <c r="A33" s="9"/>
      <c r="B33" s="9"/>
      <c r="D33" s="9"/>
      <c r="F33" s="8">
        <f>SUM(F32)</f>
        <v>5100</v>
      </c>
    </row>
    <row r="34" spans="1:6" x14ac:dyDescent="0.25">
      <c r="A34" s="9"/>
      <c r="B34" s="9"/>
      <c r="D34" s="9"/>
    </row>
    <row r="35" spans="1:6" x14ac:dyDescent="0.25">
      <c r="A35" s="9" t="s">
        <v>58</v>
      </c>
      <c r="B35" s="4">
        <v>45717</v>
      </c>
      <c r="C35" s="5">
        <v>8</v>
      </c>
      <c r="D35" s="9" t="s">
        <v>13</v>
      </c>
      <c r="E35" s="10">
        <v>140</v>
      </c>
      <c r="F35" s="10">
        <f t="shared" si="0"/>
        <v>1120</v>
      </c>
    </row>
    <row r="36" spans="1:6" x14ac:dyDescent="0.25">
      <c r="A36" s="9"/>
      <c r="B36" s="9"/>
      <c r="D36" s="9"/>
      <c r="F36" s="8">
        <f>SUM(F35)</f>
        <v>1120</v>
      </c>
    </row>
    <row r="37" spans="1:6" x14ac:dyDescent="0.25">
      <c r="A37" s="9"/>
      <c r="B37" s="9"/>
      <c r="D37" s="9"/>
    </row>
    <row r="38" spans="1:6" x14ac:dyDescent="0.25">
      <c r="A38" s="9" t="s">
        <v>51</v>
      </c>
      <c r="B38" s="4">
        <v>45717</v>
      </c>
      <c r="C38" s="5">
        <v>200</v>
      </c>
      <c r="D38" s="9" t="s">
        <v>13</v>
      </c>
      <c r="E38" s="10">
        <v>125</v>
      </c>
      <c r="F38" s="10">
        <f t="shared" si="0"/>
        <v>25000</v>
      </c>
    </row>
    <row r="39" spans="1:6" x14ac:dyDescent="0.25">
      <c r="A39" s="9"/>
      <c r="B39" s="9"/>
      <c r="D39" s="9"/>
      <c r="F39" s="8">
        <f>SUM(F38)</f>
        <v>25000</v>
      </c>
    </row>
    <row r="40" spans="1:6" x14ac:dyDescent="0.25">
      <c r="A40" s="9"/>
      <c r="B40" s="9"/>
      <c r="D40" s="9"/>
    </row>
    <row r="41" spans="1:6" x14ac:dyDescent="0.25">
      <c r="A41" s="9" t="s">
        <v>53</v>
      </c>
      <c r="B41" s="4">
        <v>45717</v>
      </c>
      <c r="C41" s="5">
        <v>54</v>
      </c>
      <c r="D41" s="9" t="s">
        <v>13</v>
      </c>
      <c r="E41" s="10">
        <v>140</v>
      </c>
      <c r="F41" s="10">
        <f t="shared" si="0"/>
        <v>7560</v>
      </c>
    </row>
    <row r="42" spans="1:6" x14ac:dyDescent="0.25">
      <c r="A42" s="9"/>
      <c r="B42" s="9"/>
      <c r="C42" s="5">
        <v>20</v>
      </c>
      <c r="D42" s="9" t="s">
        <v>8</v>
      </c>
      <c r="E42" s="10">
        <v>150</v>
      </c>
      <c r="F42" s="10">
        <f t="shared" si="0"/>
        <v>3000</v>
      </c>
    </row>
    <row r="43" spans="1:6" x14ac:dyDescent="0.25">
      <c r="A43" s="9"/>
      <c r="B43" s="9"/>
      <c r="C43" s="5">
        <v>5</v>
      </c>
      <c r="D43" s="9" t="s">
        <v>14</v>
      </c>
      <c r="E43" s="10">
        <v>140</v>
      </c>
      <c r="F43" s="10">
        <f t="shared" si="0"/>
        <v>700</v>
      </c>
    </row>
    <row r="44" spans="1:6" x14ac:dyDescent="0.25">
      <c r="A44" s="9"/>
      <c r="B44" s="9"/>
      <c r="D44" s="9"/>
      <c r="F44" s="8">
        <f>SUM(F41:F43)</f>
        <v>11260</v>
      </c>
    </row>
    <row r="45" spans="1:6" x14ac:dyDescent="0.25">
      <c r="A45" s="9"/>
      <c r="B45" s="9"/>
      <c r="D45" s="9"/>
    </row>
    <row r="46" spans="1:6" x14ac:dyDescent="0.25">
      <c r="A46" s="9" t="s">
        <v>26</v>
      </c>
      <c r="B46" s="4">
        <v>45717</v>
      </c>
      <c r="C46" s="5">
        <v>80</v>
      </c>
      <c r="D46" s="9" t="s">
        <v>13</v>
      </c>
      <c r="E46" s="10">
        <v>140</v>
      </c>
      <c r="F46" s="10">
        <f t="shared" si="0"/>
        <v>11200</v>
      </c>
    </row>
    <row r="47" spans="1:6" x14ac:dyDescent="0.25">
      <c r="A47" s="9"/>
      <c r="B47" s="9"/>
      <c r="C47" s="5">
        <v>10</v>
      </c>
      <c r="D47" s="9" t="s">
        <v>14</v>
      </c>
      <c r="E47" s="10">
        <v>135</v>
      </c>
      <c r="F47" s="10">
        <f t="shared" si="0"/>
        <v>1350</v>
      </c>
    </row>
    <row r="48" spans="1:6" x14ac:dyDescent="0.25">
      <c r="A48" s="9"/>
      <c r="B48" s="9"/>
      <c r="D48" s="9"/>
      <c r="F48" s="8">
        <f>SUM(F46:F47)</f>
        <v>12550</v>
      </c>
    </row>
    <row r="49" spans="1:6" x14ac:dyDescent="0.25">
      <c r="A49" s="9"/>
      <c r="B49" s="9"/>
      <c r="D49" s="9"/>
    </row>
    <row r="50" spans="1:6" x14ac:dyDescent="0.25">
      <c r="A50" s="9" t="s">
        <v>66</v>
      </c>
      <c r="B50" s="4">
        <v>45717</v>
      </c>
      <c r="C50" s="5">
        <v>10</v>
      </c>
      <c r="D50" s="9" t="s">
        <v>8</v>
      </c>
      <c r="E50" s="10">
        <v>155</v>
      </c>
      <c r="F50" s="10">
        <f t="shared" si="0"/>
        <v>1550</v>
      </c>
    </row>
    <row r="51" spans="1:6" x14ac:dyDescent="0.25">
      <c r="A51" s="9"/>
      <c r="B51" s="9"/>
      <c r="D51" s="9"/>
      <c r="F51" s="8">
        <f>SUM(F50)</f>
        <v>1550</v>
      </c>
    </row>
    <row r="52" spans="1:6" x14ac:dyDescent="0.25">
      <c r="A52" s="9"/>
      <c r="B52" s="9"/>
      <c r="D52" s="9"/>
    </row>
    <row r="53" spans="1:6" x14ac:dyDescent="0.25">
      <c r="A53" s="9" t="s">
        <v>61</v>
      </c>
      <c r="B53" s="4">
        <v>45717</v>
      </c>
      <c r="C53" s="5">
        <v>100</v>
      </c>
      <c r="D53" s="9" t="s">
        <v>13</v>
      </c>
      <c r="E53" s="10">
        <v>140</v>
      </c>
      <c r="F53" s="10">
        <f t="shared" si="0"/>
        <v>14000</v>
      </c>
    </row>
    <row r="54" spans="1:6" x14ac:dyDescent="0.25">
      <c r="A54" s="9"/>
      <c r="B54" s="9"/>
      <c r="D54" s="9"/>
      <c r="F54" s="8">
        <f>SUM(F53)</f>
        <v>14000</v>
      </c>
    </row>
    <row r="55" spans="1:6" x14ac:dyDescent="0.25">
      <c r="A55" s="9"/>
      <c r="B55" s="9"/>
      <c r="D55" s="9"/>
    </row>
    <row r="56" spans="1:6" x14ac:dyDescent="0.25">
      <c r="A56" s="9" t="s">
        <v>60</v>
      </c>
      <c r="B56" s="4">
        <v>45717</v>
      </c>
      <c r="C56" s="5">
        <v>30</v>
      </c>
      <c r="D56" s="9" t="s">
        <v>13</v>
      </c>
      <c r="E56" s="10">
        <v>140</v>
      </c>
      <c r="F56" s="10">
        <f t="shared" si="0"/>
        <v>4200</v>
      </c>
    </row>
    <row r="57" spans="1:6" x14ac:dyDescent="0.25">
      <c r="A57" s="9"/>
      <c r="B57" s="9"/>
      <c r="D57" s="9"/>
      <c r="F57" s="8">
        <f>SUM(F56)</f>
        <v>4200</v>
      </c>
    </row>
    <row r="58" spans="1:6" x14ac:dyDescent="0.25">
      <c r="A58" s="9"/>
      <c r="B58" s="9"/>
      <c r="D58" s="9"/>
    </row>
    <row r="59" spans="1:6" x14ac:dyDescent="0.25">
      <c r="A59" s="9" t="s">
        <v>151</v>
      </c>
      <c r="B59" s="4">
        <v>45717</v>
      </c>
      <c r="C59" s="5">
        <v>100</v>
      </c>
      <c r="D59" s="9" t="s">
        <v>8</v>
      </c>
      <c r="E59" s="10">
        <v>148</v>
      </c>
      <c r="F59" s="10">
        <f t="shared" si="0"/>
        <v>14800</v>
      </c>
    </row>
    <row r="60" spans="1:6" x14ac:dyDescent="0.25">
      <c r="A60" s="9"/>
      <c r="B60" s="9"/>
      <c r="D60" s="9"/>
      <c r="F60" s="8">
        <f>SUM(F59)</f>
        <v>14800</v>
      </c>
    </row>
    <row r="61" spans="1:6" x14ac:dyDescent="0.25">
      <c r="A61" s="9"/>
      <c r="B61" s="9"/>
      <c r="D61" s="9"/>
    </row>
    <row r="62" spans="1:6" x14ac:dyDescent="0.25">
      <c r="A62" s="9" t="s">
        <v>65</v>
      </c>
      <c r="B62" s="4">
        <v>45717</v>
      </c>
      <c r="C62" s="5">
        <v>350</v>
      </c>
      <c r="D62" s="9" t="s">
        <v>11</v>
      </c>
      <c r="E62" s="10">
        <v>125</v>
      </c>
      <c r="F62" s="10">
        <f t="shared" si="0"/>
        <v>43750</v>
      </c>
    </row>
    <row r="63" spans="1:6" x14ac:dyDescent="0.25">
      <c r="A63" s="9"/>
      <c r="B63" s="9"/>
      <c r="C63" s="5">
        <v>1850</v>
      </c>
      <c r="D63" s="9" t="s">
        <v>12</v>
      </c>
      <c r="E63" s="10">
        <v>127</v>
      </c>
      <c r="F63" s="10">
        <f t="shared" si="0"/>
        <v>234950</v>
      </c>
    </row>
    <row r="64" spans="1:6" x14ac:dyDescent="0.25">
      <c r="A64" s="9"/>
      <c r="B64" s="9"/>
      <c r="C64" s="5">
        <v>230</v>
      </c>
      <c r="D64" s="9" t="s">
        <v>22</v>
      </c>
      <c r="E64" s="10">
        <v>115</v>
      </c>
      <c r="F64" s="10">
        <f t="shared" si="0"/>
        <v>26450</v>
      </c>
    </row>
    <row r="65" spans="1:6" x14ac:dyDescent="0.25">
      <c r="A65" s="9"/>
      <c r="B65" s="9"/>
      <c r="C65" s="5">
        <v>100</v>
      </c>
      <c r="D65" s="9" t="s">
        <v>14</v>
      </c>
      <c r="E65" s="10">
        <v>130</v>
      </c>
      <c r="F65" s="10">
        <f t="shared" si="0"/>
        <v>13000</v>
      </c>
    </row>
    <row r="66" spans="1:6" x14ac:dyDescent="0.25">
      <c r="A66" s="9"/>
      <c r="B66" s="9"/>
      <c r="C66" s="5">
        <v>130</v>
      </c>
      <c r="D66" s="9" t="s">
        <v>13</v>
      </c>
      <c r="E66" s="10">
        <v>135</v>
      </c>
      <c r="F66" s="10">
        <f t="shared" si="0"/>
        <v>17550</v>
      </c>
    </row>
    <row r="67" spans="1:6" x14ac:dyDescent="0.25">
      <c r="A67" s="9"/>
      <c r="B67" s="9"/>
      <c r="D67" s="9"/>
      <c r="F67" s="8">
        <f>SUM(F62:F66)</f>
        <v>335700</v>
      </c>
    </row>
    <row r="68" spans="1:6" x14ac:dyDescent="0.25">
      <c r="A68" s="9"/>
      <c r="B68" s="9"/>
      <c r="D68" s="9"/>
    </row>
    <row r="69" spans="1:6" x14ac:dyDescent="0.25">
      <c r="A69" s="9" t="s">
        <v>72</v>
      </c>
      <c r="B69" s="4">
        <v>45717</v>
      </c>
      <c r="C69" s="5">
        <v>350</v>
      </c>
      <c r="D69" s="9" t="s">
        <v>13</v>
      </c>
      <c r="E69" s="10">
        <v>135</v>
      </c>
      <c r="F69" s="10">
        <f t="shared" ref="F69:F131" si="1">+C69*E69</f>
        <v>47250</v>
      </c>
    </row>
    <row r="70" spans="1:6" x14ac:dyDescent="0.25">
      <c r="A70" s="9"/>
      <c r="B70" s="9"/>
      <c r="C70" s="5">
        <v>100</v>
      </c>
      <c r="D70" s="9" t="s">
        <v>12</v>
      </c>
      <c r="E70" s="10">
        <v>125</v>
      </c>
      <c r="F70" s="10">
        <f t="shared" si="1"/>
        <v>12500</v>
      </c>
    </row>
    <row r="71" spans="1:6" x14ac:dyDescent="0.25">
      <c r="A71" s="9"/>
      <c r="B71" s="9"/>
      <c r="C71" s="5">
        <v>100</v>
      </c>
      <c r="D71" s="9" t="s">
        <v>11</v>
      </c>
      <c r="E71" s="10">
        <v>125</v>
      </c>
      <c r="F71" s="10">
        <f t="shared" si="1"/>
        <v>12500</v>
      </c>
    </row>
    <row r="72" spans="1:6" x14ac:dyDescent="0.25">
      <c r="A72" s="9"/>
      <c r="B72" s="9"/>
      <c r="D72" s="9"/>
      <c r="F72" s="8">
        <f>SUM(F69:F71)</f>
        <v>72250</v>
      </c>
    </row>
    <row r="73" spans="1:6" x14ac:dyDescent="0.25">
      <c r="A73" s="9"/>
      <c r="B73" s="9"/>
      <c r="D73" s="9"/>
    </row>
    <row r="74" spans="1:6" x14ac:dyDescent="0.25">
      <c r="A74" s="9" t="s">
        <v>29</v>
      </c>
      <c r="B74" s="4">
        <v>45717</v>
      </c>
      <c r="C74" s="5">
        <v>2</v>
      </c>
      <c r="D74" s="9" t="s">
        <v>208</v>
      </c>
      <c r="E74" s="10">
        <v>140</v>
      </c>
      <c r="F74" s="10">
        <f t="shared" si="1"/>
        <v>280</v>
      </c>
    </row>
    <row r="75" spans="1:6" x14ac:dyDescent="0.25">
      <c r="A75" s="9"/>
      <c r="B75" s="9"/>
      <c r="C75" s="5">
        <v>1</v>
      </c>
      <c r="D75" s="9" t="s">
        <v>296</v>
      </c>
      <c r="E75" s="10">
        <v>140</v>
      </c>
      <c r="F75" s="10">
        <f t="shared" si="1"/>
        <v>140</v>
      </c>
    </row>
    <row r="76" spans="1:6" x14ac:dyDescent="0.25">
      <c r="A76" s="9"/>
      <c r="B76" s="9"/>
      <c r="C76" s="5">
        <v>4</v>
      </c>
      <c r="D76" s="9" t="s">
        <v>13</v>
      </c>
      <c r="E76" s="10">
        <v>160</v>
      </c>
      <c r="F76" s="10">
        <f t="shared" si="1"/>
        <v>640</v>
      </c>
    </row>
    <row r="77" spans="1:6" x14ac:dyDescent="0.25">
      <c r="A77" s="9"/>
      <c r="B77" s="9"/>
      <c r="D77" s="9"/>
      <c r="F77" s="8">
        <f>SUM(F74:F76)</f>
        <v>1060</v>
      </c>
    </row>
    <row r="78" spans="1:6" x14ac:dyDescent="0.25">
      <c r="A78" s="9"/>
      <c r="B78" s="9"/>
      <c r="D78" s="9"/>
    </row>
    <row r="79" spans="1:6" x14ac:dyDescent="0.25">
      <c r="A79" s="9" t="s">
        <v>7</v>
      </c>
      <c r="B79" s="4">
        <v>45717</v>
      </c>
      <c r="C79" s="11">
        <v>0.5</v>
      </c>
      <c r="D79" s="9" t="s">
        <v>14</v>
      </c>
      <c r="E79" s="10">
        <v>160</v>
      </c>
      <c r="F79" s="10">
        <f t="shared" si="1"/>
        <v>80</v>
      </c>
    </row>
    <row r="80" spans="1:6" x14ac:dyDescent="0.25">
      <c r="A80" s="9"/>
      <c r="B80" s="9"/>
      <c r="C80" s="5">
        <v>1</v>
      </c>
      <c r="D80" s="9" t="s">
        <v>13</v>
      </c>
      <c r="E80" s="10">
        <v>160</v>
      </c>
      <c r="F80" s="10">
        <f t="shared" si="1"/>
        <v>160</v>
      </c>
    </row>
    <row r="81" spans="1:6" x14ac:dyDescent="0.25">
      <c r="A81" s="9"/>
      <c r="B81" s="9"/>
      <c r="C81" s="5">
        <v>1</v>
      </c>
      <c r="D81" s="9" t="s">
        <v>297</v>
      </c>
      <c r="E81" s="10">
        <v>150</v>
      </c>
      <c r="F81" s="10">
        <f t="shared" si="1"/>
        <v>150</v>
      </c>
    </row>
    <row r="82" spans="1:6" x14ac:dyDescent="0.25">
      <c r="A82" s="9"/>
      <c r="B82" s="9"/>
      <c r="C82" s="5">
        <v>1</v>
      </c>
      <c r="D82" s="9" t="s">
        <v>154</v>
      </c>
      <c r="E82" s="10">
        <v>150</v>
      </c>
      <c r="F82" s="10">
        <f t="shared" si="1"/>
        <v>150</v>
      </c>
    </row>
    <row r="83" spans="1:6" x14ac:dyDescent="0.25">
      <c r="A83" s="9"/>
      <c r="B83" s="9"/>
      <c r="D83" s="9"/>
      <c r="F83" s="8">
        <f>SUM(F79:F82)</f>
        <v>540</v>
      </c>
    </row>
    <row r="84" spans="1:6" x14ac:dyDescent="0.25">
      <c r="A84" s="9"/>
      <c r="B84" s="9"/>
      <c r="D84" s="9"/>
    </row>
    <row r="85" spans="1:6" x14ac:dyDescent="0.25">
      <c r="A85" s="9" t="s">
        <v>29</v>
      </c>
      <c r="B85" s="4">
        <v>45718</v>
      </c>
      <c r="C85" s="5">
        <v>1</v>
      </c>
      <c r="D85" s="9" t="s">
        <v>13</v>
      </c>
      <c r="E85" s="10">
        <v>160</v>
      </c>
      <c r="F85" s="10">
        <f t="shared" si="1"/>
        <v>160</v>
      </c>
    </row>
    <row r="86" spans="1:6" x14ac:dyDescent="0.25">
      <c r="A86" s="9"/>
      <c r="B86" s="9"/>
      <c r="C86" s="5">
        <v>3</v>
      </c>
      <c r="D86" s="9" t="s">
        <v>54</v>
      </c>
      <c r="E86" s="10">
        <v>140</v>
      </c>
      <c r="F86" s="10">
        <f t="shared" si="1"/>
        <v>420</v>
      </c>
    </row>
    <row r="87" spans="1:6" x14ac:dyDescent="0.25">
      <c r="A87" s="9"/>
      <c r="B87" s="9"/>
      <c r="C87" s="5">
        <v>1</v>
      </c>
      <c r="D87" s="9" t="s">
        <v>54</v>
      </c>
      <c r="E87" s="10">
        <v>0</v>
      </c>
      <c r="F87" s="10">
        <f t="shared" si="1"/>
        <v>0</v>
      </c>
    </row>
    <row r="88" spans="1:6" x14ac:dyDescent="0.25">
      <c r="A88" s="9"/>
      <c r="B88" s="9"/>
      <c r="D88" s="9"/>
      <c r="F88" s="8">
        <f>SUM(F85:F87)</f>
        <v>580</v>
      </c>
    </row>
    <row r="89" spans="1:6" x14ac:dyDescent="0.25">
      <c r="A89" s="9"/>
      <c r="B89" s="9"/>
      <c r="D89" s="9"/>
    </row>
    <row r="90" spans="1:6" x14ac:dyDescent="0.25">
      <c r="A90" s="9" t="s">
        <v>100</v>
      </c>
      <c r="B90" s="4">
        <v>45719</v>
      </c>
      <c r="C90" s="5">
        <v>10</v>
      </c>
      <c r="D90" s="9" t="s">
        <v>13</v>
      </c>
      <c r="E90" s="10">
        <v>140</v>
      </c>
      <c r="F90" s="10">
        <f t="shared" si="1"/>
        <v>1400</v>
      </c>
    </row>
    <row r="91" spans="1:6" x14ac:dyDescent="0.25">
      <c r="A91" s="9"/>
      <c r="B91" s="9"/>
      <c r="D91" s="9"/>
      <c r="F91" s="8">
        <f>SUM(F90)</f>
        <v>1400</v>
      </c>
    </row>
    <row r="92" spans="1:6" x14ac:dyDescent="0.25">
      <c r="A92" s="9"/>
      <c r="B92" s="9"/>
      <c r="D92" s="9"/>
    </row>
    <row r="93" spans="1:6" x14ac:dyDescent="0.25">
      <c r="A93" s="9" t="s">
        <v>44</v>
      </c>
      <c r="B93" s="4">
        <v>45719</v>
      </c>
      <c r="C93" s="5">
        <v>10</v>
      </c>
      <c r="D93" s="9" t="s">
        <v>13</v>
      </c>
      <c r="E93" s="10">
        <v>140</v>
      </c>
      <c r="F93" s="10">
        <f t="shared" si="1"/>
        <v>1400</v>
      </c>
    </row>
    <row r="94" spans="1:6" x14ac:dyDescent="0.25">
      <c r="A94" s="9"/>
      <c r="B94" s="9"/>
      <c r="D94" s="9"/>
      <c r="F94" s="8">
        <f>SUM(F93)</f>
        <v>1400</v>
      </c>
    </row>
    <row r="95" spans="1:6" x14ac:dyDescent="0.25">
      <c r="A95" s="9"/>
      <c r="B95" s="9"/>
      <c r="D95" s="9"/>
    </row>
    <row r="96" spans="1:6" x14ac:dyDescent="0.25">
      <c r="A96" s="9" t="s">
        <v>56</v>
      </c>
      <c r="B96" s="4">
        <v>45719</v>
      </c>
      <c r="C96" s="5">
        <v>10</v>
      </c>
      <c r="D96" s="9" t="s">
        <v>36</v>
      </c>
      <c r="E96" s="10">
        <v>100</v>
      </c>
      <c r="F96" s="10">
        <f t="shared" si="1"/>
        <v>1000</v>
      </c>
    </row>
    <row r="97" spans="1:6" x14ac:dyDescent="0.25">
      <c r="A97" s="9"/>
      <c r="B97" s="9"/>
      <c r="D97" s="9"/>
      <c r="F97" s="8">
        <f>SUM(F96)</f>
        <v>1000</v>
      </c>
    </row>
    <row r="98" spans="1:6" x14ac:dyDescent="0.25">
      <c r="A98" s="9"/>
      <c r="B98" s="9"/>
      <c r="D98" s="9"/>
    </row>
    <row r="99" spans="1:6" x14ac:dyDescent="0.25">
      <c r="A99" s="9" t="s">
        <v>15</v>
      </c>
      <c r="B99" s="4">
        <v>45719</v>
      </c>
      <c r="C99" s="5">
        <v>60</v>
      </c>
      <c r="D99" s="9" t="s">
        <v>36</v>
      </c>
      <c r="E99" s="10">
        <v>85</v>
      </c>
      <c r="F99" s="10">
        <f t="shared" si="1"/>
        <v>5100</v>
      </c>
    </row>
    <row r="100" spans="1:6" x14ac:dyDescent="0.25">
      <c r="A100" s="9"/>
      <c r="B100" s="9"/>
      <c r="D100" s="9"/>
      <c r="F100" s="8">
        <f>SUM(F99)</f>
        <v>5100</v>
      </c>
    </row>
    <row r="101" spans="1:6" x14ac:dyDescent="0.25">
      <c r="A101" s="9"/>
      <c r="B101" s="9"/>
      <c r="D101" s="9"/>
    </row>
    <row r="102" spans="1:6" x14ac:dyDescent="0.25">
      <c r="A102" s="9" t="s">
        <v>79</v>
      </c>
      <c r="B102" s="4">
        <v>45719</v>
      </c>
      <c r="C102" s="5">
        <v>20</v>
      </c>
      <c r="D102" s="9" t="s">
        <v>13</v>
      </c>
      <c r="E102" s="10">
        <v>140</v>
      </c>
      <c r="F102" s="10">
        <f t="shared" si="1"/>
        <v>2800</v>
      </c>
    </row>
    <row r="103" spans="1:6" x14ac:dyDescent="0.25">
      <c r="A103" s="9"/>
      <c r="B103" s="9"/>
      <c r="D103" s="9"/>
      <c r="F103" s="8">
        <f>SUM(F102)</f>
        <v>2800</v>
      </c>
    </row>
    <row r="104" spans="1:6" x14ac:dyDescent="0.25">
      <c r="A104" s="9"/>
      <c r="B104" s="9"/>
      <c r="D104" s="9"/>
    </row>
    <row r="105" spans="1:6" x14ac:dyDescent="0.25">
      <c r="A105" s="9" t="s">
        <v>298</v>
      </c>
      <c r="B105" s="4">
        <v>45719</v>
      </c>
      <c r="C105" s="5">
        <v>10</v>
      </c>
      <c r="D105" s="9" t="s">
        <v>13</v>
      </c>
      <c r="E105" s="10">
        <v>140</v>
      </c>
      <c r="F105" s="10">
        <f t="shared" si="1"/>
        <v>1400</v>
      </c>
    </row>
    <row r="106" spans="1:6" x14ac:dyDescent="0.25">
      <c r="A106" s="9"/>
      <c r="B106" s="9"/>
      <c r="D106" s="9"/>
      <c r="F106" s="8">
        <f>SUM(F105)</f>
        <v>1400</v>
      </c>
    </row>
    <row r="107" spans="1:6" x14ac:dyDescent="0.25">
      <c r="A107" s="9"/>
      <c r="B107" s="9"/>
      <c r="D107" s="9"/>
    </row>
    <row r="108" spans="1:6" x14ac:dyDescent="0.25">
      <c r="A108" s="9" t="s">
        <v>17</v>
      </c>
      <c r="B108" s="4">
        <v>45719</v>
      </c>
      <c r="C108" s="5">
        <v>10</v>
      </c>
      <c r="D108" s="9" t="s">
        <v>8</v>
      </c>
      <c r="E108" s="10">
        <v>150</v>
      </c>
      <c r="F108" s="10">
        <f t="shared" si="1"/>
        <v>1500</v>
      </c>
    </row>
    <row r="109" spans="1:6" x14ac:dyDescent="0.25">
      <c r="A109" s="9"/>
      <c r="B109" s="9"/>
      <c r="D109" s="9"/>
      <c r="F109" s="8">
        <f>SUM(F108)</f>
        <v>1500</v>
      </c>
    </row>
    <row r="110" spans="1:6" x14ac:dyDescent="0.25">
      <c r="A110" s="9"/>
      <c r="B110" s="9"/>
      <c r="D110" s="9"/>
    </row>
    <row r="111" spans="1:6" x14ac:dyDescent="0.25">
      <c r="A111" s="9" t="s">
        <v>157</v>
      </c>
      <c r="B111" s="4">
        <v>45719</v>
      </c>
      <c r="C111" s="5">
        <v>10</v>
      </c>
      <c r="D111" s="9" t="s">
        <v>8</v>
      </c>
      <c r="E111" s="10">
        <v>150</v>
      </c>
      <c r="F111" s="10">
        <f t="shared" si="1"/>
        <v>1500</v>
      </c>
    </row>
    <row r="112" spans="1:6" x14ac:dyDescent="0.25">
      <c r="A112" s="9"/>
      <c r="B112" s="9"/>
      <c r="D112" s="9"/>
      <c r="F112" s="8">
        <f>SUM(F111)</f>
        <v>1500</v>
      </c>
    </row>
    <row r="113" spans="1:6" x14ac:dyDescent="0.25">
      <c r="A113" s="9"/>
      <c r="B113" s="9"/>
      <c r="D113" s="9"/>
    </row>
    <row r="114" spans="1:6" x14ac:dyDescent="0.25">
      <c r="A114" s="9" t="s">
        <v>20</v>
      </c>
      <c r="B114" s="4">
        <v>45719</v>
      </c>
      <c r="C114" s="5">
        <v>20</v>
      </c>
      <c r="D114" s="9" t="s">
        <v>13</v>
      </c>
      <c r="E114" s="10">
        <v>140</v>
      </c>
      <c r="F114" s="10">
        <f t="shared" si="1"/>
        <v>2800</v>
      </c>
    </row>
    <row r="115" spans="1:6" x14ac:dyDescent="0.25">
      <c r="A115" s="9"/>
      <c r="B115" s="9"/>
      <c r="D115" s="9"/>
      <c r="F115" s="8">
        <f>SUM(F114)</f>
        <v>2800</v>
      </c>
    </row>
    <row r="116" spans="1:6" x14ac:dyDescent="0.25">
      <c r="A116" s="9"/>
      <c r="B116" s="9"/>
      <c r="D116" s="9"/>
    </row>
    <row r="117" spans="1:6" x14ac:dyDescent="0.25">
      <c r="A117" s="9" t="s">
        <v>21</v>
      </c>
      <c r="B117" s="4">
        <v>45719</v>
      </c>
      <c r="C117" s="5">
        <v>15</v>
      </c>
      <c r="D117" s="9" t="s">
        <v>11</v>
      </c>
      <c r="E117" s="10">
        <v>125</v>
      </c>
      <c r="F117" s="10">
        <f t="shared" si="1"/>
        <v>1875</v>
      </c>
    </row>
    <row r="118" spans="1:6" x14ac:dyDescent="0.25">
      <c r="A118" s="9"/>
      <c r="B118" s="9"/>
      <c r="C118" s="5">
        <v>15</v>
      </c>
      <c r="D118" s="9" t="s">
        <v>14</v>
      </c>
      <c r="E118" s="10">
        <v>130</v>
      </c>
      <c r="F118" s="10">
        <f t="shared" si="1"/>
        <v>1950</v>
      </c>
    </row>
    <row r="119" spans="1:6" x14ac:dyDescent="0.25">
      <c r="A119" s="9"/>
      <c r="B119" s="9"/>
      <c r="D119" s="9"/>
      <c r="F119" s="8">
        <f>SUM(F117:F118)</f>
        <v>3825</v>
      </c>
    </row>
    <row r="120" spans="1:6" x14ac:dyDescent="0.25">
      <c r="A120" s="9"/>
      <c r="B120" s="9"/>
      <c r="D120" s="9"/>
    </row>
    <row r="121" spans="1:6" x14ac:dyDescent="0.25">
      <c r="A121" s="9" t="s">
        <v>38</v>
      </c>
      <c r="B121" s="4">
        <v>45719</v>
      </c>
      <c r="C121" s="5">
        <v>10</v>
      </c>
      <c r="D121" s="9" t="s">
        <v>13</v>
      </c>
      <c r="E121" s="10">
        <v>140</v>
      </c>
      <c r="F121" s="10">
        <f t="shared" si="1"/>
        <v>1400</v>
      </c>
    </row>
    <row r="122" spans="1:6" x14ac:dyDescent="0.25">
      <c r="A122" s="9"/>
      <c r="B122" s="9"/>
      <c r="D122" s="9"/>
      <c r="F122" s="8">
        <f>SUM(F121)</f>
        <v>1400</v>
      </c>
    </row>
    <row r="123" spans="1:6" x14ac:dyDescent="0.25">
      <c r="A123" s="9"/>
      <c r="B123" s="9"/>
      <c r="D123" s="9"/>
    </row>
    <row r="124" spans="1:6" x14ac:dyDescent="0.25">
      <c r="A124" s="9" t="s">
        <v>57</v>
      </c>
      <c r="B124" s="4">
        <v>45719</v>
      </c>
      <c r="C124" s="5">
        <v>10</v>
      </c>
      <c r="D124" s="9" t="s">
        <v>13</v>
      </c>
      <c r="E124" s="10">
        <v>140</v>
      </c>
      <c r="F124" s="10">
        <f t="shared" si="1"/>
        <v>1400</v>
      </c>
    </row>
    <row r="125" spans="1:6" x14ac:dyDescent="0.25">
      <c r="A125" s="9"/>
      <c r="B125" s="9"/>
      <c r="C125" s="5">
        <v>15</v>
      </c>
      <c r="D125" s="9" t="s">
        <v>14</v>
      </c>
      <c r="E125" s="10">
        <v>130</v>
      </c>
      <c r="F125" s="10">
        <f t="shared" si="1"/>
        <v>1950</v>
      </c>
    </row>
    <row r="126" spans="1:6" x14ac:dyDescent="0.25">
      <c r="A126" s="9"/>
      <c r="B126" s="9"/>
      <c r="D126" s="9"/>
      <c r="F126" s="8">
        <f>SUM(F124:F125)</f>
        <v>3350</v>
      </c>
    </row>
    <row r="127" spans="1:6" x14ac:dyDescent="0.25">
      <c r="A127" s="9"/>
      <c r="B127" s="9"/>
      <c r="D127" s="9"/>
    </row>
    <row r="128" spans="1:6" x14ac:dyDescent="0.25">
      <c r="A128" s="9" t="s">
        <v>23</v>
      </c>
      <c r="B128" s="4">
        <v>45719</v>
      </c>
      <c r="C128" s="5">
        <v>10</v>
      </c>
      <c r="D128" s="9" t="s">
        <v>13</v>
      </c>
      <c r="E128" s="10">
        <v>140</v>
      </c>
      <c r="F128" s="10">
        <f t="shared" si="1"/>
        <v>1400</v>
      </c>
    </row>
    <row r="129" spans="1:6" x14ac:dyDescent="0.25">
      <c r="A129" s="9"/>
      <c r="B129" s="9"/>
      <c r="C129" s="5">
        <v>10</v>
      </c>
      <c r="D129" s="9" t="s">
        <v>14</v>
      </c>
      <c r="E129" s="10">
        <v>130</v>
      </c>
      <c r="F129" s="10">
        <f t="shared" si="1"/>
        <v>1300</v>
      </c>
    </row>
    <row r="130" spans="1:6" x14ac:dyDescent="0.25">
      <c r="A130" s="9"/>
      <c r="B130" s="9"/>
      <c r="C130" s="5">
        <v>12</v>
      </c>
      <c r="D130" s="9" t="s">
        <v>22</v>
      </c>
      <c r="E130" s="10">
        <v>110</v>
      </c>
      <c r="F130" s="10">
        <f t="shared" si="1"/>
        <v>1320</v>
      </c>
    </row>
    <row r="131" spans="1:6" x14ac:dyDescent="0.25">
      <c r="A131" s="9"/>
      <c r="B131" s="9"/>
      <c r="C131" s="5">
        <v>7</v>
      </c>
      <c r="D131" s="9" t="s">
        <v>12</v>
      </c>
      <c r="E131" s="10">
        <v>130</v>
      </c>
      <c r="F131" s="10">
        <f t="shared" si="1"/>
        <v>910</v>
      </c>
    </row>
    <row r="132" spans="1:6" x14ac:dyDescent="0.25">
      <c r="A132" s="9"/>
      <c r="B132" s="9"/>
      <c r="D132" s="9"/>
      <c r="F132" s="8">
        <f>SUM(F128:F131)</f>
        <v>4930</v>
      </c>
    </row>
    <row r="133" spans="1:6" x14ac:dyDescent="0.25">
      <c r="A133" s="9"/>
      <c r="B133" s="9"/>
      <c r="D133" s="9"/>
    </row>
    <row r="134" spans="1:6" x14ac:dyDescent="0.25">
      <c r="A134" s="9" t="s">
        <v>25</v>
      </c>
      <c r="B134" s="4">
        <v>45719</v>
      </c>
      <c r="C134" s="5">
        <v>20</v>
      </c>
      <c r="D134" s="9" t="s">
        <v>14</v>
      </c>
      <c r="E134" s="10">
        <v>130</v>
      </c>
      <c r="F134" s="10">
        <f t="shared" ref="F134:F193" si="2">+C134*E134</f>
        <v>2600</v>
      </c>
    </row>
    <row r="135" spans="1:6" x14ac:dyDescent="0.25">
      <c r="A135" s="9"/>
      <c r="B135" s="9"/>
      <c r="D135" s="9"/>
      <c r="F135" s="8">
        <f>SUM(F134)</f>
        <v>2600</v>
      </c>
    </row>
    <row r="136" spans="1:6" x14ac:dyDescent="0.25">
      <c r="A136" s="9"/>
      <c r="B136" s="9"/>
      <c r="D136" s="9"/>
    </row>
    <row r="137" spans="1:6" x14ac:dyDescent="0.25">
      <c r="A137" s="9" t="s">
        <v>40</v>
      </c>
      <c r="B137" s="4">
        <v>45719</v>
      </c>
      <c r="C137" s="5">
        <v>20</v>
      </c>
      <c r="D137" s="9" t="s">
        <v>13</v>
      </c>
      <c r="E137" s="10">
        <v>140</v>
      </c>
      <c r="F137" s="10">
        <f t="shared" si="2"/>
        <v>2800</v>
      </c>
    </row>
    <row r="138" spans="1:6" x14ac:dyDescent="0.25">
      <c r="A138" s="9"/>
      <c r="B138" s="9"/>
      <c r="C138" s="5">
        <v>16</v>
      </c>
      <c r="D138" s="9" t="s">
        <v>14</v>
      </c>
      <c r="E138" s="10">
        <v>130</v>
      </c>
      <c r="F138" s="10">
        <f t="shared" si="2"/>
        <v>2080</v>
      </c>
    </row>
    <row r="139" spans="1:6" x14ac:dyDescent="0.25">
      <c r="A139" s="9"/>
      <c r="B139" s="9"/>
      <c r="C139" s="5">
        <v>15</v>
      </c>
      <c r="D139" s="9" t="s">
        <v>11</v>
      </c>
      <c r="E139" s="10">
        <v>120</v>
      </c>
      <c r="F139" s="10">
        <f t="shared" si="2"/>
        <v>1800</v>
      </c>
    </row>
    <row r="140" spans="1:6" x14ac:dyDescent="0.25">
      <c r="A140" s="9"/>
      <c r="B140" s="9"/>
      <c r="D140" s="9"/>
      <c r="F140" s="8">
        <f>SUM(F137:F139)</f>
        <v>6680</v>
      </c>
    </row>
    <row r="141" spans="1:6" x14ac:dyDescent="0.25">
      <c r="A141" s="9"/>
      <c r="B141" s="9"/>
      <c r="D141" s="9"/>
    </row>
    <row r="142" spans="1:6" x14ac:dyDescent="0.25">
      <c r="A142" s="9" t="s">
        <v>181</v>
      </c>
      <c r="B142" s="4">
        <v>45719</v>
      </c>
      <c r="C142" s="5">
        <v>4</v>
      </c>
      <c r="D142" s="9" t="s">
        <v>13</v>
      </c>
      <c r="E142" s="10">
        <v>140</v>
      </c>
      <c r="F142" s="10">
        <f t="shared" si="2"/>
        <v>560</v>
      </c>
    </row>
    <row r="143" spans="1:6" x14ac:dyDescent="0.25">
      <c r="A143" s="9"/>
      <c r="B143" s="9"/>
      <c r="D143" s="9"/>
      <c r="F143" s="23">
        <f>SUM(F142)</f>
        <v>560</v>
      </c>
    </row>
    <row r="144" spans="1:6" x14ac:dyDescent="0.25">
      <c r="A144" s="9"/>
      <c r="B144" s="9"/>
      <c r="D144" s="9"/>
    </row>
    <row r="145" spans="1:6" x14ac:dyDescent="0.25">
      <c r="A145" s="9" t="s">
        <v>299</v>
      </c>
      <c r="B145" s="4">
        <v>45719</v>
      </c>
      <c r="C145" s="5">
        <v>60</v>
      </c>
      <c r="D145" s="9" t="s">
        <v>12</v>
      </c>
      <c r="E145" s="10">
        <v>135</v>
      </c>
      <c r="F145" s="10">
        <f t="shared" si="2"/>
        <v>8100</v>
      </c>
    </row>
    <row r="146" spans="1:6" x14ac:dyDescent="0.25">
      <c r="A146" s="9"/>
      <c r="B146" s="9"/>
      <c r="D146" s="9"/>
      <c r="F146" s="8">
        <f>SUM(F145)</f>
        <v>8100</v>
      </c>
    </row>
    <row r="147" spans="1:6" x14ac:dyDescent="0.25">
      <c r="A147" s="9"/>
      <c r="B147" s="9"/>
      <c r="D147" s="9"/>
    </row>
    <row r="148" spans="1:6" x14ac:dyDescent="0.25">
      <c r="A148" s="9" t="s">
        <v>42</v>
      </c>
      <c r="B148" s="4">
        <v>45719</v>
      </c>
      <c r="C148" s="5">
        <v>16</v>
      </c>
      <c r="D148" s="9" t="s">
        <v>14</v>
      </c>
      <c r="E148" s="10">
        <v>125</v>
      </c>
      <c r="F148" s="10">
        <f t="shared" si="2"/>
        <v>2000</v>
      </c>
    </row>
    <row r="149" spans="1:6" x14ac:dyDescent="0.25">
      <c r="A149" s="9"/>
      <c r="B149" s="9"/>
      <c r="D149" s="9"/>
      <c r="F149" s="8">
        <f>SUM(F148)</f>
        <v>2000</v>
      </c>
    </row>
    <row r="150" spans="1:6" x14ac:dyDescent="0.25">
      <c r="A150" s="9"/>
      <c r="B150" s="9"/>
      <c r="D150" s="9"/>
    </row>
    <row r="151" spans="1:6" x14ac:dyDescent="0.25">
      <c r="A151" s="9" t="s">
        <v>41</v>
      </c>
      <c r="B151" s="4">
        <v>45719</v>
      </c>
      <c r="C151" s="5">
        <v>30</v>
      </c>
      <c r="D151" s="9" t="s">
        <v>14</v>
      </c>
      <c r="E151" s="10">
        <v>135</v>
      </c>
      <c r="F151" s="10">
        <f t="shared" si="2"/>
        <v>4050</v>
      </c>
    </row>
    <row r="152" spans="1:6" x14ac:dyDescent="0.25">
      <c r="A152" s="9"/>
      <c r="B152" s="9"/>
      <c r="D152" s="9"/>
      <c r="F152" s="8">
        <f>SUM(F151)</f>
        <v>4050</v>
      </c>
    </row>
    <row r="153" spans="1:6" x14ac:dyDescent="0.25">
      <c r="A153" s="9"/>
      <c r="B153" s="9"/>
      <c r="D153" s="9"/>
    </row>
    <row r="154" spans="1:6" x14ac:dyDescent="0.25">
      <c r="A154" s="9" t="s">
        <v>45</v>
      </c>
      <c r="B154" s="4">
        <v>45719</v>
      </c>
      <c r="C154" s="5">
        <v>10</v>
      </c>
      <c r="D154" s="9" t="s">
        <v>14</v>
      </c>
      <c r="E154" s="10">
        <v>125</v>
      </c>
      <c r="F154" s="10">
        <f t="shared" si="2"/>
        <v>1250</v>
      </c>
    </row>
    <row r="155" spans="1:6" x14ac:dyDescent="0.25">
      <c r="A155" s="9"/>
      <c r="B155" s="9"/>
      <c r="D155" s="9"/>
      <c r="F155" s="8">
        <f>SUM(F154)</f>
        <v>1250</v>
      </c>
    </row>
    <row r="156" spans="1:6" x14ac:dyDescent="0.25">
      <c r="A156" s="9"/>
      <c r="B156" s="9"/>
      <c r="D156" s="9"/>
    </row>
    <row r="157" spans="1:6" x14ac:dyDescent="0.25">
      <c r="A157" s="9" t="s">
        <v>43</v>
      </c>
      <c r="B157" s="4">
        <v>45719</v>
      </c>
      <c r="C157" s="5">
        <v>15</v>
      </c>
      <c r="D157" s="9" t="s">
        <v>14</v>
      </c>
      <c r="E157" s="10">
        <v>125</v>
      </c>
      <c r="F157" s="10">
        <f t="shared" si="2"/>
        <v>1875</v>
      </c>
    </row>
    <row r="158" spans="1:6" x14ac:dyDescent="0.25">
      <c r="A158" s="9"/>
      <c r="B158" s="9"/>
      <c r="D158" s="9"/>
      <c r="F158" s="8">
        <f>SUM(F157)</f>
        <v>1875</v>
      </c>
    </row>
    <row r="159" spans="1:6" x14ac:dyDescent="0.25">
      <c r="A159" s="9"/>
      <c r="B159" s="9"/>
      <c r="D159" s="9"/>
    </row>
    <row r="160" spans="1:6" x14ac:dyDescent="0.25">
      <c r="A160" s="9" t="s">
        <v>44</v>
      </c>
      <c r="B160" s="4">
        <v>45719</v>
      </c>
      <c r="C160" s="5">
        <v>70</v>
      </c>
      <c r="D160" s="9" t="s">
        <v>14</v>
      </c>
      <c r="E160" s="10">
        <v>125</v>
      </c>
      <c r="F160" s="10">
        <f t="shared" si="2"/>
        <v>8750</v>
      </c>
    </row>
    <row r="161" spans="1:6" x14ac:dyDescent="0.25">
      <c r="A161" s="9"/>
      <c r="B161" s="9"/>
      <c r="D161" s="9"/>
      <c r="F161" s="8">
        <f>SUM(F160)</f>
        <v>8750</v>
      </c>
    </row>
    <row r="162" spans="1:6" x14ac:dyDescent="0.25">
      <c r="A162" s="9"/>
      <c r="B162" s="9"/>
      <c r="D162" s="9"/>
    </row>
    <row r="163" spans="1:6" x14ac:dyDescent="0.25">
      <c r="A163" s="9" t="s">
        <v>18</v>
      </c>
      <c r="B163" s="4">
        <v>45719</v>
      </c>
      <c r="C163" s="5">
        <v>30</v>
      </c>
      <c r="D163" s="9" t="s">
        <v>14</v>
      </c>
      <c r="E163" s="10">
        <v>125</v>
      </c>
      <c r="F163" s="10">
        <f t="shared" si="2"/>
        <v>3750</v>
      </c>
    </row>
    <row r="164" spans="1:6" x14ac:dyDescent="0.25">
      <c r="A164" s="9"/>
      <c r="B164" s="9"/>
      <c r="C164" s="5">
        <v>10</v>
      </c>
      <c r="D164" s="9" t="s">
        <v>13</v>
      </c>
      <c r="E164" s="10">
        <v>140</v>
      </c>
      <c r="F164" s="10">
        <f t="shared" si="2"/>
        <v>1400</v>
      </c>
    </row>
    <row r="165" spans="1:6" s="9" customFormat="1" x14ac:dyDescent="0.25">
      <c r="C165" s="5"/>
      <c r="E165" s="10"/>
      <c r="F165" s="8">
        <f>SUM(F163:F164)</f>
        <v>5150</v>
      </c>
    </row>
    <row r="166" spans="1:6" s="9" customFormat="1" x14ac:dyDescent="0.25">
      <c r="C166" s="5"/>
      <c r="E166" s="10"/>
      <c r="F166" s="10"/>
    </row>
    <row r="167" spans="1:6" s="9" customFormat="1" x14ac:dyDescent="0.25">
      <c r="A167" s="9" t="s">
        <v>46</v>
      </c>
      <c r="B167" s="4">
        <v>45719</v>
      </c>
      <c r="C167" s="5">
        <v>30</v>
      </c>
      <c r="D167" s="9" t="s">
        <v>14</v>
      </c>
      <c r="E167" s="10">
        <v>130</v>
      </c>
      <c r="F167" s="10">
        <f t="shared" si="2"/>
        <v>3900</v>
      </c>
    </row>
    <row r="168" spans="1:6" s="9" customFormat="1" x14ac:dyDescent="0.25">
      <c r="C168" s="5"/>
      <c r="E168" s="10"/>
      <c r="F168" s="8">
        <f>SUM(F167)</f>
        <v>3900</v>
      </c>
    </row>
    <row r="169" spans="1:6" s="9" customFormat="1" x14ac:dyDescent="0.25">
      <c r="C169" s="5"/>
      <c r="E169" s="10"/>
      <c r="F169" s="10"/>
    </row>
    <row r="170" spans="1:6" s="9" customFormat="1" x14ac:dyDescent="0.25">
      <c r="A170" s="9" t="s">
        <v>47</v>
      </c>
      <c r="B170" s="4">
        <v>45719</v>
      </c>
      <c r="C170" s="5">
        <v>24</v>
      </c>
      <c r="D170" s="9" t="s">
        <v>50</v>
      </c>
      <c r="E170" s="10">
        <v>95</v>
      </c>
      <c r="F170" s="10">
        <f t="shared" si="2"/>
        <v>2280</v>
      </c>
    </row>
    <row r="171" spans="1:6" x14ac:dyDescent="0.25">
      <c r="A171" s="9"/>
      <c r="B171" s="9"/>
      <c r="D171" s="9"/>
      <c r="F171" s="8">
        <f>SUM(F170)</f>
        <v>2280</v>
      </c>
    </row>
    <row r="172" spans="1:6" x14ac:dyDescent="0.25">
      <c r="A172" s="9"/>
      <c r="B172" s="9"/>
      <c r="D172" s="9"/>
    </row>
    <row r="173" spans="1:6" x14ac:dyDescent="0.25">
      <c r="A173" s="9" t="s">
        <v>290</v>
      </c>
      <c r="B173" s="4">
        <v>45719</v>
      </c>
      <c r="C173" s="5">
        <v>15</v>
      </c>
      <c r="D173" s="9" t="s">
        <v>13</v>
      </c>
      <c r="E173" s="10">
        <v>150</v>
      </c>
      <c r="F173" s="10">
        <f t="shared" si="2"/>
        <v>2250</v>
      </c>
    </row>
    <row r="174" spans="1:6" x14ac:dyDescent="0.25">
      <c r="A174" s="9"/>
      <c r="B174" s="9"/>
      <c r="C174" s="5">
        <v>9</v>
      </c>
      <c r="D174" s="9" t="s">
        <v>13</v>
      </c>
      <c r="E174" s="10">
        <v>140</v>
      </c>
      <c r="F174" s="10">
        <f t="shared" si="2"/>
        <v>1260</v>
      </c>
    </row>
    <row r="175" spans="1:6" x14ac:dyDescent="0.25">
      <c r="A175" s="9"/>
      <c r="B175" s="9"/>
      <c r="C175" s="5">
        <v>21</v>
      </c>
      <c r="D175" s="9" t="s">
        <v>13</v>
      </c>
      <c r="E175" s="10">
        <v>145</v>
      </c>
      <c r="F175" s="10">
        <f t="shared" si="2"/>
        <v>3045</v>
      </c>
    </row>
    <row r="176" spans="1:6" x14ac:dyDescent="0.25">
      <c r="A176" s="9"/>
      <c r="B176" s="9"/>
      <c r="C176" s="5">
        <v>10</v>
      </c>
      <c r="D176" s="9" t="s">
        <v>14</v>
      </c>
      <c r="E176" s="10">
        <v>135</v>
      </c>
      <c r="F176" s="10">
        <f t="shared" si="2"/>
        <v>1350</v>
      </c>
    </row>
    <row r="177" spans="1:6" x14ac:dyDescent="0.25">
      <c r="A177" s="9"/>
      <c r="B177" s="9"/>
      <c r="C177" s="5">
        <v>8</v>
      </c>
      <c r="D177" s="9" t="s">
        <v>12</v>
      </c>
      <c r="E177" s="10">
        <v>135</v>
      </c>
      <c r="F177" s="10">
        <f t="shared" si="2"/>
        <v>1080</v>
      </c>
    </row>
    <row r="178" spans="1:6" x14ac:dyDescent="0.25">
      <c r="A178" s="9"/>
      <c r="B178" s="9"/>
      <c r="D178" s="9"/>
      <c r="F178" s="8">
        <f>SUM(F173:F177)</f>
        <v>8985</v>
      </c>
    </row>
    <row r="179" spans="1:6" x14ac:dyDescent="0.25">
      <c r="A179" s="9"/>
      <c r="B179" s="9"/>
      <c r="D179" s="9"/>
    </row>
    <row r="180" spans="1:6" x14ac:dyDescent="0.25">
      <c r="A180" s="9" t="s">
        <v>88</v>
      </c>
      <c r="B180" s="4">
        <v>45719</v>
      </c>
      <c r="C180" s="5">
        <v>10</v>
      </c>
      <c r="D180" s="9" t="s">
        <v>13</v>
      </c>
      <c r="E180" s="10">
        <v>145</v>
      </c>
      <c r="F180" s="10">
        <f t="shared" si="2"/>
        <v>1450</v>
      </c>
    </row>
    <row r="181" spans="1:6" x14ac:dyDescent="0.25">
      <c r="A181" s="9"/>
      <c r="B181" s="9"/>
      <c r="C181" s="5">
        <v>10</v>
      </c>
      <c r="D181" s="9" t="s">
        <v>14</v>
      </c>
      <c r="E181" s="10">
        <v>135</v>
      </c>
      <c r="F181" s="10">
        <f t="shared" si="2"/>
        <v>1350</v>
      </c>
    </row>
    <row r="182" spans="1:6" x14ac:dyDescent="0.25">
      <c r="A182" s="9"/>
      <c r="B182" s="9"/>
      <c r="D182" s="9"/>
      <c r="F182" s="8">
        <f>SUM(F180:F181)</f>
        <v>2800</v>
      </c>
    </row>
    <row r="183" spans="1:6" x14ac:dyDescent="0.25">
      <c r="A183" s="9"/>
      <c r="B183" s="9"/>
      <c r="D183" s="9"/>
    </row>
    <row r="184" spans="1:6" x14ac:dyDescent="0.25">
      <c r="A184" s="9" t="s">
        <v>32</v>
      </c>
      <c r="B184" s="4">
        <v>45719</v>
      </c>
      <c r="C184" s="5">
        <v>30</v>
      </c>
      <c r="D184" s="9" t="s">
        <v>13</v>
      </c>
      <c r="E184" s="10">
        <v>140</v>
      </c>
      <c r="F184" s="10">
        <f t="shared" si="2"/>
        <v>4200</v>
      </c>
    </row>
    <row r="185" spans="1:6" x14ac:dyDescent="0.25">
      <c r="A185" s="9"/>
      <c r="B185" s="9"/>
      <c r="D185" s="9"/>
      <c r="F185" s="8">
        <f>SUM(F184)</f>
        <v>4200</v>
      </c>
    </row>
    <row r="186" spans="1:6" x14ac:dyDescent="0.25">
      <c r="A186" s="9"/>
      <c r="B186" s="9"/>
      <c r="D186" s="9"/>
    </row>
    <row r="187" spans="1:6" x14ac:dyDescent="0.25">
      <c r="A187" s="9" t="s">
        <v>89</v>
      </c>
      <c r="B187" s="4">
        <v>45719</v>
      </c>
      <c r="C187" s="5">
        <v>30</v>
      </c>
      <c r="D187" s="9" t="s">
        <v>13</v>
      </c>
      <c r="E187" s="10">
        <v>130</v>
      </c>
      <c r="F187" s="10">
        <f t="shared" si="2"/>
        <v>3900</v>
      </c>
    </row>
    <row r="188" spans="1:6" x14ac:dyDescent="0.25">
      <c r="A188" s="9"/>
      <c r="B188" s="9"/>
      <c r="C188" s="5">
        <v>16</v>
      </c>
      <c r="D188" s="9" t="s">
        <v>14</v>
      </c>
      <c r="E188" s="10">
        <v>125</v>
      </c>
      <c r="F188" s="10">
        <f t="shared" si="2"/>
        <v>2000</v>
      </c>
    </row>
    <row r="189" spans="1:6" x14ac:dyDescent="0.25">
      <c r="A189" s="9"/>
      <c r="B189" s="9"/>
      <c r="C189" s="5">
        <v>80</v>
      </c>
      <c r="D189" s="9" t="s">
        <v>12</v>
      </c>
      <c r="E189" s="10">
        <v>125</v>
      </c>
      <c r="F189" s="10">
        <f t="shared" si="2"/>
        <v>10000</v>
      </c>
    </row>
    <row r="190" spans="1:6" x14ac:dyDescent="0.25">
      <c r="A190" s="9"/>
      <c r="B190" s="9"/>
      <c r="D190" s="9"/>
      <c r="F190" s="8">
        <f>SUM(F187:F189)</f>
        <v>15900</v>
      </c>
    </row>
    <row r="191" spans="1:6" x14ac:dyDescent="0.25">
      <c r="A191" s="9"/>
      <c r="B191" s="9"/>
      <c r="D191" s="9"/>
    </row>
    <row r="192" spans="1:6" x14ac:dyDescent="0.25">
      <c r="A192" s="9" t="s">
        <v>26</v>
      </c>
      <c r="B192" s="4">
        <v>45719</v>
      </c>
      <c r="C192" s="5">
        <v>130</v>
      </c>
      <c r="D192" s="9" t="s">
        <v>13</v>
      </c>
      <c r="E192" s="10">
        <v>140</v>
      </c>
      <c r="F192" s="10">
        <f t="shared" si="2"/>
        <v>18200</v>
      </c>
    </row>
    <row r="193" spans="1:6" x14ac:dyDescent="0.25">
      <c r="A193" s="9"/>
      <c r="B193" s="9"/>
      <c r="C193" s="5">
        <v>30</v>
      </c>
      <c r="D193" s="9" t="s">
        <v>14</v>
      </c>
      <c r="E193" s="10">
        <v>135</v>
      </c>
      <c r="F193" s="10">
        <f t="shared" si="2"/>
        <v>4050</v>
      </c>
    </row>
    <row r="194" spans="1:6" x14ac:dyDescent="0.25">
      <c r="A194" s="9"/>
      <c r="B194" s="9"/>
      <c r="D194" s="9"/>
      <c r="F194" s="8">
        <f>SUM(F192:F193)</f>
        <v>22250</v>
      </c>
    </row>
    <row r="195" spans="1:6" x14ac:dyDescent="0.25">
      <c r="A195" s="9"/>
      <c r="B195" s="9"/>
      <c r="D195" s="9"/>
    </row>
    <row r="196" spans="1:6" x14ac:dyDescent="0.25">
      <c r="A196" s="9" t="s">
        <v>103</v>
      </c>
      <c r="B196" s="4">
        <v>45719</v>
      </c>
      <c r="C196" s="5">
        <v>4</v>
      </c>
      <c r="D196" s="9" t="s">
        <v>13</v>
      </c>
      <c r="E196" s="10">
        <v>150</v>
      </c>
      <c r="F196" s="10">
        <f t="shared" ref="F196:F259" si="3">+C196*E196</f>
        <v>600</v>
      </c>
    </row>
    <row r="197" spans="1:6" x14ac:dyDescent="0.25">
      <c r="A197" s="9"/>
      <c r="B197" s="9"/>
      <c r="D197" s="9"/>
      <c r="F197" s="8">
        <f>SUM(F196)</f>
        <v>600</v>
      </c>
    </row>
    <row r="198" spans="1:6" x14ac:dyDescent="0.25">
      <c r="A198" s="9"/>
      <c r="B198" s="9"/>
      <c r="D198" s="9"/>
    </row>
    <row r="199" spans="1:6" x14ac:dyDescent="0.25">
      <c r="A199" s="9" t="s">
        <v>151</v>
      </c>
      <c r="B199" s="4">
        <v>45719</v>
      </c>
      <c r="C199" s="5">
        <v>30</v>
      </c>
      <c r="D199" s="9" t="s">
        <v>14</v>
      </c>
      <c r="E199" s="10">
        <v>125</v>
      </c>
      <c r="F199" s="10">
        <f t="shared" si="3"/>
        <v>3750</v>
      </c>
    </row>
    <row r="200" spans="1:6" x14ac:dyDescent="0.25">
      <c r="A200" s="9"/>
      <c r="B200" s="9"/>
      <c r="D200" s="9"/>
      <c r="F200" s="8">
        <f>SUM(F199)</f>
        <v>3750</v>
      </c>
    </row>
    <row r="201" spans="1:6" x14ac:dyDescent="0.25">
      <c r="A201" s="9"/>
      <c r="B201" s="9"/>
      <c r="D201" s="9"/>
    </row>
    <row r="202" spans="1:6" x14ac:dyDescent="0.25">
      <c r="A202" s="9" t="s">
        <v>113</v>
      </c>
      <c r="B202" s="4">
        <v>45719</v>
      </c>
      <c r="C202" s="5">
        <v>20</v>
      </c>
      <c r="D202" s="9" t="s">
        <v>13</v>
      </c>
      <c r="E202" s="10">
        <v>150</v>
      </c>
      <c r="F202" s="10">
        <f t="shared" si="3"/>
        <v>3000</v>
      </c>
    </row>
    <row r="203" spans="1:6" x14ac:dyDescent="0.25">
      <c r="A203" s="9"/>
      <c r="B203" s="9"/>
      <c r="D203" s="9"/>
      <c r="F203" s="8">
        <f>SUM(F202)</f>
        <v>3000</v>
      </c>
    </row>
    <row r="204" spans="1:6" x14ac:dyDescent="0.25">
      <c r="A204" s="9"/>
      <c r="B204" s="9"/>
      <c r="D204" s="9"/>
    </row>
    <row r="205" spans="1:6" x14ac:dyDescent="0.25">
      <c r="A205" s="9" t="s">
        <v>300</v>
      </c>
      <c r="B205" s="4">
        <v>45719</v>
      </c>
      <c r="C205" s="5">
        <v>500</v>
      </c>
      <c r="D205" s="9" t="s">
        <v>14</v>
      </c>
      <c r="E205" s="10">
        <v>122</v>
      </c>
      <c r="F205" s="10">
        <f t="shared" si="3"/>
        <v>61000</v>
      </c>
    </row>
    <row r="206" spans="1:6" x14ac:dyDescent="0.25">
      <c r="A206" s="9"/>
      <c r="B206" s="9"/>
      <c r="D206" s="9"/>
      <c r="F206" s="8">
        <f>SUM(F205)</f>
        <v>61000</v>
      </c>
    </row>
    <row r="207" spans="1:6" x14ac:dyDescent="0.25">
      <c r="A207" s="9"/>
      <c r="B207" s="9"/>
      <c r="D207" s="9"/>
    </row>
    <row r="208" spans="1:6" x14ac:dyDescent="0.25">
      <c r="A208" s="9" t="s">
        <v>76</v>
      </c>
      <c r="B208" s="4">
        <v>45719</v>
      </c>
      <c r="C208" s="5">
        <v>700</v>
      </c>
      <c r="D208" s="9" t="s">
        <v>14</v>
      </c>
      <c r="E208" s="10">
        <v>120</v>
      </c>
      <c r="F208" s="10">
        <f t="shared" si="3"/>
        <v>84000</v>
      </c>
    </row>
    <row r="209" spans="1:6" x14ac:dyDescent="0.25">
      <c r="A209" s="9"/>
      <c r="B209" s="9"/>
      <c r="C209" s="5">
        <v>100</v>
      </c>
      <c r="D209" s="9" t="s">
        <v>11</v>
      </c>
      <c r="E209" s="10">
        <v>115</v>
      </c>
      <c r="F209" s="10">
        <f t="shared" si="3"/>
        <v>11500</v>
      </c>
    </row>
    <row r="210" spans="1:6" x14ac:dyDescent="0.25">
      <c r="A210" s="9"/>
      <c r="B210" s="9"/>
      <c r="C210" s="5">
        <v>150</v>
      </c>
      <c r="D210" s="9" t="s">
        <v>13</v>
      </c>
      <c r="E210" s="10">
        <v>135</v>
      </c>
      <c r="F210" s="10">
        <f t="shared" si="3"/>
        <v>20250</v>
      </c>
    </row>
    <row r="211" spans="1:6" x14ac:dyDescent="0.25">
      <c r="A211" s="9"/>
      <c r="B211" s="9"/>
      <c r="C211" s="5">
        <v>150</v>
      </c>
      <c r="D211" s="9" t="s">
        <v>12</v>
      </c>
      <c r="E211" s="10">
        <v>125</v>
      </c>
      <c r="F211" s="10">
        <f t="shared" si="3"/>
        <v>18750</v>
      </c>
    </row>
    <row r="212" spans="1:6" x14ac:dyDescent="0.25">
      <c r="A212" s="9"/>
      <c r="B212" s="9"/>
      <c r="D212" s="9"/>
      <c r="F212" s="8">
        <f>SUM(F208:F211)</f>
        <v>134500</v>
      </c>
    </row>
    <row r="213" spans="1:6" x14ac:dyDescent="0.25">
      <c r="A213" s="9"/>
      <c r="B213" s="9"/>
      <c r="D213" s="9"/>
    </row>
    <row r="214" spans="1:6" s="9" customFormat="1" x14ac:dyDescent="0.25">
      <c r="A214" s="9" t="s">
        <v>29</v>
      </c>
      <c r="B214" s="4">
        <v>45719</v>
      </c>
      <c r="C214" s="5">
        <v>1</v>
      </c>
      <c r="D214" s="9" t="s">
        <v>13</v>
      </c>
      <c r="E214" s="10">
        <v>140</v>
      </c>
      <c r="F214" s="10">
        <f t="shared" si="3"/>
        <v>140</v>
      </c>
    </row>
    <row r="215" spans="1:6" s="9" customFormat="1" x14ac:dyDescent="0.25">
      <c r="C215" s="5">
        <v>1</v>
      </c>
      <c r="D215" s="9" t="s">
        <v>8</v>
      </c>
      <c r="E215" s="10">
        <v>170</v>
      </c>
      <c r="F215" s="10">
        <f t="shared" si="3"/>
        <v>170</v>
      </c>
    </row>
    <row r="216" spans="1:6" s="9" customFormat="1" x14ac:dyDescent="0.25">
      <c r="C216" s="11">
        <v>0.5</v>
      </c>
      <c r="D216" s="9" t="s">
        <v>49</v>
      </c>
      <c r="E216" s="10">
        <v>170</v>
      </c>
      <c r="F216" s="10">
        <f t="shared" si="3"/>
        <v>85</v>
      </c>
    </row>
    <row r="217" spans="1:6" s="9" customFormat="1" x14ac:dyDescent="0.25">
      <c r="C217" s="5"/>
      <c r="E217" s="10"/>
      <c r="F217" s="8">
        <f>SUM(F214:F216)</f>
        <v>395</v>
      </c>
    </row>
    <row r="218" spans="1:6" s="9" customFormat="1" x14ac:dyDescent="0.25">
      <c r="C218" s="5"/>
      <c r="E218" s="10"/>
      <c r="F218" s="10"/>
    </row>
    <row r="219" spans="1:6" s="9" customFormat="1" x14ac:dyDescent="0.25">
      <c r="A219" s="9" t="s">
        <v>181</v>
      </c>
      <c r="B219" s="4">
        <v>45719</v>
      </c>
      <c r="C219" s="5">
        <v>1</v>
      </c>
      <c r="D219" s="9" t="s">
        <v>13</v>
      </c>
      <c r="E219" s="10">
        <v>160</v>
      </c>
      <c r="F219" s="10">
        <f t="shared" si="3"/>
        <v>160</v>
      </c>
    </row>
    <row r="220" spans="1:6" s="9" customFormat="1" x14ac:dyDescent="0.25">
      <c r="C220" s="5">
        <v>2</v>
      </c>
      <c r="D220" s="9" t="s">
        <v>8</v>
      </c>
      <c r="E220" s="10">
        <v>170</v>
      </c>
      <c r="F220" s="10">
        <f t="shared" si="3"/>
        <v>340</v>
      </c>
    </row>
    <row r="221" spans="1:6" s="9" customFormat="1" x14ac:dyDescent="0.25">
      <c r="C221" s="5">
        <v>1</v>
      </c>
      <c r="D221" s="9" t="s">
        <v>13</v>
      </c>
      <c r="E221" s="10">
        <v>160</v>
      </c>
      <c r="F221" s="10">
        <f t="shared" si="3"/>
        <v>160</v>
      </c>
    </row>
    <row r="222" spans="1:6" s="9" customFormat="1" x14ac:dyDescent="0.25">
      <c r="C222" s="5">
        <v>2</v>
      </c>
      <c r="D222" s="9" t="s">
        <v>8</v>
      </c>
      <c r="E222" s="10">
        <v>160</v>
      </c>
      <c r="F222" s="10">
        <f t="shared" si="3"/>
        <v>320</v>
      </c>
    </row>
    <row r="223" spans="1:6" s="9" customFormat="1" x14ac:dyDescent="0.25">
      <c r="C223" s="5"/>
      <c r="E223" s="10"/>
      <c r="F223" s="8">
        <f>SUM(F219:F222)</f>
        <v>980</v>
      </c>
    </row>
    <row r="224" spans="1:6" s="9" customFormat="1" x14ac:dyDescent="0.25">
      <c r="C224" s="5"/>
      <c r="E224" s="10"/>
      <c r="F224" s="10"/>
    </row>
    <row r="225" spans="1:6" s="9" customFormat="1" x14ac:dyDescent="0.25">
      <c r="A225" s="9" t="s">
        <v>62</v>
      </c>
      <c r="B225" s="4">
        <v>45720</v>
      </c>
      <c r="C225" s="5">
        <v>30</v>
      </c>
      <c r="D225" s="9" t="s">
        <v>13</v>
      </c>
      <c r="E225" s="10">
        <v>140</v>
      </c>
      <c r="F225" s="10">
        <f t="shared" si="3"/>
        <v>4200</v>
      </c>
    </row>
    <row r="226" spans="1:6" s="9" customFormat="1" x14ac:dyDescent="0.25">
      <c r="C226" s="5">
        <v>30</v>
      </c>
      <c r="D226" s="9" t="s">
        <v>8</v>
      </c>
      <c r="E226" s="10">
        <v>160</v>
      </c>
      <c r="F226" s="10">
        <f t="shared" si="3"/>
        <v>4800</v>
      </c>
    </row>
    <row r="227" spans="1:6" s="9" customFormat="1" x14ac:dyDescent="0.25">
      <c r="C227" s="5"/>
      <c r="E227" s="10"/>
      <c r="F227" s="8">
        <f>SUM(F225:F226)</f>
        <v>9000</v>
      </c>
    </row>
    <row r="228" spans="1:6" s="9" customFormat="1" x14ac:dyDescent="0.25">
      <c r="C228" s="5"/>
      <c r="E228" s="10"/>
      <c r="F228" s="10"/>
    </row>
    <row r="229" spans="1:6" s="9" customFormat="1" x14ac:dyDescent="0.25">
      <c r="A229" s="9" t="s">
        <v>60</v>
      </c>
      <c r="B229" s="4">
        <v>45720</v>
      </c>
      <c r="C229" s="5">
        <v>20</v>
      </c>
      <c r="D229" s="9" t="s">
        <v>13</v>
      </c>
      <c r="E229" s="10">
        <v>140</v>
      </c>
      <c r="F229" s="10">
        <f t="shared" si="3"/>
        <v>2800</v>
      </c>
    </row>
    <row r="230" spans="1:6" s="9" customFormat="1" x14ac:dyDescent="0.25">
      <c r="C230" s="5"/>
      <c r="E230" s="10"/>
      <c r="F230" s="8">
        <f>SUM(F229)</f>
        <v>2800</v>
      </c>
    </row>
    <row r="231" spans="1:6" s="9" customFormat="1" x14ac:dyDescent="0.25">
      <c r="C231" s="5"/>
      <c r="E231" s="10"/>
      <c r="F231" s="10"/>
    </row>
    <row r="232" spans="1:6" s="9" customFormat="1" x14ac:dyDescent="0.25">
      <c r="A232" s="9" t="s">
        <v>301</v>
      </c>
      <c r="B232" s="4">
        <v>45720</v>
      </c>
      <c r="C232" s="5">
        <v>6</v>
      </c>
      <c r="D232" s="9" t="s">
        <v>13</v>
      </c>
      <c r="E232" s="10">
        <v>150</v>
      </c>
      <c r="F232" s="10">
        <f t="shared" si="3"/>
        <v>900</v>
      </c>
    </row>
    <row r="233" spans="1:6" s="9" customFormat="1" x14ac:dyDescent="0.25">
      <c r="C233" s="5"/>
      <c r="E233" s="10"/>
      <c r="F233" s="8">
        <f>SUM(F232)</f>
        <v>900</v>
      </c>
    </row>
    <row r="234" spans="1:6" s="9" customFormat="1" x14ac:dyDescent="0.25">
      <c r="C234" s="5"/>
      <c r="E234" s="10"/>
      <c r="F234" s="10"/>
    </row>
    <row r="235" spans="1:6" s="9" customFormat="1" x14ac:dyDescent="0.25">
      <c r="A235" s="9" t="s">
        <v>176</v>
      </c>
      <c r="B235" s="4">
        <v>45720</v>
      </c>
      <c r="C235" s="5">
        <v>30</v>
      </c>
      <c r="D235" s="9" t="s">
        <v>49</v>
      </c>
      <c r="E235" s="10">
        <v>145</v>
      </c>
      <c r="F235" s="10">
        <f t="shared" si="3"/>
        <v>4350</v>
      </c>
    </row>
    <row r="236" spans="1:6" s="9" customFormat="1" x14ac:dyDescent="0.25">
      <c r="C236" s="5">
        <v>20</v>
      </c>
      <c r="D236" s="9" t="s">
        <v>14</v>
      </c>
      <c r="E236" s="10">
        <v>130</v>
      </c>
      <c r="F236" s="10">
        <f t="shared" si="3"/>
        <v>2600</v>
      </c>
    </row>
    <row r="237" spans="1:6" s="9" customFormat="1" x14ac:dyDescent="0.25">
      <c r="C237" s="5">
        <v>20</v>
      </c>
      <c r="D237" s="9" t="s">
        <v>11</v>
      </c>
      <c r="E237" s="10">
        <v>125</v>
      </c>
      <c r="F237" s="10">
        <f t="shared" si="3"/>
        <v>2500</v>
      </c>
    </row>
    <row r="238" spans="1:6" s="9" customFormat="1" x14ac:dyDescent="0.25">
      <c r="C238" s="5">
        <v>40</v>
      </c>
      <c r="D238" s="9" t="s">
        <v>8</v>
      </c>
      <c r="E238" s="10">
        <v>155</v>
      </c>
      <c r="F238" s="10">
        <f t="shared" si="3"/>
        <v>6200</v>
      </c>
    </row>
    <row r="239" spans="1:6" s="9" customFormat="1" x14ac:dyDescent="0.25">
      <c r="C239" s="5">
        <v>30</v>
      </c>
      <c r="D239" s="9" t="s">
        <v>13</v>
      </c>
      <c r="E239" s="10">
        <v>140</v>
      </c>
      <c r="F239" s="10">
        <f t="shared" si="3"/>
        <v>4200</v>
      </c>
    </row>
    <row r="240" spans="1:6" s="9" customFormat="1" x14ac:dyDescent="0.25">
      <c r="C240" s="5">
        <v>20</v>
      </c>
      <c r="D240" s="9" t="s">
        <v>12</v>
      </c>
      <c r="E240" s="10">
        <v>130</v>
      </c>
      <c r="F240" s="10">
        <f t="shared" si="3"/>
        <v>2600</v>
      </c>
    </row>
    <row r="241" spans="1:6" s="9" customFormat="1" x14ac:dyDescent="0.25">
      <c r="C241" s="5"/>
      <c r="E241" s="10"/>
      <c r="F241" s="8">
        <f>SUM(F235:F240)</f>
        <v>22450</v>
      </c>
    </row>
    <row r="242" spans="1:6" s="9" customFormat="1" x14ac:dyDescent="0.25">
      <c r="C242" s="5"/>
      <c r="E242" s="10"/>
      <c r="F242" s="10"/>
    </row>
    <row r="243" spans="1:6" s="9" customFormat="1" x14ac:dyDescent="0.25">
      <c r="A243" s="9" t="s">
        <v>53</v>
      </c>
      <c r="B243" s="4">
        <v>45720</v>
      </c>
      <c r="C243" s="5">
        <v>30</v>
      </c>
      <c r="D243" s="9" t="s">
        <v>13</v>
      </c>
      <c r="E243" s="10">
        <v>140</v>
      </c>
      <c r="F243" s="10">
        <f t="shared" si="3"/>
        <v>4200</v>
      </c>
    </row>
    <row r="244" spans="1:6" s="9" customFormat="1" x14ac:dyDescent="0.25">
      <c r="C244" s="5">
        <v>20</v>
      </c>
      <c r="D244" s="9" t="s">
        <v>8</v>
      </c>
      <c r="E244" s="10">
        <v>150</v>
      </c>
      <c r="F244" s="10">
        <f t="shared" si="3"/>
        <v>3000</v>
      </c>
    </row>
    <row r="245" spans="1:6" s="9" customFormat="1" x14ac:dyDescent="0.25">
      <c r="C245" s="5">
        <v>10</v>
      </c>
      <c r="D245" s="9" t="s">
        <v>49</v>
      </c>
      <c r="E245" s="10">
        <v>145</v>
      </c>
      <c r="F245" s="10">
        <f t="shared" si="3"/>
        <v>1450</v>
      </c>
    </row>
    <row r="246" spans="1:6" s="9" customFormat="1" x14ac:dyDescent="0.25">
      <c r="C246" s="5">
        <v>16</v>
      </c>
      <c r="D246" s="9" t="s">
        <v>12</v>
      </c>
      <c r="E246" s="10">
        <v>130</v>
      </c>
      <c r="F246" s="10">
        <f t="shared" si="3"/>
        <v>2080</v>
      </c>
    </row>
    <row r="247" spans="1:6" s="9" customFormat="1" x14ac:dyDescent="0.25">
      <c r="C247" s="5">
        <v>17</v>
      </c>
      <c r="D247" s="9" t="s">
        <v>12</v>
      </c>
      <c r="E247" s="10">
        <v>135</v>
      </c>
      <c r="F247" s="10">
        <f t="shared" si="3"/>
        <v>2295</v>
      </c>
    </row>
    <row r="248" spans="1:6" s="9" customFormat="1" x14ac:dyDescent="0.25">
      <c r="C248" s="5"/>
      <c r="E248" s="10"/>
      <c r="F248" s="8">
        <f>SUM(F243:F247)</f>
        <v>13025</v>
      </c>
    </row>
    <row r="249" spans="1:6" s="9" customFormat="1" x14ac:dyDescent="0.25">
      <c r="C249" s="5"/>
      <c r="E249" s="10"/>
      <c r="F249" s="10"/>
    </row>
    <row r="250" spans="1:6" s="9" customFormat="1" x14ac:dyDescent="0.25">
      <c r="A250" s="9" t="s">
        <v>270</v>
      </c>
      <c r="B250" s="4">
        <v>45720</v>
      </c>
      <c r="C250" s="5">
        <v>10</v>
      </c>
      <c r="D250" s="9" t="s">
        <v>16</v>
      </c>
      <c r="E250" s="10">
        <v>100</v>
      </c>
      <c r="F250" s="10">
        <f t="shared" si="3"/>
        <v>1000</v>
      </c>
    </row>
    <row r="251" spans="1:6" s="9" customFormat="1" x14ac:dyDescent="0.25">
      <c r="C251" s="5"/>
      <c r="E251" s="10"/>
      <c r="F251" s="8">
        <f>SUM(F250)</f>
        <v>1000</v>
      </c>
    </row>
    <row r="252" spans="1:6" s="9" customFormat="1" x14ac:dyDescent="0.25">
      <c r="C252" s="5"/>
      <c r="E252" s="10"/>
      <c r="F252" s="10"/>
    </row>
    <row r="253" spans="1:6" s="9" customFormat="1" x14ac:dyDescent="0.25">
      <c r="A253" s="9" t="s">
        <v>37</v>
      </c>
      <c r="B253" s="4">
        <v>45720</v>
      </c>
      <c r="C253" s="5">
        <v>15</v>
      </c>
      <c r="D253" s="9" t="s">
        <v>12</v>
      </c>
      <c r="E253" s="10">
        <v>130</v>
      </c>
      <c r="F253" s="10">
        <f t="shared" si="3"/>
        <v>1950</v>
      </c>
    </row>
    <row r="254" spans="1:6" s="9" customFormat="1" x14ac:dyDescent="0.25">
      <c r="C254" s="5"/>
      <c r="E254" s="10"/>
      <c r="F254" s="8">
        <f>SUM(F253)</f>
        <v>1950</v>
      </c>
    </row>
    <row r="255" spans="1:6" s="9" customFormat="1" x14ac:dyDescent="0.25">
      <c r="C255" s="5"/>
      <c r="E255" s="10"/>
      <c r="F255" s="10"/>
    </row>
    <row r="256" spans="1:6" s="9" customFormat="1" x14ac:dyDescent="0.25">
      <c r="A256" s="9" t="s">
        <v>272</v>
      </c>
      <c r="B256" s="4">
        <v>45720</v>
      </c>
      <c r="C256" s="5">
        <v>10</v>
      </c>
      <c r="D256" s="9" t="s">
        <v>13</v>
      </c>
      <c r="E256" s="10">
        <v>140</v>
      </c>
      <c r="F256" s="10">
        <f t="shared" si="3"/>
        <v>1400</v>
      </c>
    </row>
    <row r="257" spans="1:6" s="9" customFormat="1" x14ac:dyDescent="0.25">
      <c r="C257" s="5"/>
      <c r="E257" s="10"/>
      <c r="F257" s="8">
        <f>SUM(F256)</f>
        <v>1400</v>
      </c>
    </row>
    <row r="258" spans="1:6" s="9" customFormat="1" x14ac:dyDescent="0.25">
      <c r="C258" s="5"/>
      <c r="E258" s="10"/>
      <c r="F258" s="10"/>
    </row>
    <row r="259" spans="1:6" s="9" customFormat="1" x14ac:dyDescent="0.25">
      <c r="A259" s="9" t="s">
        <v>191</v>
      </c>
      <c r="B259" s="4">
        <v>45720</v>
      </c>
      <c r="C259" s="5">
        <v>300</v>
      </c>
      <c r="D259" s="9" t="s">
        <v>14</v>
      </c>
      <c r="E259" s="10">
        <v>125</v>
      </c>
      <c r="F259" s="10">
        <f t="shared" si="3"/>
        <v>37500</v>
      </c>
    </row>
    <row r="260" spans="1:6" s="9" customFormat="1" x14ac:dyDescent="0.25">
      <c r="C260" s="5">
        <v>200</v>
      </c>
      <c r="D260" s="9" t="s">
        <v>11</v>
      </c>
      <c r="E260" s="10">
        <v>120</v>
      </c>
      <c r="F260" s="10">
        <f t="shared" ref="F260:F323" si="4">+C260*E260</f>
        <v>24000</v>
      </c>
    </row>
    <row r="261" spans="1:6" s="9" customFormat="1" x14ac:dyDescent="0.25">
      <c r="C261" s="5"/>
      <c r="E261" s="10"/>
      <c r="F261" s="8">
        <f>SUM(F259:F260)</f>
        <v>61500</v>
      </c>
    </row>
    <row r="262" spans="1:6" s="9" customFormat="1" x14ac:dyDescent="0.25">
      <c r="C262" s="5"/>
      <c r="E262" s="10"/>
      <c r="F262" s="10"/>
    </row>
    <row r="263" spans="1:6" s="9" customFormat="1" x14ac:dyDescent="0.25">
      <c r="A263" s="9" t="s">
        <v>29</v>
      </c>
      <c r="B263" s="4">
        <v>45720</v>
      </c>
      <c r="C263" s="5">
        <v>10</v>
      </c>
      <c r="D263" s="9" t="s">
        <v>170</v>
      </c>
      <c r="E263" s="10">
        <v>3</v>
      </c>
      <c r="F263" s="10">
        <f t="shared" si="4"/>
        <v>30</v>
      </c>
    </row>
    <row r="264" spans="1:6" s="9" customFormat="1" x14ac:dyDescent="0.25">
      <c r="C264" s="5">
        <v>1</v>
      </c>
      <c r="D264" s="9" t="s">
        <v>302</v>
      </c>
      <c r="E264" s="10">
        <v>140</v>
      </c>
      <c r="F264" s="10">
        <f t="shared" si="4"/>
        <v>140</v>
      </c>
    </row>
    <row r="265" spans="1:6" s="9" customFormat="1" x14ac:dyDescent="0.25">
      <c r="C265" s="5"/>
      <c r="E265" s="10"/>
      <c r="F265" s="8">
        <f>SUM(F263:F264)</f>
        <v>170</v>
      </c>
    </row>
    <row r="266" spans="1:6" s="9" customFormat="1" x14ac:dyDescent="0.25">
      <c r="C266" s="5"/>
      <c r="E266" s="10"/>
      <c r="F266" s="10"/>
    </row>
    <row r="267" spans="1:6" s="9" customFormat="1" x14ac:dyDescent="0.25">
      <c r="A267" s="9" t="s">
        <v>181</v>
      </c>
      <c r="B267" s="4">
        <v>45720</v>
      </c>
      <c r="C267" s="5">
        <v>1</v>
      </c>
      <c r="D267" s="9" t="s">
        <v>303</v>
      </c>
      <c r="E267" s="10">
        <v>150</v>
      </c>
      <c r="F267" s="10">
        <f t="shared" si="4"/>
        <v>150</v>
      </c>
    </row>
    <row r="268" spans="1:6" s="9" customFormat="1" x14ac:dyDescent="0.25">
      <c r="C268" s="5">
        <v>1</v>
      </c>
      <c r="D268" s="9" t="s">
        <v>304</v>
      </c>
      <c r="E268" s="10">
        <v>160</v>
      </c>
      <c r="F268" s="10">
        <f t="shared" si="4"/>
        <v>160</v>
      </c>
    </row>
    <row r="269" spans="1:6" s="9" customFormat="1" x14ac:dyDescent="0.25">
      <c r="C269" s="5">
        <v>3</v>
      </c>
      <c r="D269" s="9" t="s">
        <v>304</v>
      </c>
      <c r="E269" s="10">
        <v>160</v>
      </c>
      <c r="F269" s="10">
        <f t="shared" si="4"/>
        <v>480</v>
      </c>
    </row>
    <row r="270" spans="1:6" s="9" customFormat="1" x14ac:dyDescent="0.25">
      <c r="C270" s="5"/>
      <c r="E270" s="10"/>
      <c r="F270" s="8">
        <f>SUM(F267:F269)</f>
        <v>790</v>
      </c>
    </row>
    <row r="271" spans="1:6" s="9" customFormat="1" x14ac:dyDescent="0.25">
      <c r="C271" s="5"/>
      <c r="E271" s="10"/>
      <c r="F271" s="10"/>
    </row>
    <row r="272" spans="1:6" s="9" customFormat="1" x14ac:dyDescent="0.25">
      <c r="A272" s="9" t="s">
        <v>270</v>
      </c>
      <c r="B272" s="4">
        <v>45721</v>
      </c>
      <c r="C272" s="5">
        <v>6</v>
      </c>
      <c r="D272" s="9" t="s">
        <v>98</v>
      </c>
      <c r="E272" s="10">
        <v>100</v>
      </c>
      <c r="F272" s="10">
        <f t="shared" si="4"/>
        <v>600</v>
      </c>
    </row>
    <row r="273" spans="1:6" s="9" customFormat="1" x14ac:dyDescent="0.25">
      <c r="C273" s="5"/>
      <c r="E273" s="10"/>
      <c r="F273" s="8">
        <f>SUM(F272)</f>
        <v>600</v>
      </c>
    </row>
    <row r="274" spans="1:6" s="9" customFormat="1" x14ac:dyDescent="0.25">
      <c r="C274" s="5"/>
      <c r="E274" s="10"/>
      <c r="F274" s="10"/>
    </row>
    <row r="275" spans="1:6" s="9" customFormat="1" x14ac:dyDescent="0.25">
      <c r="A275" s="9" t="s">
        <v>15</v>
      </c>
      <c r="B275" s="4">
        <v>45721</v>
      </c>
      <c r="C275" s="5">
        <v>60</v>
      </c>
      <c r="D275" s="9" t="s">
        <v>36</v>
      </c>
      <c r="E275" s="10">
        <v>85</v>
      </c>
      <c r="F275" s="10">
        <f t="shared" si="4"/>
        <v>5100</v>
      </c>
    </row>
    <row r="276" spans="1:6" s="9" customFormat="1" x14ac:dyDescent="0.25">
      <c r="C276" s="5"/>
      <c r="E276" s="10"/>
      <c r="F276" s="8">
        <f>SUM(F275)</f>
        <v>5100</v>
      </c>
    </row>
    <row r="277" spans="1:6" s="9" customFormat="1" x14ac:dyDescent="0.25">
      <c r="C277" s="5"/>
      <c r="E277" s="10"/>
      <c r="F277" s="10"/>
    </row>
    <row r="278" spans="1:6" s="9" customFormat="1" x14ac:dyDescent="0.25">
      <c r="A278" s="9" t="s">
        <v>17</v>
      </c>
      <c r="B278" s="4">
        <v>45721</v>
      </c>
      <c r="C278" s="5">
        <v>10</v>
      </c>
      <c r="D278" s="9" t="s">
        <v>13</v>
      </c>
      <c r="E278" s="10">
        <v>140</v>
      </c>
      <c r="F278" s="10">
        <f t="shared" si="4"/>
        <v>1400</v>
      </c>
    </row>
    <row r="279" spans="1:6" s="9" customFormat="1" x14ac:dyDescent="0.25">
      <c r="C279" s="5"/>
      <c r="E279" s="10"/>
      <c r="F279" s="8">
        <f>SUM(F278)</f>
        <v>1400</v>
      </c>
    </row>
    <row r="280" spans="1:6" s="9" customFormat="1" x14ac:dyDescent="0.25">
      <c r="C280" s="5"/>
      <c r="E280" s="10"/>
      <c r="F280" s="10"/>
    </row>
    <row r="281" spans="1:6" s="9" customFormat="1" x14ac:dyDescent="0.25">
      <c r="A281" s="9" t="s">
        <v>157</v>
      </c>
      <c r="B281" s="4">
        <v>45721</v>
      </c>
      <c r="C281" s="5">
        <v>10</v>
      </c>
      <c r="D281" s="9" t="s">
        <v>8</v>
      </c>
      <c r="E281" s="10">
        <v>150</v>
      </c>
      <c r="F281" s="10">
        <f t="shared" si="4"/>
        <v>1500</v>
      </c>
    </row>
    <row r="282" spans="1:6" s="9" customFormat="1" x14ac:dyDescent="0.25">
      <c r="C282" s="5"/>
      <c r="E282" s="10"/>
      <c r="F282" s="8">
        <f>SUM(F281)</f>
        <v>1500</v>
      </c>
    </row>
    <row r="283" spans="1:6" s="9" customFormat="1" x14ac:dyDescent="0.25">
      <c r="C283" s="5"/>
      <c r="E283" s="10"/>
      <c r="F283" s="10"/>
    </row>
    <row r="284" spans="1:6" s="9" customFormat="1" x14ac:dyDescent="0.25">
      <c r="A284" s="9" t="s">
        <v>20</v>
      </c>
      <c r="B284" s="4">
        <v>45721</v>
      </c>
      <c r="C284" s="5">
        <v>30</v>
      </c>
      <c r="D284" s="9" t="s">
        <v>13</v>
      </c>
      <c r="E284" s="10">
        <v>140</v>
      </c>
      <c r="F284" s="10">
        <f t="shared" si="4"/>
        <v>4200</v>
      </c>
    </row>
    <row r="285" spans="1:6" s="9" customFormat="1" x14ac:dyDescent="0.25">
      <c r="C285" s="5"/>
      <c r="E285" s="10"/>
      <c r="F285" s="8">
        <f>SUM(F284)</f>
        <v>4200</v>
      </c>
    </row>
    <row r="286" spans="1:6" s="9" customFormat="1" x14ac:dyDescent="0.25">
      <c r="C286" s="5"/>
      <c r="E286" s="10"/>
      <c r="F286" s="10"/>
    </row>
    <row r="287" spans="1:6" s="9" customFormat="1" x14ac:dyDescent="0.25">
      <c r="A287" s="9" t="s">
        <v>38</v>
      </c>
      <c r="B287" s="4">
        <v>45721</v>
      </c>
      <c r="C287" s="5">
        <v>10</v>
      </c>
      <c r="D287" s="9" t="s">
        <v>13</v>
      </c>
      <c r="E287" s="10">
        <v>140</v>
      </c>
      <c r="F287" s="10">
        <f t="shared" si="4"/>
        <v>1400</v>
      </c>
    </row>
    <row r="288" spans="1:6" s="9" customFormat="1" x14ac:dyDescent="0.25">
      <c r="C288" s="5"/>
      <c r="E288" s="10"/>
      <c r="F288" s="8">
        <f>SUM(F287)</f>
        <v>1400</v>
      </c>
    </row>
    <row r="289" spans="1:6" s="9" customFormat="1" x14ac:dyDescent="0.25">
      <c r="C289" s="5"/>
      <c r="E289" s="10"/>
      <c r="F289" s="10"/>
    </row>
    <row r="290" spans="1:6" s="9" customFormat="1" x14ac:dyDescent="0.25">
      <c r="A290" s="9" t="s">
        <v>21</v>
      </c>
      <c r="B290" s="4">
        <v>45721</v>
      </c>
      <c r="C290" s="5">
        <v>20</v>
      </c>
      <c r="D290" s="9" t="s">
        <v>13</v>
      </c>
      <c r="E290" s="10">
        <v>140</v>
      </c>
      <c r="F290" s="10">
        <f t="shared" si="4"/>
        <v>2800</v>
      </c>
    </row>
    <row r="291" spans="1:6" s="9" customFormat="1" x14ac:dyDescent="0.25">
      <c r="C291" s="5">
        <v>10</v>
      </c>
      <c r="D291" s="9" t="s">
        <v>22</v>
      </c>
      <c r="E291" s="10">
        <v>110</v>
      </c>
      <c r="F291" s="10">
        <f t="shared" si="4"/>
        <v>1100</v>
      </c>
    </row>
    <row r="292" spans="1:6" s="9" customFormat="1" x14ac:dyDescent="0.25">
      <c r="C292" s="5">
        <v>15</v>
      </c>
      <c r="D292" s="9" t="s">
        <v>12</v>
      </c>
      <c r="E292" s="10">
        <v>130</v>
      </c>
      <c r="F292" s="10">
        <f t="shared" si="4"/>
        <v>1950</v>
      </c>
    </row>
    <row r="293" spans="1:6" s="9" customFormat="1" x14ac:dyDescent="0.25">
      <c r="C293" s="5"/>
      <c r="E293" s="10"/>
      <c r="F293" s="8">
        <f>SUM(F290:F292)</f>
        <v>5850</v>
      </c>
    </row>
    <row r="294" spans="1:6" s="9" customFormat="1" x14ac:dyDescent="0.25">
      <c r="C294" s="5"/>
      <c r="E294" s="10"/>
      <c r="F294" s="10"/>
    </row>
    <row r="295" spans="1:6" s="9" customFormat="1" x14ac:dyDescent="0.25">
      <c r="A295" s="9" t="s">
        <v>57</v>
      </c>
      <c r="B295" s="4">
        <v>45721</v>
      </c>
      <c r="C295" s="5">
        <v>10</v>
      </c>
      <c r="D295" s="9" t="s">
        <v>13</v>
      </c>
      <c r="E295" s="10">
        <v>140</v>
      </c>
      <c r="F295" s="10">
        <f t="shared" si="4"/>
        <v>1400</v>
      </c>
    </row>
    <row r="296" spans="1:6" s="9" customFormat="1" x14ac:dyDescent="0.25">
      <c r="C296" s="5">
        <v>10</v>
      </c>
      <c r="D296" s="9" t="s">
        <v>14</v>
      </c>
      <c r="E296" s="10">
        <v>130</v>
      </c>
      <c r="F296" s="10">
        <f t="shared" si="4"/>
        <v>1300</v>
      </c>
    </row>
    <row r="297" spans="1:6" s="9" customFormat="1" x14ac:dyDescent="0.25">
      <c r="C297" s="5"/>
      <c r="E297" s="10"/>
      <c r="F297" s="8">
        <f>SUM(F295:F296)</f>
        <v>2700</v>
      </c>
    </row>
    <row r="298" spans="1:6" s="9" customFormat="1" x14ac:dyDescent="0.25">
      <c r="C298" s="5"/>
      <c r="E298" s="10"/>
      <c r="F298" s="10"/>
    </row>
    <row r="299" spans="1:6" s="9" customFormat="1" x14ac:dyDescent="0.25">
      <c r="A299" s="9" t="s">
        <v>25</v>
      </c>
      <c r="B299" s="4">
        <v>45721</v>
      </c>
      <c r="C299" s="5">
        <v>20</v>
      </c>
      <c r="D299" s="9" t="s">
        <v>14</v>
      </c>
      <c r="E299" s="10">
        <v>130</v>
      </c>
      <c r="F299" s="10">
        <f t="shared" si="4"/>
        <v>2600</v>
      </c>
    </row>
    <row r="300" spans="1:6" s="9" customFormat="1" x14ac:dyDescent="0.25">
      <c r="C300" s="5"/>
      <c r="E300" s="10"/>
      <c r="F300" s="8">
        <f>SUM(F299)</f>
        <v>2600</v>
      </c>
    </row>
    <row r="301" spans="1:6" s="9" customFormat="1" x14ac:dyDescent="0.25">
      <c r="C301" s="5"/>
      <c r="E301" s="10"/>
      <c r="F301" s="10"/>
    </row>
    <row r="302" spans="1:6" s="9" customFormat="1" x14ac:dyDescent="0.25">
      <c r="A302" s="9" t="s">
        <v>40</v>
      </c>
      <c r="B302" s="4">
        <v>45721</v>
      </c>
      <c r="C302" s="5">
        <v>20</v>
      </c>
      <c r="D302" s="9" t="s">
        <v>13</v>
      </c>
      <c r="E302" s="10">
        <v>140</v>
      </c>
      <c r="F302" s="10">
        <f t="shared" si="4"/>
        <v>2800</v>
      </c>
    </row>
    <row r="303" spans="1:6" s="9" customFormat="1" x14ac:dyDescent="0.25">
      <c r="C303" s="5">
        <v>20</v>
      </c>
      <c r="D303" s="9" t="s">
        <v>14</v>
      </c>
      <c r="E303" s="10">
        <v>130</v>
      </c>
      <c r="F303" s="10">
        <f t="shared" si="4"/>
        <v>2600</v>
      </c>
    </row>
    <row r="304" spans="1:6" s="9" customFormat="1" x14ac:dyDescent="0.25">
      <c r="C304" s="5">
        <v>14</v>
      </c>
      <c r="D304" s="9" t="s">
        <v>11</v>
      </c>
      <c r="E304" s="10">
        <v>120</v>
      </c>
      <c r="F304" s="10">
        <f t="shared" si="4"/>
        <v>1680</v>
      </c>
    </row>
    <row r="305" spans="1:6" s="9" customFormat="1" x14ac:dyDescent="0.25">
      <c r="C305" s="5"/>
      <c r="E305" s="10"/>
      <c r="F305" s="8">
        <f>SUM(F302:F304)</f>
        <v>7080</v>
      </c>
    </row>
    <row r="306" spans="1:6" s="9" customFormat="1" x14ac:dyDescent="0.25">
      <c r="C306" s="5"/>
      <c r="E306" s="10"/>
      <c r="F306" s="10"/>
    </row>
    <row r="307" spans="1:6" s="9" customFormat="1" x14ac:dyDescent="0.25">
      <c r="A307" s="9" t="s">
        <v>7</v>
      </c>
      <c r="B307" s="4">
        <v>45721</v>
      </c>
      <c r="C307" s="5">
        <v>6</v>
      </c>
      <c r="D307" s="9" t="s">
        <v>13</v>
      </c>
      <c r="E307" s="10">
        <v>140</v>
      </c>
      <c r="F307" s="10">
        <f t="shared" si="4"/>
        <v>840</v>
      </c>
    </row>
    <row r="308" spans="1:6" s="9" customFormat="1" x14ac:dyDescent="0.25">
      <c r="C308" s="5">
        <v>1</v>
      </c>
      <c r="D308" s="9" t="s">
        <v>13</v>
      </c>
      <c r="E308" s="10">
        <v>140</v>
      </c>
      <c r="F308" s="10">
        <f t="shared" si="4"/>
        <v>140</v>
      </c>
    </row>
    <row r="309" spans="1:6" s="9" customFormat="1" x14ac:dyDescent="0.25">
      <c r="C309" s="5"/>
      <c r="E309" s="10"/>
      <c r="F309" s="8">
        <f>SUM(F307:F308)</f>
        <v>980</v>
      </c>
    </row>
    <row r="310" spans="1:6" s="9" customFormat="1" x14ac:dyDescent="0.25">
      <c r="C310" s="5"/>
      <c r="E310" s="10"/>
      <c r="F310" s="10"/>
    </row>
    <row r="311" spans="1:6" s="9" customFormat="1" x14ac:dyDescent="0.25">
      <c r="A311" s="9" t="s">
        <v>58</v>
      </c>
      <c r="B311" s="4">
        <v>45721</v>
      </c>
      <c r="C311" s="5">
        <v>12</v>
      </c>
      <c r="D311" s="9" t="s">
        <v>13</v>
      </c>
      <c r="E311" s="10">
        <v>140</v>
      </c>
      <c r="F311" s="10">
        <f t="shared" si="4"/>
        <v>1680</v>
      </c>
    </row>
    <row r="312" spans="1:6" s="9" customFormat="1" x14ac:dyDescent="0.25">
      <c r="C312" s="5"/>
      <c r="E312" s="10"/>
      <c r="F312" s="8">
        <f>SUM(F311)</f>
        <v>1680</v>
      </c>
    </row>
    <row r="313" spans="1:6" s="9" customFormat="1" x14ac:dyDescent="0.25">
      <c r="C313" s="5"/>
      <c r="E313" s="10"/>
      <c r="F313" s="10"/>
    </row>
    <row r="314" spans="1:6" s="9" customFormat="1" x14ac:dyDescent="0.25">
      <c r="A314" s="9" t="s">
        <v>41</v>
      </c>
      <c r="B314" s="4">
        <v>45721</v>
      </c>
      <c r="C314" s="5">
        <v>25</v>
      </c>
      <c r="D314" s="9" t="s">
        <v>14</v>
      </c>
      <c r="E314" s="10">
        <v>130</v>
      </c>
      <c r="F314" s="10">
        <f t="shared" si="4"/>
        <v>3250</v>
      </c>
    </row>
    <row r="315" spans="1:6" s="9" customFormat="1" x14ac:dyDescent="0.25">
      <c r="C315" s="5"/>
      <c r="E315" s="10"/>
      <c r="F315" s="8">
        <f>SUM(F314)</f>
        <v>3250</v>
      </c>
    </row>
    <row r="316" spans="1:6" s="9" customFormat="1" x14ac:dyDescent="0.25">
      <c r="C316" s="5"/>
      <c r="E316" s="10"/>
      <c r="F316" s="10"/>
    </row>
    <row r="317" spans="1:6" s="9" customFormat="1" x14ac:dyDescent="0.25">
      <c r="A317" s="9" t="s">
        <v>60</v>
      </c>
      <c r="B317" s="4">
        <v>45721</v>
      </c>
      <c r="C317" s="5">
        <v>25</v>
      </c>
      <c r="D317" s="9" t="s">
        <v>14</v>
      </c>
      <c r="E317" s="10">
        <v>125</v>
      </c>
      <c r="F317" s="10">
        <f t="shared" si="4"/>
        <v>3125</v>
      </c>
    </row>
    <row r="318" spans="1:6" s="9" customFormat="1" x14ac:dyDescent="0.25">
      <c r="C318" s="5"/>
      <c r="E318" s="10"/>
      <c r="F318" s="8">
        <f>SUM(F317)</f>
        <v>3125</v>
      </c>
    </row>
    <row r="319" spans="1:6" s="9" customFormat="1" x14ac:dyDescent="0.25">
      <c r="C319" s="5"/>
      <c r="E319" s="10"/>
      <c r="F319" s="10"/>
    </row>
    <row r="320" spans="1:6" s="9" customFormat="1" x14ac:dyDescent="0.25">
      <c r="A320" s="9" t="s">
        <v>107</v>
      </c>
      <c r="B320" s="4">
        <v>45721</v>
      </c>
      <c r="C320" s="5">
        <v>48</v>
      </c>
      <c r="D320" s="9" t="s">
        <v>14</v>
      </c>
      <c r="E320" s="10">
        <v>125</v>
      </c>
      <c r="F320" s="10">
        <f t="shared" si="4"/>
        <v>6000</v>
      </c>
    </row>
    <row r="321" spans="1:6" s="9" customFormat="1" x14ac:dyDescent="0.25">
      <c r="C321" s="5"/>
      <c r="E321" s="10"/>
      <c r="F321" s="8">
        <f>SUM(F320)</f>
        <v>6000</v>
      </c>
    </row>
    <row r="322" spans="1:6" s="9" customFormat="1" x14ac:dyDescent="0.25">
      <c r="C322" s="5"/>
      <c r="E322" s="10"/>
      <c r="F322" s="10"/>
    </row>
    <row r="323" spans="1:6" s="9" customFormat="1" x14ac:dyDescent="0.25">
      <c r="A323" s="9" t="s">
        <v>138</v>
      </c>
      <c r="B323" s="4">
        <v>45721</v>
      </c>
      <c r="C323" s="5">
        <v>20</v>
      </c>
      <c r="D323" s="9" t="s">
        <v>14</v>
      </c>
      <c r="E323" s="10">
        <v>130</v>
      </c>
      <c r="F323" s="10">
        <f t="shared" si="4"/>
        <v>2600</v>
      </c>
    </row>
    <row r="324" spans="1:6" s="9" customFormat="1" x14ac:dyDescent="0.25">
      <c r="C324" s="5"/>
      <c r="E324" s="10"/>
      <c r="F324" s="8">
        <f>SUM(F323)</f>
        <v>2600</v>
      </c>
    </row>
    <row r="325" spans="1:6" s="9" customFormat="1" x14ac:dyDescent="0.25">
      <c r="C325" s="5"/>
      <c r="E325" s="10"/>
      <c r="F325" s="10"/>
    </row>
    <row r="326" spans="1:6" s="9" customFormat="1" x14ac:dyDescent="0.25">
      <c r="A326" s="9" t="s">
        <v>18</v>
      </c>
      <c r="B326" s="4">
        <v>45721</v>
      </c>
      <c r="C326" s="5">
        <v>10</v>
      </c>
      <c r="D326" s="9" t="s">
        <v>13</v>
      </c>
      <c r="E326" s="10">
        <v>140</v>
      </c>
      <c r="F326" s="10">
        <f t="shared" ref="F326:F387" si="5">+C326*E326</f>
        <v>1400</v>
      </c>
    </row>
    <row r="327" spans="1:6" s="9" customFormat="1" x14ac:dyDescent="0.25">
      <c r="C327" s="5">
        <v>20</v>
      </c>
      <c r="D327" s="9" t="s">
        <v>14</v>
      </c>
      <c r="E327" s="10">
        <v>125</v>
      </c>
      <c r="F327" s="10">
        <f t="shared" si="5"/>
        <v>2500</v>
      </c>
    </row>
    <row r="328" spans="1:6" s="9" customFormat="1" x14ac:dyDescent="0.25">
      <c r="C328" s="5"/>
      <c r="E328" s="10"/>
      <c r="F328" s="8">
        <f>SUM(F326:F327)</f>
        <v>3900</v>
      </c>
    </row>
    <row r="329" spans="1:6" s="9" customFormat="1" x14ac:dyDescent="0.25">
      <c r="C329" s="5"/>
      <c r="E329" s="10"/>
      <c r="F329" s="10"/>
    </row>
    <row r="330" spans="1:6" s="9" customFormat="1" x14ac:dyDescent="0.25">
      <c r="A330" s="9" t="s">
        <v>43</v>
      </c>
      <c r="B330" s="4">
        <v>45721</v>
      </c>
      <c r="C330" s="5">
        <v>10</v>
      </c>
      <c r="D330" s="9" t="s">
        <v>49</v>
      </c>
      <c r="E330" s="10">
        <v>145</v>
      </c>
      <c r="F330" s="10">
        <f t="shared" si="5"/>
        <v>1450</v>
      </c>
    </row>
    <row r="331" spans="1:6" s="9" customFormat="1" x14ac:dyDescent="0.25">
      <c r="C331" s="5">
        <v>20</v>
      </c>
      <c r="D331" s="9" t="s">
        <v>14</v>
      </c>
      <c r="E331" s="10">
        <v>125</v>
      </c>
      <c r="F331" s="10">
        <f t="shared" si="5"/>
        <v>2500</v>
      </c>
    </row>
    <row r="332" spans="1:6" s="9" customFormat="1" x14ac:dyDescent="0.25">
      <c r="C332" s="5"/>
      <c r="E332" s="10"/>
      <c r="F332" s="8">
        <f>SUM(F330:F331)</f>
        <v>3950</v>
      </c>
    </row>
    <row r="333" spans="1:6" s="9" customFormat="1" x14ac:dyDescent="0.25">
      <c r="C333" s="5"/>
      <c r="E333" s="10"/>
      <c r="F333" s="10"/>
    </row>
    <row r="334" spans="1:6" x14ac:dyDescent="0.25">
      <c r="A334" s="9" t="s">
        <v>44</v>
      </c>
      <c r="B334" s="4">
        <v>45721</v>
      </c>
      <c r="C334" s="5">
        <v>30</v>
      </c>
      <c r="D334" s="9" t="s">
        <v>14</v>
      </c>
      <c r="E334" s="10">
        <v>125</v>
      </c>
      <c r="F334" s="10">
        <f t="shared" si="5"/>
        <v>3750</v>
      </c>
    </row>
    <row r="335" spans="1:6" s="9" customFormat="1" x14ac:dyDescent="0.25">
      <c r="C335" s="5"/>
      <c r="E335" s="10"/>
      <c r="F335" s="8">
        <f>SUM(F334)</f>
        <v>3750</v>
      </c>
    </row>
    <row r="336" spans="1:6" s="9" customFormat="1" x14ac:dyDescent="0.25">
      <c r="C336" s="5"/>
      <c r="E336" s="10"/>
      <c r="F336" s="10"/>
    </row>
    <row r="337" spans="1:6" s="9" customFormat="1" x14ac:dyDescent="0.25">
      <c r="A337" s="9" t="s">
        <v>26</v>
      </c>
      <c r="B337" s="4">
        <v>45721</v>
      </c>
      <c r="C337" s="5">
        <v>70</v>
      </c>
      <c r="D337" s="9" t="s">
        <v>13</v>
      </c>
      <c r="E337" s="10">
        <v>140</v>
      </c>
      <c r="F337" s="10">
        <f t="shared" si="5"/>
        <v>9800</v>
      </c>
    </row>
    <row r="338" spans="1:6" s="9" customFormat="1" x14ac:dyDescent="0.25">
      <c r="C338" s="5">
        <v>10</v>
      </c>
      <c r="D338" s="9" t="s">
        <v>14</v>
      </c>
      <c r="E338" s="10">
        <v>135</v>
      </c>
      <c r="F338" s="10">
        <f t="shared" si="5"/>
        <v>1350</v>
      </c>
    </row>
    <row r="339" spans="1:6" s="9" customFormat="1" x14ac:dyDescent="0.25">
      <c r="C339" s="5"/>
      <c r="E339" s="10"/>
      <c r="F339" s="8">
        <f>SUM(F337:F338)</f>
        <v>11150</v>
      </c>
    </row>
    <row r="340" spans="1:6" s="9" customFormat="1" x14ac:dyDescent="0.25">
      <c r="C340" s="5"/>
      <c r="E340" s="10"/>
      <c r="F340" s="10"/>
    </row>
    <row r="341" spans="1:6" s="9" customFormat="1" x14ac:dyDescent="0.25">
      <c r="A341" s="9" t="s">
        <v>67</v>
      </c>
      <c r="B341" s="4">
        <v>45721</v>
      </c>
      <c r="C341" s="5">
        <v>20</v>
      </c>
      <c r="D341" s="9" t="s">
        <v>13</v>
      </c>
      <c r="E341" s="10">
        <v>140</v>
      </c>
      <c r="F341" s="10">
        <f t="shared" si="5"/>
        <v>2800</v>
      </c>
    </row>
    <row r="342" spans="1:6" s="9" customFormat="1" x14ac:dyDescent="0.25">
      <c r="C342" s="5"/>
      <c r="E342" s="10"/>
      <c r="F342" s="8">
        <f>SUM(F341)</f>
        <v>2800</v>
      </c>
    </row>
    <row r="343" spans="1:6" s="9" customFormat="1" x14ac:dyDescent="0.25">
      <c r="C343" s="5"/>
      <c r="E343" s="10"/>
      <c r="F343" s="10"/>
    </row>
    <row r="344" spans="1:6" s="9" customFormat="1" x14ac:dyDescent="0.25">
      <c r="A344" s="9" t="s">
        <v>72</v>
      </c>
      <c r="B344" s="4">
        <v>45721</v>
      </c>
      <c r="C344" s="5">
        <v>200</v>
      </c>
      <c r="D344" s="9" t="s">
        <v>13</v>
      </c>
      <c r="E344" s="10">
        <v>130</v>
      </c>
      <c r="F344" s="10">
        <f t="shared" si="5"/>
        <v>26000</v>
      </c>
    </row>
    <row r="345" spans="1:6" s="9" customFormat="1" x14ac:dyDescent="0.25">
      <c r="C345" s="5">
        <v>150</v>
      </c>
      <c r="D345" s="9" t="s">
        <v>12</v>
      </c>
      <c r="E345" s="10">
        <v>125</v>
      </c>
      <c r="F345" s="10">
        <f t="shared" si="5"/>
        <v>18750</v>
      </c>
    </row>
    <row r="346" spans="1:6" s="9" customFormat="1" x14ac:dyDescent="0.25">
      <c r="C346" s="5">
        <v>100</v>
      </c>
      <c r="D346" s="9" t="s">
        <v>11</v>
      </c>
      <c r="E346" s="10">
        <v>120</v>
      </c>
      <c r="F346" s="10">
        <f t="shared" si="5"/>
        <v>12000</v>
      </c>
    </row>
    <row r="347" spans="1:6" s="9" customFormat="1" x14ac:dyDescent="0.25">
      <c r="C347" s="5"/>
      <c r="E347" s="10"/>
      <c r="F347" s="8">
        <f>SUM(F344:F346)</f>
        <v>56750</v>
      </c>
    </row>
    <row r="348" spans="1:6" s="9" customFormat="1" x14ac:dyDescent="0.25">
      <c r="C348" s="5"/>
      <c r="E348" s="10"/>
      <c r="F348" s="10"/>
    </row>
    <row r="349" spans="1:6" s="9" customFormat="1" x14ac:dyDescent="0.25">
      <c r="A349" s="9" t="s">
        <v>245</v>
      </c>
      <c r="B349" s="4">
        <v>45721</v>
      </c>
      <c r="C349" s="5">
        <v>20</v>
      </c>
      <c r="D349" s="9" t="s">
        <v>13</v>
      </c>
      <c r="E349" s="10">
        <v>140</v>
      </c>
      <c r="F349" s="10">
        <f t="shared" si="5"/>
        <v>2800</v>
      </c>
    </row>
    <row r="350" spans="1:6" s="9" customFormat="1" x14ac:dyDescent="0.25">
      <c r="C350" s="5"/>
      <c r="E350" s="10"/>
      <c r="F350" s="8">
        <f>SUM(F349)</f>
        <v>2800</v>
      </c>
    </row>
    <row r="351" spans="1:6" s="9" customFormat="1" x14ac:dyDescent="0.25">
      <c r="C351" s="5"/>
      <c r="E351" s="10"/>
      <c r="F351" s="10"/>
    </row>
    <row r="352" spans="1:6" s="9" customFormat="1" x14ac:dyDescent="0.25">
      <c r="A352" s="9" t="s">
        <v>305</v>
      </c>
      <c r="B352" s="4">
        <v>45721</v>
      </c>
      <c r="C352" s="5">
        <v>150</v>
      </c>
      <c r="D352" s="9" t="s">
        <v>14</v>
      </c>
      <c r="E352" s="10">
        <v>120</v>
      </c>
      <c r="F352" s="10">
        <f t="shared" si="5"/>
        <v>18000</v>
      </c>
    </row>
    <row r="353" spans="1:6" s="9" customFormat="1" x14ac:dyDescent="0.25">
      <c r="C353" s="5">
        <v>60</v>
      </c>
      <c r="D353" s="9" t="s">
        <v>11</v>
      </c>
      <c r="E353" s="10">
        <v>115</v>
      </c>
      <c r="F353" s="10">
        <f t="shared" si="5"/>
        <v>6900</v>
      </c>
    </row>
    <row r="354" spans="1:6" s="9" customFormat="1" x14ac:dyDescent="0.25">
      <c r="C354" s="5">
        <v>100</v>
      </c>
      <c r="D354" s="9" t="s">
        <v>49</v>
      </c>
      <c r="E354" s="10">
        <v>130</v>
      </c>
      <c r="F354" s="10">
        <f t="shared" si="5"/>
        <v>13000</v>
      </c>
    </row>
    <row r="355" spans="1:6" s="9" customFormat="1" x14ac:dyDescent="0.25">
      <c r="C355" s="5"/>
      <c r="E355" s="10"/>
      <c r="F355" s="8">
        <f>SUM(F352:F354)</f>
        <v>37900</v>
      </c>
    </row>
    <row r="356" spans="1:6" s="9" customFormat="1" x14ac:dyDescent="0.25">
      <c r="C356" s="5"/>
      <c r="E356" s="10"/>
      <c r="F356" s="10"/>
    </row>
    <row r="357" spans="1:6" s="9" customFormat="1" x14ac:dyDescent="0.25">
      <c r="A357" s="9" t="s">
        <v>29</v>
      </c>
      <c r="B357" s="4">
        <v>45721</v>
      </c>
      <c r="C357" s="5">
        <v>2</v>
      </c>
      <c r="D357" s="9" t="s">
        <v>13</v>
      </c>
      <c r="E357" s="10">
        <v>160</v>
      </c>
      <c r="F357" s="10">
        <f t="shared" si="5"/>
        <v>320</v>
      </c>
    </row>
    <row r="358" spans="1:6" s="9" customFormat="1" x14ac:dyDescent="0.25">
      <c r="C358" s="5">
        <v>2</v>
      </c>
      <c r="D358" s="9" t="s">
        <v>12</v>
      </c>
      <c r="E358" s="10">
        <v>150</v>
      </c>
      <c r="F358" s="10">
        <f t="shared" si="5"/>
        <v>300</v>
      </c>
    </row>
    <row r="359" spans="1:6" s="9" customFormat="1" x14ac:dyDescent="0.25">
      <c r="C359" s="5"/>
      <c r="E359" s="10"/>
      <c r="F359" s="8">
        <f>SUM(F357:F358)</f>
        <v>620</v>
      </c>
    </row>
    <row r="360" spans="1:6" s="9" customFormat="1" x14ac:dyDescent="0.25">
      <c r="C360" s="5"/>
      <c r="E360" s="10"/>
      <c r="F360" s="10"/>
    </row>
    <row r="361" spans="1:6" s="9" customFormat="1" x14ac:dyDescent="0.25">
      <c r="A361" s="9" t="s">
        <v>7</v>
      </c>
      <c r="B361" s="4">
        <v>45721</v>
      </c>
      <c r="C361" s="5">
        <v>6</v>
      </c>
      <c r="D361" s="9" t="s">
        <v>9</v>
      </c>
      <c r="E361" s="10">
        <v>3.3333300000000001</v>
      </c>
      <c r="F361" s="10">
        <f t="shared" si="5"/>
        <v>19.999980000000001</v>
      </c>
    </row>
    <row r="362" spans="1:6" s="9" customFormat="1" x14ac:dyDescent="0.25">
      <c r="C362" s="5">
        <v>20</v>
      </c>
      <c r="D362" s="9" t="s">
        <v>168</v>
      </c>
      <c r="E362" s="10">
        <v>140</v>
      </c>
      <c r="F362" s="10">
        <f t="shared" si="5"/>
        <v>2800</v>
      </c>
    </row>
    <row r="363" spans="1:6" s="9" customFormat="1" x14ac:dyDescent="0.25">
      <c r="C363" s="5">
        <v>2</v>
      </c>
      <c r="D363" s="9" t="s">
        <v>13</v>
      </c>
      <c r="E363" s="10">
        <v>160</v>
      </c>
      <c r="F363" s="10">
        <f t="shared" si="5"/>
        <v>320</v>
      </c>
    </row>
    <row r="364" spans="1:6" s="9" customFormat="1" x14ac:dyDescent="0.25">
      <c r="C364" s="5">
        <v>2</v>
      </c>
      <c r="D364" s="9" t="s">
        <v>8</v>
      </c>
      <c r="E364" s="10">
        <v>170</v>
      </c>
      <c r="F364" s="10">
        <f t="shared" si="5"/>
        <v>340</v>
      </c>
    </row>
    <row r="365" spans="1:6" s="9" customFormat="1" x14ac:dyDescent="0.25">
      <c r="C365" s="5"/>
      <c r="E365" s="10"/>
      <c r="F365" s="8">
        <f>SUM(F361:F364)</f>
        <v>3479.9999800000001</v>
      </c>
    </row>
    <row r="366" spans="1:6" s="9" customFormat="1" x14ac:dyDescent="0.25">
      <c r="C366" s="5"/>
      <c r="E366" s="10"/>
      <c r="F366" s="10"/>
    </row>
    <row r="367" spans="1:6" s="9" customFormat="1" x14ac:dyDescent="0.25">
      <c r="A367" s="9" t="s">
        <v>60</v>
      </c>
      <c r="B367" s="4">
        <v>45722</v>
      </c>
      <c r="C367" s="5">
        <v>20</v>
      </c>
      <c r="D367" s="9" t="s">
        <v>13</v>
      </c>
      <c r="E367" s="10">
        <v>140</v>
      </c>
      <c r="F367" s="10">
        <f t="shared" si="5"/>
        <v>2800</v>
      </c>
    </row>
    <row r="368" spans="1:6" s="9" customFormat="1" x14ac:dyDescent="0.25">
      <c r="C368" s="5"/>
      <c r="E368" s="10"/>
      <c r="F368" s="8">
        <f>SUM(F367)</f>
        <v>2800</v>
      </c>
    </row>
    <row r="369" spans="1:6" s="9" customFormat="1" x14ac:dyDescent="0.25">
      <c r="C369" s="5"/>
      <c r="E369" s="10"/>
      <c r="F369" s="10"/>
    </row>
    <row r="370" spans="1:6" s="9" customFormat="1" x14ac:dyDescent="0.25">
      <c r="A370" s="9" t="s">
        <v>61</v>
      </c>
      <c r="B370" s="4">
        <v>45722</v>
      </c>
      <c r="C370" s="5">
        <v>100</v>
      </c>
      <c r="D370" s="9" t="s">
        <v>13</v>
      </c>
      <c r="E370" s="10">
        <v>140</v>
      </c>
      <c r="F370" s="10">
        <f t="shared" si="5"/>
        <v>14000</v>
      </c>
    </row>
    <row r="371" spans="1:6" s="9" customFormat="1" x14ac:dyDescent="0.25">
      <c r="C371" s="5"/>
      <c r="E371" s="10"/>
      <c r="F371" s="8">
        <f>SUM(F370)</f>
        <v>14000</v>
      </c>
    </row>
    <row r="372" spans="1:6" s="9" customFormat="1" x14ac:dyDescent="0.25">
      <c r="C372" s="5"/>
      <c r="E372" s="10"/>
      <c r="F372" s="10"/>
    </row>
    <row r="373" spans="1:6" s="9" customFormat="1" x14ac:dyDescent="0.25">
      <c r="A373" s="9" t="s">
        <v>69</v>
      </c>
      <c r="B373" s="4">
        <v>45722</v>
      </c>
      <c r="C373" s="5">
        <v>25</v>
      </c>
      <c r="D373" s="9" t="s">
        <v>13</v>
      </c>
      <c r="E373" s="10">
        <v>140</v>
      </c>
      <c r="F373" s="10">
        <f t="shared" si="5"/>
        <v>3500</v>
      </c>
    </row>
    <row r="374" spans="1:6" s="9" customFormat="1" x14ac:dyDescent="0.25">
      <c r="C374" s="5"/>
      <c r="E374" s="10"/>
      <c r="F374" s="8">
        <f>SUM(F373)</f>
        <v>3500</v>
      </c>
    </row>
    <row r="375" spans="1:6" s="9" customFormat="1" x14ac:dyDescent="0.25">
      <c r="C375" s="5"/>
      <c r="E375" s="10"/>
      <c r="F375" s="10"/>
    </row>
    <row r="376" spans="1:6" s="9" customFormat="1" x14ac:dyDescent="0.25">
      <c r="A376" s="9" t="s">
        <v>298</v>
      </c>
      <c r="B376" s="4">
        <v>45722</v>
      </c>
      <c r="C376" s="5">
        <v>60</v>
      </c>
      <c r="D376" s="9" t="s">
        <v>14</v>
      </c>
      <c r="E376" s="10">
        <v>125</v>
      </c>
      <c r="F376" s="10">
        <f t="shared" si="5"/>
        <v>7500</v>
      </c>
    </row>
    <row r="377" spans="1:6" s="9" customFormat="1" x14ac:dyDescent="0.25">
      <c r="C377" s="5">
        <v>30</v>
      </c>
      <c r="D377" s="9" t="s">
        <v>12</v>
      </c>
      <c r="E377" s="10">
        <v>125</v>
      </c>
      <c r="F377" s="10">
        <f t="shared" si="5"/>
        <v>3750</v>
      </c>
    </row>
    <row r="378" spans="1:6" s="9" customFormat="1" x14ac:dyDescent="0.25">
      <c r="C378" s="5">
        <v>20</v>
      </c>
      <c r="D378" s="9" t="s">
        <v>11</v>
      </c>
      <c r="E378" s="10">
        <v>120</v>
      </c>
      <c r="F378" s="10">
        <f t="shared" si="5"/>
        <v>2400</v>
      </c>
    </row>
    <row r="379" spans="1:6" s="9" customFormat="1" x14ac:dyDescent="0.25">
      <c r="C379" s="5"/>
      <c r="E379" s="10"/>
      <c r="F379" s="8">
        <f>SUM(F376:F378)</f>
        <v>13650</v>
      </c>
    </row>
    <row r="380" spans="1:6" s="9" customFormat="1" x14ac:dyDescent="0.25">
      <c r="C380" s="5"/>
      <c r="E380" s="10"/>
      <c r="F380" s="10"/>
    </row>
    <row r="381" spans="1:6" s="9" customFormat="1" x14ac:dyDescent="0.25">
      <c r="A381" s="9" t="s">
        <v>306</v>
      </c>
      <c r="B381" s="4">
        <v>45722</v>
      </c>
      <c r="C381" s="5">
        <v>5</v>
      </c>
      <c r="D381" s="9" t="s">
        <v>13</v>
      </c>
      <c r="E381" s="10">
        <v>150</v>
      </c>
      <c r="F381" s="10">
        <f t="shared" si="5"/>
        <v>750</v>
      </c>
    </row>
    <row r="382" spans="1:6" s="9" customFormat="1" x14ac:dyDescent="0.25">
      <c r="C382" s="5"/>
      <c r="E382" s="10"/>
      <c r="F382" s="8">
        <f>SUM(F381)</f>
        <v>750</v>
      </c>
    </row>
    <row r="383" spans="1:6" s="9" customFormat="1" x14ac:dyDescent="0.25">
      <c r="C383" s="5"/>
      <c r="E383" s="10"/>
      <c r="F383" s="10"/>
    </row>
    <row r="384" spans="1:6" s="9" customFormat="1" x14ac:dyDescent="0.25">
      <c r="A384" s="9" t="s">
        <v>53</v>
      </c>
      <c r="B384" s="4">
        <v>45722</v>
      </c>
      <c r="C384" s="5">
        <v>100</v>
      </c>
      <c r="D384" s="9" t="s">
        <v>13</v>
      </c>
      <c r="E384" s="10">
        <v>130</v>
      </c>
      <c r="F384" s="10">
        <f t="shared" si="5"/>
        <v>13000</v>
      </c>
    </row>
    <row r="385" spans="1:6" s="9" customFormat="1" x14ac:dyDescent="0.25">
      <c r="C385" s="5"/>
      <c r="E385" s="10"/>
      <c r="F385" s="8">
        <f>SUM(F384)</f>
        <v>13000</v>
      </c>
    </row>
    <row r="386" spans="1:6" s="9" customFormat="1" x14ac:dyDescent="0.25">
      <c r="C386" s="5"/>
      <c r="E386" s="10"/>
      <c r="F386" s="10"/>
    </row>
    <row r="387" spans="1:6" s="9" customFormat="1" x14ac:dyDescent="0.25">
      <c r="A387" s="9" t="s">
        <v>51</v>
      </c>
      <c r="B387" s="4">
        <v>45722</v>
      </c>
      <c r="C387" s="5">
        <v>100</v>
      </c>
      <c r="D387" s="9" t="s">
        <v>13</v>
      </c>
      <c r="E387" s="10">
        <v>130</v>
      </c>
      <c r="F387" s="10">
        <f t="shared" si="5"/>
        <v>13000</v>
      </c>
    </row>
    <row r="388" spans="1:6" s="9" customFormat="1" x14ac:dyDescent="0.25">
      <c r="C388" s="5">
        <v>150</v>
      </c>
      <c r="D388" s="9" t="s">
        <v>12</v>
      </c>
      <c r="E388" s="10">
        <v>120</v>
      </c>
      <c r="F388" s="10">
        <f t="shared" ref="F388:F450" si="6">+C388*E388</f>
        <v>18000</v>
      </c>
    </row>
    <row r="389" spans="1:6" s="9" customFormat="1" x14ac:dyDescent="0.25">
      <c r="C389" s="5"/>
      <c r="E389" s="10"/>
      <c r="F389" s="8">
        <f>SUM(F387:F388)</f>
        <v>31000</v>
      </c>
    </row>
    <row r="390" spans="1:6" s="9" customFormat="1" x14ac:dyDescent="0.25">
      <c r="C390" s="5"/>
      <c r="E390" s="10"/>
      <c r="F390" s="10"/>
    </row>
    <row r="391" spans="1:6" s="9" customFormat="1" x14ac:dyDescent="0.25">
      <c r="A391" s="9" t="s">
        <v>26</v>
      </c>
      <c r="B391" s="4">
        <v>45722</v>
      </c>
      <c r="C391" s="5">
        <v>30</v>
      </c>
      <c r="D391" s="9" t="s">
        <v>13</v>
      </c>
      <c r="E391" s="10">
        <v>140</v>
      </c>
      <c r="F391" s="10">
        <f t="shared" si="6"/>
        <v>4200</v>
      </c>
    </row>
    <row r="392" spans="1:6" s="9" customFormat="1" x14ac:dyDescent="0.25">
      <c r="C392" s="5">
        <v>10</v>
      </c>
      <c r="D392" s="9" t="s">
        <v>14</v>
      </c>
      <c r="E392" s="10">
        <v>135</v>
      </c>
      <c r="F392" s="10">
        <f t="shared" si="6"/>
        <v>1350</v>
      </c>
    </row>
    <row r="393" spans="1:6" s="9" customFormat="1" x14ac:dyDescent="0.25">
      <c r="C393" s="5"/>
      <c r="E393" s="10"/>
      <c r="F393" s="8">
        <f>SUM(F391:F392)</f>
        <v>5550</v>
      </c>
    </row>
    <row r="394" spans="1:6" s="9" customFormat="1" x14ac:dyDescent="0.25">
      <c r="C394" s="5"/>
      <c r="E394" s="10"/>
      <c r="F394" s="10"/>
    </row>
    <row r="395" spans="1:6" s="9" customFormat="1" x14ac:dyDescent="0.25">
      <c r="A395" s="9" t="s">
        <v>307</v>
      </c>
      <c r="B395" s="4">
        <v>45722</v>
      </c>
      <c r="C395" s="5">
        <v>3</v>
      </c>
      <c r="D395" s="9" t="s">
        <v>13</v>
      </c>
      <c r="E395" s="10">
        <v>150</v>
      </c>
      <c r="F395" s="10">
        <f t="shared" si="6"/>
        <v>450</v>
      </c>
    </row>
    <row r="396" spans="1:6" s="9" customFormat="1" x14ac:dyDescent="0.25">
      <c r="C396" s="5">
        <v>2</v>
      </c>
      <c r="D396" s="9" t="s">
        <v>14</v>
      </c>
      <c r="E396" s="10">
        <v>135</v>
      </c>
      <c r="F396" s="10">
        <f t="shared" si="6"/>
        <v>270</v>
      </c>
    </row>
    <row r="397" spans="1:6" s="9" customFormat="1" x14ac:dyDescent="0.25">
      <c r="C397" s="5"/>
      <c r="E397" s="10"/>
      <c r="F397" s="8">
        <f>SUM(F395:F396)</f>
        <v>720</v>
      </c>
    </row>
    <row r="398" spans="1:6" s="9" customFormat="1" x14ac:dyDescent="0.25">
      <c r="C398" s="5"/>
      <c r="E398" s="10"/>
      <c r="F398" s="10"/>
    </row>
    <row r="399" spans="1:6" s="9" customFormat="1" x14ac:dyDescent="0.25">
      <c r="A399" s="9" t="s">
        <v>89</v>
      </c>
      <c r="B399" s="4">
        <v>45722</v>
      </c>
      <c r="C399" s="5">
        <v>30</v>
      </c>
      <c r="D399" s="9" t="s">
        <v>13</v>
      </c>
      <c r="E399" s="10">
        <v>130</v>
      </c>
      <c r="F399" s="10">
        <f t="shared" si="6"/>
        <v>3900</v>
      </c>
    </row>
    <row r="400" spans="1:6" s="9" customFormat="1" x14ac:dyDescent="0.25">
      <c r="C400" s="5">
        <v>10</v>
      </c>
      <c r="D400" s="9" t="s">
        <v>14</v>
      </c>
      <c r="E400" s="10">
        <v>125</v>
      </c>
      <c r="F400" s="10">
        <f t="shared" si="6"/>
        <v>1250</v>
      </c>
    </row>
    <row r="401" spans="1:6" s="9" customFormat="1" x14ac:dyDescent="0.25">
      <c r="C401" s="5">
        <v>24</v>
      </c>
      <c r="D401" s="9" t="s">
        <v>12</v>
      </c>
      <c r="E401" s="10">
        <v>125</v>
      </c>
      <c r="F401" s="10">
        <f t="shared" si="6"/>
        <v>3000</v>
      </c>
    </row>
    <row r="402" spans="1:6" s="9" customFormat="1" x14ac:dyDescent="0.25">
      <c r="C402" s="5">
        <v>10</v>
      </c>
      <c r="D402" s="9" t="s">
        <v>308</v>
      </c>
      <c r="E402" s="10">
        <v>120</v>
      </c>
      <c r="F402" s="10">
        <f t="shared" si="6"/>
        <v>1200</v>
      </c>
    </row>
    <row r="403" spans="1:6" s="9" customFormat="1" x14ac:dyDescent="0.25">
      <c r="C403" s="5"/>
      <c r="E403" s="10"/>
      <c r="F403" s="8">
        <f>SUM(F399:F402)</f>
        <v>9350</v>
      </c>
    </row>
    <row r="404" spans="1:6" s="9" customFormat="1" x14ac:dyDescent="0.25">
      <c r="C404" s="5"/>
      <c r="E404" s="10"/>
      <c r="F404" s="10"/>
    </row>
    <row r="405" spans="1:6" s="9" customFormat="1" x14ac:dyDescent="0.25">
      <c r="A405" s="9" t="s">
        <v>7</v>
      </c>
      <c r="B405" s="4">
        <v>45722</v>
      </c>
      <c r="C405" s="11">
        <v>0.5</v>
      </c>
      <c r="D405" s="9" t="s">
        <v>49</v>
      </c>
      <c r="E405" s="10">
        <v>170</v>
      </c>
      <c r="F405" s="10">
        <f t="shared" si="6"/>
        <v>85</v>
      </c>
    </row>
    <row r="406" spans="1:6" s="9" customFormat="1" x14ac:dyDescent="0.25">
      <c r="C406" s="5">
        <v>2</v>
      </c>
      <c r="D406" s="9" t="s">
        <v>13</v>
      </c>
      <c r="E406" s="10">
        <v>160</v>
      </c>
      <c r="F406" s="10">
        <f t="shared" si="6"/>
        <v>320</v>
      </c>
    </row>
    <row r="407" spans="1:6" s="9" customFormat="1" x14ac:dyDescent="0.25">
      <c r="C407" s="5">
        <v>2</v>
      </c>
      <c r="D407" s="9" t="s">
        <v>8</v>
      </c>
      <c r="E407" s="10">
        <v>170</v>
      </c>
      <c r="F407" s="10">
        <f t="shared" si="6"/>
        <v>340</v>
      </c>
    </row>
    <row r="408" spans="1:6" s="9" customFormat="1" x14ac:dyDescent="0.25">
      <c r="C408" s="5"/>
      <c r="E408" s="10"/>
      <c r="F408" s="8">
        <f>SUM(F405:F407)</f>
        <v>745</v>
      </c>
    </row>
    <row r="409" spans="1:6" s="9" customFormat="1" x14ac:dyDescent="0.25">
      <c r="C409" s="5"/>
      <c r="E409" s="10"/>
      <c r="F409" s="10"/>
    </row>
    <row r="410" spans="1:6" s="9" customFormat="1" x14ac:dyDescent="0.25">
      <c r="A410" s="9" t="s">
        <v>309</v>
      </c>
      <c r="B410" s="4">
        <v>45723</v>
      </c>
      <c r="C410" s="5">
        <v>10</v>
      </c>
      <c r="D410" s="9" t="s">
        <v>98</v>
      </c>
      <c r="E410" s="10">
        <v>100</v>
      </c>
      <c r="F410" s="10">
        <f t="shared" si="6"/>
        <v>1000</v>
      </c>
    </row>
    <row r="411" spans="1:6" s="9" customFormat="1" x14ac:dyDescent="0.25">
      <c r="C411" s="5"/>
      <c r="E411" s="10"/>
      <c r="F411" s="8">
        <f>SUM(F410)</f>
        <v>1000</v>
      </c>
    </row>
    <row r="412" spans="1:6" s="9" customFormat="1" x14ac:dyDescent="0.25">
      <c r="C412" s="5"/>
      <c r="E412" s="10"/>
      <c r="F412" s="10"/>
    </row>
    <row r="413" spans="1:6" s="9" customFormat="1" x14ac:dyDescent="0.25">
      <c r="A413" s="9" t="s">
        <v>40</v>
      </c>
      <c r="B413" s="4">
        <v>45723</v>
      </c>
      <c r="C413" s="5">
        <v>13</v>
      </c>
      <c r="D413" s="9" t="s">
        <v>13</v>
      </c>
      <c r="E413" s="10">
        <v>140</v>
      </c>
      <c r="F413" s="10">
        <f t="shared" si="6"/>
        <v>1820</v>
      </c>
    </row>
    <row r="414" spans="1:6" s="9" customFormat="1" x14ac:dyDescent="0.25">
      <c r="C414" s="5">
        <v>12</v>
      </c>
      <c r="D414" s="9" t="s">
        <v>14</v>
      </c>
      <c r="E414" s="10">
        <v>130</v>
      </c>
      <c r="F414" s="10">
        <f t="shared" si="6"/>
        <v>1560</v>
      </c>
    </row>
    <row r="415" spans="1:6" s="9" customFormat="1" x14ac:dyDescent="0.25">
      <c r="C415" s="5">
        <v>10</v>
      </c>
      <c r="D415" s="9" t="s">
        <v>11</v>
      </c>
      <c r="E415" s="10">
        <v>120</v>
      </c>
      <c r="F415" s="10">
        <f t="shared" si="6"/>
        <v>1200</v>
      </c>
    </row>
    <row r="416" spans="1:6" s="9" customFormat="1" x14ac:dyDescent="0.25">
      <c r="C416" s="5"/>
      <c r="E416" s="10"/>
      <c r="F416" s="8">
        <f>SUM(F413:F415)</f>
        <v>4580</v>
      </c>
    </row>
    <row r="417" spans="1:6" s="9" customFormat="1" x14ac:dyDescent="0.25">
      <c r="C417" s="5"/>
      <c r="E417" s="10"/>
      <c r="F417" s="10"/>
    </row>
    <row r="418" spans="1:6" s="9" customFormat="1" x14ac:dyDescent="0.25">
      <c r="A418" s="9" t="s">
        <v>23</v>
      </c>
      <c r="B418" s="4">
        <v>45723</v>
      </c>
      <c r="C418" s="5">
        <v>12</v>
      </c>
      <c r="D418" s="9" t="s">
        <v>22</v>
      </c>
      <c r="E418" s="10">
        <v>120</v>
      </c>
      <c r="F418" s="10">
        <f t="shared" si="6"/>
        <v>1440</v>
      </c>
    </row>
    <row r="419" spans="1:6" s="9" customFormat="1" x14ac:dyDescent="0.25">
      <c r="C419" s="5">
        <v>10</v>
      </c>
      <c r="D419" s="9" t="s">
        <v>12</v>
      </c>
      <c r="E419" s="10">
        <v>130</v>
      </c>
      <c r="F419" s="10">
        <f t="shared" si="6"/>
        <v>1300</v>
      </c>
    </row>
    <row r="420" spans="1:6" s="9" customFormat="1" x14ac:dyDescent="0.25">
      <c r="C420" s="5"/>
      <c r="E420" s="10"/>
      <c r="F420" s="8">
        <f>SUM(F418:F419)</f>
        <v>2740</v>
      </c>
    </row>
    <row r="421" spans="1:6" s="9" customFormat="1" x14ac:dyDescent="0.25">
      <c r="C421" s="5"/>
      <c r="E421" s="10"/>
      <c r="F421" s="10"/>
    </row>
    <row r="422" spans="1:6" s="9" customFormat="1" x14ac:dyDescent="0.25">
      <c r="A422" s="9" t="s">
        <v>58</v>
      </c>
      <c r="B422" s="4">
        <v>45723</v>
      </c>
      <c r="C422" s="5">
        <v>10</v>
      </c>
      <c r="D422" s="9" t="s">
        <v>13</v>
      </c>
      <c r="E422" s="10">
        <v>140</v>
      </c>
      <c r="F422" s="10">
        <f t="shared" si="6"/>
        <v>1400</v>
      </c>
    </row>
    <row r="423" spans="1:6" s="9" customFormat="1" x14ac:dyDescent="0.25">
      <c r="C423" s="5"/>
      <c r="E423" s="10"/>
      <c r="F423" s="8">
        <f>SUM(F422)</f>
        <v>1400</v>
      </c>
    </row>
    <row r="424" spans="1:6" s="9" customFormat="1" x14ac:dyDescent="0.25">
      <c r="C424" s="5"/>
      <c r="E424" s="10"/>
      <c r="F424" s="10"/>
    </row>
    <row r="425" spans="1:6" s="9" customFormat="1" x14ac:dyDescent="0.25">
      <c r="A425" s="9" t="s">
        <v>18</v>
      </c>
      <c r="B425" s="4">
        <v>45723</v>
      </c>
      <c r="C425" s="5">
        <v>7</v>
      </c>
      <c r="D425" s="9" t="s">
        <v>13</v>
      </c>
      <c r="E425" s="10">
        <v>140</v>
      </c>
      <c r="F425" s="10">
        <f t="shared" si="6"/>
        <v>980</v>
      </c>
    </row>
    <row r="426" spans="1:6" s="9" customFormat="1" x14ac:dyDescent="0.25">
      <c r="C426" s="5"/>
      <c r="E426" s="10"/>
      <c r="F426" s="8">
        <f>SUM(F425)</f>
        <v>980</v>
      </c>
    </row>
    <row r="427" spans="1:6" s="9" customFormat="1" x14ac:dyDescent="0.25">
      <c r="C427" s="5"/>
      <c r="E427" s="10"/>
      <c r="F427" s="10"/>
    </row>
    <row r="428" spans="1:6" s="9" customFormat="1" x14ac:dyDescent="0.25">
      <c r="A428" s="9" t="s">
        <v>106</v>
      </c>
      <c r="B428" s="4">
        <v>45723</v>
      </c>
      <c r="C428" s="5">
        <v>50</v>
      </c>
      <c r="D428" s="9" t="s">
        <v>12</v>
      </c>
      <c r="E428" s="10">
        <v>135</v>
      </c>
      <c r="F428" s="10">
        <f t="shared" si="6"/>
        <v>6750</v>
      </c>
    </row>
    <row r="429" spans="1:6" s="9" customFormat="1" x14ac:dyDescent="0.25">
      <c r="C429" s="5"/>
      <c r="E429" s="10"/>
      <c r="F429" s="8">
        <f>SUM(F428)</f>
        <v>6750</v>
      </c>
    </row>
    <row r="430" spans="1:6" s="9" customFormat="1" x14ac:dyDescent="0.25">
      <c r="C430" s="5"/>
      <c r="E430" s="10"/>
      <c r="F430" s="10"/>
    </row>
    <row r="431" spans="1:6" s="9" customFormat="1" x14ac:dyDescent="0.25">
      <c r="A431" s="9" t="s">
        <v>41</v>
      </c>
      <c r="B431" s="4">
        <v>45723</v>
      </c>
      <c r="C431" s="5">
        <v>20</v>
      </c>
      <c r="D431" s="9" t="s">
        <v>14</v>
      </c>
      <c r="E431" s="10">
        <v>130</v>
      </c>
      <c r="F431" s="10">
        <f t="shared" si="6"/>
        <v>2600</v>
      </c>
    </row>
    <row r="432" spans="1:6" s="9" customFormat="1" x14ac:dyDescent="0.25">
      <c r="C432" s="5"/>
      <c r="E432" s="10"/>
      <c r="F432" s="8">
        <f>SUM(F431)</f>
        <v>2600</v>
      </c>
    </row>
    <row r="433" spans="1:6" s="9" customFormat="1" x14ac:dyDescent="0.25">
      <c r="C433" s="5"/>
      <c r="E433" s="10"/>
      <c r="F433" s="10"/>
    </row>
    <row r="434" spans="1:6" s="9" customFormat="1" x14ac:dyDescent="0.25">
      <c r="A434" s="9" t="s">
        <v>43</v>
      </c>
      <c r="B434" s="4">
        <v>45723</v>
      </c>
      <c r="C434" s="5">
        <v>10</v>
      </c>
      <c r="D434" s="9" t="s">
        <v>13</v>
      </c>
      <c r="E434" s="10">
        <v>140</v>
      </c>
      <c r="F434" s="10">
        <f t="shared" si="6"/>
        <v>1400</v>
      </c>
    </row>
    <row r="435" spans="1:6" s="9" customFormat="1" x14ac:dyDescent="0.25">
      <c r="C435" s="5">
        <v>20</v>
      </c>
      <c r="D435" s="9" t="s">
        <v>14</v>
      </c>
      <c r="E435" s="10">
        <v>125</v>
      </c>
      <c r="F435" s="10">
        <f t="shared" si="6"/>
        <v>2500</v>
      </c>
    </row>
    <row r="436" spans="1:6" s="9" customFormat="1" x14ac:dyDescent="0.25">
      <c r="C436" s="5"/>
      <c r="E436" s="10"/>
      <c r="F436" s="8">
        <f>SUM(F434:F435)</f>
        <v>3900</v>
      </c>
    </row>
    <row r="437" spans="1:6" s="9" customFormat="1" x14ac:dyDescent="0.25">
      <c r="C437" s="5"/>
      <c r="E437" s="10"/>
      <c r="F437" s="10"/>
    </row>
    <row r="438" spans="1:6" s="9" customFormat="1" x14ac:dyDescent="0.25">
      <c r="A438" s="9" t="s">
        <v>44</v>
      </c>
      <c r="B438" s="4">
        <v>45723</v>
      </c>
      <c r="C438" s="5">
        <v>70</v>
      </c>
      <c r="D438" s="9" t="s">
        <v>14</v>
      </c>
      <c r="E438" s="10">
        <v>125</v>
      </c>
      <c r="F438" s="10">
        <f t="shared" si="6"/>
        <v>8750</v>
      </c>
    </row>
    <row r="439" spans="1:6" s="9" customFormat="1" x14ac:dyDescent="0.25">
      <c r="C439" s="5"/>
      <c r="E439" s="10"/>
      <c r="F439" s="8">
        <f>SUM(F438)</f>
        <v>8750</v>
      </c>
    </row>
    <row r="440" spans="1:6" s="9" customFormat="1" x14ac:dyDescent="0.25">
      <c r="C440" s="5"/>
      <c r="E440" s="10"/>
      <c r="F440" s="10"/>
    </row>
    <row r="441" spans="1:6" s="9" customFormat="1" x14ac:dyDescent="0.25">
      <c r="A441" s="9" t="s">
        <v>18</v>
      </c>
      <c r="B441" s="4">
        <v>45723</v>
      </c>
      <c r="C441" s="5">
        <v>10</v>
      </c>
      <c r="D441" s="9" t="s">
        <v>14</v>
      </c>
      <c r="E441" s="10">
        <v>125</v>
      </c>
      <c r="F441" s="10">
        <f t="shared" si="6"/>
        <v>1250</v>
      </c>
    </row>
    <row r="442" spans="1:6" s="9" customFormat="1" x14ac:dyDescent="0.25">
      <c r="C442" s="5"/>
      <c r="E442" s="10"/>
      <c r="F442" s="8">
        <f>SUM(F441)</f>
        <v>1250</v>
      </c>
    </row>
    <row r="443" spans="1:6" s="9" customFormat="1" x14ac:dyDescent="0.25">
      <c r="C443" s="5"/>
      <c r="E443" s="10"/>
      <c r="F443" s="10"/>
    </row>
    <row r="444" spans="1:6" s="9" customFormat="1" x14ac:dyDescent="0.25">
      <c r="A444" s="9" t="s">
        <v>42</v>
      </c>
      <c r="B444" s="4">
        <v>45723</v>
      </c>
      <c r="C444" s="5">
        <v>20</v>
      </c>
      <c r="D444" s="9" t="s">
        <v>14</v>
      </c>
      <c r="E444" s="10">
        <v>125</v>
      </c>
      <c r="F444" s="10">
        <f t="shared" si="6"/>
        <v>2500</v>
      </c>
    </row>
    <row r="445" spans="1:6" s="9" customFormat="1" x14ac:dyDescent="0.25">
      <c r="C445" s="5"/>
      <c r="E445" s="10"/>
      <c r="F445" s="8">
        <f>SUM(F444)</f>
        <v>2500</v>
      </c>
    </row>
    <row r="446" spans="1:6" s="9" customFormat="1" x14ac:dyDescent="0.25">
      <c r="C446" s="5"/>
      <c r="E446" s="10"/>
      <c r="F446" s="10"/>
    </row>
    <row r="447" spans="1:6" s="9" customFormat="1" x14ac:dyDescent="0.25">
      <c r="A447" s="9" t="s">
        <v>46</v>
      </c>
      <c r="B447" s="4">
        <v>45723</v>
      </c>
      <c r="C447" s="5">
        <v>10</v>
      </c>
      <c r="D447" s="9" t="s">
        <v>14</v>
      </c>
      <c r="E447" s="10">
        <v>130</v>
      </c>
      <c r="F447" s="10">
        <f t="shared" si="6"/>
        <v>1300</v>
      </c>
    </row>
    <row r="448" spans="1:6" s="9" customFormat="1" x14ac:dyDescent="0.25">
      <c r="C448" s="5"/>
      <c r="E448" s="10"/>
      <c r="F448" s="8">
        <f>SUM(F447)</f>
        <v>1300</v>
      </c>
    </row>
    <row r="449" spans="1:6" s="9" customFormat="1" x14ac:dyDescent="0.25">
      <c r="C449" s="5"/>
      <c r="E449" s="10"/>
      <c r="F449" s="10"/>
    </row>
    <row r="450" spans="1:6" s="9" customFormat="1" x14ac:dyDescent="0.25">
      <c r="A450" s="9" t="s">
        <v>47</v>
      </c>
      <c r="B450" s="4">
        <v>45723</v>
      </c>
      <c r="C450" s="5">
        <v>10</v>
      </c>
      <c r="D450" s="9" t="s">
        <v>12</v>
      </c>
      <c r="E450" s="10">
        <v>140</v>
      </c>
      <c r="F450" s="10">
        <f t="shared" si="6"/>
        <v>1400</v>
      </c>
    </row>
    <row r="451" spans="1:6" s="9" customFormat="1" x14ac:dyDescent="0.25">
      <c r="C451" s="5"/>
      <c r="E451" s="10"/>
      <c r="F451" s="8">
        <f>SUM(F450)</f>
        <v>1400</v>
      </c>
    </row>
    <row r="452" spans="1:6" s="9" customFormat="1" x14ac:dyDescent="0.25">
      <c r="C452" s="5"/>
      <c r="E452" s="10"/>
      <c r="F452" s="10"/>
    </row>
    <row r="453" spans="1:6" s="9" customFormat="1" x14ac:dyDescent="0.25">
      <c r="A453" s="9" t="s">
        <v>45</v>
      </c>
      <c r="B453" s="4">
        <v>45723</v>
      </c>
      <c r="C453" s="5">
        <v>7</v>
      </c>
      <c r="D453" s="9" t="s">
        <v>14</v>
      </c>
      <c r="E453" s="10">
        <v>125</v>
      </c>
      <c r="F453" s="10">
        <f t="shared" ref="F453:F515" si="7">+C453*E453</f>
        <v>875</v>
      </c>
    </row>
    <row r="454" spans="1:6" s="9" customFormat="1" x14ac:dyDescent="0.25">
      <c r="C454" s="5"/>
      <c r="E454" s="10"/>
      <c r="F454" s="8">
        <f>SUM(F453)</f>
        <v>875</v>
      </c>
    </row>
    <row r="455" spans="1:6" s="9" customFormat="1" x14ac:dyDescent="0.25">
      <c r="C455" s="5"/>
      <c r="E455" s="10"/>
      <c r="F455" s="10"/>
    </row>
    <row r="456" spans="1:6" s="9" customFormat="1" x14ac:dyDescent="0.25">
      <c r="A456" s="9" t="s">
        <v>48</v>
      </c>
      <c r="B456" s="4">
        <v>45723</v>
      </c>
      <c r="C456" s="5">
        <v>31</v>
      </c>
      <c r="D456" s="9" t="s">
        <v>49</v>
      </c>
      <c r="E456" s="10">
        <v>130</v>
      </c>
      <c r="F456" s="10">
        <f t="shared" si="7"/>
        <v>4030</v>
      </c>
    </row>
    <row r="457" spans="1:6" s="9" customFormat="1" x14ac:dyDescent="0.25">
      <c r="C457" s="5">
        <v>200</v>
      </c>
      <c r="D457" s="9" t="s">
        <v>14</v>
      </c>
      <c r="E457" s="10">
        <v>118</v>
      </c>
      <c r="F457" s="10">
        <f t="shared" si="7"/>
        <v>23600</v>
      </c>
    </row>
    <row r="458" spans="1:6" s="9" customFormat="1" x14ac:dyDescent="0.25">
      <c r="C458" s="5">
        <v>110</v>
      </c>
      <c r="D458" s="9" t="s">
        <v>50</v>
      </c>
      <c r="E458" s="10">
        <v>83</v>
      </c>
      <c r="F458" s="10">
        <f t="shared" si="7"/>
        <v>9130</v>
      </c>
    </row>
    <row r="459" spans="1:6" s="9" customFormat="1" x14ac:dyDescent="0.25">
      <c r="C459" s="5">
        <v>42</v>
      </c>
      <c r="D459" s="9" t="s">
        <v>22</v>
      </c>
      <c r="E459" s="10">
        <v>95</v>
      </c>
      <c r="F459" s="10">
        <f t="shared" si="7"/>
        <v>3990</v>
      </c>
    </row>
    <row r="460" spans="1:6" s="9" customFormat="1" x14ac:dyDescent="0.25">
      <c r="C460" s="5"/>
      <c r="E460" s="10"/>
      <c r="F460" s="8">
        <f>SUM(F456:F459)</f>
        <v>40750</v>
      </c>
    </row>
    <row r="461" spans="1:6" s="9" customFormat="1" x14ac:dyDescent="0.25">
      <c r="C461" s="5"/>
      <c r="E461" s="10"/>
      <c r="F461" s="10"/>
    </row>
    <row r="462" spans="1:6" s="9" customFormat="1" x14ac:dyDescent="0.25">
      <c r="A462" s="9" t="s">
        <v>51</v>
      </c>
      <c r="B462" s="4">
        <v>45723</v>
      </c>
      <c r="C462" s="5">
        <v>237</v>
      </c>
      <c r="D462" s="9" t="s">
        <v>14</v>
      </c>
      <c r="E462" s="10">
        <v>118</v>
      </c>
      <c r="F462" s="10">
        <f t="shared" si="7"/>
        <v>27966</v>
      </c>
    </row>
    <row r="463" spans="1:6" s="9" customFormat="1" x14ac:dyDescent="0.25">
      <c r="C463" s="5">
        <v>91</v>
      </c>
      <c r="D463" s="9" t="s">
        <v>11</v>
      </c>
      <c r="E463" s="10">
        <v>110</v>
      </c>
      <c r="F463" s="10">
        <f t="shared" si="7"/>
        <v>10010</v>
      </c>
    </row>
    <row r="464" spans="1:6" s="9" customFormat="1" x14ac:dyDescent="0.25">
      <c r="C464" s="5"/>
      <c r="E464" s="10"/>
      <c r="F464" s="8">
        <f>SUM(F462:F463)</f>
        <v>37976</v>
      </c>
    </row>
    <row r="465" spans="1:6" s="9" customFormat="1" x14ac:dyDescent="0.25">
      <c r="C465" s="5"/>
      <c r="E465" s="10"/>
      <c r="F465" s="10"/>
    </row>
    <row r="466" spans="1:6" s="9" customFormat="1" x14ac:dyDescent="0.25">
      <c r="A466" s="9" t="s">
        <v>259</v>
      </c>
      <c r="B466" s="4">
        <v>45723</v>
      </c>
      <c r="C466" s="5">
        <v>100</v>
      </c>
      <c r="D466" s="9" t="s">
        <v>98</v>
      </c>
      <c r="E466" s="10">
        <v>85</v>
      </c>
      <c r="F466" s="10">
        <f t="shared" si="7"/>
        <v>8500</v>
      </c>
    </row>
    <row r="467" spans="1:6" s="9" customFormat="1" x14ac:dyDescent="0.25">
      <c r="C467" s="5"/>
      <c r="E467" s="10"/>
      <c r="F467" s="8">
        <f>SUM(F466)</f>
        <v>8500</v>
      </c>
    </row>
    <row r="468" spans="1:6" s="9" customFormat="1" x14ac:dyDescent="0.25">
      <c r="C468" s="5"/>
      <c r="E468" s="10"/>
      <c r="F468" s="10"/>
    </row>
    <row r="469" spans="1:6" s="9" customFormat="1" x14ac:dyDescent="0.25">
      <c r="A469" s="9" t="s">
        <v>280</v>
      </c>
      <c r="B469" s="4">
        <v>45723</v>
      </c>
      <c r="C469" s="5">
        <v>10</v>
      </c>
      <c r="D469" s="9" t="s">
        <v>13</v>
      </c>
      <c r="E469" s="10">
        <v>150</v>
      </c>
      <c r="F469" s="10">
        <f t="shared" si="7"/>
        <v>1500</v>
      </c>
    </row>
    <row r="470" spans="1:6" s="9" customFormat="1" x14ac:dyDescent="0.25">
      <c r="C470" s="5"/>
      <c r="E470" s="10"/>
      <c r="F470" s="8">
        <f>SUM(F469)</f>
        <v>1500</v>
      </c>
    </row>
    <row r="471" spans="1:6" s="9" customFormat="1" x14ac:dyDescent="0.25">
      <c r="C471" s="5"/>
      <c r="E471" s="10"/>
      <c r="F471" s="10"/>
    </row>
    <row r="472" spans="1:6" s="9" customFormat="1" x14ac:dyDescent="0.25">
      <c r="A472" s="9" t="s">
        <v>26</v>
      </c>
      <c r="B472" s="4">
        <v>45723</v>
      </c>
      <c r="C472" s="5">
        <v>120</v>
      </c>
      <c r="D472" s="9" t="s">
        <v>13</v>
      </c>
      <c r="E472" s="10">
        <v>140</v>
      </c>
      <c r="F472" s="10">
        <f t="shared" si="7"/>
        <v>16800</v>
      </c>
    </row>
    <row r="473" spans="1:6" s="9" customFormat="1" x14ac:dyDescent="0.25">
      <c r="C473" s="5">
        <v>20</v>
      </c>
      <c r="D473" s="9" t="s">
        <v>14</v>
      </c>
      <c r="E473" s="10">
        <v>135</v>
      </c>
      <c r="F473" s="10">
        <f t="shared" si="7"/>
        <v>2700</v>
      </c>
    </row>
    <row r="474" spans="1:6" s="9" customFormat="1" x14ac:dyDescent="0.25">
      <c r="C474" s="5"/>
      <c r="E474" s="10"/>
      <c r="F474" s="8">
        <f>SUM(F472:F473)</f>
        <v>19500</v>
      </c>
    </row>
    <row r="475" spans="1:6" s="9" customFormat="1" x14ac:dyDescent="0.25">
      <c r="C475" s="5"/>
      <c r="E475" s="10"/>
      <c r="F475" s="10"/>
    </row>
    <row r="476" spans="1:6" s="9" customFormat="1" x14ac:dyDescent="0.25">
      <c r="A476" s="9" t="s">
        <v>140</v>
      </c>
      <c r="B476" s="4">
        <v>45723</v>
      </c>
      <c r="C476" s="5">
        <v>150</v>
      </c>
      <c r="D476" s="9" t="s">
        <v>49</v>
      </c>
      <c r="E476" s="10">
        <v>145</v>
      </c>
      <c r="F476" s="10">
        <f t="shared" si="7"/>
        <v>21750</v>
      </c>
    </row>
    <row r="477" spans="1:6" s="9" customFormat="1" x14ac:dyDescent="0.25">
      <c r="C477" s="5">
        <v>58</v>
      </c>
      <c r="D477" s="9" t="s">
        <v>8</v>
      </c>
      <c r="E477" s="10">
        <v>155</v>
      </c>
      <c r="F477" s="10">
        <f t="shared" si="7"/>
        <v>8990</v>
      </c>
    </row>
    <row r="478" spans="1:6" s="9" customFormat="1" x14ac:dyDescent="0.25">
      <c r="C478" s="5">
        <v>200</v>
      </c>
      <c r="D478" s="9" t="s">
        <v>13</v>
      </c>
      <c r="E478" s="10">
        <v>135</v>
      </c>
      <c r="F478" s="10">
        <f t="shared" si="7"/>
        <v>27000</v>
      </c>
    </row>
    <row r="479" spans="1:6" s="9" customFormat="1" x14ac:dyDescent="0.25">
      <c r="C479" s="5">
        <v>200</v>
      </c>
      <c r="D479" s="9" t="s">
        <v>12</v>
      </c>
      <c r="E479" s="10">
        <v>125</v>
      </c>
      <c r="F479" s="10">
        <f t="shared" si="7"/>
        <v>25000</v>
      </c>
    </row>
    <row r="480" spans="1:6" s="9" customFormat="1" x14ac:dyDescent="0.25">
      <c r="C480" s="5">
        <v>100</v>
      </c>
      <c r="D480" s="9" t="s">
        <v>11</v>
      </c>
      <c r="E480" s="10">
        <v>120</v>
      </c>
      <c r="F480" s="10">
        <f t="shared" si="7"/>
        <v>12000</v>
      </c>
    </row>
    <row r="481" spans="1:6" s="9" customFormat="1" x14ac:dyDescent="0.25">
      <c r="C481" s="5"/>
      <c r="E481" s="10"/>
      <c r="F481" s="8">
        <f>SUM(F476:F480)</f>
        <v>94740</v>
      </c>
    </row>
    <row r="482" spans="1:6" s="9" customFormat="1" x14ac:dyDescent="0.25">
      <c r="C482" s="5"/>
      <c r="E482" s="10"/>
      <c r="F482" s="10"/>
    </row>
    <row r="483" spans="1:6" s="9" customFormat="1" x14ac:dyDescent="0.25">
      <c r="A483" s="9" t="s">
        <v>218</v>
      </c>
      <c r="B483" s="4">
        <v>45723</v>
      </c>
      <c r="C483" s="5">
        <v>5</v>
      </c>
      <c r="D483" s="9" t="s">
        <v>13</v>
      </c>
      <c r="E483" s="10">
        <v>150</v>
      </c>
      <c r="F483" s="10">
        <f t="shared" si="7"/>
        <v>750</v>
      </c>
    </row>
    <row r="484" spans="1:6" s="9" customFormat="1" x14ac:dyDescent="0.25">
      <c r="C484" s="5"/>
      <c r="E484" s="10"/>
      <c r="F484" s="8">
        <f>SUM(F483)</f>
        <v>750</v>
      </c>
    </row>
    <row r="485" spans="1:6" s="9" customFormat="1" x14ac:dyDescent="0.25">
      <c r="C485" s="5"/>
      <c r="E485" s="10"/>
      <c r="F485" s="10"/>
    </row>
    <row r="486" spans="1:6" s="9" customFormat="1" x14ac:dyDescent="0.25">
      <c r="A486" s="9" t="s">
        <v>76</v>
      </c>
      <c r="B486" s="4">
        <v>45723</v>
      </c>
      <c r="C486" s="5">
        <v>350</v>
      </c>
      <c r="D486" s="9" t="s">
        <v>14</v>
      </c>
      <c r="E486" s="10">
        <v>120</v>
      </c>
      <c r="F486" s="10">
        <f t="shared" si="7"/>
        <v>42000</v>
      </c>
    </row>
    <row r="487" spans="1:6" s="9" customFormat="1" x14ac:dyDescent="0.25">
      <c r="C487" s="5">
        <v>250</v>
      </c>
      <c r="D487" s="9" t="s">
        <v>13</v>
      </c>
      <c r="E487" s="10">
        <v>135</v>
      </c>
      <c r="F487" s="10">
        <f t="shared" si="7"/>
        <v>33750</v>
      </c>
    </row>
    <row r="488" spans="1:6" s="9" customFormat="1" x14ac:dyDescent="0.25">
      <c r="C488" s="5">
        <v>150</v>
      </c>
      <c r="D488" s="9" t="s">
        <v>12</v>
      </c>
      <c r="E488" s="10">
        <v>120</v>
      </c>
      <c r="F488" s="10">
        <f t="shared" si="7"/>
        <v>18000</v>
      </c>
    </row>
    <row r="489" spans="1:6" s="9" customFormat="1" x14ac:dyDescent="0.25">
      <c r="C489" s="5">
        <v>150</v>
      </c>
      <c r="D489" s="9" t="s">
        <v>11</v>
      </c>
      <c r="E489" s="10">
        <v>115</v>
      </c>
      <c r="F489" s="10">
        <f t="shared" si="7"/>
        <v>17250</v>
      </c>
    </row>
    <row r="490" spans="1:6" s="9" customFormat="1" x14ac:dyDescent="0.25">
      <c r="C490" s="5"/>
      <c r="E490" s="10"/>
      <c r="F490" s="8">
        <f>SUM(F486:F489)</f>
        <v>111000</v>
      </c>
    </row>
    <row r="491" spans="1:6" s="9" customFormat="1" x14ac:dyDescent="0.25">
      <c r="C491" s="5"/>
      <c r="E491" s="10"/>
      <c r="F491" s="10"/>
    </row>
    <row r="492" spans="1:6" s="9" customFormat="1" x14ac:dyDescent="0.25">
      <c r="A492" s="9" t="s">
        <v>112</v>
      </c>
      <c r="B492" s="4">
        <v>45723</v>
      </c>
      <c r="C492" s="5">
        <v>100</v>
      </c>
      <c r="D492" s="9" t="s">
        <v>13</v>
      </c>
      <c r="E492" s="10">
        <v>130</v>
      </c>
      <c r="F492" s="10">
        <f t="shared" si="7"/>
        <v>13000</v>
      </c>
    </row>
    <row r="493" spans="1:6" s="9" customFormat="1" x14ac:dyDescent="0.25">
      <c r="C493" s="5">
        <v>40</v>
      </c>
      <c r="D493" s="9" t="s">
        <v>8</v>
      </c>
      <c r="E493" s="10">
        <v>148</v>
      </c>
      <c r="F493" s="10">
        <f t="shared" si="7"/>
        <v>5920</v>
      </c>
    </row>
    <row r="494" spans="1:6" s="9" customFormat="1" x14ac:dyDescent="0.25">
      <c r="C494" s="5"/>
      <c r="E494" s="10"/>
      <c r="F494" s="8">
        <f>SUM(F492:F493)</f>
        <v>18920</v>
      </c>
    </row>
    <row r="495" spans="1:6" s="9" customFormat="1" x14ac:dyDescent="0.25">
      <c r="C495" s="5"/>
      <c r="E495" s="10"/>
      <c r="F495" s="10"/>
    </row>
    <row r="496" spans="1:6" s="9" customFormat="1" x14ac:dyDescent="0.25">
      <c r="A496" s="9" t="s">
        <v>66</v>
      </c>
      <c r="B496" s="4">
        <v>45723</v>
      </c>
      <c r="C496" s="5">
        <v>20</v>
      </c>
      <c r="D496" s="9" t="s">
        <v>8</v>
      </c>
      <c r="E496" s="10">
        <v>155</v>
      </c>
      <c r="F496" s="10">
        <f t="shared" si="7"/>
        <v>3100</v>
      </c>
    </row>
    <row r="497" spans="1:6" s="9" customFormat="1" x14ac:dyDescent="0.25">
      <c r="C497" s="5"/>
      <c r="E497" s="10"/>
      <c r="F497" s="8">
        <f>SUM(F496)</f>
        <v>3100</v>
      </c>
    </row>
    <row r="498" spans="1:6" s="9" customFormat="1" x14ac:dyDescent="0.25">
      <c r="C498" s="5"/>
      <c r="E498" s="10"/>
      <c r="F498" s="10"/>
    </row>
    <row r="499" spans="1:6" s="9" customFormat="1" x14ac:dyDescent="0.25">
      <c r="A499" s="9" t="s">
        <v>310</v>
      </c>
      <c r="B499" s="4">
        <v>45723</v>
      </c>
      <c r="C499" s="5">
        <v>4</v>
      </c>
      <c r="D499" s="9" t="s">
        <v>13</v>
      </c>
      <c r="E499" s="10">
        <v>145</v>
      </c>
      <c r="F499" s="10">
        <f t="shared" si="7"/>
        <v>580</v>
      </c>
    </row>
    <row r="500" spans="1:6" s="9" customFormat="1" x14ac:dyDescent="0.25">
      <c r="C500" s="5"/>
      <c r="E500" s="10"/>
      <c r="F500" s="8">
        <f>SUM(F499)</f>
        <v>580</v>
      </c>
    </row>
    <row r="501" spans="1:6" s="9" customFormat="1" x14ac:dyDescent="0.25">
      <c r="C501" s="5"/>
      <c r="E501" s="10"/>
      <c r="F501" s="10"/>
    </row>
    <row r="502" spans="1:6" s="9" customFormat="1" x14ac:dyDescent="0.25">
      <c r="A502" s="9" t="s">
        <v>184</v>
      </c>
      <c r="B502" s="4">
        <v>45723</v>
      </c>
      <c r="C502" s="5">
        <v>5</v>
      </c>
      <c r="D502" s="9" t="s">
        <v>13</v>
      </c>
      <c r="E502" s="10">
        <v>155</v>
      </c>
      <c r="F502" s="10">
        <f t="shared" si="7"/>
        <v>775</v>
      </c>
    </row>
    <row r="503" spans="1:6" s="9" customFormat="1" x14ac:dyDescent="0.25">
      <c r="C503" s="5"/>
      <c r="E503" s="10"/>
      <c r="F503" s="8">
        <f>SUM(F502)</f>
        <v>775</v>
      </c>
    </row>
    <row r="504" spans="1:6" s="9" customFormat="1" x14ac:dyDescent="0.25">
      <c r="C504" s="5"/>
      <c r="E504" s="10"/>
      <c r="F504" s="10"/>
    </row>
    <row r="505" spans="1:6" s="9" customFormat="1" x14ac:dyDescent="0.25">
      <c r="A505" s="9" t="s">
        <v>7</v>
      </c>
      <c r="B505" s="4">
        <v>45723</v>
      </c>
      <c r="C505" s="5">
        <v>1</v>
      </c>
      <c r="D505" s="9" t="s">
        <v>264</v>
      </c>
      <c r="E505" s="10">
        <v>140</v>
      </c>
      <c r="F505" s="10">
        <f t="shared" si="7"/>
        <v>140</v>
      </c>
    </row>
    <row r="506" spans="1:6" s="9" customFormat="1" x14ac:dyDescent="0.25">
      <c r="C506" s="5">
        <v>3</v>
      </c>
      <c r="D506" s="9" t="s">
        <v>9</v>
      </c>
      <c r="E506" s="10">
        <v>3.3333300000000001</v>
      </c>
      <c r="F506" s="10">
        <f t="shared" si="7"/>
        <v>9.9999900000000004</v>
      </c>
    </row>
    <row r="507" spans="1:6" s="9" customFormat="1" x14ac:dyDescent="0.25">
      <c r="C507" s="5"/>
      <c r="E507" s="10"/>
      <c r="F507" s="8">
        <f>SUM(F505:F506)</f>
        <v>149.99999</v>
      </c>
    </row>
    <row r="508" spans="1:6" s="9" customFormat="1" x14ac:dyDescent="0.25">
      <c r="C508" s="5"/>
      <c r="E508" s="10"/>
      <c r="F508" s="10"/>
    </row>
    <row r="509" spans="1:6" s="9" customFormat="1" x14ac:dyDescent="0.25">
      <c r="A509" s="9" t="s">
        <v>19</v>
      </c>
      <c r="B509" s="4">
        <v>45724</v>
      </c>
      <c r="C509" s="5">
        <v>15</v>
      </c>
      <c r="D509" s="9" t="s">
        <v>13</v>
      </c>
      <c r="E509" s="10">
        <v>140</v>
      </c>
      <c r="F509" s="10">
        <f t="shared" si="7"/>
        <v>2100</v>
      </c>
    </row>
    <row r="510" spans="1:6" s="9" customFormat="1" x14ac:dyDescent="0.25">
      <c r="C510" s="5"/>
      <c r="E510" s="10"/>
      <c r="F510" s="8">
        <f>SUM(F509)</f>
        <v>2100</v>
      </c>
    </row>
    <row r="511" spans="1:6" s="9" customFormat="1" x14ac:dyDescent="0.25">
      <c r="C511" s="5"/>
      <c r="E511" s="10"/>
      <c r="F511" s="10"/>
    </row>
    <row r="512" spans="1:6" s="9" customFormat="1" x14ac:dyDescent="0.25">
      <c r="A512" s="9" t="s">
        <v>60</v>
      </c>
      <c r="B512" s="4">
        <v>45724</v>
      </c>
      <c r="C512" s="5">
        <v>20</v>
      </c>
      <c r="D512" s="9" t="s">
        <v>13</v>
      </c>
      <c r="E512" s="10">
        <v>140</v>
      </c>
      <c r="F512" s="10">
        <f t="shared" si="7"/>
        <v>2800</v>
      </c>
    </row>
    <row r="513" spans="1:6" s="9" customFormat="1" x14ac:dyDescent="0.25">
      <c r="C513" s="5"/>
      <c r="E513" s="10"/>
      <c r="F513" s="8">
        <f>SUM(F512)</f>
        <v>2800</v>
      </c>
    </row>
    <row r="514" spans="1:6" s="9" customFormat="1" x14ac:dyDescent="0.25">
      <c r="C514" s="5"/>
      <c r="E514" s="10"/>
      <c r="F514" s="10"/>
    </row>
    <row r="515" spans="1:6" s="9" customFormat="1" x14ac:dyDescent="0.25">
      <c r="A515" s="9" t="s">
        <v>62</v>
      </c>
      <c r="B515" s="4">
        <v>45724</v>
      </c>
      <c r="C515" s="5">
        <v>40</v>
      </c>
      <c r="D515" s="9" t="s">
        <v>8</v>
      </c>
      <c r="E515" s="10">
        <v>160</v>
      </c>
      <c r="F515" s="10">
        <f t="shared" si="7"/>
        <v>6400</v>
      </c>
    </row>
    <row r="516" spans="1:6" s="9" customFormat="1" x14ac:dyDescent="0.25">
      <c r="C516" s="5"/>
      <c r="E516" s="10"/>
      <c r="F516" s="8">
        <f>SUM(F515)</f>
        <v>6400</v>
      </c>
    </row>
    <row r="517" spans="1:6" s="9" customFormat="1" x14ac:dyDescent="0.25">
      <c r="C517" s="5"/>
      <c r="E517" s="10"/>
      <c r="F517" s="10"/>
    </row>
    <row r="518" spans="1:6" s="9" customFormat="1" x14ac:dyDescent="0.25">
      <c r="A518" s="9" t="s">
        <v>53</v>
      </c>
      <c r="B518" s="4">
        <v>45724</v>
      </c>
      <c r="C518" s="5">
        <v>119</v>
      </c>
      <c r="D518" s="9" t="s">
        <v>13</v>
      </c>
      <c r="E518" s="10">
        <v>130</v>
      </c>
      <c r="F518" s="10">
        <f t="shared" ref="F518:F584" si="8">+C518*E518</f>
        <v>15470</v>
      </c>
    </row>
    <row r="519" spans="1:6" s="9" customFormat="1" x14ac:dyDescent="0.25">
      <c r="C519" s="5">
        <v>10</v>
      </c>
      <c r="D519" s="9" t="s">
        <v>8</v>
      </c>
      <c r="E519" s="10">
        <v>150</v>
      </c>
      <c r="F519" s="10">
        <f t="shared" si="8"/>
        <v>1500</v>
      </c>
    </row>
    <row r="520" spans="1:6" s="9" customFormat="1" x14ac:dyDescent="0.25">
      <c r="C520" s="5">
        <v>50</v>
      </c>
      <c r="D520" s="9" t="s">
        <v>12</v>
      </c>
      <c r="E520" s="10">
        <v>130</v>
      </c>
      <c r="F520" s="10">
        <f t="shared" si="8"/>
        <v>6500</v>
      </c>
    </row>
    <row r="521" spans="1:6" s="9" customFormat="1" x14ac:dyDescent="0.25">
      <c r="C521" s="5"/>
      <c r="E521" s="10"/>
      <c r="F521" s="8">
        <f>SUM(F518:F520)</f>
        <v>23470</v>
      </c>
    </row>
    <row r="522" spans="1:6" s="9" customFormat="1" x14ac:dyDescent="0.25">
      <c r="C522" s="5"/>
      <c r="E522" s="10"/>
      <c r="F522" s="10"/>
    </row>
    <row r="523" spans="1:6" s="9" customFormat="1" x14ac:dyDescent="0.25">
      <c r="A523" s="9" t="s">
        <v>270</v>
      </c>
      <c r="B523" s="4">
        <v>45724</v>
      </c>
      <c r="C523" s="5">
        <v>7</v>
      </c>
      <c r="D523" s="9" t="s">
        <v>36</v>
      </c>
      <c r="E523" s="10">
        <v>100</v>
      </c>
      <c r="F523" s="10">
        <f t="shared" si="8"/>
        <v>700</v>
      </c>
    </row>
    <row r="524" spans="1:6" s="9" customFormat="1" x14ac:dyDescent="0.25">
      <c r="C524" s="5"/>
      <c r="E524" s="10"/>
      <c r="F524" s="8">
        <f>SUM(F523)</f>
        <v>700</v>
      </c>
    </row>
    <row r="525" spans="1:6" s="9" customFormat="1" x14ac:dyDescent="0.25">
      <c r="C525" s="5"/>
      <c r="E525" s="10"/>
      <c r="F525" s="10"/>
    </row>
    <row r="526" spans="1:6" s="9" customFormat="1" x14ac:dyDescent="0.25">
      <c r="A526" s="9" t="s">
        <v>15</v>
      </c>
      <c r="B526" s="4">
        <v>45724</v>
      </c>
      <c r="C526" s="5">
        <v>110</v>
      </c>
      <c r="D526" s="9" t="s">
        <v>36</v>
      </c>
      <c r="E526" s="10">
        <v>85</v>
      </c>
      <c r="F526" s="10">
        <f t="shared" si="8"/>
        <v>9350</v>
      </c>
    </row>
    <row r="527" spans="1:6" s="9" customFormat="1" x14ac:dyDescent="0.25">
      <c r="C527" s="5"/>
      <c r="E527" s="10"/>
      <c r="F527" s="8">
        <f>SUM(F526)</f>
        <v>9350</v>
      </c>
    </row>
    <row r="528" spans="1:6" s="9" customFormat="1" x14ac:dyDescent="0.25">
      <c r="C528" s="5"/>
      <c r="E528" s="10"/>
      <c r="F528" s="10"/>
    </row>
    <row r="529" spans="1:6" s="9" customFormat="1" x14ac:dyDescent="0.25">
      <c r="A529" s="9" t="s">
        <v>58</v>
      </c>
      <c r="B529" s="4">
        <v>45724</v>
      </c>
      <c r="C529" s="5">
        <v>10</v>
      </c>
      <c r="D529" s="9" t="s">
        <v>13</v>
      </c>
      <c r="E529" s="10">
        <v>140</v>
      </c>
      <c r="F529" s="10">
        <f t="shared" si="8"/>
        <v>1400</v>
      </c>
    </row>
    <row r="530" spans="1:6" s="9" customFormat="1" x14ac:dyDescent="0.25">
      <c r="C530" s="5">
        <v>5</v>
      </c>
      <c r="D530" s="9" t="s">
        <v>13</v>
      </c>
      <c r="E530" s="10">
        <v>140</v>
      </c>
      <c r="F530" s="10">
        <f t="shared" si="8"/>
        <v>700</v>
      </c>
    </row>
    <row r="531" spans="1:6" s="9" customFormat="1" x14ac:dyDescent="0.25">
      <c r="C531" s="5"/>
      <c r="E531" s="10"/>
      <c r="F531" s="8">
        <f>SUM(F529:F530)</f>
        <v>2100</v>
      </c>
    </row>
    <row r="532" spans="1:6" s="9" customFormat="1" x14ac:dyDescent="0.25">
      <c r="C532" s="5"/>
      <c r="E532" s="10"/>
      <c r="F532" s="10"/>
    </row>
    <row r="533" spans="1:6" s="9" customFormat="1" x14ac:dyDescent="0.25">
      <c r="A533" s="9" t="s">
        <v>20</v>
      </c>
      <c r="B533" s="4">
        <v>45724</v>
      </c>
      <c r="C533" s="5">
        <v>30</v>
      </c>
      <c r="D533" s="9" t="s">
        <v>13</v>
      </c>
      <c r="E533" s="10">
        <v>140</v>
      </c>
      <c r="F533" s="10">
        <f t="shared" si="8"/>
        <v>4200</v>
      </c>
    </row>
    <row r="534" spans="1:6" s="9" customFormat="1" x14ac:dyDescent="0.25">
      <c r="C534" s="5"/>
      <c r="E534" s="10"/>
      <c r="F534" s="8">
        <f>SUM(F533)</f>
        <v>4200</v>
      </c>
    </row>
    <row r="535" spans="1:6" s="9" customFormat="1" x14ac:dyDescent="0.25">
      <c r="C535" s="5"/>
      <c r="E535" s="10"/>
      <c r="F535" s="10"/>
    </row>
    <row r="536" spans="1:6" s="9" customFormat="1" x14ac:dyDescent="0.25">
      <c r="A536" s="9" t="s">
        <v>17</v>
      </c>
      <c r="B536" s="4">
        <v>45724</v>
      </c>
      <c r="C536" s="5">
        <v>10</v>
      </c>
      <c r="D536" s="9" t="s">
        <v>8</v>
      </c>
      <c r="E536" s="10">
        <v>150</v>
      </c>
      <c r="F536" s="10">
        <f t="shared" si="8"/>
        <v>1500</v>
      </c>
    </row>
    <row r="537" spans="1:6" s="9" customFormat="1" x14ac:dyDescent="0.25">
      <c r="C537" s="5"/>
      <c r="E537" s="10"/>
      <c r="F537" s="8">
        <f>SUM(F536)</f>
        <v>1500</v>
      </c>
    </row>
    <row r="538" spans="1:6" s="9" customFormat="1" x14ac:dyDescent="0.25">
      <c r="C538" s="5"/>
      <c r="E538" s="10"/>
      <c r="F538" s="10"/>
    </row>
    <row r="539" spans="1:6" s="9" customFormat="1" x14ac:dyDescent="0.25">
      <c r="A539" s="9" t="s">
        <v>157</v>
      </c>
      <c r="B539" s="4">
        <v>45724</v>
      </c>
      <c r="C539" s="5">
        <v>10</v>
      </c>
      <c r="D539" s="9" t="s">
        <v>8</v>
      </c>
      <c r="E539" s="10">
        <v>150</v>
      </c>
      <c r="F539" s="10">
        <f t="shared" si="8"/>
        <v>1500</v>
      </c>
    </row>
    <row r="540" spans="1:6" s="9" customFormat="1" x14ac:dyDescent="0.25">
      <c r="C540" s="5"/>
      <c r="E540" s="10"/>
      <c r="F540" s="8">
        <f>SUM(F539)</f>
        <v>1500</v>
      </c>
    </row>
    <row r="541" spans="1:6" s="9" customFormat="1" x14ac:dyDescent="0.25">
      <c r="C541" s="5"/>
      <c r="E541" s="10"/>
      <c r="F541" s="10"/>
    </row>
    <row r="542" spans="1:6" s="9" customFormat="1" x14ac:dyDescent="0.25">
      <c r="A542" s="9" t="s">
        <v>21</v>
      </c>
      <c r="B542" s="4">
        <v>45724</v>
      </c>
      <c r="C542" s="5">
        <v>30</v>
      </c>
      <c r="D542" s="9" t="s">
        <v>13</v>
      </c>
      <c r="E542" s="10">
        <v>140</v>
      </c>
      <c r="F542" s="10">
        <f t="shared" si="8"/>
        <v>4200</v>
      </c>
    </row>
    <row r="543" spans="1:6" s="9" customFormat="1" x14ac:dyDescent="0.25">
      <c r="C543" s="5">
        <v>10</v>
      </c>
      <c r="D543" s="9" t="s">
        <v>14</v>
      </c>
      <c r="E543" s="10">
        <v>130</v>
      </c>
      <c r="F543" s="10">
        <f t="shared" si="8"/>
        <v>1300</v>
      </c>
    </row>
    <row r="544" spans="1:6" s="9" customFormat="1" x14ac:dyDescent="0.25">
      <c r="C544" s="5">
        <v>20</v>
      </c>
      <c r="D544" s="9" t="s">
        <v>12</v>
      </c>
      <c r="E544" s="10">
        <v>125</v>
      </c>
      <c r="F544" s="10">
        <f t="shared" si="8"/>
        <v>2500</v>
      </c>
    </row>
    <row r="545" spans="1:6" s="9" customFormat="1" x14ac:dyDescent="0.25">
      <c r="C545" s="5"/>
      <c r="E545" s="10"/>
      <c r="F545" s="8">
        <f>SUM(F542:F544)</f>
        <v>8000</v>
      </c>
    </row>
    <row r="546" spans="1:6" s="9" customFormat="1" x14ac:dyDescent="0.25">
      <c r="C546" s="5"/>
      <c r="E546" s="10"/>
      <c r="F546" s="10"/>
    </row>
    <row r="547" spans="1:6" s="9" customFormat="1" x14ac:dyDescent="0.25">
      <c r="A547" s="9" t="s">
        <v>57</v>
      </c>
      <c r="B547" s="4">
        <v>45724</v>
      </c>
      <c r="C547" s="5">
        <v>10</v>
      </c>
      <c r="D547" s="9" t="s">
        <v>13</v>
      </c>
      <c r="E547" s="10">
        <v>140</v>
      </c>
      <c r="F547" s="10">
        <f t="shared" si="8"/>
        <v>1400</v>
      </c>
    </row>
    <row r="548" spans="1:6" s="9" customFormat="1" x14ac:dyDescent="0.25">
      <c r="C548" s="5"/>
      <c r="E548" s="10"/>
      <c r="F548" s="8">
        <f>SUM(F547)</f>
        <v>1400</v>
      </c>
    </row>
    <row r="549" spans="1:6" s="9" customFormat="1" x14ac:dyDescent="0.25">
      <c r="C549" s="5"/>
      <c r="E549" s="10"/>
      <c r="F549" s="10"/>
    </row>
    <row r="550" spans="1:6" s="9" customFormat="1" x14ac:dyDescent="0.25">
      <c r="A550" s="9" t="s">
        <v>40</v>
      </c>
      <c r="B550" s="4">
        <v>45724</v>
      </c>
      <c r="C550" s="5">
        <v>5</v>
      </c>
      <c r="D550" s="9" t="s">
        <v>13</v>
      </c>
      <c r="E550" s="10">
        <v>140</v>
      </c>
      <c r="F550" s="10">
        <f t="shared" si="8"/>
        <v>700</v>
      </c>
    </row>
    <row r="551" spans="1:6" s="9" customFormat="1" x14ac:dyDescent="0.25">
      <c r="C551" s="5">
        <v>5</v>
      </c>
      <c r="D551" s="9" t="s">
        <v>14</v>
      </c>
      <c r="E551" s="10">
        <v>130</v>
      </c>
      <c r="F551" s="10">
        <f t="shared" si="8"/>
        <v>650</v>
      </c>
    </row>
    <row r="552" spans="1:6" s="9" customFormat="1" x14ac:dyDescent="0.25">
      <c r="C552" s="5">
        <v>10</v>
      </c>
      <c r="D552" s="9" t="s">
        <v>11</v>
      </c>
      <c r="E552" s="10">
        <v>120</v>
      </c>
      <c r="F552" s="10">
        <f t="shared" si="8"/>
        <v>1200</v>
      </c>
    </row>
    <row r="553" spans="1:6" s="9" customFormat="1" x14ac:dyDescent="0.25">
      <c r="C553" s="5">
        <v>15</v>
      </c>
      <c r="D553" s="9" t="s">
        <v>22</v>
      </c>
      <c r="E553" s="10">
        <v>110</v>
      </c>
      <c r="F553" s="10">
        <f t="shared" si="8"/>
        <v>1650</v>
      </c>
    </row>
    <row r="554" spans="1:6" s="9" customFormat="1" x14ac:dyDescent="0.25">
      <c r="C554" s="5"/>
      <c r="E554" s="10"/>
      <c r="F554" s="8">
        <f>SUM(F550:F553)</f>
        <v>4200</v>
      </c>
    </row>
    <row r="555" spans="1:6" s="9" customFormat="1" x14ac:dyDescent="0.25">
      <c r="C555" s="5"/>
      <c r="E555" s="10"/>
      <c r="F555" s="10"/>
    </row>
    <row r="556" spans="1:6" s="9" customFormat="1" x14ac:dyDescent="0.25">
      <c r="A556" s="9" t="s">
        <v>7</v>
      </c>
      <c r="B556" s="4">
        <v>45724</v>
      </c>
      <c r="C556" s="5">
        <v>5</v>
      </c>
      <c r="D556" s="9" t="s">
        <v>13</v>
      </c>
      <c r="E556" s="10">
        <v>140</v>
      </c>
      <c r="F556" s="10">
        <f t="shared" si="8"/>
        <v>700</v>
      </c>
    </row>
    <row r="557" spans="1:6" s="9" customFormat="1" x14ac:dyDescent="0.25">
      <c r="C557" s="5">
        <v>2</v>
      </c>
      <c r="D557" s="9" t="s">
        <v>13</v>
      </c>
      <c r="E557" s="10">
        <v>150</v>
      </c>
      <c r="F557" s="10">
        <f t="shared" si="8"/>
        <v>300</v>
      </c>
    </row>
    <row r="558" spans="1:6" s="9" customFormat="1" x14ac:dyDescent="0.25">
      <c r="C558" s="5"/>
      <c r="E558" s="10"/>
      <c r="F558" s="8">
        <f>SUM(F556:F557)</f>
        <v>1000</v>
      </c>
    </row>
    <row r="559" spans="1:6" s="9" customFormat="1" x14ac:dyDescent="0.25">
      <c r="C559" s="5"/>
      <c r="E559" s="10"/>
      <c r="F559" s="10"/>
    </row>
    <row r="560" spans="1:6" s="9" customFormat="1" x14ac:dyDescent="0.25">
      <c r="A560" s="9" t="s">
        <v>37</v>
      </c>
      <c r="B560" s="4">
        <v>45724</v>
      </c>
      <c r="C560" s="5">
        <v>15</v>
      </c>
      <c r="D560" s="9" t="s">
        <v>12</v>
      </c>
      <c r="E560" s="10">
        <v>130</v>
      </c>
      <c r="F560" s="10">
        <f t="shared" si="8"/>
        <v>1950</v>
      </c>
    </row>
    <row r="561" spans="1:6" s="9" customFormat="1" x14ac:dyDescent="0.25">
      <c r="C561" s="5"/>
      <c r="E561" s="10"/>
      <c r="F561" s="8">
        <f>SUM(F560)</f>
        <v>1950</v>
      </c>
    </row>
    <row r="562" spans="1:6" s="9" customFormat="1" x14ac:dyDescent="0.25">
      <c r="C562" s="5"/>
      <c r="E562" s="10"/>
      <c r="F562" s="10"/>
    </row>
    <row r="563" spans="1:6" s="9" customFormat="1" x14ac:dyDescent="0.25">
      <c r="A563" s="9" t="s">
        <v>65</v>
      </c>
      <c r="B563" s="4">
        <v>45724</v>
      </c>
      <c r="C563" s="5">
        <v>1760</v>
      </c>
      <c r="D563" s="9" t="s">
        <v>12</v>
      </c>
      <c r="E563" s="10">
        <v>125</v>
      </c>
      <c r="F563" s="10">
        <f t="shared" si="8"/>
        <v>220000</v>
      </c>
    </row>
    <row r="564" spans="1:6" s="9" customFormat="1" x14ac:dyDescent="0.25">
      <c r="C564" s="5">
        <v>400</v>
      </c>
      <c r="D564" s="9" t="s">
        <v>11</v>
      </c>
      <c r="E564" s="10">
        <v>125</v>
      </c>
      <c r="F564" s="10">
        <f t="shared" si="8"/>
        <v>50000</v>
      </c>
    </row>
    <row r="565" spans="1:6" s="9" customFormat="1" x14ac:dyDescent="0.25">
      <c r="C565" s="5">
        <v>193</v>
      </c>
      <c r="D565" s="9" t="s">
        <v>22</v>
      </c>
      <c r="E565" s="10">
        <v>115</v>
      </c>
      <c r="F565" s="10">
        <f t="shared" si="8"/>
        <v>22195</v>
      </c>
    </row>
    <row r="566" spans="1:6" s="9" customFormat="1" x14ac:dyDescent="0.25">
      <c r="C566" s="5"/>
      <c r="E566" s="10"/>
      <c r="F566" s="8">
        <f>SUM(F563:F565)</f>
        <v>292195</v>
      </c>
    </row>
    <row r="567" spans="1:6" s="9" customFormat="1" x14ac:dyDescent="0.25">
      <c r="C567" s="5"/>
      <c r="E567" s="10"/>
      <c r="F567" s="10"/>
    </row>
    <row r="568" spans="1:6" s="9" customFormat="1" x14ac:dyDescent="0.25">
      <c r="A568" s="9" t="s">
        <v>101</v>
      </c>
      <c r="B568" s="4">
        <v>45724</v>
      </c>
      <c r="C568" s="5">
        <v>1</v>
      </c>
      <c r="D568" s="9" t="s">
        <v>13</v>
      </c>
      <c r="E568" s="10">
        <v>140</v>
      </c>
      <c r="F568" s="10">
        <f t="shared" si="8"/>
        <v>140</v>
      </c>
    </row>
    <row r="569" spans="1:6" s="9" customFormat="1" x14ac:dyDescent="0.25">
      <c r="C569" s="5">
        <v>3</v>
      </c>
      <c r="D569" s="9" t="s">
        <v>13</v>
      </c>
      <c r="E569" s="10">
        <v>140</v>
      </c>
      <c r="F569" s="10">
        <f t="shared" si="8"/>
        <v>420</v>
      </c>
    </row>
    <row r="570" spans="1:6" s="9" customFormat="1" x14ac:dyDescent="0.25">
      <c r="C570" s="5"/>
      <c r="E570" s="10"/>
      <c r="F570" s="8">
        <f>SUM(F568:F569)</f>
        <v>560</v>
      </c>
    </row>
    <row r="571" spans="1:6" s="9" customFormat="1" x14ac:dyDescent="0.25">
      <c r="C571" s="5"/>
      <c r="E571" s="10"/>
      <c r="F571" s="10"/>
    </row>
    <row r="572" spans="1:6" s="9" customFormat="1" x14ac:dyDescent="0.25">
      <c r="A572" s="9" t="s">
        <v>7</v>
      </c>
      <c r="B572" s="4">
        <v>45724</v>
      </c>
      <c r="C572" s="11">
        <v>0.5</v>
      </c>
      <c r="D572" s="9" t="s">
        <v>49</v>
      </c>
      <c r="E572" s="10">
        <v>170</v>
      </c>
      <c r="F572" s="10">
        <f t="shared" si="8"/>
        <v>85</v>
      </c>
    </row>
    <row r="573" spans="1:6" s="9" customFormat="1" x14ac:dyDescent="0.25">
      <c r="C573" s="5">
        <v>14</v>
      </c>
      <c r="D573" s="9" t="s">
        <v>168</v>
      </c>
      <c r="E573" s="10">
        <v>140</v>
      </c>
      <c r="F573" s="10">
        <f t="shared" si="8"/>
        <v>1960</v>
      </c>
    </row>
    <row r="574" spans="1:6" s="9" customFormat="1" x14ac:dyDescent="0.25">
      <c r="C574" s="5">
        <v>1</v>
      </c>
      <c r="D574" s="9" t="s">
        <v>8</v>
      </c>
      <c r="E574" s="10">
        <v>170</v>
      </c>
      <c r="F574" s="10">
        <f t="shared" si="8"/>
        <v>170</v>
      </c>
    </row>
    <row r="575" spans="1:6" s="9" customFormat="1" x14ac:dyDescent="0.25">
      <c r="C575" s="5">
        <v>1</v>
      </c>
      <c r="D575" s="9" t="s">
        <v>154</v>
      </c>
      <c r="E575" s="10">
        <v>150</v>
      </c>
      <c r="F575" s="10">
        <f t="shared" si="8"/>
        <v>150</v>
      </c>
    </row>
    <row r="576" spans="1:6" s="9" customFormat="1" x14ac:dyDescent="0.25">
      <c r="C576" s="5"/>
      <c r="E576" s="10"/>
      <c r="F576" s="8">
        <f>SUM(F572:F575)</f>
        <v>2365</v>
      </c>
    </row>
    <row r="577" spans="1:6" s="9" customFormat="1" x14ac:dyDescent="0.25">
      <c r="C577" s="5"/>
      <c r="E577" s="10"/>
      <c r="F577" s="10"/>
    </row>
    <row r="578" spans="1:6" s="9" customFormat="1" x14ac:dyDescent="0.25">
      <c r="A578" s="9" t="s">
        <v>72</v>
      </c>
      <c r="B578" s="4">
        <v>45725</v>
      </c>
      <c r="C578" s="5">
        <v>200</v>
      </c>
      <c r="D578" s="9" t="s">
        <v>13</v>
      </c>
      <c r="E578" s="10">
        <v>130</v>
      </c>
      <c r="F578" s="10">
        <f>+C578*E578</f>
        <v>26000</v>
      </c>
    </row>
    <row r="579" spans="1:6" s="9" customFormat="1" x14ac:dyDescent="0.25">
      <c r="C579" s="5">
        <v>200</v>
      </c>
      <c r="D579" s="9" t="s">
        <v>12</v>
      </c>
      <c r="E579" s="10">
        <v>125</v>
      </c>
      <c r="F579" s="10">
        <f t="shared" si="8"/>
        <v>25000</v>
      </c>
    </row>
    <row r="580" spans="1:6" s="9" customFormat="1" x14ac:dyDescent="0.25">
      <c r="C580" s="5">
        <v>100</v>
      </c>
      <c r="D580" s="9" t="s">
        <v>11</v>
      </c>
      <c r="E580" s="10">
        <v>120</v>
      </c>
      <c r="F580" s="10">
        <f t="shared" si="8"/>
        <v>12000</v>
      </c>
    </row>
    <row r="581" spans="1:6" s="9" customFormat="1" x14ac:dyDescent="0.25">
      <c r="C581" s="5"/>
      <c r="E581" s="10"/>
      <c r="F581" s="8">
        <f>SUM(F578:F580)</f>
        <v>63000</v>
      </c>
    </row>
    <row r="582" spans="1:6" s="9" customFormat="1" x14ac:dyDescent="0.25">
      <c r="C582" s="5"/>
      <c r="E582" s="10"/>
      <c r="F582" s="10"/>
    </row>
    <row r="583" spans="1:6" s="9" customFormat="1" x14ac:dyDescent="0.25">
      <c r="A583" s="9" t="s">
        <v>311</v>
      </c>
      <c r="B583" s="4">
        <v>45725</v>
      </c>
      <c r="C583" s="5">
        <v>2</v>
      </c>
      <c r="D583" s="9" t="s">
        <v>22</v>
      </c>
      <c r="E583" s="10">
        <v>120</v>
      </c>
      <c r="F583" s="10">
        <f t="shared" si="8"/>
        <v>240</v>
      </c>
    </row>
    <row r="584" spans="1:6" s="9" customFormat="1" x14ac:dyDescent="0.25">
      <c r="C584" s="5">
        <v>9</v>
      </c>
      <c r="D584" s="9" t="s">
        <v>12</v>
      </c>
      <c r="E584" s="10">
        <v>150</v>
      </c>
      <c r="F584" s="10">
        <f t="shared" si="8"/>
        <v>1350</v>
      </c>
    </row>
    <row r="585" spans="1:6" s="9" customFormat="1" x14ac:dyDescent="0.25">
      <c r="C585" s="5"/>
      <c r="E585" s="10"/>
      <c r="F585" s="8">
        <f>SUM(F583:F584)</f>
        <v>1590</v>
      </c>
    </row>
    <row r="586" spans="1:6" s="9" customFormat="1" x14ac:dyDescent="0.25">
      <c r="C586" s="5"/>
      <c r="E586" s="10"/>
      <c r="F586" s="10"/>
    </row>
    <row r="587" spans="1:6" s="9" customFormat="1" x14ac:dyDescent="0.25">
      <c r="A587" s="9" t="s">
        <v>32</v>
      </c>
      <c r="B587" s="4">
        <v>45725</v>
      </c>
      <c r="C587" s="5">
        <v>40</v>
      </c>
      <c r="D587" s="9" t="s">
        <v>13</v>
      </c>
      <c r="E587" s="10">
        <v>140</v>
      </c>
      <c r="F587" s="10">
        <f t="shared" ref="F587:F648" si="9">+C587*E587</f>
        <v>5600</v>
      </c>
    </row>
    <row r="588" spans="1:6" s="9" customFormat="1" x14ac:dyDescent="0.25">
      <c r="C588" s="5">
        <v>10</v>
      </c>
      <c r="D588" s="9" t="s">
        <v>14</v>
      </c>
      <c r="E588" s="10">
        <v>140</v>
      </c>
      <c r="F588" s="10">
        <f t="shared" si="9"/>
        <v>1400</v>
      </c>
    </row>
    <row r="589" spans="1:6" s="9" customFormat="1" x14ac:dyDescent="0.25">
      <c r="C589" s="5"/>
      <c r="E589" s="10"/>
      <c r="F589" s="8">
        <f>SUM(F587:F588)</f>
        <v>7000</v>
      </c>
    </row>
    <row r="590" spans="1:6" s="9" customFormat="1" x14ac:dyDescent="0.25">
      <c r="C590" s="5"/>
      <c r="E590" s="10"/>
      <c r="F590" s="10"/>
    </row>
    <row r="591" spans="1:6" s="9" customFormat="1" x14ac:dyDescent="0.25">
      <c r="A591" s="9" t="s">
        <v>201</v>
      </c>
      <c r="B591" s="4">
        <v>45725</v>
      </c>
      <c r="C591" s="5">
        <v>5</v>
      </c>
      <c r="D591" s="9" t="s">
        <v>13</v>
      </c>
      <c r="E591" s="10">
        <v>140</v>
      </c>
      <c r="F591" s="10">
        <f t="shared" si="9"/>
        <v>700</v>
      </c>
    </row>
    <row r="592" spans="1:6" s="9" customFormat="1" x14ac:dyDescent="0.25">
      <c r="C592" s="5"/>
      <c r="E592" s="10"/>
      <c r="F592" s="8">
        <f>SUM(F591)</f>
        <v>700</v>
      </c>
    </row>
    <row r="593" spans="1:7" s="9" customFormat="1" x14ac:dyDescent="0.25">
      <c r="C593" s="5"/>
      <c r="E593" s="10"/>
      <c r="F593" s="10"/>
      <c r="G593" s="9">
        <v>0</v>
      </c>
    </row>
    <row r="594" spans="1:7" s="9" customFormat="1" x14ac:dyDescent="0.25">
      <c r="A594" s="9" t="s">
        <v>103</v>
      </c>
      <c r="B594" s="4">
        <v>45725</v>
      </c>
      <c r="C594" s="5">
        <v>3</v>
      </c>
      <c r="D594" s="9" t="s">
        <v>13</v>
      </c>
      <c r="E594" s="10">
        <v>150</v>
      </c>
      <c r="F594" s="10">
        <f t="shared" si="9"/>
        <v>450</v>
      </c>
    </row>
    <row r="595" spans="1:7" s="9" customFormat="1" x14ac:dyDescent="0.25">
      <c r="C595" s="5"/>
      <c r="E595" s="10"/>
      <c r="F595" s="8">
        <f>SUM(F594)</f>
        <v>450</v>
      </c>
    </row>
    <row r="596" spans="1:7" s="9" customFormat="1" x14ac:dyDescent="0.25">
      <c r="C596" s="5"/>
      <c r="E596" s="10"/>
      <c r="F596" s="10"/>
    </row>
    <row r="597" spans="1:7" s="9" customFormat="1" x14ac:dyDescent="0.25">
      <c r="A597" s="9" t="s">
        <v>312</v>
      </c>
      <c r="B597" s="4">
        <v>45725</v>
      </c>
      <c r="C597" s="5">
        <v>95</v>
      </c>
      <c r="D597" s="9" t="s">
        <v>13</v>
      </c>
      <c r="E597" s="10">
        <v>140</v>
      </c>
      <c r="F597" s="10">
        <f t="shared" si="9"/>
        <v>13300</v>
      </c>
    </row>
    <row r="598" spans="1:7" s="9" customFormat="1" x14ac:dyDescent="0.25">
      <c r="C598" s="5">
        <v>4</v>
      </c>
      <c r="D598" s="9" t="s">
        <v>8</v>
      </c>
      <c r="E598" s="10">
        <v>150</v>
      </c>
      <c r="F598" s="10">
        <f t="shared" si="9"/>
        <v>600</v>
      </c>
    </row>
    <row r="599" spans="1:7" s="9" customFormat="1" x14ac:dyDescent="0.25">
      <c r="C599" s="5"/>
      <c r="E599" s="10"/>
      <c r="F599" s="8">
        <f>SUM(F597:F598)</f>
        <v>13900</v>
      </c>
    </row>
    <row r="600" spans="1:7" s="9" customFormat="1" x14ac:dyDescent="0.25">
      <c r="C600" s="5"/>
      <c r="E600" s="10"/>
      <c r="F600" s="10"/>
    </row>
    <row r="601" spans="1:7" s="9" customFormat="1" x14ac:dyDescent="0.25">
      <c r="A601" s="9" t="s">
        <v>29</v>
      </c>
      <c r="B601" s="4">
        <v>45725</v>
      </c>
      <c r="C601" s="5">
        <v>5</v>
      </c>
      <c r="D601" s="9" t="s">
        <v>13</v>
      </c>
      <c r="E601" s="10">
        <v>140</v>
      </c>
      <c r="F601" s="10">
        <f t="shared" si="9"/>
        <v>700</v>
      </c>
    </row>
    <row r="602" spans="1:7" s="9" customFormat="1" x14ac:dyDescent="0.25">
      <c r="C602" s="5"/>
      <c r="E602" s="10"/>
      <c r="F602" s="8">
        <f>SUM(F601)</f>
        <v>700</v>
      </c>
    </row>
    <row r="603" spans="1:7" s="9" customFormat="1" x14ac:dyDescent="0.25">
      <c r="C603" s="5"/>
      <c r="E603" s="10"/>
      <c r="F603" s="10"/>
    </row>
    <row r="604" spans="1:7" s="9" customFormat="1" x14ac:dyDescent="0.25">
      <c r="A604" s="9" t="s">
        <v>20</v>
      </c>
      <c r="B604" s="4">
        <v>45726</v>
      </c>
      <c r="C604" s="5">
        <v>10</v>
      </c>
      <c r="D604" s="9" t="s">
        <v>13</v>
      </c>
      <c r="E604" s="10">
        <v>140</v>
      </c>
      <c r="F604" s="10">
        <f t="shared" si="9"/>
        <v>1400</v>
      </c>
    </row>
    <row r="605" spans="1:7" s="9" customFormat="1" x14ac:dyDescent="0.25">
      <c r="C605" s="5"/>
      <c r="E605" s="10"/>
      <c r="F605" s="8">
        <f>SUM(F604)</f>
        <v>1400</v>
      </c>
    </row>
    <row r="606" spans="1:7" s="9" customFormat="1" x14ac:dyDescent="0.25">
      <c r="C606" s="5"/>
      <c r="E606" s="10"/>
      <c r="F606" s="10"/>
    </row>
    <row r="607" spans="1:7" s="9" customFormat="1" x14ac:dyDescent="0.25">
      <c r="A607" s="9" t="s">
        <v>148</v>
      </c>
      <c r="B607" s="4">
        <v>45726</v>
      </c>
      <c r="C607" s="5">
        <v>15</v>
      </c>
      <c r="D607" s="9" t="s">
        <v>13</v>
      </c>
      <c r="E607" s="10">
        <v>140</v>
      </c>
      <c r="F607" s="10">
        <f t="shared" si="9"/>
        <v>2100</v>
      </c>
    </row>
    <row r="608" spans="1:7" s="9" customFormat="1" x14ac:dyDescent="0.25">
      <c r="C608" s="5">
        <v>5</v>
      </c>
      <c r="D608" s="9" t="s">
        <v>14</v>
      </c>
      <c r="E608" s="10">
        <v>130</v>
      </c>
      <c r="F608" s="10">
        <f t="shared" si="9"/>
        <v>650</v>
      </c>
    </row>
    <row r="609" spans="1:6" s="9" customFormat="1" x14ac:dyDescent="0.25">
      <c r="C609" s="5"/>
      <c r="E609" s="10"/>
      <c r="F609" s="8">
        <f>SUM(F607:F608)</f>
        <v>2750</v>
      </c>
    </row>
    <row r="610" spans="1:6" s="9" customFormat="1" x14ac:dyDescent="0.25">
      <c r="C610" s="5"/>
      <c r="E610" s="10"/>
      <c r="F610" s="10"/>
    </row>
    <row r="611" spans="1:6" s="9" customFormat="1" x14ac:dyDescent="0.25">
      <c r="A611" s="9" t="s">
        <v>23</v>
      </c>
      <c r="B611" s="4">
        <v>45726</v>
      </c>
      <c r="C611" s="5">
        <v>12</v>
      </c>
      <c r="D611" s="9" t="s">
        <v>13</v>
      </c>
      <c r="E611" s="10">
        <v>140</v>
      </c>
      <c r="F611" s="10">
        <f t="shared" si="9"/>
        <v>1680</v>
      </c>
    </row>
    <row r="612" spans="1:6" s="9" customFormat="1" x14ac:dyDescent="0.25">
      <c r="C612" s="5">
        <v>10</v>
      </c>
      <c r="D612" s="9" t="s">
        <v>14</v>
      </c>
      <c r="E612" s="10">
        <v>130</v>
      </c>
      <c r="F612" s="10">
        <f t="shared" si="9"/>
        <v>1300</v>
      </c>
    </row>
    <row r="613" spans="1:6" s="9" customFormat="1" x14ac:dyDescent="0.25">
      <c r="C613" s="5"/>
      <c r="E613" s="10"/>
      <c r="F613" s="8">
        <f>SUM(F611:F612)</f>
        <v>2980</v>
      </c>
    </row>
    <row r="614" spans="1:6" s="9" customFormat="1" x14ac:dyDescent="0.25">
      <c r="C614" s="5"/>
      <c r="E614" s="10"/>
      <c r="F614" s="10"/>
    </row>
    <row r="615" spans="1:6" s="9" customFormat="1" x14ac:dyDescent="0.25">
      <c r="A615" s="9" t="s">
        <v>58</v>
      </c>
      <c r="B615" s="4">
        <v>45726</v>
      </c>
      <c r="C615" s="5">
        <v>5</v>
      </c>
      <c r="D615" s="9" t="s">
        <v>13</v>
      </c>
      <c r="E615" s="10">
        <v>140</v>
      </c>
      <c r="F615" s="10">
        <f t="shared" si="9"/>
        <v>700</v>
      </c>
    </row>
    <row r="616" spans="1:6" s="9" customFormat="1" x14ac:dyDescent="0.25">
      <c r="C616" s="5"/>
      <c r="E616" s="10"/>
      <c r="F616" s="8">
        <f>SUM(F615)</f>
        <v>700</v>
      </c>
    </row>
    <row r="617" spans="1:6" s="9" customFormat="1" x14ac:dyDescent="0.25">
      <c r="C617" s="5"/>
      <c r="E617" s="10"/>
      <c r="F617" s="10"/>
    </row>
    <row r="618" spans="1:6" s="9" customFormat="1" x14ac:dyDescent="0.25">
      <c r="A618" s="9" t="s">
        <v>40</v>
      </c>
      <c r="B618" s="4">
        <v>45726</v>
      </c>
      <c r="C618" s="5">
        <v>11</v>
      </c>
      <c r="D618" s="9" t="s">
        <v>13</v>
      </c>
      <c r="E618" s="10">
        <v>140</v>
      </c>
      <c r="F618" s="10">
        <f t="shared" si="9"/>
        <v>1540</v>
      </c>
    </row>
    <row r="619" spans="1:6" s="9" customFormat="1" x14ac:dyDescent="0.25">
      <c r="C619" s="5">
        <v>10</v>
      </c>
      <c r="D619" s="9" t="s">
        <v>11</v>
      </c>
      <c r="E619" s="10">
        <v>120</v>
      </c>
      <c r="F619" s="10">
        <f t="shared" si="9"/>
        <v>1200</v>
      </c>
    </row>
    <row r="620" spans="1:6" s="9" customFormat="1" x14ac:dyDescent="0.25">
      <c r="C620" s="5">
        <v>5</v>
      </c>
      <c r="D620" s="9" t="s">
        <v>14</v>
      </c>
      <c r="E620" s="10">
        <v>130</v>
      </c>
      <c r="F620" s="10">
        <f t="shared" si="9"/>
        <v>650</v>
      </c>
    </row>
    <row r="621" spans="1:6" s="9" customFormat="1" x14ac:dyDescent="0.25">
      <c r="C621" s="5"/>
      <c r="E621" s="10"/>
      <c r="F621" s="8">
        <f>SUM(F618:F620)</f>
        <v>3390</v>
      </c>
    </row>
    <row r="622" spans="1:6" s="9" customFormat="1" x14ac:dyDescent="0.25">
      <c r="C622" s="5"/>
      <c r="E622" s="10"/>
      <c r="F622" s="10"/>
    </row>
    <row r="623" spans="1:6" s="9" customFormat="1" x14ac:dyDescent="0.25">
      <c r="A623" s="9" t="s">
        <v>79</v>
      </c>
      <c r="B623" s="4">
        <v>45726</v>
      </c>
      <c r="C623" s="5">
        <v>25</v>
      </c>
      <c r="D623" s="9" t="s">
        <v>13</v>
      </c>
      <c r="E623" s="10">
        <v>140</v>
      </c>
      <c r="F623" s="10">
        <f t="shared" si="9"/>
        <v>3500</v>
      </c>
    </row>
    <row r="624" spans="1:6" s="9" customFormat="1" x14ac:dyDescent="0.25">
      <c r="C624" s="5"/>
      <c r="E624" s="10"/>
      <c r="F624" s="8">
        <f>SUM(F623)</f>
        <v>3500</v>
      </c>
    </row>
    <row r="625" spans="1:6" s="9" customFormat="1" x14ac:dyDescent="0.25">
      <c r="C625" s="5"/>
      <c r="E625" s="10"/>
      <c r="F625" s="10"/>
    </row>
    <row r="626" spans="1:6" s="9" customFormat="1" x14ac:dyDescent="0.25">
      <c r="A626" s="9" t="s">
        <v>7</v>
      </c>
      <c r="B626" s="4">
        <v>45726</v>
      </c>
      <c r="C626" s="5">
        <v>2</v>
      </c>
      <c r="D626" s="9" t="s">
        <v>275</v>
      </c>
      <c r="E626" s="10">
        <v>100</v>
      </c>
      <c r="F626" s="10">
        <f t="shared" si="9"/>
        <v>200</v>
      </c>
    </row>
    <row r="627" spans="1:6" s="9" customFormat="1" x14ac:dyDescent="0.25">
      <c r="C627" s="5">
        <v>6</v>
      </c>
      <c r="D627" s="9" t="s">
        <v>13</v>
      </c>
      <c r="E627" s="10">
        <v>140</v>
      </c>
      <c r="F627" s="10">
        <f t="shared" si="9"/>
        <v>840</v>
      </c>
    </row>
    <row r="628" spans="1:6" s="9" customFormat="1" x14ac:dyDescent="0.25">
      <c r="C628" s="5"/>
      <c r="E628" s="10"/>
      <c r="F628" s="8">
        <f>SUM(F626:F627)</f>
        <v>1040</v>
      </c>
    </row>
    <row r="629" spans="1:6" s="9" customFormat="1" x14ac:dyDescent="0.25">
      <c r="C629" s="5"/>
      <c r="E629" s="10"/>
      <c r="F629" s="10"/>
    </row>
    <row r="630" spans="1:6" s="9" customFormat="1" x14ac:dyDescent="0.25">
      <c r="A630" s="9" t="s">
        <v>44</v>
      </c>
      <c r="B630" s="4">
        <v>45726</v>
      </c>
      <c r="C630" s="5">
        <v>10</v>
      </c>
      <c r="D630" s="9" t="s">
        <v>13</v>
      </c>
      <c r="E630" s="10">
        <v>140</v>
      </c>
      <c r="F630" s="10">
        <f t="shared" si="9"/>
        <v>1400</v>
      </c>
    </row>
    <row r="631" spans="1:6" s="9" customFormat="1" x14ac:dyDescent="0.25">
      <c r="C631" s="5"/>
      <c r="E631" s="10"/>
      <c r="F631" s="8">
        <f>SUM(F630)</f>
        <v>1400</v>
      </c>
    </row>
    <row r="632" spans="1:6" s="9" customFormat="1" x14ac:dyDescent="0.25">
      <c r="C632" s="5"/>
      <c r="E632" s="10"/>
      <c r="F632" s="10"/>
    </row>
    <row r="633" spans="1:6" s="9" customFormat="1" x14ac:dyDescent="0.25">
      <c r="A633" s="9" t="s">
        <v>15</v>
      </c>
      <c r="B633" s="4">
        <v>45726</v>
      </c>
      <c r="C633" s="5">
        <v>50</v>
      </c>
      <c r="D633" s="9" t="s">
        <v>98</v>
      </c>
      <c r="E633" s="10">
        <v>85</v>
      </c>
      <c r="F633" s="10">
        <f>+C633*E633</f>
        <v>4250</v>
      </c>
    </row>
    <row r="634" spans="1:6" s="9" customFormat="1" x14ac:dyDescent="0.25">
      <c r="C634" s="5"/>
      <c r="E634" s="10"/>
      <c r="F634" s="8">
        <f>SUM(F633)</f>
        <v>4250</v>
      </c>
    </row>
    <row r="635" spans="1:6" s="9" customFormat="1" x14ac:dyDescent="0.25">
      <c r="C635" s="5"/>
      <c r="E635" s="10"/>
      <c r="F635" s="10"/>
    </row>
    <row r="636" spans="1:6" s="9" customFormat="1" x14ac:dyDescent="0.25">
      <c r="A636" s="9" t="s">
        <v>270</v>
      </c>
      <c r="B636" s="4">
        <v>45726</v>
      </c>
      <c r="C636" s="5">
        <v>6</v>
      </c>
      <c r="D636" s="9" t="s">
        <v>98</v>
      </c>
      <c r="E636" s="10">
        <v>100</v>
      </c>
      <c r="F636" s="10">
        <f t="shared" si="9"/>
        <v>600</v>
      </c>
    </row>
    <row r="637" spans="1:6" s="9" customFormat="1" x14ac:dyDescent="0.25">
      <c r="C637" s="5"/>
      <c r="E637" s="10"/>
      <c r="F637" s="8">
        <f>SUM(F636)</f>
        <v>600</v>
      </c>
    </row>
    <row r="638" spans="1:6" s="9" customFormat="1" x14ac:dyDescent="0.25">
      <c r="C638" s="5"/>
      <c r="E638" s="10"/>
      <c r="F638" s="10"/>
    </row>
    <row r="639" spans="1:6" s="9" customFormat="1" x14ac:dyDescent="0.25">
      <c r="A639" s="9" t="s">
        <v>17</v>
      </c>
      <c r="B639" s="4">
        <v>45726</v>
      </c>
      <c r="C639" s="5">
        <v>10</v>
      </c>
      <c r="D639" s="9" t="s">
        <v>8</v>
      </c>
      <c r="E639" s="10">
        <v>150</v>
      </c>
      <c r="F639" s="10">
        <f t="shared" si="9"/>
        <v>1500</v>
      </c>
    </row>
    <row r="640" spans="1:6" s="9" customFormat="1" x14ac:dyDescent="0.25">
      <c r="C640" s="5"/>
      <c r="E640" s="10"/>
      <c r="F640" s="8">
        <f>SUM(F639)</f>
        <v>1500</v>
      </c>
    </row>
    <row r="641" spans="1:6" s="9" customFormat="1" x14ac:dyDescent="0.25">
      <c r="C641" s="5"/>
      <c r="E641" s="10"/>
      <c r="F641" s="10"/>
    </row>
    <row r="642" spans="1:6" s="9" customFormat="1" x14ac:dyDescent="0.25">
      <c r="A642" s="9" t="s">
        <v>18</v>
      </c>
      <c r="B642" s="4">
        <v>45726</v>
      </c>
      <c r="C642" s="5">
        <v>7</v>
      </c>
      <c r="D642" s="9" t="s">
        <v>13</v>
      </c>
      <c r="E642" s="10">
        <v>140</v>
      </c>
      <c r="F642" s="10">
        <f t="shared" si="9"/>
        <v>980</v>
      </c>
    </row>
    <row r="643" spans="1:6" s="9" customFormat="1" x14ac:dyDescent="0.25">
      <c r="C643" s="5"/>
      <c r="E643" s="10"/>
      <c r="F643" s="8">
        <f>SUM(F642)</f>
        <v>980</v>
      </c>
    </row>
    <row r="644" spans="1:6" s="9" customFormat="1" x14ac:dyDescent="0.25">
      <c r="C644" s="5"/>
      <c r="E644" s="10"/>
      <c r="F644" s="10"/>
    </row>
    <row r="645" spans="1:6" s="9" customFormat="1" x14ac:dyDescent="0.25">
      <c r="A645" s="9" t="s">
        <v>157</v>
      </c>
      <c r="B645" s="4">
        <v>45726</v>
      </c>
      <c r="C645" s="5">
        <v>10</v>
      </c>
      <c r="D645" s="9" t="s">
        <v>8</v>
      </c>
      <c r="E645" s="10">
        <v>150</v>
      </c>
      <c r="F645" s="10">
        <f t="shared" si="9"/>
        <v>1500</v>
      </c>
    </row>
    <row r="646" spans="1:6" s="9" customFormat="1" x14ac:dyDescent="0.25">
      <c r="C646" s="5"/>
      <c r="E646" s="10"/>
      <c r="F646" s="8">
        <f>SUM(F645)</f>
        <v>1500</v>
      </c>
    </row>
    <row r="647" spans="1:6" s="9" customFormat="1" x14ac:dyDescent="0.25">
      <c r="C647" s="5"/>
      <c r="E647" s="10"/>
      <c r="F647" s="10"/>
    </row>
    <row r="648" spans="1:6" s="9" customFormat="1" x14ac:dyDescent="0.25">
      <c r="A648" s="9" t="s">
        <v>21</v>
      </c>
      <c r="B648" s="4">
        <v>45726</v>
      </c>
      <c r="C648" s="5">
        <v>20</v>
      </c>
      <c r="D648" s="9" t="s">
        <v>12</v>
      </c>
      <c r="E648" s="10">
        <v>125</v>
      </c>
      <c r="F648" s="10">
        <f t="shared" si="9"/>
        <v>2500</v>
      </c>
    </row>
    <row r="649" spans="1:6" s="9" customFormat="1" x14ac:dyDescent="0.25">
      <c r="C649" s="5">
        <v>10</v>
      </c>
      <c r="D649" s="9" t="s">
        <v>11</v>
      </c>
      <c r="E649" s="10">
        <v>125</v>
      </c>
      <c r="F649" s="10">
        <f t="shared" ref="F649:F710" si="10">+C649*E649</f>
        <v>1250</v>
      </c>
    </row>
    <row r="650" spans="1:6" s="9" customFormat="1" x14ac:dyDescent="0.25">
      <c r="C650" s="5">
        <v>10</v>
      </c>
      <c r="D650" s="9" t="s">
        <v>14</v>
      </c>
      <c r="E650" s="10">
        <v>130</v>
      </c>
      <c r="F650" s="10">
        <f t="shared" si="10"/>
        <v>1300</v>
      </c>
    </row>
    <row r="651" spans="1:6" s="9" customFormat="1" x14ac:dyDescent="0.25">
      <c r="C651" s="5">
        <v>10</v>
      </c>
      <c r="D651" s="9" t="s">
        <v>63</v>
      </c>
      <c r="E651" s="10">
        <v>70</v>
      </c>
      <c r="F651" s="10">
        <f t="shared" si="10"/>
        <v>700</v>
      </c>
    </row>
    <row r="652" spans="1:6" s="9" customFormat="1" x14ac:dyDescent="0.25">
      <c r="C652" s="5"/>
      <c r="E652" s="10"/>
      <c r="F652" s="8">
        <f>SUM(F648:F651)</f>
        <v>5750</v>
      </c>
    </row>
    <row r="653" spans="1:6" s="9" customFormat="1" x14ac:dyDescent="0.25">
      <c r="C653" s="5"/>
      <c r="E653" s="10"/>
      <c r="F653" s="10"/>
    </row>
    <row r="654" spans="1:6" s="9" customFormat="1" x14ac:dyDescent="0.25">
      <c r="A654" s="9" t="s">
        <v>41</v>
      </c>
      <c r="B654" s="4">
        <v>45726</v>
      </c>
      <c r="C654" s="5">
        <v>30</v>
      </c>
      <c r="D654" s="9" t="s">
        <v>14</v>
      </c>
      <c r="E654" s="10">
        <v>130</v>
      </c>
      <c r="F654" s="10">
        <f t="shared" si="10"/>
        <v>3900</v>
      </c>
    </row>
    <row r="655" spans="1:6" s="9" customFormat="1" x14ac:dyDescent="0.25">
      <c r="C655" s="5"/>
      <c r="E655" s="10"/>
      <c r="F655" s="8">
        <f>SUM(F654)</f>
        <v>3900</v>
      </c>
    </row>
    <row r="656" spans="1:6" s="9" customFormat="1" x14ac:dyDescent="0.25">
      <c r="C656" s="5"/>
      <c r="E656" s="10"/>
      <c r="F656" s="10"/>
    </row>
    <row r="657" spans="1:6" s="9" customFormat="1" x14ac:dyDescent="0.25">
      <c r="A657" s="9" t="s">
        <v>251</v>
      </c>
      <c r="B657" s="4">
        <v>45726</v>
      </c>
      <c r="C657" s="5">
        <v>60</v>
      </c>
      <c r="D657" s="9" t="s">
        <v>12</v>
      </c>
      <c r="E657" s="10">
        <v>135</v>
      </c>
      <c r="F657" s="10">
        <f t="shared" si="10"/>
        <v>8100</v>
      </c>
    </row>
    <row r="658" spans="1:6" s="9" customFormat="1" x14ac:dyDescent="0.25">
      <c r="C658" s="5"/>
      <c r="E658" s="10"/>
      <c r="F658" s="8">
        <f>SUM(F657)</f>
        <v>8100</v>
      </c>
    </row>
    <row r="659" spans="1:6" s="9" customFormat="1" x14ac:dyDescent="0.25">
      <c r="C659" s="5"/>
      <c r="E659" s="10"/>
      <c r="F659" s="10"/>
    </row>
    <row r="660" spans="1:6" s="9" customFormat="1" x14ac:dyDescent="0.25">
      <c r="A660" s="9" t="s">
        <v>45</v>
      </c>
      <c r="B660" s="4">
        <v>45726</v>
      </c>
      <c r="C660" s="5">
        <v>3</v>
      </c>
      <c r="D660" s="9" t="s">
        <v>14</v>
      </c>
      <c r="E660" s="10">
        <v>125</v>
      </c>
      <c r="F660" s="10">
        <f t="shared" si="10"/>
        <v>375</v>
      </c>
    </row>
    <row r="661" spans="1:6" s="9" customFormat="1" x14ac:dyDescent="0.25">
      <c r="C661" s="5"/>
      <c r="E661" s="10"/>
      <c r="F661" s="8">
        <f>SUM(F660)</f>
        <v>375</v>
      </c>
    </row>
    <row r="662" spans="1:6" s="9" customFormat="1" x14ac:dyDescent="0.25">
      <c r="C662" s="5"/>
      <c r="E662" s="10"/>
      <c r="F662" s="10"/>
    </row>
    <row r="663" spans="1:6" s="9" customFormat="1" x14ac:dyDescent="0.25">
      <c r="A663" s="9" t="s">
        <v>43</v>
      </c>
      <c r="B663" s="4">
        <v>45726</v>
      </c>
      <c r="C663" s="5">
        <v>30</v>
      </c>
      <c r="D663" s="9" t="s">
        <v>14</v>
      </c>
      <c r="E663" s="10">
        <v>125</v>
      </c>
      <c r="F663" s="10">
        <f t="shared" si="10"/>
        <v>3750</v>
      </c>
    </row>
    <row r="664" spans="1:6" s="9" customFormat="1" x14ac:dyDescent="0.25">
      <c r="C664" s="5"/>
      <c r="E664" s="10"/>
      <c r="F664" s="8">
        <f>SUM(F663)</f>
        <v>3750</v>
      </c>
    </row>
    <row r="665" spans="1:6" s="9" customFormat="1" x14ac:dyDescent="0.25">
      <c r="C665" s="5"/>
      <c r="E665" s="10"/>
      <c r="F665" s="10"/>
    </row>
    <row r="666" spans="1:6" s="9" customFormat="1" x14ac:dyDescent="0.25">
      <c r="A666" s="9" t="s">
        <v>44</v>
      </c>
      <c r="B666" s="4">
        <v>45726</v>
      </c>
      <c r="C666" s="5">
        <v>80</v>
      </c>
      <c r="D666" s="9" t="s">
        <v>14</v>
      </c>
      <c r="E666" s="10">
        <v>125</v>
      </c>
      <c r="F666" s="10">
        <f t="shared" si="10"/>
        <v>10000</v>
      </c>
    </row>
    <row r="667" spans="1:6" s="9" customFormat="1" x14ac:dyDescent="0.25">
      <c r="C667" s="5"/>
      <c r="E667" s="10"/>
      <c r="F667" s="8">
        <f>SUM(F666)</f>
        <v>10000</v>
      </c>
    </row>
    <row r="668" spans="1:6" s="9" customFormat="1" x14ac:dyDescent="0.25">
      <c r="C668" s="5"/>
      <c r="E668" s="10"/>
      <c r="F668" s="10"/>
    </row>
    <row r="669" spans="1:6" s="9" customFormat="1" x14ac:dyDescent="0.25">
      <c r="A669" s="9" t="s">
        <v>18</v>
      </c>
      <c r="B669" s="4">
        <v>45726</v>
      </c>
      <c r="C669" s="5">
        <v>20</v>
      </c>
      <c r="D669" s="9" t="s">
        <v>14</v>
      </c>
      <c r="E669" s="10">
        <v>125</v>
      </c>
      <c r="F669" s="10">
        <f t="shared" si="10"/>
        <v>2500</v>
      </c>
    </row>
    <row r="670" spans="1:6" s="9" customFormat="1" x14ac:dyDescent="0.25">
      <c r="C670" s="5"/>
      <c r="E670" s="10"/>
      <c r="F670" s="8">
        <f>SUM(F669)</f>
        <v>2500</v>
      </c>
    </row>
    <row r="671" spans="1:6" s="9" customFormat="1" x14ac:dyDescent="0.25">
      <c r="C671" s="5"/>
      <c r="E671" s="10"/>
      <c r="F671" s="10"/>
    </row>
    <row r="672" spans="1:6" s="9" customFormat="1" x14ac:dyDescent="0.25">
      <c r="A672" s="9" t="s">
        <v>46</v>
      </c>
      <c r="B672" s="4">
        <v>45726</v>
      </c>
      <c r="C672" s="5">
        <v>20</v>
      </c>
      <c r="D672" s="9" t="s">
        <v>14</v>
      </c>
      <c r="E672" s="10">
        <v>130</v>
      </c>
      <c r="F672" s="10">
        <f t="shared" si="10"/>
        <v>2600</v>
      </c>
    </row>
    <row r="673" spans="1:6" s="9" customFormat="1" x14ac:dyDescent="0.25">
      <c r="C673" s="5"/>
      <c r="E673" s="10"/>
      <c r="F673" s="8">
        <f>SUM(F672)</f>
        <v>2600</v>
      </c>
    </row>
    <row r="674" spans="1:6" s="9" customFormat="1" x14ac:dyDescent="0.25">
      <c r="C674" s="5"/>
      <c r="E674" s="10"/>
      <c r="F674" s="10"/>
    </row>
    <row r="675" spans="1:6" s="9" customFormat="1" x14ac:dyDescent="0.25">
      <c r="A675" s="9" t="s">
        <v>47</v>
      </c>
      <c r="B675" s="4">
        <v>45726</v>
      </c>
      <c r="C675" s="5">
        <v>50</v>
      </c>
      <c r="D675" s="9" t="s">
        <v>14</v>
      </c>
      <c r="E675" s="10">
        <v>130</v>
      </c>
      <c r="F675" s="10">
        <f t="shared" si="10"/>
        <v>6500</v>
      </c>
    </row>
    <row r="676" spans="1:6" s="9" customFormat="1" x14ac:dyDescent="0.25">
      <c r="C676" s="5">
        <v>20</v>
      </c>
      <c r="D676" s="9" t="s">
        <v>50</v>
      </c>
      <c r="E676" s="10">
        <v>90</v>
      </c>
      <c r="F676" s="10">
        <f t="shared" si="10"/>
        <v>1800</v>
      </c>
    </row>
    <row r="677" spans="1:6" s="9" customFormat="1" x14ac:dyDescent="0.25">
      <c r="C677" s="5"/>
      <c r="E677" s="10"/>
      <c r="F677" s="8">
        <f>SUM(F675:F676)</f>
        <v>8300</v>
      </c>
    </row>
    <row r="678" spans="1:6" s="9" customFormat="1" x14ac:dyDescent="0.25">
      <c r="C678" s="5"/>
      <c r="E678" s="10"/>
      <c r="F678" s="10"/>
    </row>
    <row r="679" spans="1:6" s="9" customFormat="1" x14ac:dyDescent="0.25">
      <c r="A679" s="9" t="s">
        <v>151</v>
      </c>
      <c r="B679" s="4">
        <v>45726</v>
      </c>
      <c r="C679" s="5">
        <v>20</v>
      </c>
      <c r="D679" s="9" t="s">
        <v>14</v>
      </c>
      <c r="E679" s="10">
        <v>125</v>
      </c>
      <c r="F679" s="10">
        <f t="shared" si="10"/>
        <v>2500</v>
      </c>
    </row>
    <row r="680" spans="1:6" s="9" customFormat="1" x14ac:dyDescent="0.25">
      <c r="C680" s="5">
        <v>20</v>
      </c>
      <c r="D680" s="9" t="s">
        <v>11</v>
      </c>
      <c r="E680" s="10">
        <v>120</v>
      </c>
      <c r="F680" s="10">
        <f t="shared" si="10"/>
        <v>2400</v>
      </c>
    </row>
    <row r="681" spans="1:6" s="9" customFormat="1" x14ac:dyDescent="0.25">
      <c r="C681" s="5"/>
      <c r="E681" s="10"/>
      <c r="F681" s="8">
        <f>SUM(F679:F680)</f>
        <v>4900</v>
      </c>
    </row>
    <row r="682" spans="1:6" s="9" customFormat="1" x14ac:dyDescent="0.25">
      <c r="C682" s="5"/>
      <c r="E682" s="10"/>
      <c r="F682" s="10"/>
    </row>
    <row r="683" spans="1:6" s="9" customFormat="1" x14ac:dyDescent="0.25">
      <c r="A683" s="9" t="s">
        <v>113</v>
      </c>
      <c r="B683" s="4">
        <v>45726</v>
      </c>
      <c r="C683" s="5">
        <v>20</v>
      </c>
      <c r="D683" s="9" t="s">
        <v>8</v>
      </c>
      <c r="E683" s="10">
        <v>155</v>
      </c>
      <c r="F683" s="10">
        <f t="shared" si="10"/>
        <v>3100</v>
      </c>
    </row>
    <row r="684" spans="1:6" s="9" customFormat="1" x14ac:dyDescent="0.25">
      <c r="C684" s="5"/>
      <c r="E684" s="10"/>
      <c r="F684" s="8">
        <f>SUM(F683)</f>
        <v>3100</v>
      </c>
    </row>
    <row r="685" spans="1:6" s="9" customFormat="1" x14ac:dyDescent="0.25">
      <c r="C685" s="5"/>
      <c r="E685" s="10"/>
      <c r="F685" s="10"/>
    </row>
    <row r="686" spans="1:6" s="9" customFormat="1" x14ac:dyDescent="0.25">
      <c r="A686" s="9" t="s">
        <v>127</v>
      </c>
      <c r="B686" s="4">
        <v>45726</v>
      </c>
      <c r="C686" s="5">
        <v>130</v>
      </c>
      <c r="D686" s="9" t="s">
        <v>13</v>
      </c>
      <c r="E686" s="10">
        <v>140</v>
      </c>
      <c r="F686" s="10">
        <f t="shared" si="10"/>
        <v>18200</v>
      </c>
    </row>
    <row r="687" spans="1:6" s="9" customFormat="1" x14ac:dyDescent="0.25">
      <c r="C687" s="5"/>
      <c r="E687" s="10"/>
      <c r="F687" s="8">
        <f>SUM(F686)</f>
        <v>18200</v>
      </c>
    </row>
    <row r="688" spans="1:6" s="9" customFormat="1" x14ac:dyDescent="0.25">
      <c r="C688" s="5"/>
      <c r="E688" s="10"/>
      <c r="F688" s="10"/>
    </row>
    <row r="689" spans="1:6" s="9" customFormat="1" x14ac:dyDescent="0.25">
      <c r="A689" s="9" t="s">
        <v>89</v>
      </c>
      <c r="B689" s="4">
        <v>45726</v>
      </c>
      <c r="C689" s="5">
        <v>12</v>
      </c>
      <c r="D689" s="9" t="s">
        <v>13</v>
      </c>
      <c r="E689" s="10">
        <v>130</v>
      </c>
      <c r="F689" s="10">
        <f t="shared" si="10"/>
        <v>1560</v>
      </c>
    </row>
    <row r="690" spans="1:6" s="9" customFormat="1" x14ac:dyDescent="0.25">
      <c r="C690" s="5">
        <v>20</v>
      </c>
      <c r="D690" s="9" t="s">
        <v>14</v>
      </c>
      <c r="E690" s="10">
        <v>125</v>
      </c>
      <c r="F690" s="10">
        <f t="shared" si="10"/>
        <v>2500</v>
      </c>
    </row>
    <row r="691" spans="1:6" s="9" customFormat="1" x14ac:dyDescent="0.25">
      <c r="C691" s="5">
        <v>70</v>
      </c>
      <c r="D691" s="9" t="s">
        <v>12</v>
      </c>
      <c r="E691" s="10">
        <v>125</v>
      </c>
      <c r="F691" s="10">
        <f t="shared" si="10"/>
        <v>8750</v>
      </c>
    </row>
    <row r="692" spans="1:6" s="9" customFormat="1" x14ac:dyDescent="0.25">
      <c r="C692" s="5"/>
      <c r="E692" s="10"/>
      <c r="F692" s="8">
        <f>SUM(F689:F691)</f>
        <v>12810</v>
      </c>
    </row>
    <row r="693" spans="1:6" s="9" customFormat="1" x14ac:dyDescent="0.25">
      <c r="C693" s="5"/>
      <c r="E693" s="10"/>
      <c r="F693" s="10"/>
    </row>
    <row r="694" spans="1:6" s="9" customFormat="1" x14ac:dyDescent="0.25">
      <c r="A694" s="9" t="s">
        <v>164</v>
      </c>
      <c r="B694" s="4">
        <v>45726</v>
      </c>
      <c r="C694" s="5">
        <v>5</v>
      </c>
      <c r="D694" s="9" t="s">
        <v>8</v>
      </c>
      <c r="E694" s="10">
        <v>170</v>
      </c>
      <c r="F694" s="10">
        <f t="shared" si="10"/>
        <v>850</v>
      </c>
    </row>
    <row r="695" spans="1:6" s="9" customFormat="1" x14ac:dyDescent="0.25">
      <c r="C695" s="5"/>
      <c r="E695" s="10"/>
      <c r="F695" s="8">
        <f>SUM(F694)</f>
        <v>850</v>
      </c>
    </row>
    <row r="696" spans="1:6" s="9" customFormat="1" x14ac:dyDescent="0.25">
      <c r="C696" s="5"/>
      <c r="E696" s="10"/>
      <c r="F696" s="10"/>
    </row>
    <row r="697" spans="1:6" s="9" customFormat="1" x14ac:dyDescent="0.25">
      <c r="A697" s="9" t="s">
        <v>310</v>
      </c>
      <c r="B697" s="4">
        <v>45726</v>
      </c>
      <c r="C697" s="5">
        <v>3</v>
      </c>
      <c r="D697" s="9" t="s">
        <v>13</v>
      </c>
      <c r="E697" s="10">
        <v>145</v>
      </c>
      <c r="F697" s="10">
        <f t="shared" si="10"/>
        <v>435</v>
      </c>
    </row>
    <row r="698" spans="1:6" s="9" customFormat="1" x14ac:dyDescent="0.25">
      <c r="C698" s="5"/>
      <c r="E698" s="10"/>
      <c r="F698" s="8">
        <f>SUM(F697)</f>
        <v>435</v>
      </c>
    </row>
    <row r="699" spans="1:6" s="9" customFormat="1" x14ac:dyDescent="0.25">
      <c r="C699" s="5"/>
      <c r="E699" s="10"/>
      <c r="F699" s="10"/>
    </row>
    <row r="700" spans="1:6" s="9" customFormat="1" x14ac:dyDescent="0.25">
      <c r="A700" s="9" t="s">
        <v>313</v>
      </c>
      <c r="B700" s="4">
        <v>45726</v>
      </c>
      <c r="C700" s="5">
        <v>4</v>
      </c>
      <c r="D700" s="9" t="s">
        <v>12</v>
      </c>
      <c r="E700" s="10">
        <v>140</v>
      </c>
      <c r="F700" s="10">
        <f t="shared" si="10"/>
        <v>560</v>
      </c>
    </row>
    <row r="701" spans="1:6" s="9" customFormat="1" x14ac:dyDescent="0.25">
      <c r="C701" s="5"/>
      <c r="E701" s="10"/>
      <c r="F701" s="8">
        <f>SUM(F700)</f>
        <v>560</v>
      </c>
    </row>
    <row r="702" spans="1:6" s="9" customFormat="1" x14ac:dyDescent="0.25">
      <c r="C702" s="5"/>
      <c r="E702" s="10"/>
      <c r="F702" s="10"/>
    </row>
    <row r="703" spans="1:6" s="9" customFormat="1" x14ac:dyDescent="0.25">
      <c r="A703" s="9" t="s">
        <v>26</v>
      </c>
      <c r="B703" s="4">
        <v>45726</v>
      </c>
      <c r="C703" s="5">
        <v>110</v>
      </c>
      <c r="D703" s="9" t="s">
        <v>13</v>
      </c>
      <c r="E703" s="10">
        <v>140</v>
      </c>
      <c r="F703" s="10">
        <f t="shared" si="10"/>
        <v>15400</v>
      </c>
    </row>
    <row r="704" spans="1:6" s="9" customFormat="1" x14ac:dyDescent="0.25">
      <c r="C704" s="5">
        <v>20</v>
      </c>
      <c r="D704" s="9" t="s">
        <v>14</v>
      </c>
      <c r="E704" s="10">
        <v>135</v>
      </c>
      <c r="F704" s="10">
        <f t="shared" si="10"/>
        <v>2700</v>
      </c>
    </row>
    <row r="705" spans="1:6" s="9" customFormat="1" x14ac:dyDescent="0.25">
      <c r="C705" s="5"/>
      <c r="E705" s="10"/>
      <c r="F705" s="8">
        <f>SUM(F703:F704)</f>
        <v>18100</v>
      </c>
    </row>
    <row r="706" spans="1:6" s="9" customFormat="1" x14ac:dyDescent="0.25">
      <c r="C706" s="5"/>
      <c r="E706" s="10"/>
      <c r="F706" s="10"/>
    </row>
    <row r="707" spans="1:6" s="9" customFormat="1" x14ac:dyDescent="0.25">
      <c r="A707" s="9" t="s">
        <v>29</v>
      </c>
      <c r="B707" s="4">
        <v>45726</v>
      </c>
      <c r="C707" s="5">
        <v>4</v>
      </c>
      <c r="D707" s="9" t="s">
        <v>314</v>
      </c>
      <c r="E707" s="10">
        <v>100</v>
      </c>
      <c r="F707" s="10">
        <f t="shared" si="10"/>
        <v>400</v>
      </c>
    </row>
    <row r="708" spans="1:6" s="9" customFormat="1" x14ac:dyDescent="0.25">
      <c r="C708" s="5"/>
      <c r="E708" s="10"/>
      <c r="F708" s="8">
        <f>SUM(F707)</f>
        <v>400</v>
      </c>
    </row>
    <row r="709" spans="1:6" s="9" customFormat="1" x14ac:dyDescent="0.25">
      <c r="C709" s="5"/>
      <c r="E709" s="10"/>
      <c r="F709" s="10"/>
    </row>
    <row r="710" spans="1:6" s="9" customFormat="1" x14ac:dyDescent="0.25">
      <c r="A710" s="9" t="s">
        <v>315</v>
      </c>
      <c r="B710" s="4">
        <v>45726</v>
      </c>
      <c r="C710" s="5">
        <v>1</v>
      </c>
      <c r="D710" s="9" t="s">
        <v>91</v>
      </c>
      <c r="E710" s="10">
        <v>100</v>
      </c>
      <c r="F710" s="10">
        <f t="shared" si="10"/>
        <v>100</v>
      </c>
    </row>
    <row r="711" spans="1:6" s="9" customFormat="1" x14ac:dyDescent="0.25">
      <c r="C711" s="5"/>
      <c r="E711" s="10"/>
      <c r="F711" s="8">
        <f>SUM(F710)</f>
        <v>100</v>
      </c>
    </row>
    <row r="712" spans="1:6" s="9" customFormat="1" x14ac:dyDescent="0.25">
      <c r="C712" s="5"/>
      <c r="E712" s="10"/>
      <c r="F712" s="10"/>
    </row>
    <row r="713" spans="1:6" s="9" customFormat="1" x14ac:dyDescent="0.25">
      <c r="A713" s="9" t="s">
        <v>316</v>
      </c>
      <c r="B713" s="4">
        <v>45727</v>
      </c>
      <c r="C713" s="5">
        <v>10</v>
      </c>
      <c r="D713" s="9" t="s">
        <v>14</v>
      </c>
      <c r="E713" s="10">
        <v>135</v>
      </c>
      <c r="F713" s="10">
        <f t="shared" ref="F713:F776" si="11">+C713*E713</f>
        <v>1350</v>
      </c>
    </row>
    <row r="714" spans="1:6" s="9" customFormat="1" x14ac:dyDescent="0.25">
      <c r="C714" s="5">
        <v>6</v>
      </c>
      <c r="D714" s="9" t="s">
        <v>13</v>
      </c>
      <c r="E714" s="10">
        <v>145</v>
      </c>
      <c r="F714" s="10">
        <f t="shared" si="11"/>
        <v>870</v>
      </c>
    </row>
    <row r="715" spans="1:6" s="9" customFormat="1" x14ac:dyDescent="0.25">
      <c r="C715" s="5"/>
      <c r="E715" s="10"/>
      <c r="F715" s="8">
        <f>SUM(F713:F714)</f>
        <v>2220</v>
      </c>
    </row>
    <row r="716" spans="1:6" s="9" customFormat="1" x14ac:dyDescent="0.25">
      <c r="C716" s="5"/>
      <c r="E716" s="10"/>
      <c r="F716" s="10"/>
    </row>
    <row r="717" spans="1:6" s="9" customFormat="1" x14ac:dyDescent="0.25">
      <c r="A717" s="9" t="s">
        <v>317</v>
      </c>
      <c r="B717" s="4">
        <v>45727</v>
      </c>
      <c r="C717" s="5">
        <v>5</v>
      </c>
      <c r="D717" s="9" t="s">
        <v>13</v>
      </c>
      <c r="E717" s="10">
        <v>145</v>
      </c>
      <c r="F717" s="10">
        <f t="shared" si="11"/>
        <v>725</v>
      </c>
    </row>
    <row r="718" spans="1:6" s="9" customFormat="1" x14ac:dyDescent="0.25">
      <c r="C718" s="5"/>
      <c r="E718" s="10"/>
      <c r="F718" s="8">
        <f>SUM(F717)</f>
        <v>725</v>
      </c>
    </row>
    <row r="719" spans="1:6" s="9" customFormat="1" x14ac:dyDescent="0.25">
      <c r="C719" s="5"/>
      <c r="E719" s="10"/>
      <c r="F719" s="10"/>
    </row>
    <row r="720" spans="1:6" s="9" customFormat="1" x14ac:dyDescent="0.25">
      <c r="A720" s="9" t="s">
        <v>90</v>
      </c>
      <c r="B720" s="4">
        <v>45727</v>
      </c>
      <c r="C720" s="5">
        <v>30</v>
      </c>
      <c r="D720" s="9" t="s">
        <v>12</v>
      </c>
      <c r="E720" s="10">
        <v>135</v>
      </c>
      <c r="F720" s="10">
        <f t="shared" si="11"/>
        <v>4050</v>
      </c>
    </row>
    <row r="721" spans="1:6" s="9" customFormat="1" x14ac:dyDescent="0.25">
      <c r="C721" s="5"/>
      <c r="E721" s="10"/>
      <c r="F721" s="8">
        <f>SUM(F720)</f>
        <v>4050</v>
      </c>
    </row>
    <row r="722" spans="1:6" s="9" customFormat="1" x14ac:dyDescent="0.25">
      <c r="C722" s="5"/>
      <c r="E722" s="10"/>
      <c r="F722" s="10"/>
    </row>
    <row r="723" spans="1:6" s="9" customFormat="1" x14ac:dyDescent="0.25">
      <c r="A723" s="9" t="s">
        <v>62</v>
      </c>
      <c r="B723" s="4">
        <v>45727</v>
      </c>
      <c r="C723" s="5">
        <v>70</v>
      </c>
      <c r="D723" s="9" t="s">
        <v>8</v>
      </c>
      <c r="E723" s="10">
        <v>160</v>
      </c>
      <c r="F723" s="10">
        <f t="shared" si="11"/>
        <v>11200</v>
      </c>
    </row>
    <row r="724" spans="1:6" s="9" customFormat="1" x14ac:dyDescent="0.25">
      <c r="C724" s="5">
        <v>20</v>
      </c>
      <c r="D724" s="9" t="s">
        <v>13</v>
      </c>
      <c r="E724" s="10">
        <v>140</v>
      </c>
      <c r="F724" s="10">
        <f t="shared" si="11"/>
        <v>2800</v>
      </c>
    </row>
    <row r="725" spans="1:6" s="9" customFormat="1" x14ac:dyDescent="0.25">
      <c r="C725" s="5">
        <v>20</v>
      </c>
      <c r="D725" s="9" t="s">
        <v>12</v>
      </c>
      <c r="E725" s="10">
        <v>125</v>
      </c>
      <c r="F725" s="10">
        <f t="shared" si="11"/>
        <v>2500</v>
      </c>
    </row>
    <row r="726" spans="1:6" s="9" customFormat="1" x14ac:dyDescent="0.25">
      <c r="C726" s="5"/>
      <c r="E726" s="10"/>
      <c r="F726" s="8">
        <f>SUM(F723:F725)</f>
        <v>16500</v>
      </c>
    </row>
    <row r="727" spans="1:6" s="9" customFormat="1" x14ac:dyDescent="0.25">
      <c r="C727" s="5"/>
      <c r="E727" s="10"/>
      <c r="F727" s="10"/>
    </row>
    <row r="728" spans="1:6" s="9" customFormat="1" x14ac:dyDescent="0.25">
      <c r="A728" s="9" t="s">
        <v>111</v>
      </c>
      <c r="B728" s="4">
        <v>45727</v>
      </c>
      <c r="C728" s="5">
        <v>30</v>
      </c>
      <c r="D728" s="9" t="s">
        <v>13</v>
      </c>
      <c r="E728" s="10">
        <v>140</v>
      </c>
      <c r="F728" s="10">
        <f t="shared" si="11"/>
        <v>4200</v>
      </c>
    </row>
    <row r="729" spans="1:6" s="9" customFormat="1" x14ac:dyDescent="0.25">
      <c r="C729" s="5"/>
      <c r="E729" s="10"/>
      <c r="F729" s="8">
        <f>SUM(F728)</f>
        <v>4200</v>
      </c>
    </row>
    <row r="730" spans="1:6" s="9" customFormat="1" x14ac:dyDescent="0.25">
      <c r="C730" s="5"/>
      <c r="E730" s="10"/>
      <c r="F730" s="10"/>
    </row>
    <row r="731" spans="1:6" s="9" customFormat="1" x14ac:dyDescent="0.25">
      <c r="A731" s="9" t="s">
        <v>61</v>
      </c>
      <c r="B731" s="4">
        <v>45727</v>
      </c>
      <c r="C731" s="5">
        <v>100</v>
      </c>
      <c r="D731" s="9" t="s">
        <v>13</v>
      </c>
      <c r="E731" s="10">
        <v>140</v>
      </c>
      <c r="F731" s="10">
        <f>+C731*E731</f>
        <v>14000</v>
      </c>
    </row>
    <row r="732" spans="1:6" s="9" customFormat="1" x14ac:dyDescent="0.25">
      <c r="C732" s="5">
        <v>3</v>
      </c>
      <c r="D732" s="9" t="s">
        <v>318</v>
      </c>
      <c r="E732" s="10">
        <v>0</v>
      </c>
      <c r="F732" s="10">
        <f t="shared" si="11"/>
        <v>0</v>
      </c>
    </row>
    <row r="733" spans="1:6" s="9" customFormat="1" x14ac:dyDescent="0.25">
      <c r="C733" s="5"/>
      <c r="E733" s="10"/>
      <c r="F733" s="8">
        <f>SUM(F731:F732)</f>
        <v>14000</v>
      </c>
    </row>
    <row r="734" spans="1:6" s="9" customFormat="1" x14ac:dyDescent="0.25">
      <c r="C734" s="5"/>
      <c r="E734" s="10"/>
      <c r="F734" s="10"/>
    </row>
    <row r="735" spans="1:6" s="9" customFormat="1" x14ac:dyDescent="0.25">
      <c r="A735" s="9" t="s">
        <v>290</v>
      </c>
      <c r="B735" s="4">
        <v>45727</v>
      </c>
      <c r="C735" s="5">
        <v>34</v>
      </c>
      <c r="D735" s="9" t="s">
        <v>13</v>
      </c>
      <c r="E735" s="10">
        <v>145</v>
      </c>
      <c r="F735" s="10">
        <f t="shared" si="11"/>
        <v>4930</v>
      </c>
    </row>
    <row r="736" spans="1:6" s="9" customFormat="1" x14ac:dyDescent="0.25">
      <c r="C736" s="5">
        <v>35</v>
      </c>
      <c r="D736" s="9" t="s">
        <v>12</v>
      </c>
      <c r="E736" s="10">
        <v>135</v>
      </c>
      <c r="F736" s="10">
        <f t="shared" si="11"/>
        <v>4725</v>
      </c>
    </row>
    <row r="737" spans="1:6" s="9" customFormat="1" x14ac:dyDescent="0.25">
      <c r="C737" s="5">
        <v>10</v>
      </c>
      <c r="D737" s="9" t="s">
        <v>8</v>
      </c>
      <c r="E737" s="10">
        <v>160</v>
      </c>
      <c r="F737" s="10">
        <f t="shared" si="11"/>
        <v>1600</v>
      </c>
    </row>
    <row r="738" spans="1:6" s="9" customFormat="1" x14ac:dyDescent="0.25">
      <c r="C738" s="5"/>
      <c r="E738" s="10"/>
      <c r="F738" s="8">
        <f>SUM(F735:F737)</f>
        <v>11255</v>
      </c>
    </row>
    <row r="739" spans="1:6" s="9" customFormat="1" x14ac:dyDescent="0.25">
      <c r="C739" s="5"/>
      <c r="E739" s="10"/>
      <c r="F739" s="10"/>
    </row>
    <row r="740" spans="1:6" s="9" customFormat="1" x14ac:dyDescent="0.25">
      <c r="A740" s="9" t="s">
        <v>56</v>
      </c>
      <c r="B740" s="4">
        <v>45727</v>
      </c>
      <c r="C740" s="5">
        <v>10</v>
      </c>
      <c r="D740" s="9" t="s">
        <v>98</v>
      </c>
      <c r="E740" s="10">
        <v>100</v>
      </c>
      <c r="F740" s="10">
        <f t="shared" si="11"/>
        <v>1000</v>
      </c>
    </row>
    <row r="741" spans="1:6" s="9" customFormat="1" x14ac:dyDescent="0.25">
      <c r="C741" s="5"/>
      <c r="E741" s="10"/>
      <c r="F741" s="8">
        <f>SUM(F740)</f>
        <v>1000</v>
      </c>
    </row>
    <row r="742" spans="1:6" s="9" customFormat="1" x14ac:dyDescent="0.25">
      <c r="C742" s="5"/>
      <c r="E742" s="10"/>
      <c r="F742" s="10"/>
    </row>
    <row r="743" spans="1:6" s="9" customFormat="1" x14ac:dyDescent="0.25">
      <c r="A743" s="9" t="s">
        <v>7</v>
      </c>
      <c r="B743" s="4">
        <v>45727</v>
      </c>
      <c r="C743" s="5">
        <v>34</v>
      </c>
      <c r="D743" s="9" t="s">
        <v>13</v>
      </c>
      <c r="E743" s="10">
        <v>145</v>
      </c>
      <c r="F743" s="10">
        <f t="shared" si="11"/>
        <v>4930</v>
      </c>
    </row>
    <row r="744" spans="1:6" s="9" customFormat="1" x14ac:dyDescent="0.25">
      <c r="C744" s="5">
        <v>5</v>
      </c>
      <c r="D744" s="9" t="s">
        <v>12</v>
      </c>
      <c r="E744" s="10">
        <v>135</v>
      </c>
      <c r="F744" s="10">
        <f t="shared" si="11"/>
        <v>675</v>
      </c>
    </row>
    <row r="745" spans="1:6" s="9" customFormat="1" x14ac:dyDescent="0.25">
      <c r="C745" s="5"/>
      <c r="E745" s="10"/>
      <c r="F745" s="8">
        <f>SUM(F743:F744)</f>
        <v>5605</v>
      </c>
    </row>
    <row r="746" spans="1:6" s="9" customFormat="1" x14ac:dyDescent="0.25">
      <c r="C746" s="5"/>
      <c r="E746" s="10"/>
      <c r="F746" s="10"/>
    </row>
    <row r="747" spans="1:6" s="9" customFormat="1" x14ac:dyDescent="0.25">
      <c r="A747" s="9" t="s">
        <v>319</v>
      </c>
      <c r="B747" s="4">
        <v>45727</v>
      </c>
      <c r="C747" s="5">
        <v>10</v>
      </c>
      <c r="D747" s="9" t="s">
        <v>8</v>
      </c>
      <c r="E747" s="10">
        <v>160</v>
      </c>
      <c r="F747" s="10">
        <f t="shared" si="11"/>
        <v>1600</v>
      </c>
    </row>
    <row r="748" spans="1:6" s="9" customFormat="1" x14ac:dyDescent="0.25">
      <c r="C748" s="5"/>
      <c r="E748" s="10"/>
      <c r="F748" s="8">
        <f>SUM(F747)</f>
        <v>1600</v>
      </c>
    </row>
    <row r="749" spans="1:6" s="9" customFormat="1" x14ac:dyDescent="0.25">
      <c r="C749" s="5"/>
      <c r="E749" s="10"/>
      <c r="F749" s="10"/>
    </row>
    <row r="750" spans="1:6" s="9" customFormat="1" x14ac:dyDescent="0.25">
      <c r="A750" s="9" t="s">
        <v>26</v>
      </c>
      <c r="B750" s="4">
        <v>45727</v>
      </c>
      <c r="C750" s="5">
        <v>30</v>
      </c>
      <c r="D750" s="9" t="s">
        <v>13</v>
      </c>
      <c r="E750" s="10">
        <v>140</v>
      </c>
      <c r="F750" s="10">
        <f t="shared" si="11"/>
        <v>4200</v>
      </c>
    </row>
    <row r="751" spans="1:6" s="9" customFormat="1" x14ac:dyDescent="0.25">
      <c r="C751" s="5"/>
      <c r="E751" s="10"/>
      <c r="F751" s="8">
        <f>SUM(F750)</f>
        <v>4200</v>
      </c>
    </row>
    <row r="752" spans="1:6" s="9" customFormat="1" x14ac:dyDescent="0.25">
      <c r="C752" s="5"/>
      <c r="E752" s="10"/>
      <c r="F752" s="10"/>
    </row>
    <row r="753" spans="1:6" s="9" customFormat="1" x14ac:dyDescent="0.25">
      <c r="A753" s="9" t="s">
        <v>48</v>
      </c>
      <c r="B753" s="4">
        <v>45727</v>
      </c>
      <c r="C753" s="5">
        <v>53</v>
      </c>
      <c r="D753" s="9" t="s">
        <v>49</v>
      </c>
      <c r="E753" s="10">
        <v>130</v>
      </c>
      <c r="F753" s="10">
        <f t="shared" si="11"/>
        <v>6890</v>
      </c>
    </row>
    <row r="754" spans="1:6" s="9" customFormat="1" x14ac:dyDescent="0.25">
      <c r="C754" s="5">
        <v>200</v>
      </c>
      <c r="D754" s="9" t="s">
        <v>14</v>
      </c>
      <c r="E754" s="10">
        <v>118</v>
      </c>
      <c r="F754" s="10">
        <f t="shared" si="11"/>
        <v>23600</v>
      </c>
    </row>
    <row r="755" spans="1:6" s="9" customFormat="1" x14ac:dyDescent="0.25">
      <c r="C755" s="5">
        <v>114</v>
      </c>
      <c r="D755" s="9" t="s">
        <v>11</v>
      </c>
      <c r="E755" s="10">
        <v>110</v>
      </c>
      <c r="F755" s="10">
        <f t="shared" si="11"/>
        <v>12540</v>
      </c>
    </row>
    <row r="756" spans="1:6" s="9" customFormat="1" x14ac:dyDescent="0.25">
      <c r="C756" s="5">
        <v>226</v>
      </c>
      <c r="D756" s="9" t="s">
        <v>50</v>
      </c>
      <c r="E756" s="10">
        <v>83</v>
      </c>
      <c r="F756" s="10">
        <f t="shared" si="11"/>
        <v>18758</v>
      </c>
    </row>
    <row r="757" spans="1:6" s="9" customFormat="1" x14ac:dyDescent="0.25">
      <c r="C757" s="5"/>
      <c r="E757" s="10"/>
      <c r="F757" s="8">
        <f>SUM(F753:F756)</f>
        <v>61788</v>
      </c>
    </row>
    <row r="758" spans="1:6" s="9" customFormat="1" x14ac:dyDescent="0.25">
      <c r="C758" s="5"/>
      <c r="E758" s="10"/>
      <c r="F758" s="10"/>
    </row>
    <row r="759" spans="1:6" s="9" customFormat="1" x14ac:dyDescent="0.25">
      <c r="A759" s="9" t="s">
        <v>51</v>
      </c>
      <c r="B759" s="4">
        <v>45727</v>
      </c>
      <c r="C759" s="5">
        <v>181</v>
      </c>
      <c r="D759" s="9" t="s">
        <v>14</v>
      </c>
      <c r="E759" s="10">
        <v>118</v>
      </c>
      <c r="F759" s="10">
        <f t="shared" si="11"/>
        <v>21358</v>
      </c>
    </row>
    <row r="760" spans="1:6" s="9" customFormat="1" x14ac:dyDescent="0.25">
      <c r="C760" s="5">
        <v>50</v>
      </c>
      <c r="D760" s="9" t="s">
        <v>50</v>
      </c>
      <c r="E760" s="10">
        <v>83</v>
      </c>
      <c r="F760" s="10">
        <f t="shared" si="11"/>
        <v>4150</v>
      </c>
    </row>
    <row r="761" spans="1:6" s="9" customFormat="1" x14ac:dyDescent="0.25">
      <c r="C761" s="5"/>
      <c r="E761" s="10"/>
      <c r="F761" s="8">
        <f>SUM(F759:F760)</f>
        <v>25508</v>
      </c>
    </row>
    <row r="762" spans="1:6" s="9" customFormat="1" x14ac:dyDescent="0.25">
      <c r="C762" s="5"/>
      <c r="E762" s="10"/>
      <c r="F762" s="10"/>
    </row>
    <row r="763" spans="1:6" s="9" customFormat="1" x14ac:dyDescent="0.25">
      <c r="A763" s="9" t="s">
        <v>320</v>
      </c>
      <c r="B763" s="4">
        <v>45727</v>
      </c>
      <c r="C763" s="5">
        <v>50</v>
      </c>
      <c r="D763" s="9" t="s">
        <v>98</v>
      </c>
      <c r="E763" s="10">
        <v>85</v>
      </c>
      <c r="F763" s="10">
        <f t="shared" si="11"/>
        <v>4250</v>
      </c>
    </row>
    <row r="764" spans="1:6" s="9" customFormat="1" x14ac:dyDescent="0.25">
      <c r="C764" s="5"/>
      <c r="E764" s="10"/>
      <c r="F764" s="8">
        <f>SUM(F763)</f>
        <v>4250</v>
      </c>
    </row>
    <row r="765" spans="1:6" s="9" customFormat="1" x14ac:dyDescent="0.25">
      <c r="C765" s="5"/>
      <c r="E765" s="10"/>
      <c r="F765" s="10"/>
    </row>
    <row r="766" spans="1:6" s="9" customFormat="1" x14ac:dyDescent="0.25">
      <c r="A766" s="9" t="s">
        <v>29</v>
      </c>
      <c r="B766" s="4">
        <v>45727</v>
      </c>
      <c r="C766" s="5">
        <v>2</v>
      </c>
      <c r="D766" s="9" t="s">
        <v>13</v>
      </c>
      <c r="E766" s="10">
        <v>150</v>
      </c>
      <c r="F766" s="10">
        <f t="shared" si="11"/>
        <v>300</v>
      </c>
    </row>
    <row r="767" spans="1:6" s="9" customFormat="1" x14ac:dyDescent="0.25">
      <c r="C767" s="5">
        <v>2</v>
      </c>
      <c r="D767" s="9" t="s">
        <v>8</v>
      </c>
      <c r="E767" s="10">
        <v>170</v>
      </c>
      <c r="F767" s="10">
        <f t="shared" si="11"/>
        <v>340</v>
      </c>
    </row>
    <row r="768" spans="1:6" s="9" customFormat="1" x14ac:dyDescent="0.25">
      <c r="C768" s="11">
        <v>0.5</v>
      </c>
      <c r="D768" s="9" t="s">
        <v>8</v>
      </c>
      <c r="E768" s="10">
        <v>170</v>
      </c>
      <c r="F768" s="10">
        <f t="shared" si="11"/>
        <v>85</v>
      </c>
    </row>
    <row r="769" spans="1:6" s="9" customFormat="1" x14ac:dyDescent="0.25">
      <c r="C769" s="5"/>
      <c r="E769" s="10"/>
      <c r="F769" s="8">
        <f>SUM(F766:F768)</f>
        <v>725</v>
      </c>
    </row>
    <row r="770" spans="1:6" s="9" customFormat="1" x14ac:dyDescent="0.25">
      <c r="C770" s="5"/>
      <c r="E770" s="10"/>
      <c r="F770" s="10"/>
    </row>
    <row r="771" spans="1:6" s="9" customFormat="1" x14ac:dyDescent="0.25">
      <c r="A771" s="9" t="s">
        <v>181</v>
      </c>
      <c r="B771" s="4">
        <v>45727</v>
      </c>
      <c r="C771" s="5">
        <v>1</v>
      </c>
      <c r="D771" s="9" t="s">
        <v>8</v>
      </c>
      <c r="E771" s="10">
        <v>170</v>
      </c>
      <c r="F771" s="10">
        <f t="shared" si="11"/>
        <v>170</v>
      </c>
    </row>
    <row r="772" spans="1:6" s="9" customFormat="1" x14ac:dyDescent="0.25">
      <c r="C772" s="5">
        <v>3</v>
      </c>
      <c r="D772" s="9" t="s">
        <v>8</v>
      </c>
      <c r="E772" s="10">
        <v>170</v>
      </c>
      <c r="F772" s="10">
        <f t="shared" si="11"/>
        <v>510</v>
      </c>
    </row>
    <row r="773" spans="1:6" s="9" customFormat="1" x14ac:dyDescent="0.25">
      <c r="C773" s="5">
        <v>1</v>
      </c>
      <c r="D773" s="9" t="s">
        <v>78</v>
      </c>
      <c r="E773" s="10">
        <v>100</v>
      </c>
      <c r="F773" s="10">
        <f t="shared" si="11"/>
        <v>100</v>
      </c>
    </row>
    <row r="774" spans="1:6" s="9" customFormat="1" x14ac:dyDescent="0.25">
      <c r="C774" s="5">
        <v>2</v>
      </c>
      <c r="D774" s="9" t="s">
        <v>13</v>
      </c>
      <c r="E774" s="10">
        <v>0</v>
      </c>
      <c r="F774" s="10">
        <f t="shared" si="11"/>
        <v>0</v>
      </c>
    </row>
    <row r="775" spans="1:6" s="9" customFormat="1" x14ac:dyDescent="0.25">
      <c r="C775" s="5">
        <v>2</v>
      </c>
      <c r="D775" s="9" t="s">
        <v>13</v>
      </c>
      <c r="E775" s="10">
        <v>160</v>
      </c>
      <c r="F775" s="10">
        <f t="shared" si="11"/>
        <v>320</v>
      </c>
    </row>
    <row r="776" spans="1:6" s="9" customFormat="1" x14ac:dyDescent="0.25">
      <c r="C776" s="5">
        <v>2</v>
      </c>
      <c r="D776" s="9" t="s">
        <v>12</v>
      </c>
      <c r="E776" s="10">
        <v>130</v>
      </c>
      <c r="F776" s="10">
        <f t="shared" si="11"/>
        <v>260</v>
      </c>
    </row>
    <row r="777" spans="1:6" s="9" customFormat="1" x14ac:dyDescent="0.25">
      <c r="C777" s="5"/>
      <c r="E777" s="10"/>
      <c r="F777" s="8">
        <f>SUM(F771:F776)</f>
        <v>1360</v>
      </c>
    </row>
    <row r="778" spans="1:6" s="9" customFormat="1" x14ac:dyDescent="0.25">
      <c r="C778" s="5"/>
      <c r="E778" s="10"/>
      <c r="F778" s="10"/>
    </row>
    <row r="779" spans="1:6" s="9" customFormat="1" x14ac:dyDescent="0.25">
      <c r="A779" s="9" t="s">
        <v>270</v>
      </c>
      <c r="B779" s="4">
        <v>45728</v>
      </c>
      <c r="C779" s="5">
        <v>7</v>
      </c>
      <c r="D779" s="9" t="s">
        <v>275</v>
      </c>
      <c r="E779" s="10">
        <v>100</v>
      </c>
      <c r="F779" s="10">
        <f t="shared" ref="F779:F839" si="12">+C779*E779</f>
        <v>700</v>
      </c>
    </row>
    <row r="780" spans="1:6" s="9" customFormat="1" x14ac:dyDescent="0.25">
      <c r="C780" s="5"/>
      <c r="E780" s="10"/>
      <c r="F780" s="8">
        <f>SUM(F779)</f>
        <v>700</v>
      </c>
    </row>
    <row r="781" spans="1:6" s="9" customFormat="1" x14ac:dyDescent="0.25">
      <c r="C781" s="5"/>
      <c r="E781" s="10"/>
      <c r="F781" s="10"/>
    </row>
    <row r="782" spans="1:6" s="9" customFormat="1" x14ac:dyDescent="0.25">
      <c r="A782" s="9" t="s">
        <v>15</v>
      </c>
      <c r="B782" s="4">
        <v>45728</v>
      </c>
      <c r="C782" s="5">
        <v>63</v>
      </c>
      <c r="D782" s="9" t="s">
        <v>275</v>
      </c>
      <c r="E782" s="10">
        <v>85</v>
      </c>
      <c r="F782" s="10">
        <f t="shared" si="12"/>
        <v>5355</v>
      </c>
    </row>
    <row r="783" spans="1:6" s="9" customFormat="1" x14ac:dyDescent="0.25">
      <c r="C783" s="5"/>
      <c r="E783" s="10"/>
      <c r="F783" s="8">
        <f>SUM(F782)</f>
        <v>5355</v>
      </c>
    </row>
    <row r="784" spans="1:6" s="9" customFormat="1" x14ac:dyDescent="0.25">
      <c r="C784" s="5"/>
      <c r="E784" s="10"/>
      <c r="F784" s="10"/>
    </row>
    <row r="785" spans="1:6" s="9" customFormat="1" x14ac:dyDescent="0.25">
      <c r="A785" s="9" t="s">
        <v>20</v>
      </c>
      <c r="B785" s="4">
        <v>45728</v>
      </c>
      <c r="C785" s="5">
        <v>20</v>
      </c>
      <c r="D785" s="9" t="s">
        <v>13</v>
      </c>
      <c r="E785" s="10">
        <v>140</v>
      </c>
      <c r="F785" s="10">
        <f t="shared" si="12"/>
        <v>2800</v>
      </c>
    </row>
    <row r="786" spans="1:6" s="9" customFormat="1" x14ac:dyDescent="0.25">
      <c r="C786" s="5"/>
      <c r="E786" s="10"/>
      <c r="F786" s="8">
        <f>SUM(F785)</f>
        <v>2800</v>
      </c>
    </row>
    <row r="787" spans="1:6" s="9" customFormat="1" x14ac:dyDescent="0.25">
      <c r="C787" s="5"/>
      <c r="E787" s="10"/>
      <c r="F787" s="10"/>
    </row>
    <row r="788" spans="1:6" s="9" customFormat="1" x14ac:dyDescent="0.25">
      <c r="A788" s="9" t="s">
        <v>157</v>
      </c>
      <c r="B788" s="4">
        <v>45728</v>
      </c>
      <c r="C788" s="5">
        <v>10</v>
      </c>
      <c r="D788" s="9" t="s">
        <v>8</v>
      </c>
      <c r="E788" s="10">
        <v>150</v>
      </c>
      <c r="F788" s="10">
        <f t="shared" si="12"/>
        <v>1500</v>
      </c>
    </row>
    <row r="789" spans="1:6" s="9" customFormat="1" x14ac:dyDescent="0.25">
      <c r="C789" s="5"/>
      <c r="E789" s="10"/>
      <c r="F789" s="8">
        <f>SUM(F788)</f>
        <v>1500</v>
      </c>
    </row>
    <row r="790" spans="1:6" s="9" customFormat="1" x14ac:dyDescent="0.25">
      <c r="C790" s="5"/>
      <c r="E790" s="10"/>
      <c r="F790" s="10"/>
    </row>
    <row r="791" spans="1:6" s="9" customFormat="1" x14ac:dyDescent="0.25">
      <c r="A791" s="9" t="s">
        <v>40</v>
      </c>
      <c r="B791" s="4">
        <v>45728</v>
      </c>
      <c r="C791" s="5">
        <v>10</v>
      </c>
      <c r="D791" s="9" t="s">
        <v>11</v>
      </c>
      <c r="E791" s="10">
        <v>120</v>
      </c>
      <c r="F791" s="10">
        <f t="shared" si="12"/>
        <v>1200</v>
      </c>
    </row>
    <row r="792" spans="1:6" s="9" customFormat="1" x14ac:dyDescent="0.25">
      <c r="C792" s="5">
        <v>10</v>
      </c>
      <c r="D792" s="9" t="s">
        <v>14</v>
      </c>
      <c r="E792" s="10">
        <v>130</v>
      </c>
      <c r="F792" s="10">
        <f t="shared" si="12"/>
        <v>1300</v>
      </c>
    </row>
    <row r="793" spans="1:6" s="9" customFormat="1" x14ac:dyDescent="0.25">
      <c r="C793" s="5">
        <v>16</v>
      </c>
      <c r="D793" s="9" t="s">
        <v>13</v>
      </c>
      <c r="E793" s="10">
        <v>140</v>
      </c>
      <c r="F793" s="10">
        <f t="shared" si="12"/>
        <v>2240</v>
      </c>
    </row>
    <row r="794" spans="1:6" s="9" customFormat="1" x14ac:dyDescent="0.25">
      <c r="C794" s="5"/>
      <c r="E794" s="10"/>
      <c r="F794" s="8">
        <f>SUM(F791:F793)</f>
        <v>4740</v>
      </c>
    </row>
    <row r="795" spans="1:6" s="9" customFormat="1" x14ac:dyDescent="0.25">
      <c r="C795" s="5"/>
      <c r="E795" s="10"/>
      <c r="F795" s="10"/>
    </row>
    <row r="796" spans="1:6" s="9" customFormat="1" x14ac:dyDescent="0.25">
      <c r="A796" s="9" t="s">
        <v>41</v>
      </c>
      <c r="B796" s="4">
        <v>45728</v>
      </c>
      <c r="C796" s="5">
        <v>25</v>
      </c>
      <c r="D796" s="9" t="s">
        <v>14</v>
      </c>
      <c r="E796" s="10">
        <v>130</v>
      </c>
      <c r="F796" s="10">
        <f t="shared" si="12"/>
        <v>3250</v>
      </c>
    </row>
    <row r="797" spans="1:6" s="9" customFormat="1" x14ac:dyDescent="0.25">
      <c r="C797" s="5"/>
      <c r="E797" s="10"/>
      <c r="F797" s="8">
        <f>SUM(F796)</f>
        <v>3250</v>
      </c>
    </row>
    <row r="798" spans="1:6" s="9" customFormat="1" x14ac:dyDescent="0.25">
      <c r="C798" s="5"/>
      <c r="E798" s="10"/>
      <c r="F798" s="10"/>
    </row>
    <row r="799" spans="1:6" s="9" customFormat="1" x14ac:dyDescent="0.25">
      <c r="A799" s="9" t="s">
        <v>107</v>
      </c>
      <c r="B799" s="4">
        <v>45728</v>
      </c>
      <c r="C799" s="5">
        <v>32</v>
      </c>
      <c r="D799" s="9" t="s">
        <v>14</v>
      </c>
      <c r="E799" s="10">
        <v>125</v>
      </c>
      <c r="F799" s="10">
        <f t="shared" si="12"/>
        <v>4000</v>
      </c>
    </row>
    <row r="800" spans="1:6" s="9" customFormat="1" x14ac:dyDescent="0.25">
      <c r="C800" s="5"/>
      <c r="E800" s="10"/>
      <c r="F800" s="8">
        <f>SUM(F799)</f>
        <v>4000</v>
      </c>
    </row>
    <row r="801" spans="1:6" s="9" customFormat="1" x14ac:dyDescent="0.25">
      <c r="C801" s="5"/>
      <c r="E801" s="10"/>
      <c r="F801" s="10"/>
    </row>
    <row r="802" spans="1:6" s="9" customFormat="1" x14ac:dyDescent="0.25">
      <c r="A802" s="9" t="s">
        <v>60</v>
      </c>
      <c r="B802" s="4">
        <v>45728</v>
      </c>
      <c r="C802" s="5">
        <v>20</v>
      </c>
      <c r="D802" s="9" t="s">
        <v>14</v>
      </c>
      <c r="E802" s="10">
        <v>125</v>
      </c>
      <c r="F802" s="10">
        <f t="shared" si="12"/>
        <v>2500</v>
      </c>
    </row>
    <row r="803" spans="1:6" s="9" customFormat="1" x14ac:dyDescent="0.25">
      <c r="C803" s="5"/>
      <c r="E803" s="10"/>
      <c r="F803" s="8">
        <f>SUM(F802)</f>
        <v>2500</v>
      </c>
    </row>
    <row r="804" spans="1:6" s="9" customFormat="1" x14ac:dyDescent="0.25">
      <c r="C804" s="5"/>
      <c r="E804" s="10"/>
      <c r="F804" s="10"/>
    </row>
    <row r="805" spans="1:6" s="9" customFormat="1" x14ac:dyDescent="0.25">
      <c r="A805" s="9" t="s">
        <v>45</v>
      </c>
      <c r="B805" s="4">
        <v>45728</v>
      </c>
      <c r="C805" s="5">
        <v>6</v>
      </c>
      <c r="D805" s="9" t="s">
        <v>13</v>
      </c>
      <c r="E805" s="10">
        <v>125</v>
      </c>
      <c r="F805" s="10">
        <f t="shared" si="12"/>
        <v>750</v>
      </c>
    </row>
    <row r="806" spans="1:6" s="9" customFormat="1" x14ac:dyDescent="0.25">
      <c r="C806" s="5"/>
      <c r="E806" s="10"/>
      <c r="F806" s="8">
        <f>SUM(F805)</f>
        <v>750</v>
      </c>
    </row>
    <row r="807" spans="1:6" s="9" customFormat="1" x14ac:dyDescent="0.25">
      <c r="C807" s="5"/>
      <c r="E807" s="10"/>
      <c r="F807" s="10"/>
    </row>
    <row r="808" spans="1:6" s="9" customFormat="1" x14ac:dyDescent="0.25">
      <c r="A808" s="9" t="s">
        <v>43</v>
      </c>
      <c r="B808" s="4">
        <v>45728</v>
      </c>
      <c r="C808" s="5">
        <v>20</v>
      </c>
      <c r="D808" s="9" t="s">
        <v>13</v>
      </c>
      <c r="E808" s="10">
        <v>125</v>
      </c>
      <c r="F808" s="10">
        <f t="shared" si="12"/>
        <v>2500</v>
      </c>
    </row>
    <row r="809" spans="1:6" s="9" customFormat="1" x14ac:dyDescent="0.25">
      <c r="C809" s="5"/>
      <c r="E809" s="10"/>
      <c r="F809" s="8">
        <f>SUM(F808)</f>
        <v>2500</v>
      </c>
    </row>
    <row r="810" spans="1:6" s="9" customFormat="1" x14ac:dyDescent="0.25">
      <c r="C810" s="5"/>
      <c r="E810" s="10"/>
      <c r="F810" s="10"/>
    </row>
    <row r="811" spans="1:6" s="9" customFormat="1" x14ac:dyDescent="0.25">
      <c r="A811" s="9" t="s">
        <v>18</v>
      </c>
      <c r="B811" s="4">
        <v>45728</v>
      </c>
      <c r="C811" s="5">
        <v>10</v>
      </c>
      <c r="D811" s="9" t="s">
        <v>13</v>
      </c>
      <c r="E811" s="10">
        <v>140</v>
      </c>
      <c r="F811" s="10">
        <f t="shared" si="12"/>
        <v>1400</v>
      </c>
    </row>
    <row r="812" spans="1:6" s="9" customFormat="1" x14ac:dyDescent="0.25">
      <c r="C812" s="5">
        <v>30</v>
      </c>
      <c r="D812" s="9" t="s">
        <v>14</v>
      </c>
      <c r="E812" s="10">
        <v>125</v>
      </c>
      <c r="F812" s="10">
        <f t="shared" si="12"/>
        <v>3750</v>
      </c>
    </row>
    <row r="813" spans="1:6" s="9" customFormat="1" x14ac:dyDescent="0.25">
      <c r="C813" s="5"/>
      <c r="E813" s="10"/>
      <c r="F813" s="8">
        <f>SUM(F811:F812)</f>
        <v>5150</v>
      </c>
    </row>
    <row r="814" spans="1:6" s="9" customFormat="1" x14ac:dyDescent="0.25">
      <c r="C814" s="5"/>
      <c r="E814" s="10"/>
      <c r="F814" s="10"/>
    </row>
    <row r="815" spans="1:6" s="9" customFormat="1" x14ac:dyDescent="0.25">
      <c r="A815" s="9" t="s">
        <v>44</v>
      </c>
      <c r="B815" s="4">
        <v>45728</v>
      </c>
      <c r="C815" s="5">
        <v>20</v>
      </c>
      <c r="D815" s="9" t="s">
        <v>14</v>
      </c>
      <c r="E815" s="10">
        <v>125</v>
      </c>
      <c r="F815" s="10">
        <f t="shared" si="12"/>
        <v>2500</v>
      </c>
    </row>
    <row r="816" spans="1:6" s="9" customFormat="1" x14ac:dyDescent="0.25">
      <c r="C816" s="5"/>
      <c r="E816" s="10"/>
      <c r="F816" s="8">
        <f>SUM(F815)</f>
        <v>2500</v>
      </c>
    </row>
    <row r="817" spans="1:6" s="9" customFormat="1" x14ac:dyDescent="0.25">
      <c r="C817" s="5"/>
      <c r="E817" s="10"/>
      <c r="F817" s="10"/>
    </row>
    <row r="818" spans="1:6" s="9" customFormat="1" x14ac:dyDescent="0.25">
      <c r="A818" s="9" t="s">
        <v>46</v>
      </c>
      <c r="B818" s="4">
        <v>45728</v>
      </c>
      <c r="C818" s="5">
        <v>10</v>
      </c>
      <c r="D818" s="9" t="s">
        <v>14</v>
      </c>
      <c r="E818" s="10">
        <v>130</v>
      </c>
      <c r="F818" s="10">
        <f t="shared" si="12"/>
        <v>1300</v>
      </c>
    </row>
    <row r="819" spans="1:6" s="9" customFormat="1" x14ac:dyDescent="0.25">
      <c r="C819" s="5"/>
      <c r="E819" s="10"/>
      <c r="F819" s="8">
        <f>SUM(F818)</f>
        <v>1300</v>
      </c>
    </row>
    <row r="820" spans="1:6" s="9" customFormat="1" x14ac:dyDescent="0.25">
      <c r="C820" s="5"/>
      <c r="E820" s="10"/>
      <c r="F820" s="10"/>
    </row>
    <row r="821" spans="1:6" s="9" customFormat="1" x14ac:dyDescent="0.25">
      <c r="A821" s="9" t="s">
        <v>47</v>
      </c>
      <c r="B821" s="4">
        <v>45728</v>
      </c>
      <c r="C821" s="5">
        <v>27</v>
      </c>
      <c r="D821" s="9" t="s">
        <v>14</v>
      </c>
      <c r="E821" s="10">
        <v>130</v>
      </c>
      <c r="F821" s="10">
        <f t="shared" si="12"/>
        <v>3510</v>
      </c>
    </row>
    <row r="822" spans="1:6" s="9" customFormat="1" x14ac:dyDescent="0.25">
      <c r="C822" s="5">
        <v>10</v>
      </c>
      <c r="D822" s="9" t="s">
        <v>50</v>
      </c>
      <c r="E822" s="10">
        <v>90</v>
      </c>
      <c r="F822" s="10">
        <f t="shared" si="12"/>
        <v>900</v>
      </c>
    </row>
    <row r="823" spans="1:6" s="9" customFormat="1" x14ac:dyDescent="0.25">
      <c r="C823" s="5"/>
      <c r="E823" s="10"/>
      <c r="F823" s="8">
        <f>SUM(F821:F822)</f>
        <v>4410</v>
      </c>
    </row>
    <row r="824" spans="1:6" s="9" customFormat="1" x14ac:dyDescent="0.25">
      <c r="C824" s="5"/>
      <c r="E824" s="10"/>
      <c r="F824" s="10"/>
    </row>
    <row r="825" spans="1:6" s="9" customFormat="1" x14ac:dyDescent="0.25">
      <c r="A825" s="9" t="s">
        <v>53</v>
      </c>
      <c r="B825" s="4">
        <v>45728</v>
      </c>
      <c r="C825" s="5">
        <v>100</v>
      </c>
      <c r="D825" s="9" t="s">
        <v>13</v>
      </c>
      <c r="E825" s="10">
        <v>135</v>
      </c>
      <c r="F825" s="10">
        <f t="shared" si="12"/>
        <v>13500</v>
      </c>
    </row>
    <row r="826" spans="1:6" s="9" customFormat="1" x14ac:dyDescent="0.25">
      <c r="C826" s="5">
        <v>34</v>
      </c>
      <c r="D826" s="9" t="s">
        <v>13</v>
      </c>
      <c r="E826" s="10">
        <v>140</v>
      </c>
      <c r="F826" s="10">
        <f t="shared" si="12"/>
        <v>4760</v>
      </c>
    </row>
    <row r="827" spans="1:6" s="9" customFormat="1" x14ac:dyDescent="0.25">
      <c r="C827" s="5">
        <v>32</v>
      </c>
      <c r="D827" s="9" t="s">
        <v>12</v>
      </c>
      <c r="E827" s="10">
        <v>130</v>
      </c>
      <c r="F827" s="10">
        <f t="shared" si="12"/>
        <v>4160</v>
      </c>
    </row>
    <row r="828" spans="1:6" s="9" customFormat="1" x14ac:dyDescent="0.25">
      <c r="C828" s="5"/>
      <c r="E828" s="10"/>
      <c r="F828" s="8">
        <f>SUM(F825:F827)</f>
        <v>22420</v>
      </c>
    </row>
    <row r="829" spans="1:6" s="9" customFormat="1" x14ac:dyDescent="0.25">
      <c r="C829" s="5"/>
      <c r="E829" s="10"/>
      <c r="F829" s="10"/>
    </row>
    <row r="830" spans="1:6" s="9" customFormat="1" x14ac:dyDescent="0.25">
      <c r="A830" s="9" t="s">
        <v>26</v>
      </c>
      <c r="B830" s="4">
        <v>45728</v>
      </c>
      <c r="C830" s="5">
        <v>30</v>
      </c>
      <c r="D830" s="9" t="s">
        <v>13</v>
      </c>
      <c r="E830" s="10">
        <v>140</v>
      </c>
      <c r="F830" s="10">
        <f t="shared" si="12"/>
        <v>4200</v>
      </c>
    </row>
    <row r="831" spans="1:6" s="9" customFormat="1" x14ac:dyDescent="0.25">
      <c r="C831" s="5"/>
      <c r="E831" s="10"/>
      <c r="F831" s="8">
        <f>SUM(F830)</f>
        <v>4200</v>
      </c>
    </row>
    <row r="832" spans="1:6" s="9" customFormat="1" x14ac:dyDescent="0.25">
      <c r="C832" s="5"/>
      <c r="E832" s="10"/>
      <c r="F832" s="10"/>
    </row>
    <row r="833" spans="1:6" s="9" customFormat="1" x14ac:dyDescent="0.25">
      <c r="A833" s="9" t="s">
        <v>72</v>
      </c>
      <c r="B833" s="4">
        <v>45728</v>
      </c>
      <c r="C833" s="5">
        <v>200</v>
      </c>
      <c r="D833" s="9" t="s">
        <v>13</v>
      </c>
      <c r="E833" s="10">
        <v>130</v>
      </c>
      <c r="F833" s="10">
        <f t="shared" si="12"/>
        <v>26000</v>
      </c>
    </row>
    <row r="834" spans="1:6" s="9" customFormat="1" x14ac:dyDescent="0.25">
      <c r="C834" s="5">
        <v>150</v>
      </c>
      <c r="D834" s="9" t="s">
        <v>12</v>
      </c>
      <c r="E834" s="10">
        <v>125</v>
      </c>
      <c r="F834" s="10">
        <f t="shared" si="12"/>
        <v>18750</v>
      </c>
    </row>
    <row r="835" spans="1:6" s="9" customFormat="1" x14ac:dyDescent="0.25">
      <c r="C835" s="5">
        <v>20</v>
      </c>
      <c r="D835" s="9" t="s">
        <v>14</v>
      </c>
      <c r="E835" s="10">
        <v>130</v>
      </c>
      <c r="F835" s="10">
        <f t="shared" si="12"/>
        <v>2600</v>
      </c>
    </row>
    <row r="836" spans="1:6" s="9" customFormat="1" x14ac:dyDescent="0.25">
      <c r="C836" s="5">
        <v>80</v>
      </c>
      <c r="D836" s="9" t="s">
        <v>11</v>
      </c>
      <c r="E836" s="10">
        <v>120</v>
      </c>
      <c r="F836" s="10">
        <f t="shared" si="12"/>
        <v>9600</v>
      </c>
    </row>
    <row r="837" spans="1:6" s="9" customFormat="1" x14ac:dyDescent="0.25">
      <c r="C837" s="5"/>
      <c r="E837" s="10"/>
      <c r="F837" s="8">
        <f>SUM(F833:F836)</f>
        <v>56950</v>
      </c>
    </row>
    <row r="838" spans="1:6" s="9" customFormat="1" x14ac:dyDescent="0.25">
      <c r="C838" s="5"/>
      <c r="E838" s="10"/>
      <c r="F838" s="10"/>
    </row>
    <row r="839" spans="1:6" s="9" customFormat="1" x14ac:dyDescent="0.25">
      <c r="A839" s="9" t="s">
        <v>51</v>
      </c>
      <c r="B839" s="4">
        <v>45728</v>
      </c>
      <c r="C839" s="5">
        <v>200</v>
      </c>
      <c r="D839" s="9" t="s">
        <v>14</v>
      </c>
      <c r="E839" s="10">
        <v>118</v>
      </c>
      <c r="F839" s="10">
        <f t="shared" si="12"/>
        <v>23600</v>
      </c>
    </row>
    <row r="840" spans="1:6" s="9" customFormat="1" x14ac:dyDescent="0.25">
      <c r="C840" s="5"/>
      <c r="E840" s="10"/>
      <c r="F840" s="8">
        <f>SUM(F839)</f>
        <v>23600</v>
      </c>
    </row>
    <row r="841" spans="1:6" s="9" customFormat="1" x14ac:dyDescent="0.25">
      <c r="C841" s="5"/>
      <c r="E841" s="10"/>
      <c r="F841" s="10"/>
    </row>
    <row r="842" spans="1:6" s="9" customFormat="1" x14ac:dyDescent="0.25">
      <c r="A842" s="9" t="s">
        <v>29</v>
      </c>
      <c r="B842" s="4">
        <v>45728</v>
      </c>
      <c r="C842" s="5">
        <v>5</v>
      </c>
      <c r="D842" s="9" t="s">
        <v>8</v>
      </c>
      <c r="E842" s="10">
        <v>145</v>
      </c>
      <c r="F842" s="10">
        <f t="shared" ref="F842:F902" si="13">+C842*E842</f>
        <v>725</v>
      </c>
    </row>
    <row r="843" spans="1:6" s="9" customFormat="1" x14ac:dyDescent="0.25">
      <c r="C843" s="5">
        <v>15</v>
      </c>
      <c r="D843" s="9" t="s">
        <v>293</v>
      </c>
      <c r="E843" s="10">
        <v>140</v>
      </c>
      <c r="F843" s="10">
        <f t="shared" si="13"/>
        <v>2100</v>
      </c>
    </row>
    <row r="844" spans="1:6" s="9" customFormat="1" x14ac:dyDescent="0.25">
      <c r="C844" s="5"/>
      <c r="E844" s="10"/>
      <c r="F844" s="8">
        <f>SUM(F842:F843)</f>
        <v>2825</v>
      </c>
    </row>
    <row r="845" spans="1:6" s="9" customFormat="1" x14ac:dyDescent="0.25">
      <c r="C845" s="5"/>
      <c r="E845" s="10"/>
      <c r="F845" s="10"/>
    </row>
    <row r="846" spans="1:6" s="9" customFormat="1" x14ac:dyDescent="0.25">
      <c r="A846" s="9" t="s">
        <v>7</v>
      </c>
      <c r="B846" s="4">
        <v>45728</v>
      </c>
      <c r="C846" s="5">
        <v>2</v>
      </c>
      <c r="D846" s="9" t="s">
        <v>8</v>
      </c>
      <c r="E846" s="10">
        <v>170</v>
      </c>
      <c r="F846" s="10">
        <f t="shared" si="13"/>
        <v>340</v>
      </c>
    </row>
    <row r="847" spans="1:6" s="9" customFormat="1" x14ac:dyDescent="0.25">
      <c r="C847" s="5">
        <v>4</v>
      </c>
      <c r="D847" s="9" t="s">
        <v>8</v>
      </c>
      <c r="E847" s="10">
        <v>170</v>
      </c>
      <c r="F847" s="10">
        <f t="shared" si="13"/>
        <v>680</v>
      </c>
    </row>
    <row r="848" spans="1:6" s="9" customFormat="1" x14ac:dyDescent="0.25">
      <c r="C848" s="5">
        <v>1</v>
      </c>
      <c r="D848" s="9" t="s">
        <v>8</v>
      </c>
      <c r="E848" s="10">
        <v>170</v>
      </c>
      <c r="F848" s="10">
        <f t="shared" si="13"/>
        <v>170</v>
      </c>
    </row>
    <row r="849" spans="1:6" s="9" customFormat="1" x14ac:dyDescent="0.25">
      <c r="C849" s="5"/>
      <c r="E849" s="10"/>
      <c r="F849" s="8">
        <f>SUM(F846:F848)</f>
        <v>1190</v>
      </c>
    </row>
    <row r="850" spans="1:6" s="9" customFormat="1" x14ac:dyDescent="0.25">
      <c r="C850" s="5"/>
      <c r="E850" s="10"/>
      <c r="F850" s="10"/>
    </row>
    <row r="851" spans="1:6" s="9" customFormat="1" x14ac:dyDescent="0.25">
      <c r="A851" s="9" t="s">
        <v>321</v>
      </c>
      <c r="B851" s="4">
        <v>45729</v>
      </c>
      <c r="C851" s="5">
        <v>10</v>
      </c>
      <c r="D851" s="9" t="s">
        <v>275</v>
      </c>
      <c r="E851" s="10">
        <v>100</v>
      </c>
      <c r="F851" s="10">
        <f t="shared" si="13"/>
        <v>1000</v>
      </c>
    </row>
    <row r="852" spans="1:6" s="9" customFormat="1" x14ac:dyDescent="0.25">
      <c r="C852" s="5"/>
      <c r="E852" s="10"/>
      <c r="F852" s="8">
        <f>SUM(F851)</f>
        <v>1000</v>
      </c>
    </row>
    <row r="853" spans="1:6" s="9" customFormat="1" x14ac:dyDescent="0.25">
      <c r="C853" s="5"/>
      <c r="E853" s="10"/>
      <c r="F853" s="10"/>
    </row>
    <row r="854" spans="1:6" s="9" customFormat="1" x14ac:dyDescent="0.25">
      <c r="A854" s="9" t="s">
        <v>176</v>
      </c>
      <c r="B854" s="4">
        <v>45729</v>
      </c>
      <c r="C854" s="5">
        <v>40</v>
      </c>
      <c r="D854" s="9" t="s">
        <v>8</v>
      </c>
      <c r="E854" s="10">
        <v>155</v>
      </c>
      <c r="F854" s="10">
        <f t="shared" si="13"/>
        <v>6200</v>
      </c>
    </row>
    <row r="855" spans="1:6" s="9" customFormat="1" x14ac:dyDescent="0.25">
      <c r="C855" s="5">
        <v>30</v>
      </c>
      <c r="D855" s="9" t="s">
        <v>13</v>
      </c>
      <c r="E855" s="10">
        <v>140</v>
      </c>
      <c r="F855" s="10">
        <f t="shared" si="13"/>
        <v>4200</v>
      </c>
    </row>
    <row r="856" spans="1:6" s="9" customFormat="1" x14ac:dyDescent="0.25">
      <c r="C856" s="5">
        <v>10</v>
      </c>
      <c r="D856" s="9" t="s">
        <v>12</v>
      </c>
      <c r="E856" s="10">
        <v>130</v>
      </c>
      <c r="F856" s="10">
        <f t="shared" si="13"/>
        <v>1300</v>
      </c>
    </row>
    <row r="857" spans="1:6" s="9" customFormat="1" x14ac:dyDescent="0.25">
      <c r="C857" s="5">
        <v>40</v>
      </c>
      <c r="D857" s="9" t="s">
        <v>22</v>
      </c>
      <c r="E857" s="10">
        <v>115</v>
      </c>
      <c r="F857" s="10">
        <f t="shared" si="13"/>
        <v>4600</v>
      </c>
    </row>
    <row r="858" spans="1:6" s="9" customFormat="1" x14ac:dyDescent="0.25">
      <c r="C858" s="5">
        <v>25</v>
      </c>
      <c r="D858" s="9" t="s">
        <v>14</v>
      </c>
      <c r="E858" s="10">
        <v>130</v>
      </c>
      <c r="F858" s="10">
        <f t="shared" si="13"/>
        <v>3250</v>
      </c>
    </row>
    <row r="859" spans="1:6" s="9" customFormat="1" x14ac:dyDescent="0.25">
      <c r="C859" s="5">
        <v>30</v>
      </c>
      <c r="D859" s="9" t="s">
        <v>11</v>
      </c>
      <c r="E859" s="10">
        <v>125</v>
      </c>
      <c r="F859" s="10">
        <f t="shared" si="13"/>
        <v>3750</v>
      </c>
    </row>
    <row r="860" spans="1:6" s="9" customFormat="1" x14ac:dyDescent="0.25">
      <c r="C860" s="5">
        <v>20</v>
      </c>
      <c r="D860" s="9" t="s">
        <v>50</v>
      </c>
      <c r="E860" s="10">
        <v>110</v>
      </c>
      <c r="F860" s="10">
        <f t="shared" si="13"/>
        <v>2200</v>
      </c>
    </row>
    <row r="861" spans="1:6" s="9" customFormat="1" x14ac:dyDescent="0.25">
      <c r="C861" s="5"/>
      <c r="E861" s="10"/>
      <c r="F861" s="8">
        <f>SUM(F854:F860)</f>
        <v>25500</v>
      </c>
    </row>
    <row r="862" spans="1:6" s="9" customFormat="1" x14ac:dyDescent="0.25">
      <c r="C862" s="5"/>
      <c r="E862" s="10"/>
      <c r="F862" s="10"/>
    </row>
    <row r="863" spans="1:6" s="9" customFormat="1" x14ac:dyDescent="0.25">
      <c r="A863" s="9" t="s">
        <v>60</v>
      </c>
      <c r="B863" s="4">
        <v>45729</v>
      </c>
      <c r="C863" s="5">
        <v>20</v>
      </c>
      <c r="D863" s="9" t="s">
        <v>13</v>
      </c>
      <c r="E863" s="10">
        <v>140</v>
      </c>
      <c r="F863" s="10">
        <f t="shared" si="13"/>
        <v>2800</v>
      </c>
    </row>
    <row r="864" spans="1:6" s="9" customFormat="1" x14ac:dyDescent="0.25">
      <c r="C864" s="5"/>
      <c r="E864" s="10"/>
      <c r="F864" s="8">
        <f>SUM(F863)</f>
        <v>2800</v>
      </c>
    </row>
    <row r="865" spans="1:6" s="9" customFormat="1" x14ac:dyDescent="0.25">
      <c r="C865" s="5"/>
      <c r="E865" s="10"/>
      <c r="F865" s="10"/>
    </row>
    <row r="866" spans="1:6" s="9" customFormat="1" x14ac:dyDescent="0.25">
      <c r="A866" s="9" t="s">
        <v>89</v>
      </c>
      <c r="B866" s="4">
        <v>45729</v>
      </c>
      <c r="C866" s="5">
        <v>32</v>
      </c>
      <c r="D866" s="9" t="s">
        <v>12</v>
      </c>
      <c r="E866" s="10">
        <v>125</v>
      </c>
      <c r="F866" s="10">
        <f t="shared" si="13"/>
        <v>4000</v>
      </c>
    </row>
    <row r="867" spans="1:6" s="9" customFormat="1" x14ac:dyDescent="0.25">
      <c r="C867" s="5">
        <v>30</v>
      </c>
      <c r="D867" s="9" t="s">
        <v>13</v>
      </c>
      <c r="E867" s="10">
        <v>130</v>
      </c>
      <c r="F867" s="10">
        <f t="shared" si="13"/>
        <v>3900</v>
      </c>
    </row>
    <row r="868" spans="1:6" s="9" customFormat="1" x14ac:dyDescent="0.25">
      <c r="C868" s="5">
        <v>10</v>
      </c>
      <c r="D868" s="9" t="s">
        <v>14</v>
      </c>
      <c r="E868" s="10">
        <v>125</v>
      </c>
      <c r="F868" s="10">
        <f t="shared" si="13"/>
        <v>1250</v>
      </c>
    </row>
    <row r="869" spans="1:6" s="9" customFormat="1" x14ac:dyDescent="0.25">
      <c r="C869" s="5">
        <v>10</v>
      </c>
      <c r="D869" s="9" t="s">
        <v>50</v>
      </c>
      <c r="E869" s="10">
        <v>120</v>
      </c>
      <c r="F869" s="10">
        <f t="shared" si="13"/>
        <v>1200</v>
      </c>
    </row>
    <row r="870" spans="1:6" s="9" customFormat="1" x14ac:dyDescent="0.25">
      <c r="C870" s="5"/>
      <c r="E870" s="10"/>
      <c r="F870" s="8">
        <f>SUM(F866:F869)</f>
        <v>10350</v>
      </c>
    </row>
    <row r="871" spans="1:6" s="9" customFormat="1" x14ac:dyDescent="0.25">
      <c r="C871" s="5"/>
      <c r="E871" s="10"/>
      <c r="F871" s="10"/>
    </row>
    <row r="872" spans="1:6" s="9" customFormat="1" x14ac:dyDescent="0.25">
      <c r="A872" s="9" t="s">
        <v>184</v>
      </c>
      <c r="B872" s="4">
        <v>45729</v>
      </c>
      <c r="C872" s="5">
        <v>5</v>
      </c>
      <c r="D872" s="9" t="s">
        <v>13</v>
      </c>
      <c r="E872" s="10">
        <v>155</v>
      </c>
      <c r="F872" s="10">
        <f t="shared" si="13"/>
        <v>775</v>
      </c>
    </row>
    <row r="873" spans="1:6" s="9" customFormat="1" x14ac:dyDescent="0.25">
      <c r="C873" s="5"/>
      <c r="E873" s="10"/>
      <c r="F873" s="8">
        <f>SUM(F872)</f>
        <v>775</v>
      </c>
    </row>
    <row r="874" spans="1:6" s="9" customFormat="1" x14ac:dyDescent="0.25">
      <c r="C874" s="5"/>
      <c r="E874" s="10"/>
      <c r="F874" s="10"/>
    </row>
    <row r="875" spans="1:6" s="9" customFormat="1" x14ac:dyDescent="0.25">
      <c r="A875" s="9" t="s">
        <v>51</v>
      </c>
      <c r="B875" s="4">
        <v>45729</v>
      </c>
      <c r="C875" s="5">
        <v>100</v>
      </c>
      <c r="D875" s="9" t="s">
        <v>12</v>
      </c>
      <c r="E875" s="10">
        <v>115</v>
      </c>
      <c r="F875" s="10">
        <f t="shared" si="13"/>
        <v>11500</v>
      </c>
    </row>
    <row r="876" spans="1:6" s="9" customFormat="1" x14ac:dyDescent="0.25">
      <c r="C876" s="5"/>
      <c r="E876" s="10"/>
      <c r="F876" s="8">
        <f>SUM(F875)</f>
        <v>11500</v>
      </c>
    </row>
    <row r="877" spans="1:6" s="9" customFormat="1" x14ac:dyDescent="0.25">
      <c r="C877" s="5"/>
      <c r="E877" s="10"/>
      <c r="F877" s="10"/>
    </row>
    <row r="878" spans="1:6" s="9" customFormat="1" x14ac:dyDescent="0.25">
      <c r="A878" s="9" t="s">
        <v>32</v>
      </c>
      <c r="B878" s="4">
        <v>45729</v>
      </c>
      <c r="C878" s="5">
        <v>30</v>
      </c>
      <c r="D878" s="9" t="s">
        <v>13</v>
      </c>
      <c r="E878" s="10">
        <v>140</v>
      </c>
      <c r="F878" s="10">
        <f t="shared" si="13"/>
        <v>4200</v>
      </c>
    </row>
    <row r="879" spans="1:6" s="9" customFormat="1" x14ac:dyDescent="0.25">
      <c r="C879" s="5"/>
      <c r="E879" s="10"/>
      <c r="F879" s="8">
        <f>SUM(F878)</f>
        <v>4200</v>
      </c>
    </row>
    <row r="880" spans="1:6" s="9" customFormat="1" x14ac:dyDescent="0.25">
      <c r="C880" s="5"/>
      <c r="E880" s="10"/>
      <c r="F880" s="10"/>
    </row>
    <row r="881" spans="1:6" s="9" customFormat="1" x14ac:dyDescent="0.25">
      <c r="A881" s="9" t="s">
        <v>76</v>
      </c>
      <c r="B881" s="4">
        <v>45729</v>
      </c>
      <c r="C881" s="5">
        <v>300</v>
      </c>
      <c r="D881" s="9" t="s">
        <v>14</v>
      </c>
      <c r="E881" s="10">
        <v>120</v>
      </c>
      <c r="F881" s="10">
        <f t="shared" si="13"/>
        <v>36000</v>
      </c>
    </row>
    <row r="882" spans="1:6" s="9" customFormat="1" x14ac:dyDescent="0.25">
      <c r="C882" s="5">
        <v>200</v>
      </c>
      <c r="D882" s="9" t="s">
        <v>11</v>
      </c>
      <c r="E882" s="10">
        <v>115</v>
      </c>
      <c r="F882" s="10">
        <f t="shared" si="13"/>
        <v>23000</v>
      </c>
    </row>
    <row r="883" spans="1:6" s="9" customFormat="1" x14ac:dyDescent="0.25">
      <c r="C883" s="5">
        <v>300</v>
      </c>
      <c r="D883" s="9" t="s">
        <v>13</v>
      </c>
      <c r="E883" s="10">
        <v>135</v>
      </c>
      <c r="F883" s="10">
        <f t="shared" si="13"/>
        <v>40500</v>
      </c>
    </row>
    <row r="884" spans="1:6" s="9" customFormat="1" x14ac:dyDescent="0.25">
      <c r="C884" s="5">
        <v>150</v>
      </c>
      <c r="D884" s="9" t="s">
        <v>12</v>
      </c>
      <c r="E884" s="10">
        <v>120</v>
      </c>
      <c r="F884" s="10">
        <f t="shared" si="13"/>
        <v>18000</v>
      </c>
    </row>
    <row r="885" spans="1:6" s="9" customFormat="1" x14ac:dyDescent="0.25">
      <c r="C885" s="5"/>
      <c r="E885" s="10"/>
      <c r="F885" s="8">
        <f>SUM(F881:F884)</f>
        <v>117500</v>
      </c>
    </row>
    <row r="886" spans="1:6" s="9" customFormat="1" x14ac:dyDescent="0.25">
      <c r="C886" s="5"/>
      <c r="E886" s="10"/>
      <c r="F886" s="10"/>
    </row>
    <row r="887" spans="1:6" s="9" customFormat="1" x14ac:dyDescent="0.25">
      <c r="A887" s="9" t="s">
        <v>245</v>
      </c>
      <c r="B887" s="4">
        <v>45729</v>
      </c>
      <c r="C887" s="5">
        <v>70</v>
      </c>
      <c r="D887" s="9" t="s">
        <v>13</v>
      </c>
      <c r="E887" s="10">
        <v>140</v>
      </c>
      <c r="F887" s="10">
        <f t="shared" si="13"/>
        <v>9800</v>
      </c>
    </row>
    <row r="888" spans="1:6" s="9" customFormat="1" x14ac:dyDescent="0.25">
      <c r="C888" s="5"/>
      <c r="E888" s="10"/>
      <c r="F888" s="8">
        <f>SUM(F887)</f>
        <v>9800</v>
      </c>
    </row>
    <row r="889" spans="1:6" s="9" customFormat="1" x14ac:dyDescent="0.25">
      <c r="C889" s="5"/>
      <c r="E889" s="10"/>
      <c r="F889" s="10"/>
    </row>
    <row r="890" spans="1:6" s="9" customFormat="1" x14ac:dyDescent="0.25">
      <c r="A890" s="9" t="s">
        <v>101</v>
      </c>
      <c r="B890" s="4">
        <v>45729</v>
      </c>
      <c r="C890" s="5">
        <v>2</v>
      </c>
      <c r="D890" s="9" t="s">
        <v>8</v>
      </c>
      <c r="E890" s="10">
        <v>170</v>
      </c>
      <c r="F890" s="10">
        <f t="shared" si="13"/>
        <v>340</v>
      </c>
    </row>
    <row r="891" spans="1:6" s="9" customFormat="1" x14ac:dyDescent="0.25">
      <c r="C891" s="5"/>
      <c r="E891" s="10"/>
      <c r="F891" s="8">
        <f>SUM(F890)</f>
        <v>340</v>
      </c>
    </row>
    <row r="892" spans="1:6" s="9" customFormat="1" x14ac:dyDescent="0.25">
      <c r="C892" s="5"/>
      <c r="E892" s="10"/>
      <c r="F892" s="10"/>
    </row>
    <row r="893" spans="1:6" s="9" customFormat="1" x14ac:dyDescent="0.25">
      <c r="A893" s="9" t="s">
        <v>7</v>
      </c>
      <c r="B893" s="4">
        <v>45729</v>
      </c>
      <c r="C893" s="5">
        <v>1</v>
      </c>
      <c r="D893" s="9" t="s">
        <v>8</v>
      </c>
      <c r="E893" s="10">
        <v>170</v>
      </c>
      <c r="F893" s="10">
        <f t="shared" si="13"/>
        <v>170</v>
      </c>
    </row>
    <row r="894" spans="1:6" s="9" customFormat="1" x14ac:dyDescent="0.25">
      <c r="C894" s="5"/>
      <c r="E894" s="10"/>
      <c r="F894" s="8">
        <f>SUM(F893)</f>
        <v>170</v>
      </c>
    </row>
    <row r="895" spans="1:6" s="9" customFormat="1" x14ac:dyDescent="0.25">
      <c r="C895" s="5"/>
      <c r="E895" s="10"/>
      <c r="F895" s="10"/>
    </row>
    <row r="896" spans="1:6" s="9" customFormat="1" x14ac:dyDescent="0.25">
      <c r="A896" s="9" t="s">
        <v>103</v>
      </c>
      <c r="B896" s="4">
        <v>45730</v>
      </c>
      <c r="C896" s="5">
        <v>4</v>
      </c>
      <c r="D896" s="9" t="s">
        <v>13</v>
      </c>
      <c r="E896" s="10">
        <v>150</v>
      </c>
      <c r="F896" s="10">
        <f t="shared" si="13"/>
        <v>600</v>
      </c>
    </row>
    <row r="897" spans="1:6" s="9" customFormat="1" x14ac:dyDescent="0.25">
      <c r="C897" s="5"/>
      <c r="E897" s="10"/>
      <c r="F897" s="8">
        <f>SUM(F896)</f>
        <v>600</v>
      </c>
    </row>
    <row r="898" spans="1:6" s="9" customFormat="1" x14ac:dyDescent="0.25">
      <c r="C898" s="5"/>
      <c r="E898" s="10"/>
      <c r="F898" s="10"/>
    </row>
    <row r="899" spans="1:6" s="9" customFormat="1" x14ac:dyDescent="0.25">
      <c r="A899" s="9" t="s">
        <v>280</v>
      </c>
      <c r="B899" s="4">
        <v>45730</v>
      </c>
      <c r="C899" s="5">
        <v>10</v>
      </c>
      <c r="D899" s="9" t="s">
        <v>13</v>
      </c>
      <c r="E899" s="10">
        <v>150</v>
      </c>
      <c r="F899" s="10">
        <f t="shared" si="13"/>
        <v>1500</v>
      </c>
    </row>
    <row r="900" spans="1:6" s="9" customFormat="1" x14ac:dyDescent="0.25">
      <c r="C900" s="5"/>
      <c r="E900" s="10"/>
      <c r="F900" s="8">
        <f>SUM(F899)</f>
        <v>1500</v>
      </c>
    </row>
    <row r="901" spans="1:6" s="9" customFormat="1" x14ac:dyDescent="0.25">
      <c r="C901" s="5"/>
      <c r="E901" s="10"/>
      <c r="F901" s="10"/>
    </row>
    <row r="902" spans="1:6" s="9" customFormat="1" x14ac:dyDescent="0.25">
      <c r="A902" s="9" t="s">
        <v>270</v>
      </c>
      <c r="B902" s="4">
        <v>45730</v>
      </c>
      <c r="C902" s="5">
        <v>10</v>
      </c>
      <c r="D902" s="9" t="s">
        <v>275</v>
      </c>
      <c r="E902" s="10">
        <v>100</v>
      </c>
      <c r="F902" s="10">
        <f t="shared" si="13"/>
        <v>1000</v>
      </c>
    </row>
    <row r="903" spans="1:6" s="9" customFormat="1" x14ac:dyDescent="0.25">
      <c r="C903" s="5"/>
      <c r="E903" s="10"/>
      <c r="F903" s="8">
        <f>SUM(F902)</f>
        <v>1000</v>
      </c>
    </row>
    <row r="904" spans="1:6" s="9" customFormat="1" x14ac:dyDescent="0.25">
      <c r="C904" s="5"/>
      <c r="E904" s="10"/>
      <c r="F904" s="10"/>
    </row>
    <row r="905" spans="1:6" s="9" customFormat="1" x14ac:dyDescent="0.25">
      <c r="A905" s="9" t="s">
        <v>15</v>
      </c>
      <c r="B905" s="4">
        <v>45730</v>
      </c>
      <c r="C905" s="5">
        <v>23</v>
      </c>
      <c r="D905" s="9" t="s">
        <v>98</v>
      </c>
      <c r="E905" s="10">
        <v>85</v>
      </c>
      <c r="F905" s="10">
        <f t="shared" ref="F905:F966" si="14">+C905*E905</f>
        <v>1955</v>
      </c>
    </row>
    <row r="906" spans="1:6" s="9" customFormat="1" x14ac:dyDescent="0.25">
      <c r="C906" s="5"/>
      <c r="E906" s="10"/>
      <c r="F906" s="8">
        <f>SUM(F905)</f>
        <v>1955</v>
      </c>
    </row>
    <row r="907" spans="1:6" s="9" customFormat="1" x14ac:dyDescent="0.25">
      <c r="C907" s="5"/>
      <c r="E907" s="10"/>
      <c r="F907" s="10"/>
    </row>
    <row r="908" spans="1:6" s="9" customFormat="1" x14ac:dyDescent="0.25">
      <c r="A908" s="9" t="s">
        <v>322</v>
      </c>
      <c r="B908" s="4">
        <v>45730</v>
      </c>
      <c r="C908" s="5">
        <v>6</v>
      </c>
      <c r="D908" s="9" t="s">
        <v>14</v>
      </c>
      <c r="E908" s="10">
        <v>130</v>
      </c>
      <c r="F908" s="10">
        <f t="shared" si="14"/>
        <v>780</v>
      </c>
    </row>
    <row r="909" spans="1:6" s="9" customFormat="1" x14ac:dyDescent="0.25">
      <c r="C909" s="5">
        <v>4</v>
      </c>
      <c r="D909" s="9" t="s">
        <v>13</v>
      </c>
      <c r="E909" s="10">
        <v>140</v>
      </c>
      <c r="F909" s="10">
        <f t="shared" si="14"/>
        <v>560</v>
      </c>
    </row>
    <row r="910" spans="1:6" s="9" customFormat="1" x14ac:dyDescent="0.25">
      <c r="C910" s="5"/>
      <c r="E910" s="10"/>
      <c r="F910" s="8">
        <f>SUM(F908:F909)</f>
        <v>1340</v>
      </c>
    </row>
    <row r="911" spans="1:6" s="9" customFormat="1" x14ac:dyDescent="0.25">
      <c r="C911" s="5"/>
      <c r="E911" s="10"/>
      <c r="F911" s="10"/>
    </row>
    <row r="912" spans="1:6" s="9" customFormat="1" x14ac:dyDescent="0.25">
      <c r="A912" s="9" t="s">
        <v>17</v>
      </c>
      <c r="B912" s="4">
        <v>45730</v>
      </c>
      <c r="C912" s="5">
        <v>10</v>
      </c>
      <c r="D912" s="9" t="s">
        <v>8</v>
      </c>
      <c r="E912" s="10">
        <v>150</v>
      </c>
      <c r="F912" s="10">
        <f t="shared" si="14"/>
        <v>1500</v>
      </c>
    </row>
    <row r="913" spans="1:6" s="9" customFormat="1" x14ac:dyDescent="0.25">
      <c r="C913" s="5"/>
      <c r="E913" s="10"/>
      <c r="F913" s="8">
        <f>SUM(F912)</f>
        <v>1500</v>
      </c>
    </row>
    <row r="914" spans="1:6" s="9" customFormat="1" x14ac:dyDescent="0.25">
      <c r="C914" s="5"/>
      <c r="E914" s="10"/>
      <c r="F914" s="10"/>
    </row>
    <row r="915" spans="1:6" s="9" customFormat="1" x14ac:dyDescent="0.25">
      <c r="A915" s="9" t="s">
        <v>157</v>
      </c>
      <c r="B915" s="4">
        <v>45730</v>
      </c>
      <c r="C915" s="5">
        <v>10</v>
      </c>
      <c r="D915" s="9" t="s">
        <v>8</v>
      </c>
      <c r="E915" s="10">
        <v>150</v>
      </c>
      <c r="F915" s="10">
        <f t="shared" si="14"/>
        <v>1500</v>
      </c>
    </row>
    <row r="916" spans="1:6" s="9" customFormat="1" x14ac:dyDescent="0.25">
      <c r="C916" s="5"/>
      <c r="E916" s="10"/>
      <c r="F916" s="8">
        <f>SUM(F915)</f>
        <v>1500</v>
      </c>
    </row>
    <row r="917" spans="1:6" s="9" customFormat="1" x14ac:dyDescent="0.25">
      <c r="C917" s="5"/>
      <c r="E917" s="10"/>
      <c r="F917" s="10"/>
    </row>
    <row r="918" spans="1:6" s="9" customFormat="1" x14ac:dyDescent="0.25">
      <c r="A918" s="9" t="s">
        <v>21</v>
      </c>
      <c r="B918" s="4">
        <v>45730</v>
      </c>
      <c r="C918" s="5">
        <v>10</v>
      </c>
      <c r="D918" s="9" t="s">
        <v>13</v>
      </c>
      <c r="E918" s="10">
        <v>140</v>
      </c>
      <c r="F918" s="10">
        <f t="shared" si="14"/>
        <v>1400</v>
      </c>
    </row>
    <row r="919" spans="1:6" s="9" customFormat="1" x14ac:dyDescent="0.25">
      <c r="C919" s="5">
        <v>10</v>
      </c>
      <c r="D919" s="9" t="s">
        <v>12</v>
      </c>
      <c r="E919" s="10">
        <v>125</v>
      </c>
      <c r="F919" s="10">
        <f t="shared" si="14"/>
        <v>1250</v>
      </c>
    </row>
    <row r="920" spans="1:6" s="9" customFormat="1" x14ac:dyDescent="0.25">
      <c r="C920" s="5">
        <v>10</v>
      </c>
      <c r="D920" s="9" t="s">
        <v>14</v>
      </c>
      <c r="E920" s="10">
        <v>130</v>
      </c>
      <c r="F920" s="10">
        <f t="shared" si="14"/>
        <v>1300</v>
      </c>
    </row>
    <row r="921" spans="1:6" s="9" customFormat="1" x14ac:dyDescent="0.25">
      <c r="C921" s="5"/>
      <c r="E921" s="10"/>
      <c r="F921" s="8">
        <f>SUM(F918:F920)</f>
        <v>3950</v>
      </c>
    </row>
    <row r="922" spans="1:6" s="9" customFormat="1" x14ac:dyDescent="0.25">
      <c r="C922" s="5"/>
      <c r="E922" s="10"/>
      <c r="F922" s="10"/>
    </row>
    <row r="923" spans="1:6" s="9" customFormat="1" x14ac:dyDescent="0.25">
      <c r="A923" s="9" t="s">
        <v>148</v>
      </c>
      <c r="B923" s="4">
        <v>45730</v>
      </c>
      <c r="C923" s="5">
        <v>5</v>
      </c>
      <c r="D923" s="9" t="s">
        <v>13</v>
      </c>
      <c r="E923" s="10">
        <v>140</v>
      </c>
      <c r="F923" s="10">
        <f t="shared" si="14"/>
        <v>700</v>
      </c>
    </row>
    <row r="924" spans="1:6" s="9" customFormat="1" x14ac:dyDescent="0.25">
      <c r="C924" s="5"/>
      <c r="E924" s="10"/>
      <c r="F924" s="8">
        <f>SUM(F923)</f>
        <v>700</v>
      </c>
    </row>
    <row r="925" spans="1:6" s="9" customFormat="1" x14ac:dyDescent="0.25">
      <c r="C925" s="5"/>
      <c r="E925" s="10"/>
      <c r="F925" s="10"/>
    </row>
    <row r="926" spans="1:6" s="9" customFormat="1" x14ac:dyDescent="0.25">
      <c r="A926" s="9" t="s">
        <v>40</v>
      </c>
      <c r="B926" s="4">
        <v>45730</v>
      </c>
      <c r="C926" s="5">
        <v>15</v>
      </c>
      <c r="D926" s="9" t="s">
        <v>8</v>
      </c>
      <c r="E926" s="10">
        <v>150</v>
      </c>
      <c r="F926" s="10">
        <f t="shared" si="14"/>
        <v>2250</v>
      </c>
    </row>
    <row r="927" spans="1:6" s="9" customFormat="1" x14ac:dyDescent="0.25">
      <c r="C927" s="5">
        <v>10</v>
      </c>
      <c r="D927" s="9" t="s">
        <v>323</v>
      </c>
      <c r="E927" s="10">
        <v>140</v>
      </c>
      <c r="F927" s="10">
        <f t="shared" si="14"/>
        <v>1400</v>
      </c>
    </row>
    <row r="928" spans="1:6" s="9" customFormat="1" x14ac:dyDescent="0.25">
      <c r="C928" s="5">
        <v>10</v>
      </c>
      <c r="D928" s="9" t="s">
        <v>11</v>
      </c>
      <c r="E928" s="10">
        <v>120</v>
      </c>
      <c r="F928" s="10">
        <f t="shared" si="14"/>
        <v>1200</v>
      </c>
    </row>
    <row r="929" spans="1:6" s="9" customFormat="1" x14ac:dyDescent="0.25">
      <c r="C929" s="5"/>
      <c r="E929" s="10"/>
      <c r="F929" s="8">
        <f>SUM(F926:F928)</f>
        <v>4850</v>
      </c>
    </row>
    <row r="930" spans="1:6" s="9" customFormat="1" x14ac:dyDescent="0.25">
      <c r="C930" s="5"/>
      <c r="E930" s="10"/>
      <c r="F930" s="10"/>
    </row>
    <row r="931" spans="1:6" s="9" customFormat="1" x14ac:dyDescent="0.25">
      <c r="A931" s="9" t="s">
        <v>58</v>
      </c>
      <c r="B931" s="4">
        <v>45730</v>
      </c>
      <c r="C931" s="5">
        <v>4</v>
      </c>
      <c r="D931" s="9" t="s">
        <v>13</v>
      </c>
      <c r="E931" s="10">
        <v>140</v>
      </c>
      <c r="F931" s="10">
        <f t="shared" si="14"/>
        <v>560</v>
      </c>
    </row>
    <row r="932" spans="1:6" s="9" customFormat="1" x14ac:dyDescent="0.25">
      <c r="C932" s="5"/>
      <c r="E932" s="10"/>
      <c r="F932" s="8">
        <f>SUM(F931)</f>
        <v>560</v>
      </c>
    </row>
    <row r="933" spans="1:6" s="9" customFormat="1" x14ac:dyDescent="0.25">
      <c r="C933" s="5"/>
      <c r="E933" s="10"/>
      <c r="F933" s="10"/>
    </row>
    <row r="934" spans="1:6" s="9" customFormat="1" x14ac:dyDescent="0.25">
      <c r="A934" s="9" t="s">
        <v>80</v>
      </c>
      <c r="B934" s="4">
        <v>45730</v>
      </c>
      <c r="C934" s="5">
        <v>10</v>
      </c>
      <c r="D934" s="9" t="s">
        <v>13</v>
      </c>
      <c r="E934" s="10">
        <v>140</v>
      </c>
      <c r="F934" s="10">
        <f t="shared" si="14"/>
        <v>1400</v>
      </c>
    </row>
    <row r="935" spans="1:6" s="9" customFormat="1" x14ac:dyDescent="0.25">
      <c r="C935" s="5"/>
      <c r="E935" s="10"/>
      <c r="F935" s="8">
        <f>SUM(F934)</f>
        <v>1400</v>
      </c>
    </row>
    <row r="936" spans="1:6" s="9" customFormat="1" x14ac:dyDescent="0.25">
      <c r="C936" s="5"/>
      <c r="E936" s="10"/>
      <c r="F936" s="10"/>
    </row>
    <row r="937" spans="1:6" s="9" customFormat="1" x14ac:dyDescent="0.25">
      <c r="A937" s="9" t="s">
        <v>7</v>
      </c>
      <c r="B937" s="4">
        <v>45730</v>
      </c>
      <c r="C937" s="5">
        <v>4</v>
      </c>
      <c r="D937" s="9" t="s">
        <v>13</v>
      </c>
      <c r="E937" s="10">
        <v>140</v>
      </c>
      <c r="F937" s="10">
        <f t="shared" si="14"/>
        <v>560</v>
      </c>
    </row>
    <row r="938" spans="1:6" s="9" customFormat="1" x14ac:dyDescent="0.25">
      <c r="C938" s="5"/>
      <c r="E938" s="10"/>
      <c r="F938" s="8">
        <f>SUM(F937)</f>
        <v>560</v>
      </c>
    </row>
    <row r="939" spans="1:6" s="9" customFormat="1" x14ac:dyDescent="0.25">
      <c r="C939" s="5"/>
      <c r="E939" s="10"/>
      <c r="F939" s="10"/>
    </row>
    <row r="940" spans="1:6" s="9" customFormat="1" x14ac:dyDescent="0.25">
      <c r="A940" s="9" t="s">
        <v>41</v>
      </c>
      <c r="B940" s="4">
        <v>45730</v>
      </c>
      <c r="C940" s="5">
        <v>20</v>
      </c>
      <c r="D940" s="9" t="s">
        <v>14</v>
      </c>
      <c r="E940" s="10">
        <v>130</v>
      </c>
      <c r="F940" s="10">
        <f t="shared" si="14"/>
        <v>2600</v>
      </c>
    </row>
    <row r="941" spans="1:6" s="9" customFormat="1" x14ac:dyDescent="0.25">
      <c r="C941" s="5"/>
      <c r="E941" s="10"/>
      <c r="F941" s="8">
        <f>SUM(F940)</f>
        <v>2600</v>
      </c>
    </row>
    <row r="942" spans="1:6" s="9" customFormat="1" x14ac:dyDescent="0.25">
      <c r="C942" s="5"/>
      <c r="E942" s="10"/>
      <c r="F942" s="10"/>
    </row>
    <row r="943" spans="1:6" s="9" customFormat="1" x14ac:dyDescent="0.25">
      <c r="A943" s="9" t="s">
        <v>42</v>
      </c>
      <c r="B943" s="4">
        <v>45730</v>
      </c>
      <c r="C943" s="5">
        <v>20</v>
      </c>
      <c r="D943" s="9" t="s">
        <v>14</v>
      </c>
      <c r="E943" s="10">
        <v>125</v>
      </c>
      <c r="F943" s="10">
        <f t="shared" si="14"/>
        <v>2500</v>
      </c>
    </row>
    <row r="944" spans="1:6" s="9" customFormat="1" x14ac:dyDescent="0.25">
      <c r="C944" s="5"/>
      <c r="E944" s="10"/>
      <c r="F944" s="8">
        <f>SUM(F943)</f>
        <v>2500</v>
      </c>
    </row>
    <row r="945" spans="1:6" s="9" customFormat="1" x14ac:dyDescent="0.25">
      <c r="C945" s="5"/>
      <c r="E945" s="10"/>
      <c r="F945" s="10"/>
    </row>
    <row r="946" spans="1:6" s="9" customFormat="1" x14ac:dyDescent="0.25">
      <c r="A946" s="9" t="s">
        <v>106</v>
      </c>
      <c r="B946" s="4">
        <v>45730</v>
      </c>
      <c r="C946" s="5">
        <v>60</v>
      </c>
      <c r="D946" s="9" t="s">
        <v>12</v>
      </c>
      <c r="E946" s="10">
        <v>135</v>
      </c>
      <c r="F946" s="10">
        <f t="shared" si="14"/>
        <v>8100</v>
      </c>
    </row>
    <row r="947" spans="1:6" s="9" customFormat="1" x14ac:dyDescent="0.25">
      <c r="C947" s="5"/>
      <c r="E947" s="10"/>
      <c r="F947" s="8">
        <f>SUM(F946)</f>
        <v>8100</v>
      </c>
    </row>
    <row r="948" spans="1:6" s="9" customFormat="1" x14ac:dyDescent="0.25">
      <c r="C948" s="5"/>
      <c r="E948" s="10"/>
      <c r="F948" s="10"/>
    </row>
    <row r="949" spans="1:6" s="9" customFormat="1" x14ac:dyDescent="0.25">
      <c r="A949" s="9" t="s">
        <v>43</v>
      </c>
      <c r="B949" s="4">
        <v>45730</v>
      </c>
      <c r="C949" s="5">
        <v>20</v>
      </c>
      <c r="D949" s="9" t="s">
        <v>14</v>
      </c>
      <c r="E949" s="10">
        <v>125</v>
      </c>
      <c r="F949" s="10">
        <f t="shared" si="14"/>
        <v>2500</v>
      </c>
    </row>
    <row r="950" spans="1:6" s="9" customFormat="1" x14ac:dyDescent="0.25">
      <c r="C950" s="5">
        <v>20</v>
      </c>
      <c r="D950" s="9" t="s">
        <v>49</v>
      </c>
      <c r="E950" s="10">
        <v>145</v>
      </c>
      <c r="F950" s="10">
        <f t="shared" si="14"/>
        <v>2900</v>
      </c>
    </row>
    <row r="951" spans="1:6" s="9" customFormat="1" x14ac:dyDescent="0.25">
      <c r="C951" s="5"/>
      <c r="E951" s="10"/>
      <c r="F951" s="8">
        <f>SUM(F949:F950)</f>
        <v>5400</v>
      </c>
    </row>
    <row r="952" spans="1:6" s="9" customFormat="1" x14ac:dyDescent="0.25">
      <c r="C952" s="5"/>
      <c r="E952" s="10"/>
      <c r="F952" s="10"/>
    </row>
    <row r="953" spans="1:6" s="9" customFormat="1" x14ac:dyDescent="0.25">
      <c r="A953" s="9" t="s">
        <v>44</v>
      </c>
      <c r="B953" s="4">
        <v>45730</v>
      </c>
      <c r="C953" s="5">
        <v>70</v>
      </c>
      <c r="D953" s="9" t="s">
        <v>14</v>
      </c>
      <c r="E953" s="10">
        <v>125</v>
      </c>
      <c r="F953" s="10">
        <f t="shared" si="14"/>
        <v>8750</v>
      </c>
    </row>
    <row r="954" spans="1:6" s="9" customFormat="1" x14ac:dyDescent="0.25">
      <c r="C954" s="5"/>
      <c r="E954" s="10"/>
      <c r="F954" s="8">
        <f>SUM(F953)</f>
        <v>8750</v>
      </c>
    </row>
    <row r="955" spans="1:6" s="9" customFormat="1" x14ac:dyDescent="0.25">
      <c r="C955" s="5"/>
      <c r="E955" s="10"/>
      <c r="F955" s="10"/>
    </row>
    <row r="956" spans="1:6" s="9" customFormat="1" x14ac:dyDescent="0.25">
      <c r="A956" s="9" t="s">
        <v>18</v>
      </c>
      <c r="B956" s="4">
        <v>45730</v>
      </c>
      <c r="C956" s="5">
        <v>30</v>
      </c>
      <c r="D956" s="9" t="s">
        <v>14</v>
      </c>
      <c r="E956" s="10">
        <v>125</v>
      </c>
      <c r="F956" s="10">
        <f t="shared" si="14"/>
        <v>3750</v>
      </c>
    </row>
    <row r="957" spans="1:6" s="9" customFormat="1" x14ac:dyDescent="0.25">
      <c r="C957" s="5"/>
      <c r="E957" s="10"/>
      <c r="F957" s="8">
        <f>SUM(F956)</f>
        <v>3750</v>
      </c>
    </row>
    <row r="958" spans="1:6" s="9" customFormat="1" x14ac:dyDescent="0.25">
      <c r="C958" s="5"/>
      <c r="E958" s="10"/>
      <c r="F958" s="10"/>
    </row>
    <row r="959" spans="1:6" s="9" customFormat="1" x14ac:dyDescent="0.25">
      <c r="A959" s="9" t="s">
        <v>46</v>
      </c>
      <c r="B959" s="4">
        <v>45730</v>
      </c>
      <c r="C959" s="5">
        <v>30</v>
      </c>
      <c r="D959" s="9" t="s">
        <v>14</v>
      </c>
      <c r="E959" s="10">
        <v>130</v>
      </c>
      <c r="F959" s="10">
        <f t="shared" si="14"/>
        <v>3900</v>
      </c>
    </row>
    <row r="960" spans="1:6" s="9" customFormat="1" x14ac:dyDescent="0.25">
      <c r="C960" s="5"/>
      <c r="E960" s="10"/>
      <c r="F960" s="8">
        <f>SUM(F959)</f>
        <v>3900</v>
      </c>
    </row>
    <row r="961" spans="1:6" s="9" customFormat="1" x14ac:dyDescent="0.25">
      <c r="C961" s="5"/>
      <c r="E961" s="10"/>
      <c r="F961" s="10"/>
    </row>
    <row r="962" spans="1:6" s="9" customFormat="1" x14ac:dyDescent="0.25">
      <c r="A962" s="9" t="s">
        <v>47</v>
      </c>
      <c r="B962" s="4">
        <v>45730</v>
      </c>
      <c r="C962" s="5">
        <v>36</v>
      </c>
      <c r="D962" s="9" t="s">
        <v>14</v>
      </c>
      <c r="E962" s="10">
        <v>130</v>
      </c>
      <c r="F962" s="10">
        <f t="shared" si="14"/>
        <v>4680</v>
      </c>
    </row>
    <row r="963" spans="1:6" s="9" customFormat="1" x14ac:dyDescent="0.25">
      <c r="C963" s="5"/>
      <c r="E963" s="10"/>
      <c r="F963" s="8">
        <f>SUM(F962)</f>
        <v>4680</v>
      </c>
    </row>
    <row r="964" spans="1:6" s="9" customFormat="1" x14ac:dyDescent="0.25">
      <c r="C964" s="5"/>
      <c r="E964" s="10"/>
      <c r="F964" s="10"/>
    </row>
    <row r="965" spans="1:6" s="9" customFormat="1" x14ac:dyDescent="0.25">
      <c r="A965" s="9" t="s">
        <v>245</v>
      </c>
      <c r="B965" s="4">
        <v>45730</v>
      </c>
      <c r="C965" s="5">
        <v>110</v>
      </c>
      <c r="D965" s="9" t="s">
        <v>13</v>
      </c>
      <c r="E965" s="10">
        <v>140</v>
      </c>
      <c r="F965" s="10">
        <f t="shared" si="14"/>
        <v>15400</v>
      </c>
    </row>
    <row r="966" spans="1:6" s="9" customFormat="1" x14ac:dyDescent="0.25">
      <c r="C966" s="5">
        <v>30</v>
      </c>
      <c r="D966" s="9" t="s">
        <v>14</v>
      </c>
      <c r="E966" s="10">
        <v>135</v>
      </c>
      <c r="F966" s="10">
        <f t="shared" si="14"/>
        <v>4050</v>
      </c>
    </row>
    <row r="967" spans="1:6" s="9" customFormat="1" x14ac:dyDescent="0.25">
      <c r="C967" s="5"/>
      <c r="E967" s="10"/>
      <c r="F967" s="8">
        <f>SUM(F965:F966)</f>
        <v>19450</v>
      </c>
    </row>
    <row r="968" spans="1:6" s="9" customFormat="1" x14ac:dyDescent="0.25">
      <c r="C968" s="5"/>
      <c r="E968" s="10"/>
      <c r="F968" s="10"/>
    </row>
    <row r="969" spans="1:6" s="9" customFormat="1" x14ac:dyDescent="0.25">
      <c r="A969" s="9" t="s">
        <v>191</v>
      </c>
      <c r="B969" s="4">
        <v>45730</v>
      </c>
      <c r="C969" s="5">
        <v>300</v>
      </c>
      <c r="D969" s="9" t="s">
        <v>14</v>
      </c>
      <c r="E969" s="10">
        <v>123</v>
      </c>
      <c r="F969" s="10">
        <f t="shared" ref="F969:F1032" si="15">+C969*E969</f>
        <v>36900</v>
      </c>
    </row>
    <row r="970" spans="1:6" s="9" customFormat="1" x14ac:dyDescent="0.25">
      <c r="C970" s="5">
        <v>200</v>
      </c>
      <c r="D970" s="9" t="s">
        <v>11</v>
      </c>
      <c r="E970" s="10">
        <v>118</v>
      </c>
      <c r="F970" s="10">
        <f t="shared" si="15"/>
        <v>23600</v>
      </c>
    </row>
    <row r="971" spans="1:6" s="9" customFormat="1" x14ac:dyDescent="0.25">
      <c r="C971" s="5">
        <v>100</v>
      </c>
      <c r="D971" s="9" t="s">
        <v>13</v>
      </c>
      <c r="E971" s="10">
        <v>130</v>
      </c>
      <c r="F971" s="10">
        <f t="shared" si="15"/>
        <v>13000</v>
      </c>
    </row>
    <row r="972" spans="1:6" s="9" customFormat="1" x14ac:dyDescent="0.25">
      <c r="C972" s="5"/>
      <c r="E972" s="10"/>
      <c r="F972" s="8">
        <f>SUM(F969:F971)</f>
        <v>73500</v>
      </c>
    </row>
    <row r="973" spans="1:6" s="9" customFormat="1" x14ac:dyDescent="0.25">
      <c r="C973" s="5"/>
      <c r="E973" s="10"/>
      <c r="F973" s="10"/>
    </row>
    <row r="974" spans="1:6" s="9" customFormat="1" x14ac:dyDescent="0.25">
      <c r="A974" s="9" t="s">
        <v>48</v>
      </c>
      <c r="B974" s="4">
        <v>45730</v>
      </c>
      <c r="C974" s="5">
        <v>39</v>
      </c>
      <c r="D974" s="9" t="s">
        <v>49</v>
      </c>
      <c r="E974" s="10">
        <v>130</v>
      </c>
      <c r="F974" s="10">
        <f t="shared" si="15"/>
        <v>5070</v>
      </c>
    </row>
    <row r="975" spans="1:6" s="9" customFormat="1" x14ac:dyDescent="0.25">
      <c r="C975" s="5">
        <v>197</v>
      </c>
      <c r="D975" s="9" t="s">
        <v>14</v>
      </c>
      <c r="E975" s="10">
        <v>118</v>
      </c>
      <c r="F975" s="10">
        <f t="shared" si="15"/>
        <v>23246</v>
      </c>
    </row>
    <row r="976" spans="1:6" s="9" customFormat="1" x14ac:dyDescent="0.25">
      <c r="C976" s="5">
        <v>52</v>
      </c>
      <c r="D976" s="9" t="s">
        <v>11</v>
      </c>
      <c r="E976" s="10">
        <v>110</v>
      </c>
      <c r="F976" s="10">
        <f t="shared" si="15"/>
        <v>5720</v>
      </c>
    </row>
    <row r="977" spans="1:6" s="9" customFormat="1" x14ac:dyDescent="0.25">
      <c r="C977" s="5">
        <v>248</v>
      </c>
      <c r="D977" s="9" t="s">
        <v>50</v>
      </c>
      <c r="E977" s="10">
        <v>83</v>
      </c>
      <c r="F977" s="10">
        <f t="shared" si="15"/>
        <v>20584</v>
      </c>
    </row>
    <row r="978" spans="1:6" s="9" customFormat="1" x14ac:dyDescent="0.25">
      <c r="C978" s="5">
        <v>59</v>
      </c>
      <c r="D978" s="9" t="s">
        <v>22</v>
      </c>
      <c r="E978" s="10">
        <v>95</v>
      </c>
      <c r="F978" s="10">
        <f t="shared" si="15"/>
        <v>5605</v>
      </c>
    </row>
    <row r="979" spans="1:6" s="9" customFormat="1" x14ac:dyDescent="0.25">
      <c r="C979" s="5"/>
      <c r="E979" s="10"/>
      <c r="F979" s="8">
        <f>SUM(F974:F978)</f>
        <v>60225</v>
      </c>
    </row>
    <row r="980" spans="1:6" s="9" customFormat="1" x14ac:dyDescent="0.25">
      <c r="C980" s="5"/>
      <c r="E980" s="10"/>
      <c r="F980" s="10"/>
    </row>
    <row r="981" spans="1:6" s="9" customFormat="1" x14ac:dyDescent="0.25">
      <c r="A981" s="9" t="s">
        <v>116</v>
      </c>
      <c r="B981" s="4">
        <v>45730</v>
      </c>
      <c r="C981" s="5">
        <v>70</v>
      </c>
      <c r="D981" s="9" t="s">
        <v>98</v>
      </c>
      <c r="E981" s="10">
        <v>85</v>
      </c>
      <c r="F981" s="10">
        <f t="shared" si="15"/>
        <v>5950</v>
      </c>
    </row>
    <row r="982" spans="1:6" s="9" customFormat="1" x14ac:dyDescent="0.25">
      <c r="C982" s="5"/>
      <c r="E982" s="10"/>
      <c r="F982" s="8">
        <f>SUM(F981)</f>
        <v>5950</v>
      </c>
    </row>
    <row r="983" spans="1:6" s="9" customFormat="1" x14ac:dyDescent="0.25">
      <c r="C983" s="5"/>
      <c r="E983" s="10"/>
      <c r="F983" s="10"/>
    </row>
    <row r="984" spans="1:6" s="9" customFormat="1" x14ac:dyDescent="0.25">
      <c r="A984" s="9" t="s">
        <v>51</v>
      </c>
      <c r="B984" s="4">
        <v>45730</v>
      </c>
      <c r="C984" s="5">
        <v>200</v>
      </c>
      <c r="D984" s="9" t="s">
        <v>14</v>
      </c>
      <c r="E984" s="10">
        <v>118</v>
      </c>
      <c r="F984" s="10">
        <f t="shared" si="15"/>
        <v>23600</v>
      </c>
    </row>
    <row r="985" spans="1:6" s="9" customFormat="1" x14ac:dyDescent="0.25">
      <c r="C985" s="5">
        <v>70</v>
      </c>
      <c r="D985" s="9" t="s">
        <v>11</v>
      </c>
      <c r="E985" s="10">
        <v>110</v>
      </c>
      <c r="F985" s="10">
        <f t="shared" si="15"/>
        <v>7700</v>
      </c>
    </row>
    <row r="986" spans="1:6" s="9" customFormat="1" x14ac:dyDescent="0.25">
      <c r="C986" s="5"/>
      <c r="E986" s="10"/>
      <c r="F986" s="8">
        <f>SUM(F984:F985)</f>
        <v>31300</v>
      </c>
    </row>
    <row r="987" spans="1:6" s="9" customFormat="1" x14ac:dyDescent="0.25">
      <c r="C987" s="5"/>
      <c r="E987" s="10"/>
      <c r="F987" s="10"/>
    </row>
    <row r="988" spans="1:6" s="9" customFormat="1" x14ac:dyDescent="0.25">
      <c r="A988" s="9" t="s">
        <v>29</v>
      </c>
      <c r="B988" s="4">
        <v>45730</v>
      </c>
      <c r="C988" s="5">
        <v>2</v>
      </c>
      <c r="D988" s="9" t="s">
        <v>12</v>
      </c>
      <c r="E988" s="10">
        <v>145</v>
      </c>
      <c r="F988" s="10">
        <f t="shared" si="15"/>
        <v>290</v>
      </c>
    </row>
    <row r="989" spans="1:6" s="9" customFormat="1" x14ac:dyDescent="0.25">
      <c r="C989" s="5">
        <v>2</v>
      </c>
      <c r="D989" s="9" t="s">
        <v>324</v>
      </c>
      <c r="E989" s="10">
        <v>100</v>
      </c>
      <c r="F989" s="10">
        <f t="shared" si="15"/>
        <v>200</v>
      </c>
    </row>
    <row r="990" spans="1:6" s="9" customFormat="1" x14ac:dyDescent="0.25">
      <c r="C990" s="5">
        <v>1</v>
      </c>
      <c r="D990" s="9" t="s">
        <v>49</v>
      </c>
      <c r="E990" s="10">
        <v>170</v>
      </c>
      <c r="F990" s="10">
        <f t="shared" si="15"/>
        <v>170</v>
      </c>
    </row>
    <row r="991" spans="1:6" s="9" customFormat="1" x14ac:dyDescent="0.25">
      <c r="C991" s="11">
        <v>0.5</v>
      </c>
      <c r="D991" s="9" t="s">
        <v>49</v>
      </c>
      <c r="E991" s="10">
        <v>170</v>
      </c>
      <c r="F991" s="10">
        <f t="shared" si="15"/>
        <v>85</v>
      </c>
    </row>
    <row r="992" spans="1:6" s="9" customFormat="1" x14ac:dyDescent="0.25">
      <c r="C992" s="5">
        <v>2</v>
      </c>
      <c r="D992" s="9" t="s">
        <v>12</v>
      </c>
      <c r="E992" s="10">
        <v>150</v>
      </c>
      <c r="F992" s="10">
        <f t="shared" si="15"/>
        <v>300</v>
      </c>
    </row>
    <row r="993" spans="1:6" s="9" customFormat="1" x14ac:dyDescent="0.25">
      <c r="C993" s="5"/>
      <c r="E993" s="10"/>
      <c r="F993" s="8">
        <f>SUM(F988:F992)</f>
        <v>1045</v>
      </c>
    </row>
    <row r="994" spans="1:6" s="9" customFormat="1" x14ac:dyDescent="0.25">
      <c r="C994" s="5"/>
      <c r="E994" s="10"/>
      <c r="F994" s="10"/>
    </row>
    <row r="995" spans="1:6" s="9" customFormat="1" x14ac:dyDescent="0.25">
      <c r="A995" s="9" t="s">
        <v>7</v>
      </c>
      <c r="B995" s="4">
        <v>45730</v>
      </c>
      <c r="C995" s="5">
        <v>2</v>
      </c>
      <c r="D995" s="9" t="s">
        <v>12</v>
      </c>
      <c r="E995" s="10">
        <v>150</v>
      </c>
      <c r="F995" s="10">
        <f t="shared" si="15"/>
        <v>300</v>
      </c>
    </row>
    <row r="996" spans="1:6" s="9" customFormat="1" x14ac:dyDescent="0.25">
      <c r="C996" s="5"/>
      <c r="E996" s="10"/>
      <c r="F996" s="8">
        <f>SUM(F995)</f>
        <v>300</v>
      </c>
    </row>
    <row r="997" spans="1:6" s="9" customFormat="1" x14ac:dyDescent="0.25">
      <c r="C997" s="5"/>
      <c r="E997" s="10"/>
      <c r="F997" s="10"/>
    </row>
    <row r="998" spans="1:6" s="9" customFormat="1" x14ac:dyDescent="0.25">
      <c r="A998" s="9" t="s">
        <v>270</v>
      </c>
      <c r="B998" s="4">
        <v>45731</v>
      </c>
      <c r="C998" s="5">
        <v>7</v>
      </c>
      <c r="D998" s="9" t="s">
        <v>98</v>
      </c>
      <c r="E998" s="10">
        <v>100</v>
      </c>
      <c r="F998" s="10">
        <f t="shared" si="15"/>
        <v>700</v>
      </c>
    </row>
    <row r="999" spans="1:6" s="9" customFormat="1" x14ac:dyDescent="0.25">
      <c r="C999" s="5"/>
      <c r="E999" s="10"/>
      <c r="F999" s="8">
        <f>SUM(F998)</f>
        <v>700</v>
      </c>
    </row>
    <row r="1000" spans="1:6" s="9" customFormat="1" x14ac:dyDescent="0.25">
      <c r="C1000" s="5"/>
      <c r="E1000" s="10"/>
      <c r="F1000" s="10"/>
    </row>
    <row r="1001" spans="1:6" s="9" customFormat="1" x14ac:dyDescent="0.25">
      <c r="A1001" s="9" t="s">
        <v>58</v>
      </c>
      <c r="B1001" s="4">
        <v>45731</v>
      </c>
      <c r="C1001" s="5">
        <v>10</v>
      </c>
      <c r="D1001" s="9" t="s">
        <v>13</v>
      </c>
      <c r="E1001" s="10">
        <v>140</v>
      </c>
      <c r="F1001" s="10">
        <f t="shared" si="15"/>
        <v>1400</v>
      </c>
    </row>
    <row r="1002" spans="1:6" s="9" customFormat="1" x14ac:dyDescent="0.25">
      <c r="C1002" s="5"/>
      <c r="E1002" s="10"/>
      <c r="F1002" s="8">
        <f>SUM(F1001)</f>
        <v>1400</v>
      </c>
    </row>
    <row r="1003" spans="1:6" s="9" customFormat="1" x14ac:dyDescent="0.25">
      <c r="C1003" s="5"/>
      <c r="E1003" s="10"/>
      <c r="F1003" s="10"/>
    </row>
    <row r="1004" spans="1:6" s="9" customFormat="1" x14ac:dyDescent="0.25">
      <c r="A1004" s="9" t="s">
        <v>17</v>
      </c>
      <c r="B1004" s="4">
        <v>45731</v>
      </c>
      <c r="C1004" s="5">
        <v>10</v>
      </c>
      <c r="D1004" s="9" t="s">
        <v>8</v>
      </c>
      <c r="E1004" s="10">
        <v>150</v>
      </c>
      <c r="F1004" s="10">
        <f t="shared" si="15"/>
        <v>1500</v>
      </c>
    </row>
    <row r="1005" spans="1:6" s="9" customFormat="1" x14ac:dyDescent="0.25">
      <c r="C1005" s="5"/>
      <c r="E1005" s="10"/>
      <c r="F1005" s="8">
        <f>SUM(F1004)</f>
        <v>1500</v>
      </c>
    </row>
    <row r="1006" spans="1:6" s="9" customFormat="1" x14ac:dyDescent="0.25">
      <c r="C1006" s="5"/>
      <c r="E1006" s="10"/>
      <c r="F1006" s="10"/>
    </row>
    <row r="1007" spans="1:6" s="9" customFormat="1" x14ac:dyDescent="0.25">
      <c r="A1007" s="9" t="s">
        <v>157</v>
      </c>
      <c r="B1007" s="4">
        <v>45731</v>
      </c>
      <c r="C1007" s="5">
        <v>10</v>
      </c>
      <c r="D1007" s="9" t="s">
        <v>8</v>
      </c>
      <c r="E1007" s="10">
        <v>150</v>
      </c>
      <c r="F1007" s="10">
        <f t="shared" si="15"/>
        <v>1500</v>
      </c>
    </row>
    <row r="1008" spans="1:6" s="9" customFormat="1" x14ac:dyDescent="0.25">
      <c r="C1008" s="5"/>
      <c r="E1008" s="10"/>
      <c r="F1008" s="8">
        <f>SUM(F1007)</f>
        <v>1500</v>
      </c>
    </row>
    <row r="1009" spans="1:6" s="9" customFormat="1" x14ac:dyDescent="0.25">
      <c r="C1009" s="5"/>
      <c r="E1009" s="10"/>
      <c r="F1009" s="10"/>
    </row>
    <row r="1010" spans="1:6" s="9" customFormat="1" x14ac:dyDescent="0.25">
      <c r="A1010" s="9" t="s">
        <v>21</v>
      </c>
      <c r="B1010" s="4">
        <v>45731</v>
      </c>
      <c r="C1010" s="5">
        <v>18</v>
      </c>
      <c r="D1010" s="9" t="s">
        <v>13</v>
      </c>
      <c r="E1010" s="10">
        <v>140</v>
      </c>
      <c r="F1010" s="10">
        <f t="shared" si="15"/>
        <v>2520</v>
      </c>
    </row>
    <row r="1011" spans="1:6" s="9" customFormat="1" x14ac:dyDescent="0.25">
      <c r="C1011" s="5">
        <v>10</v>
      </c>
      <c r="D1011" s="9" t="s">
        <v>11</v>
      </c>
      <c r="E1011" s="10">
        <v>120</v>
      </c>
      <c r="F1011" s="10">
        <f t="shared" si="15"/>
        <v>1200</v>
      </c>
    </row>
    <row r="1012" spans="1:6" s="9" customFormat="1" x14ac:dyDescent="0.25">
      <c r="C1012" s="5">
        <v>20</v>
      </c>
      <c r="D1012" s="9" t="s">
        <v>12</v>
      </c>
      <c r="E1012" s="10">
        <v>120</v>
      </c>
      <c r="F1012" s="10">
        <f t="shared" si="15"/>
        <v>2400</v>
      </c>
    </row>
    <row r="1013" spans="1:6" s="9" customFormat="1" x14ac:dyDescent="0.25">
      <c r="C1013" s="5">
        <v>10</v>
      </c>
      <c r="D1013" s="9" t="s">
        <v>22</v>
      </c>
      <c r="E1013" s="10">
        <v>105</v>
      </c>
      <c r="F1013" s="10">
        <f t="shared" si="15"/>
        <v>1050</v>
      </c>
    </row>
    <row r="1014" spans="1:6" s="9" customFormat="1" x14ac:dyDescent="0.25">
      <c r="C1014" s="5"/>
      <c r="E1014" s="10"/>
      <c r="F1014" s="8">
        <f>SUM(F1010:F1013)</f>
        <v>7170</v>
      </c>
    </row>
    <row r="1015" spans="1:6" s="9" customFormat="1" x14ac:dyDescent="0.25">
      <c r="C1015" s="5"/>
      <c r="E1015" s="10"/>
      <c r="F1015" s="10"/>
    </row>
    <row r="1016" spans="1:6" s="9" customFormat="1" x14ac:dyDescent="0.25">
      <c r="A1016" s="9" t="s">
        <v>148</v>
      </c>
      <c r="B1016" s="4">
        <v>45731</v>
      </c>
      <c r="C1016" s="5">
        <v>15</v>
      </c>
      <c r="D1016" s="9" t="s">
        <v>13</v>
      </c>
      <c r="E1016" s="10">
        <v>140</v>
      </c>
      <c r="F1016" s="10">
        <f t="shared" si="15"/>
        <v>2100</v>
      </c>
    </row>
    <row r="1017" spans="1:6" s="9" customFormat="1" x14ac:dyDescent="0.25">
      <c r="C1017" s="5">
        <v>15</v>
      </c>
      <c r="D1017" s="9" t="s">
        <v>14</v>
      </c>
      <c r="E1017" s="10">
        <v>125</v>
      </c>
      <c r="F1017" s="10">
        <f t="shared" si="15"/>
        <v>1875</v>
      </c>
    </row>
    <row r="1018" spans="1:6" s="9" customFormat="1" x14ac:dyDescent="0.25">
      <c r="C1018" s="5"/>
      <c r="E1018" s="10"/>
      <c r="F1018" s="8">
        <f>SUM(F1016:F1017)</f>
        <v>3975</v>
      </c>
    </row>
    <row r="1019" spans="1:6" s="9" customFormat="1" x14ac:dyDescent="0.25">
      <c r="C1019" s="5"/>
      <c r="E1019" s="10"/>
      <c r="F1019" s="10"/>
    </row>
    <row r="1020" spans="1:6" s="9" customFormat="1" x14ac:dyDescent="0.25">
      <c r="A1020" s="9" t="s">
        <v>23</v>
      </c>
      <c r="B1020" s="4">
        <v>45731</v>
      </c>
      <c r="C1020" s="5">
        <v>10</v>
      </c>
      <c r="D1020" s="9" t="s">
        <v>13</v>
      </c>
      <c r="E1020" s="10">
        <v>140</v>
      </c>
      <c r="F1020" s="10">
        <f t="shared" si="15"/>
        <v>1400</v>
      </c>
    </row>
    <row r="1021" spans="1:6" s="9" customFormat="1" x14ac:dyDescent="0.25">
      <c r="C1021" s="5">
        <v>10</v>
      </c>
      <c r="D1021" s="9" t="s">
        <v>22</v>
      </c>
      <c r="E1021" s="10">
        <v>105</v>
      </c>
      <c r="F1021" s="10">
        <f t="shared" si="15"/>
        <v>1050</v>
      </c>
    </row>
    <row r="1022" spans="1:6" s="9" customFormat="1" x14ac:dyDescent="0.25">
      <c r="C1022" s="5"/>
      <c r="E1022" s="10"/>
      <c r="F1022" s="8">
        <f>SUM(F1020:F1021)</f>
        <v>2450</v>
      </c>
    </row>
    <row r="1023" spans="1:6" s="9" customFormat="1" x14ac:dyDescent="0.25">
      <c r="C1023" s="5"/>
      <c r="E1023" s="10"/>
      <c r="F1023" s="10"/>
    </row>
    <row r="1024" spans="1:6" s="9" customFormat="1" x14ac:dyDescent="0.25">
      <c r="A1024" s="9" t="s">
        <v>325</v>
      </c>
      <c r="B1024" s="4">
        <v>45731</v>
      </c>
      <c r="C1024" s="5">
        <v>10</v>
      </c>
      <c r="D1024" s="9" t="s">
        <v>22</v>
      </c>
      <c r="E1024" s="10">
        <v>105</v>
      </c>
      <c r="F1024" s="10">
        <f t="shared" si="15"/>
        <v>1050</v>
      </c>
    </row>
    <row r="1025" spans="1:6" s="9" customFormat="1" x14ac:dyDescent="0.25">
      <c r="C1025" s="5"/>
      <c r="E1025" s="10"/>
      <c r="F1025" s="8">
        <f>SUM(F1024)</f>
        <v>1050</v>
      </c>
    </row>
    <row r="1026" spans="1:6" s="9" customFormat="1" x14ac:dyDescent="0.25">
      <c r="C1026" s="5"/>
      <c r="E1026" s="10"/>
      <c r="F1026" s="10"/>
    </row>
    <row r="1027" spans="1:6" s="9" customFormat="1" x14ac:dyDescent="0.25">
      <c r="A1027" s="9" t="s">
        <v>40</v>
      </c>
      <c r="B1027" s="4">
        <v>45731</v>
      </c>
      <c r="C1027" s="5">
        <v>10</v>
      </c>
      <c r="D1027" s="9" t="s">
        <v>8</v>
      </c>
      <c r="E1027" s="10">
        <v>150</v>
      </c>
      <c r="F1027" s="10">
        <f t="shared" si="15"/>
        <v>1500</v>
      </c>
    </row>
    <row r="1028" spans="1:6" s="9" customFormat="1" x14ac:dyDescent="0.25">
      <c r="C1028" s="5">
        <v>10</v>
      </c>
      <c r="D1028" s="9" t="s">
        <v>14</v>
      </c>
      <c r="E1028" s="10">
        <v>125</v>
      </c>
      <c r="F1028" s="10">
        <f t="shared" si="15"/>
        <v>1250</v>
      </c>
    </row>
    <row r="1029" spans="1:6" s="9" customFormat="1" x14ac:dyDescent="0.25">
      <c r="C1029" s="5">
        <v>10</v>
      </c>
      <c r="D1029" s="9" t="s">
        <v>12</v>
      </c>
      <c r="E1029" s="10">
        <v>120</v>
      </c>
      <c r="F1029" s="10">
        <f t="shared" si="15"/>
        <v>1200</v>
      </c>
    </row>
    <row r="1030" spans="1:6" s="9" customFormat="1" x14ac:dyDescent="0.25">
      <c r="C1030" s="5"/>
      <c r="E1030" s="10"/>
      <c r="F1030" s="8">
        <f>SUM(F1027:F1029)</f>
        <v>3950</v>
      </c>
    </row>
    <row r="1031" spans="1:6" s="9" customFormat="1" x14ac:dyDescent="0.25">
      <c r="C1031" s="5"/>
      <c r="E1031" s="10"/>
      <c r="F1031" s="10"/>
    </row>
    <row r="1032" spans="1:6" s="9" customFormat="1" x14ac:dyDescent="0.25">
      <c r="A1032" s="9" t="s">
        <v>20</v>
      </c>
      <c r="B1032" s="4">
        <v>45731</v>
      </c>
      <c r="C1032" s="5">
        <v>20</v>
      </c>
      <c r="D1032" s="9" t="s">
        <v>13</v>
      </c>
      <c r="E1032" s="10">
        <v>140</v>
      </c>
      <c r="F1032" s="10">
        <f t="shared" si="15"/>
        <v>2800</v>
      </c>
    </row>
    <row r="1033" spans="1:6" s="9" customFormat="1" x14ac:dyDescent="0.25">
      <c r="C1033" s="5"/>
      <c r="E1033" s="10"/>
      <c r="F1033" s="8">
        <f>SUM(F1032)</f>
        <v>2800</v>
      </c>
    </row>
    <row r="1034" spans="1:6" s="9" customFormat="1" x14ac:dyDescent="0.25">
      <c r="C1034" s="5"/>
      <c r="E1034" s="10"/>
      <c r="F1034" s="10"/>
    </row>
    <row r="1035" spans="1:6" s="9" customFormat="1" x14ac:dyDescent="0.25">
      <c r="A1035" s="9" t="s">
        <v>7</v>
      </c>
      <c r="B1035" s="4">
        <v>45731</v>
      </c>
      <c r="C1035" s="5">
        <v>2</v>
      </c>
      <c r="D1035" s="9" t="s">
        <v>13</v>
      </c>
      <c r="E1035" s="10">
        <v>145</v>
      </c>
      <c r="F1035" s="10">
        <f t="shared" ref="F1035:F1096" si="16">+C1035*E1035</f>
        <v>290</v>
      </c>
    </row>
    <row r="1036" spans="1:6" s="9" customFormat="1" x14ac:dyDescent="0.25">
      <c r="C1036" s="5"/>
      <c r="E1036" s="10"/>
      <c r="F1036" s="8">
        <f>SUM(F1035)</f>
        <v>290</v>
      </c>
    </row>
    <row r="1037" spans="1:6" s="9" customFormat="1" x14ac:dyDescent="0.25">
      <c r="C1037" s="5"/>
      <c r="E1037" s="10"/>
      <c r="F1037" s="10"/>
    </row>
    <row r="1038" spans="1:6" s="9" customFormat="1" x14ac:dyDescent="0.25">
      <c r="A1038" s="9" t="s">
        <v>61</v>
      </c>
      <c r="B1038" s="4">
        <v>45731</v>
      </c>
      <c r="C1038" s="5">
        <v>50</v>
      </c>
      <c r="D1038" s="9" t="s">
        <v>13</v>
      </c>
      <c r="E1038" s="10">
        <v>140</v>
      </c>
      <c r="F1038" s="10">
        <f t="shared" si="16"/>
        <v>7000</v>
      </c>
    </row>
    <row r="1039" spans="1:6" s="9" customFormat="1" x14ac:dyDescent="0.25">
      <c r="C1039" s="5">
        <v>2</v>
      </c>
      <c r="D1039" s="9" t="s">
        <v>318</v>
      </c>
      <c r="E1039" s="10">
        <v>0</v>
      </c>
      <c r="F1039" s="10">
        <f t="shared" si="16"/>
        <v>0</v>
      </c>
    </row>
    <row r="1040" spans="1:6" s="9" customFormat="1" x14ac:dyDescent="0.25">
      <c r="C1040" s="5"/>
      <c r="E1040" s="10"/>
      <c r="F1040" s="8">
        <f>SUM(F1038:F1039)</f>
        <v>7000</v>
      </c>
    </row>
    <row r="1041" spans="1:6" s="9" customFormat="1" x14ac:dyDescent="0.25">
      <c r="C1041" s="5"/>
      <c r="E1041" s="10"/>
      <c r="F1041" s="10"/>
    </row>
    <row r="1042" spans="1:6" s="9" customFormat="1" x14ac:dyDescent="0.25">
      <c r="A1042" s="9" t="s">
        <v>111</v>
      </c>
      <c r="B1042" s="4">
        <v>45731</v>
      </c>
      <c r="C1042" s="5">
        <v>20</v>
      </c>
      <c r="D1042" s="9" t="s">
        <v>13</v>
      </c>
      <c r="E1042" s="10">
        <v>140</v>
      </c>
      <c r="F1042" s="10">
        <f t="shared" si="16"/>
        <v>2800</v>
      </c>
    </row>
    <row r="1043" spans="1:6" s="9" customFormat="1" x14ac:dyDescent="0.25">
      <c r="C1043" s="5"/>
      <c r="E1043" s="10"/>
      <c r="F1043" s="8">
        <f>SUM(F1042)</f>
        <v>2800</v>
      </c>
    </row>
    <row r="1044" spans="1:6" s="9" customFormat="1" x14ac:dyDescent="0.25">
      <c r="C1044" s="5"/>
      <c r="E1044" s="10"/>
      <c r="F1044" s="10"/>
    </row>
    <row r="1045" spans="1:6" s="9" customFormat="1" x14ac:dyDescent="0.25">
      <c r="A1045" s="9" t="s">
        <v>255</v>
      </c>
      <c r="B1045" s="4">
        <v>45731</v>
      </c>
      <c r="C1045" s="5">
        <v>70</v>
      </c>
      <c r="D1045" s="9" t="s">
        <v>8</v>
      </c>
      <c r="E1045" s="10">
        <v>160</v>
      </c>
      <c r="F1045" s="10">
        <f t="shared" si="16"/>
        <v>11200</v>
      </c>
    </row>
    <row r="1046" spans="1:6" s="9" customFormat="1" x14ac:dyDescent="0.25">
      <c r="C1046" s="5">
        <v>20</v>
      </c>
      <c r="D1046" s="9" t="s">
        <v>13</v>
      </c>
      <c r="E1046" s="10">
        <v>140</v>
      </c>
      <c r="F1046" s="10">
        <f t="shared" si="16"/>
        <v>2800</v>
      </c>
    </row>
    <row r="1047" spans="1:6" s="9" customFormat="1" x14ac:dyDescent="0.25">
      <c r="C1047" s="5"/>
      <c r="E1047" s="10"/>
      <c r="F1047" s="8">
        <f>SUM(F1045:F1046)</f>
        <v>14000</v>
      </c>
    </row>
    <row r="1048" spans="1:6" s="9" customFormat="1" x14ac:dyDescent="0.25">
      <c r="C1048" s="5"/>
      <c r="E1048" s="10"/>
      <c r="F1048" s="10"/>
    </row>
    <row r="1049" spans="1:6" s="9" customFormat="1" x14ac:dyDescent="0.25">
      <c r="A1049" s="9" t="s">
        <v>141</v>
      </c>
      <c r="B1049" s="4">
        <v>45731</v>
      </c>
      <c r="C1049" s="5">
        <v>10</v>
      </c>
      <c r="D1049" s="9" t="s">
        <v>8</v>
      </c>
      <c r="E1049" s="10">
        <v>160</v>
      </c>
      <c r="F1049" s="10">
        <f t="shared" si="16"/>
        <v>1600</v>
      </c>
    </row>
    <row r="1050" spans="1:6" s="9" customFormat="1" x14ac:dyDescent="0.25">
      <c r="C1050" s="5"/>
      <c r="E1050" s="10"/>
      <c r="F1050" s="8">
        <f>SUM(F1049)</f>
        <v>1600</v>
      </c>
    </row>
    <row r="1051" spans="1:6" s="9" customFormat="1" x14ac:dyDescent="0.25">
      <c r="C1051" s="5"/>
      <c r="E1051" s="10"/>
      <c r="F1051" s="10"/>
    </row>
    <row r="1052" spans="1:6" s="9" customFormat="1" x14ac:dyDescent="0.25">
      <c r="A1052" s="9" t="s">
        <v>68</v>
      </c>
      <c r="B1052" s="4">
        <v>45731</v>
      </c>
      <c r="C1052" s="5">
        <v>4</v>
      </c>
      <c r="D1052" s="9" t="s">
        <v>13</v>
      </c>
      <c r="E1052" s="10">
        <v>140</v>
      </c>
      <c r="F1052" s="10">
        <f t="shared" si="16"/>
        <v>560</v>
      </c>
    </row>
    <row r="1053" spans="1:6" s="9" customFormat="1" x14ac:dyDescent="0.25">
      <c r="C1053" s="5"/>
      <c r="E1053" s="10"/>
      <c r="F1053" s="8">
        <f>SUM(F1052)</f>
        <v>560</v>
      </c>
    </row>
    <row r="1054" spans="1:6" s="9" customFormat="1" x14ac:dyDescent="0.25">
      <c r="C1054" s="5"/>
      <c r="E1054" s="10"/>
      <c r="F1054" s="10"/>
    </row>
    <row r="1055" spans="1:6" s="9" customFormat="1" x14ac:dyDescent="0.25">
      <c r="A1055" s="9" t="s">
        <v>245</v>
      </c>
      <c r="B1055" s="4">
        <v>45731</v>
      </c>
      <c r="C1055" s="5">
        <v>110</v>
      </c>
      <c r="D1055" s="9" t="s">
        <v>13</v>
      </c>
      <c r="E1055" s="10">
        <v>140</v>
      </c>
      <c r="F1055" s="10">
        <f t="shared" si="16"/>
        <v>15400</v>
      </c>
    </row>
    <row r="1056" spans="1:6" s="9" customFormat="1" x14ac:dyDescent="0.25">
      <c r="C1056" s="5">
        <v>20</v>
      </c>
      <c r="D1056" s="9" t="s">
        <v>14</v>
      </c>
      <c r="E1056" s="10">
        <v>135</v>
      </c>
      <c r="F1056" s="10">
        <f t="shared" si="16"/>
        <v>2700</v>
      </c>
    </row>
    <row r="1057" spans="1:6" s="9" customFormat="1" x14ac:dyDescent="0.25">
      <c r="C1057" s="5"/>
      <c r="E1057" s="10"/>
      <c r="F1057" s="8">
        <f>SUM(F1055:F1056)</f>
        <v>18100</v>
      </c>
    </row>
    <row r="1058" spans="1:6" s="9" customFormat="1" x14ac:dyDescent="0.25">
      <c r="C1058" s="5"/>
      <c r="E1058" s="10"/>
      <c r="F1058" s="10"/>
    </row>
    <row r="1059" spans="1:6" s="9" customFormat="1" x14ac:dyDescent="0.25">
      <c r="A1059" s="9" t="s">
        <v>72</v>
      </c>
      <c r="B1059" s="4">
        <v>45731</v>
      </c>
      <c r="C1059" s="5">
        <v>250</v>
      </c>
      <c r="D1059" s="9" t="s">
        <v>13</v>
      </c>
      <c r="E1059" s="10">
        <v>130</v>
      </c>
      <c r="F1059" s="10">
        <f t="shared" si="16"/>
        <v>32500</v>
      </c>
    </row>
    <row r="1060" spans="1:6" s="9" customFormat="1" x14ac:dyDescent="0.25">
      <c r="C1060" s="5">
        <v>150</v>
      </c>
      <c r="D1060" s="9" t="s">
        <v>12</v>
      </c>
      <c r="E1060" s="10">
        <v>125</v>
      </c>
      <c r="F1060" s="10">
        <f t="shared" si="16"/>
        <v>18750</v>
      </c>
    </row>
    <row r="1061" spans="1:6" s="9" customFormat="1" x14ac:dyDescent="0.25">
      <c r="C1061" s="5">
        <v>20</v>
      </c>
      <c r="D1061" s="9" t="s">
        <v>14</v>
      </c>
      <c r="E1061" s="10">
        <v>130</v>
      </c>
      <c r="F1061" s="10">
        <f t="shared" si="16"/>
        <v>2600</v>
      </c>
    </row>
    <row r="1062" spans="1:6" s="9" customFormat="1" x14ac:dyDescent="0.25">
      <c r="C1062" s="5">
        <v>80</v>
      </c>
      <c r="D1062" s="9" t="s">
        <v>326</v>
      </c>
      <c r="E1062" s="10">
        <v>120</v>
      </c>
      <c r="F1062" s="10">
        <f t="shared" si="16"/>
        <v>9600</v>
      </c>
    </row>
    <row r="1063" spans="1:6" s="9" customFormat="1" x14ac:dyDescent="0.25">
      <c r="C1063" s="5"/>
      <c r="E1063" s="10"/>
      <c r="F1063" s="8">
        <f>SUM(F1059:F1062)</f>
        <v>63450</v>
      </c>
    </row>
    <row r="1064" spans="1:6" s="9" customFormat="1" x14ac:dyDescent="0.25">
      <c r="C1064" s="5"/>
      <c r="E1064" s="10"/>
      <c r="F1064" s="10"/>
    </row>
    <row r="1065" spans="1:6" s="9" customFormat="1" x14ac:dyDescent="0.25">
      <c r="A1065" s="9" t="s">
        <v>53</v>
      </c>
      <c r="B1065" s="4">
        <v>45731</v>
      </c>
      <c r="C1065" s="5">
        <v>140</v>
      </c>
      <c r="D1065" s="9" t="s">
        <v>13</v>
      </c>
      <c r="E1065" s="10">
        <v>135</v>
      </c>
      <c r="F1065" s="10">
        <f t="shared" si="16"/>
        <v>18900</v>
      </c>
    </row>
    <row r="1066" spans="1:6" s="9" customFormat="1" x14ac:dyDescent="0.25">
      <c r="C1066" s="5">
        <v>19</v>
      </c>
      <c r="D1066" s="9" t="s">
        <v>8</v>
      </c>
      <c r="E1066" s="10">
        <v>150</v>
      </c>
      <c r="F1066" s="10">
        <f t="shared" si="16"/>
        <v>2850</v>
      </c>
    </row>
    <row r="1067" spans="1:6" s="9" customFormat="1" x14ac:dyDescent="0.25">
      <c r="C1067" s="5">
        <v>23</v>
      </c>
      <c r="D1067" s="9" t="s">
        <v>12</v>
      </c>
      <c r="E1067" s="10">
        <v>130</v>
      </c>
      <c r="F1067" s="10">
        <f t="shared" si="16"/>
        <v>2990</v>
      </c>
    </row>
    <row r="1068" spans="1:6" s="9" customFormat="1" x14ac:dyDescent="0.25">
      <c r="C1068" s="5"/>
      <c r="E1068" s="10"/>
      <c r="F1068" s="8">
        <f>SUM(F1065:F1067)</f>
        <v>24740</v>
      </c>
    </row>
    <row r="1069" spans="1:6" s="9" customFormat="1" x14ac:dyDescent="0.25">
      <c r="C1069" s="5"/>
      <c r="E1069" s="10"/>
      <c r="F1069" s="10"/>
    </row>
    <row r="1070" spans="1:6" s="9" customFormat="1" x14ac:dyDescent="0.25">
      <c r="A1070" s="9" t="s">
        <v>29</v>
      </c>
      <c r="B1070" s="4">
        <v>45731</v>
      </c>
      <c r="C1070" s="5">
        <v>2</v>
      </c>
      <c r="D1070" s="9" t="s">
        <v>13</v>
      </c>
      <c r="E1070" s="10">
        <v>140</v>
      </c>
      <c r="F1070" s="10">
        <f t="shared" si="16"/>
        <v>280</v>
      </c>
    </row>
    <row r="1071" spans="1:6" s="9" customFormat="1" x14ac:dyDescent="0.25">
      <c r="C1071" s="5">
        <v>1</v>
      </c>
      <c r="D1071" s="9" t="s">
        <v>8</v>
      </c>
      <c r="E1071" s="10">
        <v>170</v>
      </c>
      <c r="F1071" s="10">
        <f t="shared" si="16"/>
        <v>170</v>
      </c>
    </row>
    <row r="1072" spans="1:6" s="9" customFormat="1" x14ac:dyDescent="0.25">
      <c r="C1072" s="5"/>
      <c r="E1072" s="10"/>
      <c r="F1072" s="8">
        <f>SUM(F1070:F1071)</f>
        <v>450</v>
      </c>
    </row>
    <row r="1073" spans="1:6" s="9" customFormat="1" x14ac:dyDescent="0.25">
      <c r="C1073" s="5"/>
      <c r="E1073" s="10"/>
      <c r="F1073" s="10"/>
    </row>
    <row r="1074" spans="1:6" s="9" customFormat="1" x14ac:dyDescent="0.25">
      <c r="A1074" s="9" t="s">
        <v>7</v>
      </c>
      <c r="B1074" s="4">
        <v>45731</v>
      </c>
      <c r="C1074" s="5">
        <v>1</v>
      </c>
      <c r="D1074" s="9" t="s">
        <v>8</v>
      </c>
      <c r="E1074" s="10">
        <v>170</v>
      </c>
      <c r="F1074" s="10">
        <f t="shared" si="16"/>
        <v>170</v>
      </c>
    </row>
    <row r="1075" spans="1:6" s="9" customFormat="1" x14ac:dyDescent="0.25">
      <c r="C1075" s="5"/>
      <c r="E1075" s="10"/>
      <c r="F1075" s="8">
        <f>SUM(F1074)</f>
        <v>170</v>
      </c>
    </row>
    <row r="1076" spans="1:6" s="9" customFormat="1" x14ac:dyDescent="0.25">
      <c r="C1076" s="5"/>
      <c r="E1076" s="10"/>
      <c r="F1076" s="10"/>
    </row>
    <row r="1077" spans="1:6" s="9" customFormat="1" x14ac:dyDescent="0.25">
      <c r="A1077" s="9" t="s">
        <v>29</v>
      </c>
      <c r="B1077" s="4">
        <v>45732</v>
      </c>
      <c r="C1077" s="5">
        <v>12</v>
      </c>
      <c r="D1077" s="9" t="s">
        <v>54</v>
      </c>
      <c r="E1077" s="10">
        <v>150</v>
      </c>
      <c r="F1077" s="10">
        <f t="shared" si="16"/>
        <v>1800</v>
      </c>
    </row>
    <row r="1078" spans="1:6" s="9" customFormat="1" x14ac:dyDescent="0.25">
      <c r="C1078" s="5">
        <v>1</v>
      </c>
      <c r="D1078" s="9" t="s">
        <v>324</v>
      </c>
      <c r="E1078" s="10">
        <v>100</v>
      </c>
      <c r="F1078" s="10">
        <f t="shared" si="16"/>
        <v>100</v>
      </c>
    </row>
    <row r="1079" spans="1:6" s="9" customFormat="1" x14ac:dyDescent="0.25">
      <c r="C1079" s="5">
        <v>3</v>
      </c>
      <c r="D1079" s="9" t="s">
        <v>8</v>
      </c>
      <c r="E1079" s="10">
        <v>170</v>
      </c>
      <c r="F1079" s="10">
        <f t="shared" si="16"/>
        <v>510</v>
      </c>
    </row>
    <row r="1080" spans="1:6" s="9" customFormat="1" x14ac:dyDescent="0.25">
      <c r="C1080" s="5">
        <v>1</v>
      </c>
      <c r="D1080" s="9" t="s">
        <v>54</v>
      </c>
      <c r="E1080" s="10">
        <v>0</v>
      </c>
      <c r="F1080" s="10">
        <f t="shared" si="16"/>
        <v>0</v>
      </c>
    </row>
    <row r="1081" spans="1:6" s="9" customFormat="1" x14ac:dyDescent="0.25">
      <c r="C1081" s="5">
        <v>10</v>
      </c>
      <c r="D1081" s="9" t="s">
        <v>327</v>
      </c>
      <c r="E1081" s="10">
        <v>140</v>
      </c>
      <c r="F1081" s="10">
        <f t="shared" si="16"/>
        <v>1400</v>
      </c>
    </row>
    <row r="1082" spans="1:6" s="9" customFormat="1" x14ac:dyDescent="0.25">
      <c r="C1082" s="5"/>
      <c r="E1082" s="10"/>
      <c r="F1082" s="8">
        <f>SUM(F1077:F1081)</f>
        <v>3810</v>
      </c>
    </row>
    <row r="1083" spans="1:6" s="9" customFormat="1" x14ac:dyDescent="0.25">
      <c r="C1083" s="5"/>
      <c r="E1083" s="10"/>
      <c r="F1083" s="10"/>
    </row>
    <row r="1084" spans="1:6" s="9" customFormat="1" x14ac:dyDescent="0.25">
      <c r="A1084" s="9" t="s">
        <v>7</v>
      </c>
      <c r="B1084" s="4">
        <v>45732</v>
      </c>
      <c r="C1084" s="5">
        <v>1</v>
      </c>
      <c r="D1084" s="9" t="s">
        <v>8</v>
      </c>
      <c r="E1084" s="10">
        <v>170</v>
      </c>
      <c r="F1084" s="10">
        <f t="shared" si="16"/>
        <v>170</v>
      </c>
    </row>
    <row r="1085" spans="1:6" s="9" customFormat="1" x14ac:dyDescent="0.25">
      <c r="C1085" s="5"/>
      <c r="E1085" s="10"/>
      <c r="F1085" s="8">
        <f>SUM(F1084)</f>
        <v>170</v>
      </c>
    </row>
    <row r="1086" spans="1:6" s="9" customFormat="1" x14ac:dyDescent="0.25">
      <c r="C1086" s="5"/>
      <c r="E1086" s="10"/>
      <c r="F1086" s="10"/>
    </row>
    <row r="1087" spans="1:6" s="9" customFormat="1" x14ac:dyDescent="0.25">
      <c r="A1087" s="9" t="s">
        <v>270</v>
      </c>
      <c r="B1087" s="4">
        <v>45733</v>
      </c>
      <c r="C1087" s="5">
        <v>10</v>
      </c>
      <c r="D1087" s="9" t="s">
        <v>98</v>
      </c>
      <c r="E1087" s="10">
        <v>100</v>
      </c>
      <c r="F1087" s="10">
        <f t="shared" si="16"/>
        <v>1000</v>
      </c>
    </row>
    <row r="1088" spans="1:6" s="9" customFormat="1" x14ac:dyDescent="0.25">
      <c r="C1088" s="5"/>
      <c r="E1088" s="10"/>
      <c r="F1088" s="8">
        <f>SUM(F1087)</f>
        <v>1000</v>
      </c>
    </row>
    <row r="1089" spans="1:6" s="9" customFormat="1" x14ac:dyDescent="0.25">
      <c r="C1089" s="5"/>
      <c r="E1089" s="10"/>
      <c r="F1089" s="10"/>
    </row>
    <row r="1090" spans="1:6" s="9" customFormat="1" x14ac:dyDescent="0.25">
      <c r="A1090" s="9" t="s">
        <v>15</v>
      </c>
      <c r="B1090" s="4">
        <v>45733</v>
      </c>
      <c r="C1090" s="5">
        <v>64</v>
      </c>
      <c r="D1090" s="9" t="s">
        <v>275</v>
      </c>
      <c r="E1090" s="10">
        <v>85</v>
      </c>
      <c r="F1090" s="10">
        <f t="shared" si="16"/>
        <v>5440</v>
      </c>
    </row>
    <row r="1091" spans="1:6" s="9" customFormat="1" x14ac:dyDescent="0.25">
      <c r="C1091" s="5"/>
      <c r="E1091" s="10"/>
      <c r="F1091" s="8">
        <f>SUM(F1090)</f>
        <v>5440</v>
      </c>
    </row>
    <row r="1092" spans="1:6" s="9" customFormat="1" x14ac:dyDescent="0.25">
      <c r="C1092" s="5"/>
      <c r="E1092" s="10"/>
      <c r="F1092" s="10"/>
    </row>
    <row r="1093" spans="1:6" s="9" customFormat="1" x14ac:dyDescent="0.25">
      <c r="A1093" s="9" t="s">
        <v>7</v>
      </c>
      <c r="B1093" s="4">
        <v>45733</v>
      </c>
      <c r="C1093" s="5">
        <v>10</v>
      </c>
      <c r="D1093" s="9" t="s">
        <v>22</v>
      </c>
      <c r="E1093" s="10">
        <v>105</v>
      </c>
      <c r="F1093" s="10">
        <f t="shared" si="16"/>
        <v>1050</v>
      </c>
    </row>
    <row r="1094" spans="1:6" s="9" customFormat="1" x14ac:dyDescent="0.25">
      <c r="C1094" s="5">
        <v>2</v>
      </c>
      <c r="D1094" s="9" t="s">
        <v>13</v>
      </c>
      <c r="E1094" s="10">
        <v>140</v>
      </c>
      <c r="F1094" s="10">
        <f t="shared" si="16"/>
        <v>280</v>
      </c>
    </row>
    <row r="1095" spans="1:6" s="9" customFormat="1" x14ac:dyDescent="0.25">
      <c r="C1095" s="5">
        <v>3</v>
      </c>
      <c r="D1095" s="9" t="s">
        <v>275</v>
      </c>
      <c r="E1095" s="10">
        <v>100</v>
      </c>
      <c r="F1095" s="10">
        <f t="shared" si="16"/>
        <v>300</v>
      </c>
    </row>
    <row r="1096" spans="1:6" s="9" customFormat="1" x14ac:dyDescent="0.25">
      <c r="C1096" s="5">
        <v>1</v>
      </c>
      <c r="D1096" s="9" t="s">
        <v>13</v>
      </c>
      <c r="E1096" s="10">
        <v>140</v>
      </c>
      <c r="F1096" s="10">
        <f t="shared" si="16"/>
        <v>140</v>
      </c>
    </row>
    <row r="1097" spans="1:6" s="9" customFormat="1" x14ac:dyDescent="0.25">
      <c r="C1097" s="5"/>
      <c r="E1097" s="10"/>
      <c r="F1097" s="8">
        <f>SUM(F1093:F1096)</f>
        <v>1770</v>
      </c>
    </row>
    <row r="1098" spans="1:6" s="9" customFormat="1" x14ac:dyDescent="0.25">
      <c r="C1098" s="5"/>
      <c r="E1098" s="10"/>
      <c r="F1098" s="10"/>
    </row>
    <row r="1099" spans="1:6" s="9" customFormat="1" x14ac:dyDescent="0.25">
      <c r="A1099" s="9" t="s">
        <v>79</v>
      </c>
      <c r="B1099" s="4">
        <v>45733</v>
      </c>
      <c r="C1099" s="5">
        <v>25</v>
      </c>
      <c r="D1099" s="9" t="s">
        <v>13</v>
      </c>
      <c r="E1099" s="10">
        <v>140</v>
      </c>
      <c r="F1099" s="10">
        <f t="shared" ref="F1099:F1159" si="17">+C1099*E1099</f>
        <v>3500</v>
      </c>
    </row>
    <row r="1100" spans="1:6" s="9" customFormat="1" x14ac:dyDescent="0.25">
      <c r="C1100" s="5"/>
      <c r="E1100" s="10"/>
      <c r="F1100" s="8">
        <f>SUM(F1099)</f>
        <v>3500</v>
      </c>
    </row>
    <row r="1101" spans="1:6" s="9" customFormat="1" x14ac:dyDescent="0.25">
      <c r="C1101" s="5"/>
      <c r="E1101" s="10"/>
      <c r="F1101" s="10"/>
    </row>
    <row r="1102" spans="1:6" s="9" customFormat="1" x14ac:dyDescent="0.25">
      <c r="A1102" s="9" t="s">
        <v>18</v>
      </c>
      <c r="B1102" s="4">
        <v>45733</v>
      </c>
      <c r="C1102" s="5">
        <v>6</v>
      </c>
      <c r="D1102" s="9" t="s">
        <v>13</v>
      </c>
      <c r="E1102" s="10">
        <v>140</v>
      </c>
      <c r="F1102" s="10">
        <f t="shared" si="17"/>
        <v>840</v>
      </c>
    </row>
    <row r="1103" spans="1:6" s="9" customFormat="1" x14ac:dyDescent="0.25">
      <c r="C1103" s="5"/>
      <c r="E1103" s="10"/>
      <c r="F1103" s="8">
        <f>SUM(F1102)</f>
        <v>840</v>
      </c>
    </row>
    <row r="1104" spans="1:6" s="9" customFormat="1" x14ac:dyDescent="0.25">
      <c r="C1104" s="5"/>
      <c r="E1104" s="10"/>
      <c r="F1104" s="10"/>
    </row>
    <row r="1105" spans="1:6" s="9" customFormat="1" x14ac:dyDescent="0.25">
      <c r="A1105" s="9" t="s">
        <v>17</v>
      </c>
      <c r="B1105" s="4">
        <v>45733</v>
      </c>
      <c r="C1105" s="5">
        <v>10</v>
      </c>
      <c r="D1105" s="9" t="s">
        <v>13</v>
      </c>
      <c r="E1105" s="10">
        <v>140</v>
      </c>
      <c r="F1105" s="10">
        <f t="shared" si="17"/>
        <v>1400</v>
      </c>
    </row>
    <row r="1106" spans="1:6" s="9" customFormat="1" x14ac:dyDescent="0.25">
      <c r="C1106" s="5"/>
      <c r="E1106" s="10"/>
      <c r="F1106" s="8">
        <f>SUM(F1105)</f>
        <v>1400</v>
      </c>
    </row>
    <row r="1107" spans="1:6" s="9" customFormat="1" x14ac:dyDescent="0.25">
      <c r="C1107" s="5"/>
      <c r="E1107" s="10"/>
      <c r="F1107" s="10"/>
    </row>
    <row r="1108" spans="1:6" s="9" customFormat="1" x14ac:dyDescent="0.25">
      <c r="A1108" s="9" t="s">
        <v>157</v>
      </c>
      <c r="B1108" s="4">
        <v>45733</v>
      </c>
      <c r="C1108" s="5">
        <v>10</v>
      </c>
      <c r="D1108" s="9" t="s">
        <v>13</v>
      </c>
      <c r="E1108" s="10">
        <v>140</v>
      </c>
      <c r="F1108" s="10">
        <f t="shared" si="17"/>
        <v>1400</v>
      </c>
    </row>
    <row r="1109" spans="1:6" s="9" customFormat="1" x14ac:dyDescent="0.25">
      <c r="C1109" s="5"/>
      <c r="E1109" s="10"/>
      <c r="F1109" s="8">
        <f>SUM(F1108)</f>
        <v>1400</v>
      </c>
    </row>
    <row r="1110" spans="1:6" s="9" customFormat="1" x14ac:dyDescent="0.25">
      <c r="C1110" s="5"/>
      <c r="E1110" s="10"/>
      <c r="F1110" s="10"/>
    </row>
    <row r="1111" spans="1:6" s="9" customFormat="1" x14ac:dyDescent="0.25">
      <c r="A1111" s="9" t="s">
        <v>20</v>
      </c>
      <c r="B1111" s="4">
        <v>45733</v>
      </c>
      <c r="C1111" s="5">
        <v>20</v>
      </c>
      <c r="D1111" s="9" t="s">
        <v>13</v>
      </c>
      <c r="E1111" s="10">
        <v>140</v>
      </c>
      <c r="F1111" s="10">
        <f t="shared" si="17"/>
        <v>2800</v>
      </c>
    </row>
    <row r="1112" spans="1:6" s="9" customFormat="1" x14ac:dyDescent="0.25">
      <c r="C1112" s="5"/>
      <c r="E1112" s="10"/>
      <c r="F1112" s="8">
        <f>SUM(F1111)</f>
        <v>2800</v>
      </c>
    </row>
    <row r="1113" spans="1:6" s="9" customFormat="1" x14ac:dyDescent="0.25">
      <c r="C1113" s="5"/>
      <c r="E1113" s="10"/>
      <c r="F1113" s="10"/>
    </row>
    <row r="1114" spans="1:6" s="9" customFormat="1" x14ac:dyDescent="0.25">
      <c r="A1114" s="9" t="s">
        <v>21</v>
      </c>
      <c r="B1114" s="4">
        <v>45733</v>
      </c>
      <c r="C1114" s="5">
        <v>10</v>
      </c>
      <c r="D1114" s="9" t="s">
        <v>22</v>
      </c>
      <c r="E1114" s="10">
        <v>105</v>
      </c>
      <c r="F1114" s="10">
        <f t="shared" si="17"/>
        <v>1050</v>
      </c>
    </row>
    <row r="1115" spans="1:6" s="9" customFormat="1" x14ac:dyDescent="0.25">
      <c r="C1115" s="5">
        <v>10</v>
      </c>
      <c r="D1115" s="9" t="s">
        <v>11</v>
      </c>
      <c r="E1115" s="10">
        <v>120</v>
      </c>
      <c r="F1115" s="10">
        <f t="shared" si="17"/>
        <v>1200</v>
      </c>
    </row>
    <row r="1116" spans="1:6" s="9" customFormat="1" x14ac:dyDescent="0.25">
      <c r="C1116" s="5">
        <v>20</v>
      </c>
      <c r="D1116" s="9" t="s">
        <v>12</v>
      </c>
      <c r="E1116" s="10">
        <v>120</v>
      </c>
      <c r="F1116" s="10">
        <f t="shared" si="17"/>
        <v>2400</v>
      </c>
    </row>
    <row r="1117" spans="1:6" s="9" customFormat="1" x14ac:dyDescent="0.25">
      <c r="C1117" s="5">
        <v>20</v>
      </c>
      <c r="D1117" s="9" t="s">
        <v>13</v>
      </c>
      <c r="E1117" s="10">
        <v>140</v>
      </c>
      <c r="F1117" s="10">
        <f t="shared" si="17"/>
        <v>2800</v>
      </c>
    </row>
    <row r="1118" spans="1:6" s="9" customFormat="1" x14ac:dyDescent="0.25">
      <c r="C1118" s="5">
        <v>5</v>
      </c>
      <c r="D1118" s="9" t="s">
        <v>14</v>
      </c>
      <c r="E1118" s="10">
        <v>125</v>
      </c>
      <c r="F1118" s="10">
        <f t="shared" si="17"/>
        <v>625</v>
      </c>
    </row>
    <row r="1119" spans="1:6" s="9" customFormat="1" x14ac:dyDescent="0.25">
      <c r="C1119" s="5"/>
      <c r="E1119" s="10"/>
      <c r="F1119" s="8">
        <f>SUM(F1114:F1118)</f>
        <v>8075</v>
      </c>
    </row>
    <row r="1120" spans="1:6" s="9" customFormat="1" x14ac:dyDescent="0.25">
      <c r="C1120" s="5"/>
      <c r="E1120" s="10"/>
      <c r="F1120" s="10"/>
    </row>
    <row r="1121" spans="1:6" s="9" customFormat="1" x14ac:dyDescent="0.25">
      <c r="A1121" s="9" t="s">
        <v>148</v>
      </c>
      <c r="B1121" s="4">
        <v>45733</v>
      </c>
      <c r="C1121" s="5">
        <v>10</v>
      </c>
      <c r="D1121" s="9" t="s">
        <v>13</v>
      </c>
      <c r="E1121" s="10">
        <v>140</v>
      </c>
      <c r="F1121" s="10">
        <f t="shared" si="17"/>
        <v>1400</v>
      </c>
    </row>
    <row r="1122" spans="1:6" s="9" customFormat="1" x14ac:dyDescent="0.25">
      <c r="C1122" s="5">
        <v>5</v>
      </c>
      <c r="D1122" s="9" t="s">
        <v>14</v>
      </c>
      <c r="E1122" s="10">
        <v>125</v>
      </c>
      <c r="F1122" s="10">
        <f t="shared" si="17"/>
        <v>625</v>
      </c>
    </row>
    <row r="1123" spans="1:6" s="9" customFormat="1" x14ac:dyDescent="0.25">
      <c r="C1123" s="5"/>
      <c r="E1123" s="10"/>
      <c r="F1123" s="8">
        <f>SUM(F1121:F1122)</f>
        <v>2025</v>
      </c>
    </row>
    <row r="1124" spans="1:6" s="9" customFormat="1" x14ac:dyDescent="0.25">
      <c r="C1124" s="5"/>
      <c r="E1124" s="10"/>
      <c r="F1124" s="10"/>
    </row>
    <row r="1125" spans="1:6" s="9" customFormat="1" x14ac:dyDescent="0.25">
      <c r="A1125" s="9" t="s">
        <v>23</v>
      </c>
      <c r="B1125" s="4">
        <v>45733</v>
      </c>
      <c r="C1125" s="5">
        <v>11</v>
      </c>
      <c r="D1125" s="9" t="s">
        <v>328</v>
      </c>
      <c r="E1125" s="10">
        <v>105</v>
      </c>
      <c r="F1125" s="10">
        <f t="shared" si="17"/>
        <v>1155</v>
      </c>
    </row>
    <row r="1126" spans="1:6" s="9" customFormat="1" x14ac:dyDescent="0.25">
      <c r="C1126" s="5"/>
      <c r="E1126" s="10"/>
      <c r="F1126" s="8">
        <f>SUM(F1125)</f>
        <v>1155</v>
      </c>
    </row>
    <row r="1127" spans="1:6" s="9" customFormat="1" x14ac:dyDescent="0.25">
      <c r="C1127" s="5"/>
      <c r="E1127" s="10"/>
      <c r="F1127" s="10"/>
    </row>
    <row r="1128" spans="1:6" s="9" customFormat="1" x14ac:dyDescent="0.25">
      <c r="A1128" s="9" t="s">
        <v>40</v>
      </c>
      <c r="B1128" s="4">
        <v>45733</v>
      </c>
      <c r="C1128" s="5">
        <v>10</v>
      </c>
      <c r="D1128" s="9" t="s">
        <v>8</v>
      </c>
      <c r="E1128" s="10">
        <v>150</v>
      </c>
      <c r="F1128" s="10">
        <f t="shared" si="17"/>
        <v>1500</v>
      </c>
    </row>
    <row r="1129" spans="1:6" s="9" customFormat="1" x14ac:dyDescent="0.25">
      <c r="C1129" s="5">
        <v>17</v>
      </c>
      <c r="D1129" s="9" t="s">
        <v>13</v>
      </c>
      <c r="E1129" s="10">
        <v>140</v>
      </c>
      <c r="F1129" s="10">
        <f t="shared" si="17"/>
        <v>2380</v>
      </c>
    </row>
    <row r="1130" spans="1:6" s="9" customFormat="1" x14ac:dyDescent="0.25">
      <c r="C1130" s="5">
        <v>13</v>
      </c>
      <c r="D1130" s="9" t="s">
        <v>14</v>
      </c>
      <c r="E1130" s="10">
        <v>125</v>
      </c>
      <c r="F1130" s="10">
        <f t="shared" si="17"/>
        <v>1625</v>
      </c>
    </row>
    <row r="1131" spans="1:6" s="9" customFormat="1" x14ac:dyDescent="0.25">
      <c r="C1131" s="5">
        <v>15</v>
      </c>
      <c r="D1131" s="9" t="s">
        <v>12</v>
      </c>
      <c r="E1131" s="10">
        <v>120</v>
      </c>
      <c r="F1131" s="10">
        <f t="shared" si="17"/>
        <v>1800</v>
      </c>
    </row>
    <row r="1132" spans="1:6" s="9" customFormat="1" x14ac:dyDescent="0.25">
      <c r="C1132" s="5">
        <v>13</v>
      </c>
      <c r="D1132" s="9" t="s">
        <v>11</v>
      </c>
      <c r="E1132" s="10">
        <v>115</v>
      </c>
      <c r="F1132" s="10">
        <f t="shared" si="17"/>
        <v>1495</v>
      </c>
    </row>
    <row r="1133" spans="1:6" s="9" customFormat="1" x14ac:dyDescent="0.25">
      <c r="C1133" s="5">
        <v>10</v>
      </c>
      <c r="D1133" s="9" t="s">
        <v>22</v>
      </c>
      <c r="E1133" s="10">
        <v>105</v>
      </c>
      <c r="F1133" s="10">
        <f t="shared" si="17"/>
        <v>1050</v>
      </c>
    </row>
    <row r="1134" spans="1:6" s="9" customFormat="1" x14ac:dyDescent="0.25">
      <c r="C1134" s="5"/>
      <c r="E1134" s="10"/>
      <c r="F1134" s="8">
        <f>SUM(F1128:F1133)</f>
        <v>9850</v>
      </c>
    </row>
    <row r="1135" spans="1:6" s="9" customFormat="1" x14ac:dyDescent="0.25">
      <c r="C1135" s="5"/>
      <c r="E1135" s="10"/>
      <c r="F1135" s="10"/>
    </row>
    <row r="1136" spans="1:6" s="9" customFormat="1" x14ac:dyDescent="0.25">
      <c r="A1136" s="9" t="s">
        <v>58</v>
      </c>
      <c r="B1136" s="4">
        <v>45733</v>
      </c>
      <c r="C1136" s="5">
        <v>6</v>
      </c>
      <c r="D1136" s="9" t="s">
        <v>13</v>
      </c>
      <c r="E1136" s="10">
        <v>140</v>
      </c>
      <c r="F1136" s="10">
        <f t="shared" si="17"/>
        <v>840</v>
      </c>
    </row>
    <row r="1137" spans="1:6" s="9" customFormat="1" x14ac:dyDescent="0.25">
      <c r="C1137" s="5"/>
      <c r="E1137" s="10"/>
      <c r="F1137" s="8">
        <f>SUM(F1136)</f>
        <v>840</v>
      </c>
    </row>
    <row r="1138" spans="1:6" s="9" customFormat="1" x14ac:dyDescent="0.25">
      <c r="C1138" s="5"/>
      <c r="E1138" s="10"/>
      <c r="F1138" s="10"/>
    </row>
    <row r="1139" spans="1:6" s="9" customFormat="1" x14ac:dyDescent="0.25">
      <c r="A1139" s="9" t="s">
        <v>41</v>
      </c>
      <c r="B1139" s="4">
        <v>45733</v>
      </c>
      <c r="C1139" s="5">
        <v>30</v>
      </c>
      <c r="D1139" s="9" t="s">
        <v>14</v>
      </c>
      <c r="E1139" s="10">
        <v>130</v>
      </c>
      <c r="F1139" s="10">
        <f t="shared" si="17"/>
        <v>3900</v>
      </c>
    </row>
    <row r="1140" spans="1:6" s="9" customFormat="1" x14ac:dyDescent="0.25">
      <c r="C1140" s="5"/>
      <c r="E1140" s="10"/>
      <c r="F1140" s="8">
        <f>SUM(F1139)</f>
        <v>3900</v>
      </c>
    </row>
    <row r="1141" spans="1:6" s="9" customFormat="1" x14ac:dyDescent="0.25">
      <c r="C1141" s="5"/>
      <c r="E1141" s="10"/>
      <c r="F1141" s="10"/>
    </row>
    <row r="1142" spans="1:6" s="9" customFormat="1" x14ac:dyDescent="0.25">
      <c r="A1142" s="9" t="s">
        <v>43</v>
      </c>
      <c r="B1142" s="4">
        <v>45733</v>
      </c>
      <c r="C1142" s="5">
        <v>20</v>
      </c>
      <c r="D1142" s="9" t="s">
        <v>49</v>
      </c>
      <c r="E1142" s="10">
        <v>145</v>
      </c>
      <c r="F1142" s="10">
        <f t="shared" si="17"/>
        <v>2900</v>
      </c>
    </row>
    <row r="1143" spans="1:6" s="9" customFormat="1" x14ac:dyDescent="0.25">
      <c r="C1143" s="5">
        <v>20</v>
      </c>
      <c r="D1143" s="9" t="s">
        <v>14</v>
      </c>
      <c r="E1143" s="10">
        <v>125</v>
      </c>
      <c r="F1143" s="10">
        <f t="shared" si="17"/>
        <v>2500</v>
      </c>
    </row>
    <row r="1144" spans="1:6" s="9" customFormat="1" x14ac:dyDescent="0.25">
      <c r="C1144" s="5">
        <v>10</v>
      </c>
      <c r="D1144" s="9" t="s">
        <v>13</v>
      </c>
      <c r="E1144" s="10">
        <v>140</v>
      </c>
      <c r="F1144" s="10">
        <f t="shared" si="17"/>
        <v>1400</v>
      </c>
    </row>
    <row r="1145" spans="1:6" s="9" customFormat="1" x14ac:dyDescent="0.25">
      <c r="C1145" s="5"/>
      <c r="E1145" s="10"/>
      <c r="F1145" s="8">
        <f>SUM(F1142:F1144)</f>
        <v>6800</v>
      </c>
    </row>
    <row r="1146" spans="1:6" s="9" customFormat="1" x14ac:dyDescent="0.25">
      <c r="C1146" s="5"/>
      <c r="E1146" s="10"/>
      <c r="F1146" s="10"/>
    </row>
    <row r="1147" spans="1:6" s="9" customFormat="1" x14ac:dyDescent="0.25">
      <c r="A1147" s="9" t="s">
        <v>44</v>
      </c>
      <c r="B1147" s="4">
        <v>45733</v>
      </c>
      <c r="C1147" s="5">
        <v>70</v>
      </c>
      <c r="D1147" s="9" t="s">
        <v>14</v>
      </c>
      <c r="E1147" s="10">
        <v>125</v>
      </c>
      <c r="F1147" s="10">
        <f t="shared" si="17"/>
        <v>8750</v>
      </c>
    </row>
    <row r="1148" spans="1:6" s="9" customFormat="1" x14ac:dyDescent="0.25">
      <c r="C1148" s="5"/>
      <c r="E1148" s="10"/>
      <c r="F1148" s="8">
        <f>SUM(F1147)</f>
        <v>8750</v>
      </c>
    </row>
    <row r="1149" spans="1:6" s="9" customFormat="1" x14ac:dyDescent="0.25">
      <c r="C1149" s="5"/>
      <c r="E1149" s="10"/>
      <c r="F1149" s="10"/>
    </row>
    <row r="1150" spans="1:6" s="9" customFormat="1" x14ac:dyDescent="0.25">
      <c r="A1150" s="9" t="s">
        <v>18</v>
      </c>
      <c r="B1150" s="4">
        <v>45733</v>
      </c>
      <c r="C1150" s="5">
        <v>20</v>
      </c>
      <c r="D1150" s="9" t="s">
        <v>14</v>
      </c>
      <c r="E1150" s="10">
        <v>125</v>
      </c>
      <c r="F1150" s="10">
        <f t="shared" si="17"/>
        <v>2500</v>
      </c>
    </row>
    <row r="1151" spans="1:6" s="9" customFormat="1" x14ac:dyDescent="0.25">
      <c r="C1151" s="5"/>
      <c r="E1151" s="10"/>
      <c r="F1151" s="8">
        <f>SUM(F1150)</f>
        <v>2500</v>
      </c>
    </row>
    <row r="1152" spans="1:6" s="9" customFormat="1" x14ac:dyDescent="0.25">
      <c r="C1152" s="5"/>
      <c r="E1152" s="10"/>
      <c r="F1152" s="10"/>
    </row>
    <row r="1153" spans="1:6" s="9" customFormat="1" x14ac:dyDescent="0.25">
      <c r="A1153" s="9" t="s">
        <v>251</v>
      </c>
      <c r="B1153" s="4">
        <v>45733</v>
      </c>
      <c r="C1153" s="5">
        <v>50</v>
      </c>
      <c r="D1153" s="9" t="s">
        <v>12</v>
      </c>
      <c r="E1153" s="10">
        <v>135</v>
      </c>
      <c r="F1153" s="10">
        <f t="shared" si="17"/>
        <v>6750</v>
      </c>
    </row>
    <row r="1154" spans="1:6" s="9" customFormat="1" x14ac:dyDescent="0.25">
      <c r="C1154" s="5"/>
      <c r="E1154" s="10"/>
      <c r="F1154" s="8">
        <f>SUM(F1153)</f>
        <v>6750</v>
      </c>
    </row>
    <row r="1155" spans="1:6" s="9" customFormat="1" x14ac:dyDescent="0.25">
      <c r="C1155" s="5"/>
      <c r="E1155" s="10"/>
      <c r="F1155" s="10"/>
    </row>
    <row r="1156" spans="1:6" s="9" customFormat="1" x14ac:dyDescent="0.25">
      <c r="A1156" s="9" t="s">
        <v>42</v>
      </c>
      <c r="B1156" s="4">
        <v>45733</v>
      </c>
      <c r="C1156" s="5">
        <v>10</v>
      </c>
      <c r="D1156" s="9" t="s">
        <v>14</v>
      </c>
      <c r="E1156" s="10">
        <v>125</v>
      </c>
      <c r="F1156" s="10">
        <f t="shared" si="17"/>
        <v>1250</v>
      </c>
    </row>
    <row r="1157" spans="1:6" s="9" customFormat="1" x14ac:dyDescent="0.25">
      <c r="C1157" s="5"/>
      <c r="E1157" s="10"/>
      <c r="F1157" s="8">
        <f>SUM(F1156)</f>
        <v>1250</v>
      </c>
    </row>
    <row r="1158" spans="1:6" s="9" customFormat="1" x14ac:dyDescent="0.25">
      <c r="C1158" s="5"/>
      <c r="E1158" s="10"/>
      <c r="F1158" s="10"/>
    </row>
    <row r="1159" spans="1:6" s="9" customFormat="1" x14ac:dyDescent="0.25">
      <c r="A1159" s="9" t="s">
        <v>46</v>
      </c>
      <c r="B1159" s="4">
        <v>45733</v>
      </c>
      <c r="C1159" s="5">
        <v>20</v>
      </c>
      <c r="D1159" s="9" t="s">
        <v>14</v>
      </c>
      <c r="E1159" s="10">
        <v>130</v>
      </c>
      <c r="F1159" s="10">
        <f t="shared" si="17"/>
        <v>2600</v>
      </c>
    </row>
    <row r="1160" spans="1:6" s="9" customFormat="1" x14ac:dyDescent="0.25">
      <c r="C1160" s="5"/>
      <c r="E1160" s="10"/>
      <c r="F1160" s="8">
        <f>SUM(F1159)</f>
        <v>2600</v>
      </c>
    </row>
    <row r="1161" spans="1:6" s="9" customFormat="1" x14ac:dyDescent="0.25">
      <c r="C1161" s="5"/>
      <c r="E1161" s="10"/>
      <c r="F1161" s="10"/>
    </row>
    <row r="1162" spans="1:6" s="9" customFormat="1" x14ac:dyDescent="0.25">
      <c r="A1162" s="9" t="s">
        <v>47</v>
      </c>
      <c r="B1162" s="4">
        <v>45733</v>
      </c>
      <c r="C1162" s="5">
        <v>20</v>
      </c>
      <c r="D1162" s="9" t="s">
        <v>50</v>
      </c>
      <c r="E1162" s="10">
        <v>95</v>
      </c>
      <c r="F1162" s="10">
        <f t="shared" ref="F1162:F1203" si="18">+C1162*E1162</f>
        <v>1900</v>
      </c>
    </row>
    <row r="1163" spans="1:6" s="9" customFormat="1" x14ac:dyDescent="0.25">
      <c r="C1163" s="5"/>
      <c r="E1163" s="10"/>
      <c r="F1163" s="8">
        <f>SUM(F1162)</f>
        <v>1900</v>
      </c>
    </row>
    <row r="1164" spans="1:6" s="9" customFormat="1" x14ac:dyDescent="0.25">
      <c r="C1164" s="5"/>
      <c r="E1164" s="10"/>
      <c r="F1164" s="10"/>
    </row>
    <row r="1165" spans="1:6" s="9" customFormat="1" x14ac:dyDescent="0.25">
      <c r="A1165" s="9" t="s">
        <v>66</v>
      </c>
      <c r="B1165" s="4">
        <v>45733</v>
      </c>
      <c r="C1165" s="5">
        <v>15</v>
      </c>
      <c r="D1165" s="9" t="s">
        <v>8</v>
      </c>
      <c r="E1165" s="10">
        <v>155</v>
      </c>
      <c r="F1165" s="10">
        <f t="shared" si="18"/>
        <v>2325</v>
      </c>
    </row>
    <row r="1166" spans="1:6" s="9" customFormat="1" x14ac:dyDescent="0.25">
      <c r="C1166" s="5"/>
      <c r="E1166" s="10"/>
      <c r="F1166" s="8">
        <f>SUM(F1165)</f>
        <v>2325</v>
      </c>
    </row>
    <row r="1167" spans="1:6" s="9" customFormat="1" x14ac:dyDescent="0.25">
      <c r="C1167" s="5"/>
      <c r="E1167" s="10"/>
      <c r="F1167" s="10"/>
    </row>
    <row r="1168" spans="1:6" s="9" customFormat="1" x14ac:dyDescent="0.25">
      <c r="A1168" s="9" t="s">
        <v>89</v>
      </c>
      <c r="B1168" s="4">
        <v>45733</v>
      </c>
      <c r="C1168" s="5">
        <v>30</v>
      </c>
      <c r="D1168" s="9" t="s">
        <v>13</v>
      </c>
      <c r="E1168" s="10">
        <v>130</v>
      </c>
      <c r="F1168" s="10">
        <f t="shared" si="18"/>
        <v>3900</v>
      </c>
    </row>
    <row r="1169" spans="1:6" s="9" customFormat="1" x14ac:dyDescent="0.25">
      <c r="C1169" s="5">
        <v>10</v>
      </c>
      <c r="D1169" s="9" t="s">
        <v>14</v>
      </c>
      <c r="E1169" s="10">
        <v>125</v>
      </c>
      <c r="F1169" s="10">
        <f t="shared" si="18"/>
        <v>1250</v>
      </c>
    </row>
    <row r="1170" spans="1:6" s="9" customFormat="1" x14ac:dyDescent="0.25">
      <c r="C1170" s="5">
        <v>30</v>
      </c>
      <c r="D1170" s="9" t="s">
        <v>12</v>
      </c>
      <c r="E1170" s="10">
        <v>120</v>
      </c>
      <c r="F1170" s="10">
        <f t="shared" si="18"/>
        <v>3600</v>
      </c>
    </row>
    <row r="1171" spans="1:6" s="9" customFormat="1" x14ac:dyDescent="0.25">
      <c r="C1171" s="5"/>
      <c r="E1171" s="10"/>
      <c r="F1171" s="8">
        <f>SUM(F1168:F1170)</f>
        <v>8750</v>
      </c>
    </row>
    <row r="1172" spans="1:6" s="9" customFormat="1" x14ac:dyDescent="0.25">
      <c r="C1172" s="5"/>
      <c r="E1172" s="10"/>
      <c r="F1172" s="10"/>
    </row>
    <row r="1173" spans="1:6" s="9" customFormat="1" x14ac:dyDescent="0.25">
      <c r="A1173" s="9" t="s">
        <v>26</v>
      </c>
      <c r="B1173" s="4">
        <v>45733</v>
      </c>
      <c r="C1173" s="5">
        <v>80</v>
      </c>
      <c r="D1173" s="9" t="s">
        <v>13</v>
      </c>
      <c r="E1173" s="10">
        <v>140</v>
      </c>
      <c r="F1173" s="10">
        <f t="shared" si="18"/>
        <v>11200</v>
      </c>
    </row>
    <row r="1174" spans="1:6" s="9" customFormat="1" x14ac:dyDescent="0.25">
      <c r="C1174" s="5">
        <v>20</v>
      </c>
      <c r="D1174" s="9" t="s">
        <v>14</v>
      </c>
      <c r="E1174" s="10">
        <v>135</v>
      </c>
      <c r="F1174" s="10">
        <f t="shared" si="18"/>
        <v>2700</v>
      </c>
    </row>
    <row r="1175" spans="1:6" s="9" customFormat="1" x14ac:dyDescent="0.25">
      <c r="C1175" s="5"/>
      <c r="E1175" s="10"/>
      <c r="F1175" s="8">
        <f>SUM(F1173:F1174)</f>
        <v>13900</v>
      </c>
    </row>
    <row r="1176" spans="1:6" s="9" customFormat="1" x14ac:dyDescent="0.25">
      <c r="C1176" s="5"/>
      <c r="E1176" s="10"/>
      <c r="F1176" s="10"/>
    </row>
    <row r="1177" spans="1:6" s="9" customFormat="1" x14ac:dyDescent="0.25">
      <c r="A1177" s="9" t="s">
        <v>184</v>
      </c>
      <c r="B1177" s="4">
        <v>45733</v>
      </c>
      <c r="C1177" s="5">
        <v>5</v>
      </c>
      <c r="D1177" s="9" t="s">
        <v>13</v>
      </c>
      <c r="E1177" s="10">
        <v>155</v>
      </c>
      <c r="F1177" s="10">
        <f t="shared" si="18"/>
        <v>775</v>
      </c>
    </row>
    <row r="1178" spans="1:6" s="9" customFormat="1" x14ac:dyDescent="0.25">
      <c r="C1178" s="5"/>
      <c r="E1178" s="10"/>
      <c r="F1178" s="8">
        <f>SUM(F1177)</f>
        <v>775</v>
      </c>
    </row>
    <row r="1179" spans="1:6" s="9" customFormat="1" x14ac:dyDescent="0.25">
      <c r="C1179" s="5"/>
      <c r="E1179" s="10"/>
      <c r="F1179" s="10"/>
    </row>
    <row r="1180" spans="1:6" s="9" customFormat="1" x14ac:dyDescent="0.25">
      <c r="A1180" s="9" t="s">
        <v>167</v>
      </c>
      <c r="B1180" s="4">
        <v>45733</v>
      </c>
      <c r="C1180" s="5">
        <v>12</v>
      </c>
      <c r="D1180" s="9" t="s">
        <v>14</v>
      </c>
      <c r="E1180" s="10">
        <v>135</v>
      </c>
      <c r="F1180" s="10">
        <f t="shared" si="18"/>
        <v>1620</v>
      </c>
    </row>
    <row r="1181" spans="1:6" s="9" customFormat="1" x14ac:dyDescent="0.25">
      <c r="C1181" s="5">
        <v>4</v>
      </c>
      <c r="D1181" s="9" t="s">
        <v>13</v>
      </c>
      <c r="E1181" s="10">
        <v>145</v>
      </c>
      <c r="F1181" s="10">
        <f t="shared" si="18"/>
        <v>580</v>
      </c>
    </row>
    <row r="1182" spans="1:6" s="9" customFormat="1" x14ac:dyDescent="0.25">
      <c r="C1182" s="5"/>
      <c r="E1182" s="10"/>
      <c r="F1182" s="8">
        <f>SUM(F1180:F1181)</f>
        <v>2200</v>
      </c>
    </row>
    <row r="1183" spans="1:6" s="9" customFormat="1" x14ac:dyDescent="0.25">
      <c r="C1183" s="5"/>
      <c r="E1183" s="10"/>
      <c r="F1183" s="10"/>
    </row>
    <row r="1184" spans="1:6" s="9" customFormat="1" x14ac:dyDescent="0.25">
      <c r="A1184" s="9" t="s">
        <v>53</v>
      </c>
      <c r="B1184" s="4">
        <v>45733</v>
      </c>
      <c r="C1184" s="5">
        <v>120</v>
      </c>
      <c r="D1184" s="9" t="s">
        <v>13</v>
      </c>
      <c r="E1184" s="10">
        <v>135</v>
      </c>
      <c r="F1184" s="10">
        <f t="shared" si="18"/>
        <v>16200</v>
      </c>
    </row>
    <row r="1185" spans="1:6" s="9" customFormat="1" x14ac:dyDescent="0.25">
      <c r="C1185" s="5"/>
      <c r="E1185" s="10"/>
      <c r="F1185" s="8">
        <f>SUM(F1184)</f>
        <v>16200</v>
      </c>
    </row>
    <row r="1186" spans="1:6" s="9" customFormat="1" x14ac:dyDescent="0.25">
      <c r="C1186" s="5"/>
      <c r="E1186" s="10"/>
      <c r="F1186" s="10"/>
    </row>
    <row r="1187" spans="1:6" s="9" customFormat="1" x14ac:dyDescent="0.25">
      <c r="A1187" s="9" t="s">
        <v>233</v>
      </c>
      <c r="B1187" s="4">
        <v>45733</v>
      </c>
      <c r="C1187" s="5">
        <v>25</v>
      </c>
      <c r="D1187" s="9" t="s">
        <v>13</v>
      </c>
      <c r="E1187" s="10">
        <v>140</v>
      </c>
      <c r="F1187" s="10">
        <f t="shared" si="18"/>
        <v>3500</v>
      </c>
    </row>
    <row r="1188" spans="1:6" s="9" customFormat="1" x14ac:dyDescent="0.25">
      <c r="C1188" s="5"/>
      <c r="E1188" s="10"/>
      <c r="F1188" s="8">
        <f>SUM(F1187)</f>
        <v>3500</v>
      </c>
    </row>
    <row r="1189" spans="1:6" s="9" customFormat="1" x14ac:dyDescent="0.25">
      <c r="C1189" s="5"/>
      <c r="E1189" s="10"/>
      <c r="F1189" s="10"/>
    </row>
    <row r="1190" spans="1:6" s="9" customFormat="1" x14ac:dyDescent="0.25">
      <c r="A1190" s="9" t="s">
        <v>29</v>
      </c>
      <c r="B1190" s="4">
        <v>45733</v>
      </c>
      <c r="C1190" s="5">
        <v>8</v>
      </c>
      <c r="D1190" s="9" t="s">
        <v>12</v>
      </c>
      <c r="E1190" s="10">
        <v>140</v>
      </c>
      <c r="F1190" s="10">
        <f t="shared" si="18"/>
        <v>1120</v>
      </c>
    </row>
    <row r="1191" spans="1:6" s="9" customFormat="1" x14ac:dyDescent="0.25">
      <c r="C1191" s="5">
        <v>2</v>
      </c>
      <c r="D1191" s="9" t="s">
        <v>22</v>
      </c>
      <c r="E1191" s="10">
        <v>110</v>
      </c>
      <c r="F1191" s="10">
        <f t="shared" si="18"/>
        <v>220</v>
      </c>
    </row>
    <row r="1192" spans="1:6" s="9" customFormat="1" x14ac:dyDescent="0.25">
      <c r="C1192" s="5">
        <v>4</v>
      </c>
      <c r="D1192" s="9" t="s">
        <v>13</v>
      </c>
      <c r="E1192" s="10">
        <v>160</v>
      </c>
      <c r="F1192" s="10">
        <f t="shared" si="18"/>
        <v>640</v>
      </c>
    </row>
    <row r="1193" spans="1:6" s="9" customFormat="1" x14ac:dyDescent="0.25">
      <c r="C1193" s="5">
        <v>5</v>
      </c>
      <c r="D1193" s="9" t="s">
        <v>12</v>
      </c>
      <c r="E1193" s="10">
        <v>140</v>
      </c>
      <c r="F1193" s="10">
        <f t="shared" si="18"/>
        <v>700</v>
      </c>
    </row>
    <row r="1194" spans="1:6" s="9" customFormat="1" x14ac:dyDescent="0.25">
      <c r="C1194" s="5">
        <v>2</v>
      </c>
      <c r="D1194" s="9" t="s">
        <v>13</v>
      </c>
      <c r="E1194" s="10">
        <v>160</v>
      </c>
      <c r="F1194" s="10">
        <f t="shared" si="18"/>
        <v>320</v>
      </c>
    </row>
    <row r="1195" spans="1:6" s="9" customFormat="1" x14ac:dyDescent="0.25">
      <c r="C1195" s="5">
        <v>1</v>
      </c>
      <c r="D1195" s="9" t="s">
        <v>13</v>
      </c>
      <c r="E1195" s="10">
        <v>160</v>
      </c>
      <c r="F1195" s="10">
        <f t="shared" si="18"/>
        <v>160</v>
      </c>
    </row>
    <row r="1196" spans="1:6" s="9" customFormat="1" x14ac:dyDescent="0.25">
      <c r="C1196" s="5">
        <v>2</v>
      </c>
      <c r="D1196" s="9" t="s">
        <v>54</v>
      </c>
      <c r="E1196" s="10">
        <v>140</v>
      </c>
      <c r="F1196" s="10">
        <f t="shared" si="18"/>
        <v>280</v>
      </c>
    </row>
    <row r="1197" spans="1:6" s="9" customFormat="1" x14ac:dyDescent="0.25">
      <c r="C1197" s="5">
        <v>5</v>
      </c>
      <c r="D1197" s="9" t="s">
        <v>302</v>
      </c>
      <c r="E1197" s="10">
        <v>150</v>
      </c>
      <c r="F1197" s="10">
        <f t="shared" si="18"/>
        <v>750</v>
      </c>
    </row>
    <row r="1198" spans="1:6" s="9" customFormat="1" x14ac:dyDescent="0.25">
      <c r="C1198" s="5">
        <v>1</v>
      </c>
      <c r="D1198" s="9" t="s">
        <v>8</v>
      </c>
      <c r="E1198" s="10">
        <v>170</v>
      </c>
      <c r="F1198" s="10">
        <f t="shared" si="18"/>
        <v>170</v>
      </c>
    </row>
    <row r="1199" spans="1:6" s="9" customFormat="1" x14ac:dyDescent="0.25">
      <c r="C1199" s="5">
        <v>2</v>
      </c>
      <c r="D1199" s="9" t="s">
        <v>13</v>
      </c>
      <c r="E1199" s="10">
        <v>160</v>
      </c>
      <c r="F1199" s="10">
        <f t="shared" si="18"/>
        <v>320</v>
      </c>
    </row>
    <row r="1200" spans="1:6" s="9" customFormat="1" x14ac:dyDescent="0.25">
      <c r="C1200" s="5"/>
      <c r="E1200" s="10"/>
      <c r="F1200" s="8">
        <f>SUM(F1190:F1199)</f>
        <v>4680</v>
      </c>
    </row>
    <row r="1201" spans="1:6" s="9" customFormat="1" x14ac:dyDescent="0.25">
      <c r="C1201" s="5"/>
      <c r="E1201" s="10"/>
      <c r="F1201" s="10"/>
    </row>
    <row r="1202" spans="1:6" s="9" customFormat="1" x14ac:dyDescent="0.25">
      <c r="A1202" s="9" t="s">
        <v>7</v>
      </c>
      <c r="B1202" s="4">
        <v>45733</v>
      </c>
      <c r="C1202" s="5">
        <v>5</v>
      </c>
      <c r="D1202" s="9" t="s">
        <v>13</v>
      </c>
      <c r="E1202" s="10">
        <v>150</v>
      </c>
      <c r="F1202" s="10">
        <f t="shared" si="18"/>
        <v>750</v>
      </c>
    </row>
    <row r="1203" spans="1:6" s="9" customFormat="1" x14ac:dyDescent="0.25">
      <c r="C1203" s="5">
        <v>3</v>
      </c>
      <c r="D1203" s="9" t="s">
        <v>13</v>
      </c>
      <c r="E1203" s="10">
        <v>140</v>
      </c>
      <c r="F1203" s="10">
        <f t="shared" si="18"/>
        <v>420</v>
      </c>
    </row>
    <row r="1204" spans="1:6" s="9" customFormat="1" x14ac:dyDescent="0.25">
      <c r="C1204" s="5"/>
      <c r="E1204" s="10"/>
      <c r="F1204" s="8">
        <f>SUM(F1202:F1203)</f>
        <v>1170</v>
      </c>
    </row>
    <row r="1205" spans="1:6" s="9" customFormat="1" x14ac:dyDescent="0.25">
      <c r="C1205" s="5"/>
      <c r="E1205" s="10"/>
      <c r="F1205" s="10"/>
    </row>
    <row r="1206" spans="1:6" s="9" customFormat="1" x14ac:dyDescent="0.25">
      <c r="A1206" s="9" t="s">
        <v>181</v>
      </c>
      <c r="B1206" s="4">
        <v>45733</v>
      </c>
      <c r="C1206" s="5">
        <v>2</v>
      </c>
      <c r="D1206" s="9" t="s">
        <v>98</v>
      </c>
      <c r="E1206" s="10">
        <v>100</v>
      </c>
      <c r="F1206" s="10">
        <f>+C1206*E1206</f>
        <v>200</v>
      </c>
    </row>
    <row r="1207" spans="1:6" s="9" customFormat="1" x14ac:dyDescent="0.25">
      <c r="C1207" s="5">
        <v>1</v>
      </c>
      <c r="D1207" s="9" t="s">
        <v>8</v>
      </c>
      <c r="E1207" s="10">
        <v>170</v>
      </c>
      <c r="F1207" s="10">
        <f>+C1207*E1207</f>
        <v>170</v>
      </c>
    </row>
    <row r="1208" spans="1:6" s="9" customFormat="1" x14ac:dyDescent="0.25">
      <c r="C1208" s="5">
        <v>1</v>
      </c>
      <c r="D1208" s="9" t="s">
        <v>12</v>
      </c>
      <c r="E1208" s="10">
        <v>150</v>
      </c>
      <c r="F1208" s="10">
        <f>+C1208*E1208</f>
        <v>150</v>
      </c>
    </row>
    <row r="1209" spans="1:6" s="9" customFormat="1" x14ac:dyDescent="0.25">
      <c r="C1209" s="5"/>
      <c r="E1209" s="10"/>
      <c r="F1209" s="8">
        <f>SUM(F1206:F1208)</f>
        <v>520</v>
      </c>
    </row>
    <row r="1210" spans="1:6" s="9" customFormat="1" x14ac:dyDescent="0.25">
      <c r="C1210" s="5"/>
      <c r="E1210" s="10"/>
      <c r="F1210" s="10"/>
    </row>
    <row r="1211" spans="1:6" s="9" customFormat="1" x14ac:dyDescent="0.25">
      <c r="A1211" s="9" t="s">
        <v>140</v>
      </c>
      <c r="B1211" s="4">
        <v>45734</v>
      </c>
      <c r="C1211" s="5">
        <v>200</v>
      </c>
      <c r="D1211" s="9" t="s">
        <v>13</v>
      </c>
      <c r="E1211" s="10">
        <v>135</v>
      </c>
      <c r="F1211" s="10">
        <f t="shared" ref="F1211:F1220" si="19">+C1211*E1211</f>
        <v>27000</v>
      </c>
    </row>
    <row r="1212" spans="1:6" s="9" customFormat="1" x14ac:dyDescent="0.25">
      <c r="C1212" s="5">
        <v>200</v>
      </c>
      <c r="D1212" s="9" t="s">
        <v>12</v>
      </c>
      <c r="E1212" s="10">
        <v>125</v>
      </c>
      <c r="F1212" s="10">
        <f t="shared" si="19"/>
        <v>25000</v>
      </c>
    </row>
    <row r="1213" spans="1:6" s="9" customFormat="1" x14ac:dyDescent="0.25">
      <c r="C1213" s="5">
        <v>100</v>
      </c>
      <c r="D1213" s="9" t="s">
        <v>11</v>
      </c>
      <c r="E1213" s="10">
        <v>120</v>
      </c>
      <c r="F1213" s="10">
        <f t="shared" si="19"/>
        <v>12000</v>
      </c>
    </row>
    <row r="1214" spans="1:6" s="9" customFormat="1" x14ac:dyDescent="0.25">
      <c r="C1214" s="5">
        <v>50</v>
      </c>
      <c r="D1214" s="9" t="s">
        <v>8</v>
      </c>
      <c r="E1214" s="10">
        <v>155</v>
      </c>
      <c r="F1214" s="10">
        <f t="shared" si="19"/>
        <v>7750</v>
      </c>
    </row>
    <row r="1215" spans="1:6" s="9" customFormat="1" x14ac:dyDescent="0.25">
      <c r="C1215" s="5">
        <v>10</v>
      </c>
      <c r="D1215" s="9" t="s">
        <v>49</v>
      </c>
      <c r="E1215" s="10">
        <v>145</v>
      </c>
      <c r="F1215" s="10">
        <f t="shared" si="19"/>
        <v>1450</v>
      </c>
    </row>
    <row r="1216" spans="1:6" s="9" customFormat="1" x14ac:dyDescent="0.25">
      <c r="C1216" s="5">
        <v>100</v>
      </c>
      <c r="D1216" s="9" t="s">
        <v>14</v>
      </c>
      <c r="E1216" s="10">
        <v>130</v>
      </c>
      <c r="F1216" s="10">
        <f t="shared" si="19"/>
        <v>13000</v>
      </c>
    </row>
    <row r="1217" spans="1:6" s="9" customFormat="1" x14ac:dyDescent="0.25">
      <c r="C1217" s="5"/>
      <c r="E1217" s="10"/>
      <c r="F1217" s="8">
        <f>SUM(F1211:F1216)</f>
        <v>86200</v>
      </c>
    </row>
    <row r="1218" spans="1:6" s="9" customFormat="1" x14ac:dyDescent="0.25">
      <c r="C1218" s="5"/>
      <c r="E1218" s="10"/>
      <c r="F1218" s="10"/>
    </row>
    <row r="1219" spans="1:6" s="9" customFormat="1" x14ac:dyDescent="0.25">
      <c r="A1219" s="9" t="s">
        <v>174</v>
      </c>
      <c r="B1219" s="4">
        <v>45734</v>
      </c>
      <c r="C1219" s="5">
        <v>65</v>
      </c>
      <c r="D1219" s="9" t="s">
        <v>12</v>
      </c>
      <c r="E1219" s="10">
        <v>140</v>
      </c>
      <c r="F1219" s="10">
        <f t="shared" si="19"/>
        <v>9100</v>
      </c>
    </row>
    <row r="1220" spans="1:6" s="9" customFormat="1" x14ac:dyDescent="0.25">
      <c r="C1220" s="5">
        <v>65</v>
      </c>
      <c r="D1220" s="9" t="s">
        <v>22</v>
      </c>
      <c r="E1220" s="10">
        <v>120</v>
      </c>
      <c r="F1220" s="10">
        <f t="shared" si="19"/>
        <v>7800</v>
      </c>
    </row>
    <row r="1221" spans="1:6" s="9" customFormat="1" x14ac:dyDescent="0.25">
      <c r="C1221" s="5"/>
      <c r="E1221" s="10"/>
      <c r="F1221" s="8">
        <f>SUM(F1219:F1220)</f>
        <v>16900</v>
      </c>
    </row>
    <row r="1222" spans="1:6" s="9" customFormat="1" x14ac:dyDescent="0.25">
      <c r="C1222" s="5"/>
      <c r="E1222" s="10"/>
      <c r="F1222" s="10"/>
    </row>
    <row r="1223" spans="1:6" s="9" customFormat="1" x14ac:dyDescent="0.25">
      <c r="A1223" s="9" t="s">
        <v>61</v>
      </c>
      <c r="B1223" s="4">
        <v>45734</v>
      </c>
      <c r="C1223" s="5">
        <v>100</v>
      </c>
      <c r="D1223" s="9" t="s">
        <v>13</v>
      </c>
      <c r="E1223" s="10">
        <v>140</v>
      </c>
      <c r="F1223" s="10">
        <f t="shared" ref="F1223:F1284" si="20">+C1223*E1223</f>
        <v>14000</v>
      </c>
    </row>
    <row r="1224" spans="1:6" s="9" customFormat="1" x14ac:dyDescent="0.25">
      <c r="C1224" s="5">
        <v>4</v>
      </c>
      <c r="D1224" s="9" t="s">
        <v>318</v>
      </c>
      <c r="E1224" s="10">
        <v>0</v>
      </c>
      <c r="F1224" s="10">
        <f t="shared" si="20"/>
        <v>0</v>
      </c>
    </row>
    <row r="1225" spans="1:6" s="9" customFormat="1" x14ac:dyDescent="0.25">
      <c r="C1225" s="5"/>
      <c r="E1225" s="10"/>
      <c r="F1225" s="8">
        <f>SUM(F1223:F1224)</f>
        <v>14000</v>
      </c>
    </row>
    <row r="1226" spans="1:6" s="9" customFormat="1" x14ac:dyDescent="0.25">
      <c r="C1226" s="5"/>
      <c r="E1226" s="10"/>
      <c r="F1226" s="10"/>
    </row>
    <row r="1227" spans="1:6" s="9" customFormat="1" x14ac:dyDescent="0.25">
      <c r="A1227" s="9" t="s">
        <v>255</v>
      </c>
      <c r="B1227" s="4">
        <v>45734</v>
      </c>
      <c r="C1227" s="5">
        <v>32</v>
      </c>
      <c r="D1227" s="9" t="s">
        <v>8</v>
      </c>
      <c r="E1227" s="10">
        <v>160</v>
      </c>
      <c r="F1227" s="10">
        <f t="shared" si="20"/>
        <v>5120</v>
      </c>
    </row>
    <row r="1228" spans="1:6" s="9" customFormat="1" x14ac:dyDescent="0.25">
      <c r="C1228" s="5">
        <v>20</v>
      </c>
      <c r="D1228" s="9" t="s">
        <v>13</v>
      </c>
      <c r="E1228" s="10">
        <v>140</v>
      </c>
      <c r="F1228" s="10">
        <f t="shared" si="20"/>
        <v>2800</v>
      </c>
    </row>
    <row r="1229" spans="1:6" s="9" customFormat="1" x14ac:dyDescent="0.25">
      <c r="C1229" s="5">
        <v>20</v>
      </c>
      <c r="D1229" s="9" t="s">
        <v>12</v>
      </c>
      <c r="E1229" s="10">
        <v>125</v>
      </c>
      <c r="F1229" s="10">
        <f t="shared" si="20"/>
        <v>2500</v>
      </c>
    </row>
    <row r="1230" spans="1:6" s="9" customFormat="1" x14ac:dyDescent="0.25">
      <c r="C1230" s="5"/>
      <c r="E1230" s="10"/>
      <c r="F1230" s="8">
        <f>SUM(F1227:F1229)</f>
        <v>10420</v>
      </c>
    </row>
    <row r="1231" spans="1:6" s="9" customFormat="1" x14ac:dyDescent="0.25">
      <c r="C1231" s="5"/>
      <c r="E1231" s="10"/>
      <c r="F1231" s="10"/>
    </row>
    <row r="1232" spans="1:6" s="9" customFormat="1" x14ac:dyDescent="0.25">
      <c r="A1232" s="9" t="s">
        <v>111</v>
      </c>
      <c r="B1232" s="4">
        <v>45734</v>
      </c>
      <c r="C1232" s="5">
        <v>30</v>
      </c>
      <c r="D1232" s="9" t="s">
        <v>13</v>
      </c>
      <c r="E1232" s="10">
        <v>140</v>
      </c>
      <c r="F1232" s="10">
        <f t="shared" si="20"/>
        <v>4200</v>
      </c>
    </row>
    <row r="1233" spans="1:6" s="9" customFormat="1" x14ac:dyDescent="0.25">
      <c r="C1233" s="5"/>
      <c r="E1233" s="10"/>
      <c r="F1233" s="8">
        <f>SUM(F1232)</f>
        <v>4200</v>
      </c>
    </row>
    <row r="1234" spans="1:6" s="9" customFormat="1" x14ac:dyDescent="0.25">
      <c r="C1234" s="5"/>
      <c r="E1234" s="10"/>
      <c r="F1234" s="10"/>
    </row>
    <row r="1235" spans="1:6" s="9" customFormat="1" x14ac:dyDescent="0.25">
      <c r="A1235" s="9" t="s">
        <v>201</v>
      </c>
      <c r="B1235" s="4">
        <v>45734</v>
      </c>
      <c r="C1235" s="5">
        <v>10</v>
      </c>
      <c r="D1235" s="9" t="s">
        <v>13</v>
      </c>
      <c r="E1235" s="10">
        <v>140</v>
      </c>
      <c r="F1235" s="10">
        <f t="shared" si="20"/>
        <v>1400</v>
      </c>
    </row>
    <row r="1236" spans="1:6" s="9" customFormat="1" x14ac:dyDescent="0.25">
      <c r="C1236" s="5"/>
      <c r="E1236" s="10"/>
      <c r="F1236" s="8">
        <f>SUM(F1235)</f>
        <v>1400</v>
      </c>
    </row>
    <row r="1237" spans="1:6" s="9" customFormat="1" x14ac:dyDescent="0.25">
      <c r="C1237" s="5"/>
      <c r="E1237" s="10"/>
      <c r="F1237" s="10"/>
    </row>
    <row r="1238" spans="1:6" s="9" customFormat="1" x14ac:dyDescent="0.25">
      <c r="A1238" s="9" t="s">
        <v>87</v>
      </c>
      <c r="B1238" s="4">
        <v>45734</v>
      </c>
      <c r="C1238" s="5">
        <v>2</v>
      </c>
      <c r="D1238" s="9" t="s">
        <v>8</v>
      </c>
      <c r="E1238" s="10">
        <v>160</v>
      </c>
      <c r="F1238" s="10">
        <f t="shared" si="20"/>
        <v>320</v>
      </c>
    </row>
    <row r="1239" spans="1:6" s="9" customFormat="1" x14ac:dyDescent="0.25">
      <c r="C1239" s="5">
        <v>2</v>
      </c>
      <c r="D1239" s="9" t="s">
        <v>12</v>
      </c>
      <c r="E1239" s="10">
        <v>135</v>
      </c>
      <c r="F1239" s="10">
        <f t="shared" si="20"/>
        <v>270</v>
      </c>
    </row>
    <row r="1240" spans="1:6" s="9" customFormat="1" x14ac:dyDescent="0.25">
      <c r="C1240" s="5"/>
      <c r="E1240" s="10"/>
      <c r="F1240" s="8">
        <f>SUM(F1238:F1239)</f>
        <v>590</v>
      </c>
    </row>
    <row r="1241" spans="1:6" s="9" customFormat="1" x14ac:dyDescent="0.25">
      <c r="C1241" s="5"/>
      <c r="E1241" s="10"/>
      <c r="F1241" s="10"/>
    </row>
    <row r="1242" spans="1:6" s="9" customFormat="1" x14ac:dyDescent="0.25">
      <c r="A1242" s="9" t="s">
        <v>329</v>
      </c>
      <c r="B1242" s="4">
        <v>45734</v>
      </c>
      <c r="C1242" s="5">
        <v>5</v>
      </c>
      <c r="D1242" s="9" t="s">
        <v>12</v>
      </c>
      <c r="E1242" s="10">
        <v>145</v>
      </c>
      <c r="F1242" s="10">
        <f t="shared" si="20"/>
        <v>725</v>
      </c>
    </row>
    <row r="1243" spans="1:6" s="9" customFormat="1" x14ac:dyDescent="0.25">
      <c r="C1243" s="5"/>
      <c r="E1243" s="10"/>
      <c r="F1243" s="8">
        <f>SUM(F1242)</f>
        <v>725</v>
      </c>
    </row>
    <row r="1244" spans="1:6" s="9" customFormat="1" x14ac:dyDescent="0.25">
      <c r="C1244" s="5"/>
      <c r="E1244" s="10"/>
      <c r="F1244" s="10"/>
    </row>
    <row r="1245" spans="1:6" s="9" customFormat="1" x14ac:dyDescent="0.25">
      <c r="A1245" s="9" t="s">
        <v>53</v>
      </c>
      <c r="B1245" s="4">
        <v>45734</v>
      </c>
      <c r="C1245" s="5">
        <v>120</v>
      </c>
      <c r="D1245" s="9" t="s">
        <v>13</v>
      </c>
      <c r="E1245" s="10">
        <v>135</v>
      </c>
      <c r="F1245" s="10">
        <f t="shared" si="20"/>
        <v>16200</v>
      </c>
    </row>
    <row r="1246" spans="1:6" s="9" customFormat="1" x14ac:dyDescent="0.25">
      <c r="C1246" s="5">
        <v>21</v>
      </c>
      <c r="D1246" s="9" t="s">
        <v>13</v>
      </c>
      <c r="E1246" s="10">
        <v>140</v>
      </c>
      <c r="F1246" s="10">
        <f t="shared" si="20"/>
        <v>2940</v>
      </c>
    </row>
    <row r="1247" spans="1:6" s="9" customFormat="1" x14ac:dyDescent="0.25">
      <c r="C1247" s="5">
        <v>20</v>
      </c>
      <c r="D1247" s="9" t="s">
        <v>12</v>
      </c>
      <c r="E1247" s="10">
        <v>130</v>
      </c>
      <c r="F1247" s="10">
        <f t="shared" si="20"/>
        <v>2600</v>
      </c>
    </row>
    <row r="1248" spans="1:6" s="9" customFormat="1" x14ac:dyDescent="0.25">
      <c r="C1248" s="5">
        <v>1</v>
      </c>
      <c r="D1248" s="9" t="s">
        <v>12</v>
      </c>
      <c r="E1248" s="10">
        <v>130</v>
      </c>
      <c r="F1248" s="10">
        <f t="shared" si="20"/>
        <v>130</v>
      </c>
    </row>
    <row r="1249" spans="1:6" s="9" customFormat="1" x14ac:dyDescent="0.25">
      <c r="C1249" s="5"/>
      <c r="E1249" s="10"/>
      <c r="F1249" s="8">
        <f>SUM(F1245:F1248)</f>
        <v>21870</v>
      </c>
    </row>
    <row r="1250" spans="1:6" s="9" customFormat="1" x14ac:dyDescent="0.25">
      <c r="C1250" s="5"/>
      <c r="E1250" s="10"/>
      <c r="F1250" s="10"/>
    </row>
    <row r="1251" spans="1:6" s="9" customFormat="1" x14ac:dyDescent="0.25">
      <c r="A1251" s="9" t="s">
        <v>51</v>
      </c>
      <c r="B1251" s="4">
        <v>45734</v>
      </c>
      <c r="C1251" s="5">
        <v>166</v>
      </c>
      <c r="D1251" s="9" t="s">
        <v>14</v>
      </c>
      <c r="E1251" s="10">
        <v>118</v>
      </c>
      <c r="F1251" s="10">
        <f t="shared" si="20"/>
        <v>19588</v>
      </c>
    </row>
    <row r="1252" spans="1:6" s="9" customFormat="1" x14ac:dyDescent="0.25">
      <c r="C1252" s="5">
        <v>80</v>
      </c>
      <c r="D1252" s="9" t="s">
        <v>50</v>
      </c>
      <c r="E1252" s="10">
        <v>83</v>
      </c>
      <c r="F1252" s="10">
        <f t="shared" si="20"/>
        <v>6640</v>
      </c>
    </row>
    <row r="1253" spans="1:6" s="9" customFormat="1" x14ac:dyDescent="0.25">
      <c r="C1253" s="5"/>
      <c r="E1253" s="10"/>
      <c r="F1253" s="8">
        <f>SUM(F1251:F1252)</f>
        <v>26228</v>
      </c>
    </row>
    <row r="1254" spans="1:6" s="9" customFormat="1" x14ac:dyDescent="0.25">
      <c r="C1254" s="5"/>
      <c r="E1254" s="10"/>
      <c r="F1254" s="10"/>
    </row>
    <row r="1255" spans="1:6" s="9" customFormat="1" x14ac:dyDescent="0.25">
      <c r="A1255" s="9" t="s">
        <v>330</v>
      </c>
      <c r="B1255" s="4">
        <v>45734</v>
      </c>
      <c r="C1255" s="5">
        <v>80</v>
      </c>
      <c r="D1255" s="9" t="s">
        <v>98</v>
      </c>
      <c r="E1255" s="10"/>
      <c r="F1255" s="10">
        <f t="shared" si="20"/>
        <v>0</v>
      </c>
    </row>
    <row r="1256" spans="1:6" s="9" customFormat="1" x14ac:dyDescent="0.25">
      <c r="C1256" s="5"/>
      <c r="E1256" s="10"/>
      <c r="F1256" s="8">
        <f>SUM(F1255)</f>
        <v>0</v>
      </c>
    </row>
    <row r="1257" spans="1:6" s="9" customFormat="1" x14ac:dyDescent="0.25">
      <c r="C1257" s="5"/>
      <c r="E1257" s="10"/>
      <c r="F1257" s="10"/>
    </row>
    <row r="1258" spans="1:6" s="9" customFormat="1" x14ac:dyDescent="0.25">
      <c r="A1258" s="9" t="s">
        <v>48</v>
      </c>
      <c r="B1258" s="4">
        <v>45734</v>
      </c>
      <c r="C1258" s="5">
        <v>42</v>
      </c>
      <c r="D1258" s="9" t="s">
        <v>49</v>
      </c>
      <c r="E1258" s="10">
        <v>130</v>
      </c>
      <c r="F1258" s="10">
        <f t="shared" si="20"/>
        <v>5460</v>
      </c>
    </row>
    <row r="1259" spans="1:6" s="9" customFormat="1" x14ac:dyDescent="0.25">
      <c r="C1259" s="5">
        <v>200</v>
      </c>
      <c r="D1259" s="9" t="s">
        <v>14</v>
      </c>
      <c r="E1259" s="10">
        <v>118</v>
      </c>
      <c r="F1259" s="10">
        <f t="shared" si="20"/>
        <v>23600</v>
      </c>
    </row>
    <row r="1260" spans="1:6" s="9" customFormat="1" x14ac:dyDescent="0.25">
      <c r="C1260" s="5">
        <v>151</v>
      </c>
      <c r="D1260" s="9" t="s">
        <v>11</v>
      </c>
      <c r="E1260" s="10">
        <v>110</v>
      </c>
      <c r="F1260" s="10">
        <f t="shared" si="20"/>
        <v>16610</v>
      </c>
    </row>
    <row r="1261" spans="1:6" s="9" customFormat="1" x14ac:dyDescent="0.25">
      <c r="C1261" s="5">
        <v>152</v>
      </c>
      <c r="D1261" s="9" t="s">
        <v>50</v>
      </c>
      <c r="E1261" s="10">
        <v>83</v>
      </c>
      <c r="F1261" s="10">
        <f t="shared" si="20"/>
        <v>12616</v>
      </c>
    </row>
    <row r="1262" spans="1:6" s="9" customFormat="1" x14ac:dyDescent="0.25">
      <c r="C1262" s="5"/>
      <c r="E1262" s="10"/>
      <c r="F1262" s="8">
        <f>SUM(F1258:F1261)</f>
        <v>58286</v>
      </c>
    </row>
    <row r="1263" spans="1:6" s="9" customFormat="1" x14ac:dyDescent="0.25">
      <c r="C1263" s="5"/>
      <c r="E1263" s="10"/>
      <c r="F1263" s="10"/>
    </row>
    <row r="1264" spans="1:6" s="9" customFormat="1" x14ac:dyDescent="0.25">
      <c r="A1264" s="9" t="s">
        <v>48</v>
      </c>
      <c r="B1264" s="4">
        <v>45734</v>
      </c>
      <c r="C1264" s="5">
        <v>200</v>
      </c>
      <c r="D1264" s="9" t="s">
        <v>49</v>
      </c>
      <c r="E1264" s="10">
        <v>130</v>
      </c>
      <c r="F1264" s="10">
        <f t="shared" si="20"/>
        <v>26000</v>
      </c>
    </row>
    <row r="1265" spans="1:6" s="9" customFormat="1" x14ac:dyDescent="0.25">
      <c r="C1265" s="5">
        <v>110</v>
      </c>
      <c r="D1265" s="9" t="s">
        <v>11</v>
      </c>
      <c r="E1265" s="10">
        <v>110</v>
      </c>
      <c r="F1265" s="10">
        <f t="shared" si="20"/>
        <v>12100</v>
      </c>
    </row>
    <row r="1266" spans="1:6" s="9" customFormat="1" x14ac:dyDescent="0.25">
      <c r="C1266" s="5"/>
      <c r="E1266" s="10"/>
      <c r="F1266" s="8">
        <f>SUM(F1264:F1265)</f>
        <v>38100</v>
      </c>
    </row>
    <row r="1267" spans="1:6" s="9" customFormat="1" x14ac:dyDescent="0.25">
      <c r="C1267" s="5"/>
      <c r="E1267" s="10"/>
      <c r="F1267" s="10"/>
    </row>
    <row r="1268" spans="1:6" s="9" customFormat="1" x14ac:dyDescent="0.25">
      <c r="A1268" s="9" t="s">
        <v>101</v>
      </c>
      <c r="B1268" s="4">
        <v>45734</v>
      </c>
      <c r="C1268" s="5">
        <v>2</v>
      </c>
      <c r="D1268" s="9" t="s">
        <v>13</v>
      </c>
      <c r="E1268" s="10">
        <v>160</v>
      </c>
      <c r="F1268" s="10">
        <f t="shared" si="20"/>
        <v>320</v>
      </c>
    </row>
    <row r="1269" spans="1:6" s="9" customFormat="1" x14ac:dyDescent="0.25">
      <c r="C1269" s="5">
        <v>2</v>
      </c>
      <c r="D1269" s="9" t="s">
        <v>8</v>
      </c>
      <c r="E1269" s="10">
        <v>170</v>
      </c>
      <c r="F1269" s="10">
        <f t="shared" si="20"/>
        <v>340</v>
      </c>
    </row>
    <row r="1270" spans="1:6" s="9" customFormat="1" x14ac:dyDescent="0.25">
      <c r="C1270" s="5">
        <v>1</v>
      </c>
      <c r="D1270" s="9" t="s">
        <v>12</v>
      </c>
      <c r="E1270" s="10">
        <v>140</v>
      </c>
      <c r="F1270" s="10">
        <f t="shared" si="20"/>
        <v>140</v>
      </c>
    </row>
    <row r="1271" spans="1:6" s="9" customFormat="1" x14ac:dyDescent="0.25">
      <c r="C1271" s="5"/>
      <c r="E1271" s="10"/>
      <c r="F1271" s="8">
        <f>SUM(F1268:F1270)</f>
        <v>800</v>
      </c>
    </row>
    <row r="1272" spans="1:6" s="9" customFormat="1" x14ac:dyDescent="0.25">
      <c r="C1272" s="5"/>
      <c r="E1272" s="10"/>
      <c r="F1272" s="10"/>
    </row>
    <row r="1273" spans="1:6" s="9" customFormat="1" x14ac:dyDescent="0.25">
      <c r="A1273" s="9" t="s">
        <v>181</v>
      </c>
      <c r="B1273" s="4">
        <v>45734</v>
      </c>
      <c r="C1273" s="5">
        <v>2</v>
      </c>
      <c r="D1273" s="9" t="s">
        <v>171</v>
      </c>
      <c r="E1273" s="10">
        <v>140</v>
      </c>
      <c r="F1273" s="10">
        <f t="shared" si="20"/>
        <v>280</v>
      </c>
    </row>
    <row r="1274" spans="1:6" s="9" customFormat="1" x14ac:dyDescent="0.25">
      <c r="C1274" s="5">
        <v>1</v>
      </c>
      <c r="D1274" s="9" t="s">
        <v>331</v>
      </c>
      <c r="E1274" s="10">
        <v>0</v>
      </c>
      <c r="F1274" s="10">
        <f t="shared" si="20"/>
        <v>0</v>
      </c>
    </row>
    <row r="1275" spans="1:6" s="9" customFormat="1" x14ac:dyDescent="0.25">
      <c r="C1275" s="5">
        <v>4</v>
      </c>
      <c r="D1275" s="9" t="s">
        <v>8</v>
      </c>
      <c r="E1275" s="10">
        <v>170</v>
      </c>
      <c r="F1275" s="10">
        <f t="shared" si="20"/>
        <v>680</v>
      </c>
    </row>
    <row r="1276" spans="1:6" s="9" customFormat="1" x14ac:dyDescent="0.25">
      <c r="C1276" s="5">
        <v>4</v>
      </c>
      <c r="D1276" s="9" t="s">
        <v>332</v>
      </c>
      <c r="E1276" s="10">
        <v>150</v>
      </c>
      <c r="F1276" s="10">
        <f t="shared" si="20"/>
        <v>600</v>
      </c>
    </row>
    <row r="1277" spans="1:6" s="9" customFormat="1" x14ac:dyDescent="0.25">
      <c r="C1277" s="5">
        <v>2</v>
      </c>
      <c r="D1277" s="9" t="s">
        <v>333</v>
      </c>
      <c r="E1277" s="10">
        <v>140</v>
      </c>
      <c r="F1277" s="10">
        <f t="shared" si="20"/>
        <v>280</v>
      </c>
    </row>
    <row r="1278" spans="1:6" s="9" customFormat="1" x14ac:dyDescent="0.25">
      <c r="C1278" s="11">
        <v>0.5</v>
      </c>
      <c r="D1278" s="9" t="s">
        <v>8</v>
      </c>
      <c r="E1278" s="10">
        <v>170</v>
      </c>
      <c r="F1278" s="10">
        <f t="shared" si="20"/>
        <v>85</v>
      </c>
    </row>
    <row r="1279" spans="1:6" s="9" customFormat="1" x14ac:dyDescent="0.25">
      <c r="C1279" s="5"/>
      <c r="E1279" s="10"/>
      <c r="F1279" s="8">
        <f>SUM(F1273:F1278)</f>
        <v>1925</v>
      </c>
    </row>
    <row r="1280" spans="1:6" s="9" customFormat="1" x14ac:dyDescent="0.25">
      <c r="C1280" s="5"/>
      <c r="E1280" s="10"/>
      <c r="F1280" s="10"/>
    </row>
    <row r="1281" spans="1:6" s="9" customFormat="1" x14ac:dyDescent="0.25">
      <c r="A1281" s="9" t="s">
        <v>102</v>
      </c>
      <c r="B1281" s="4">
        <v>45735</v>
      </c>
      <c r="C1281" s="5">
        <v>5</v>
      </c>
      <c r="D1281" s="9" t="s">
        <v>13</v>
      </c>
      <c r="E1281" s="10">
        <v>150</v>
      </c>
      <c r="F1281" s="10">
        <f t="shared" si="20"/>
        <v>750</v>
      </c>
    </row>
    <row r="1282" spans="1:6" s="9" customFormat="1" x14ac:dyDescent="0.25">
      <c r="C1282" s="5"/>
      <c r="E1282" s="10"/>
      <c r="F1282" s="8">
        <f>SUM(F1281)</f>
        <v>750</v>
      </c>
    </row>
    <row r="1283" spans="1:6" s="9" customFormat="1" x14ac:dyDescent="0.25">
      <c r="C1283" s="5"/>
      <c r="E1283" s="10"/>
      <c r="F1283" s="10"/>
    </row>
    <row r="1284" spans="1:6" s="9" customFormat="1" x14ac:dyDescent="0.25">
      <c r="A1284" s="9" t="s">
        <v>37</v>
      </c>
      <c r="B1284" s="4">
        <v>45735</v>
      </c>
      <c r="C1284" s="5">
        <v>15</v>
      </c>
      <c r="D1284" s="9" t="s">
        <v>12</v>
      </c>
      <c r="E1284" s="10">
        <v>130</v>
      </c>
      <c r="F1284" s="10">
        <f t="shared" si="20"/>
        <v>1950</v>
      </c>
    </row>
    <row r="1285" spans="1:6" s="9" customFormat="1" x14ac:dyDescent="0.25">
      <c r="C1285" s="5"/>
      <c r="E1285" s="10"/>
      <c r="F1285" s="8">
        <f>SUM(F1284)</f>
        <v>1950</v>
      </c>
    </row>
    <row r="1286" spans="1:6" s="9" customFormat="1" x14ac:dyDescent="0.25">
      <c r="C1286" s="5"/>
      <c r="E1286" s="10"/>
      <c r="F1286" s="10"/>
    </row>
    <row r="1287" spans="1:6" s="9" customFormat="1" x14ac:dyDescent="0.25">
      <c r="A1287" s="9" t="s">
        <v>15</v>
      </c>
      <c r="B1287" s="4">
        <v>45735</v>
      </c>
      <c r="C1287" s="5">
        <v>66</v>
      </c>
      <c r="D1287" s="9" t="s">
        <v>98</v>
      </c>
      <c r="E1287" s="10">
        <v>85</v>
      </c>
      <c r="F1287" s="10">
        <f t="shared" ref="F1287:F1348" si="21">+C1287*E1287</f>
        <v>5610</v>
      </c>
    </row>
    <row r="1288" spans="1:6" s="9" customFormat="1" x14ac:dyDescent="0.25">
      <c r="C1288" s="5"/>
      <c r="E1288" s="10"/>
      <c r="F1288" s="8">
        <f>SUM(F1287)</f>
        <v>5610</v>
      </c>
    </row>
    <row r="1289" spans="1:6" s="9" customFormat="1" x14ac:dyDescent="0.25">
      <c r="C1289" s="5"/>
      <c r="E1289" s="10"/>
      <c r="F1289" s="10"/>
    </row>
    <row r="1290" spans="1:6" s="9" customFormat="1" x14ac:dyDescent="0.25">
      <c r="A1290" s="9" t="s">
        <v>334</v>
      </c>
      <c r="B1290" s="4">
        <v>45735</v>
      </c>
      <c r="C1290" s="5">
        <v>4</v>
      </c>
      <c r="D1290" s="9" t="s">
        <v>275</v>
      </c>
      <c r="E1290" s="10">
        <v>100</v>
      </c>
      <c r="F1290" s="10">
        <f t="shared" si="21"/>
        <v>400</v>
      </c>
    </row>
    <row r="1291" spans="1:6" s="9" customFormat="1" x14ac:dyDescent="0.25">
      <c r="C1291" s="5"/>
      <c r="E1291" s="10"/>
      <c r="F1291" s="8">
        <f>SUM(F1290)</f>
        <v>400</v>
      </c>
    </row>
    <row r="1292" spans="1:6" s="9" customFormat="1" x14ac:dyDescent="0.25">
      <c r="C1292" s="5"/>
      <c r="E1292" s="10"/>
      <c r="F1292" s="10"/>
    </row>
    <row r="1293" spans="1:6" s="9" customFormat="1" x14ac:dyDescent="0.25">
      <c r="A1293" s="9" t="s">
        <v>80</v>
      </c>
      <c r="B1293" s="4">
        <v>45735</v>
      </c>
      <c r="C1293" s="5">
        <v>10</v>
      </c>
      <c r="D1293" s="9" t="s">
        <v>13</v>
      </c>
      <c r="E1293" s="10">
        <v>140</v>
      </c>
      <c r="F1293" s="10">
        <f t="shared" si="21"/>
        <v>1400</v>
      </c>
    </row>
    <row r="1294" spans="1:6" s="9" customFormat="1" x14ac:dyDescent="0.25">
      <c r="C1294" s="5"/>
      <c r="E1294" s="10"/>
      <c r="F1294" s="8">
        <f>SUM(F1293)</f>
        <v>1400</v>
      </c>
    </row>
    <row r="1295" spans="1:6" s="9" customFormat="1" x14ac:dyDescent="0.25">
      <c r="C1295" s="5"/>
      <c r="E1295" s="10"/>
      <c r="F1295" s="10"/>
    </row>
    <row r="1296" spans="1:6" s="9" customFormat="1" x14ac:dyDescent="0.25">
      <c r="A1296" s="9" t="s">
        <v>157</v>
      </c>
      <c r="B1296" s="4">
        <v>45735</v>
      </c>
      <c r="C1296" s="5">
        <v>8</v>
      </c>
      <c r="D1296" s="9" t="s">
        <v>13</v>
      </c>
      <c r="E1296" s="10">
        <v>140</v>
      </c>
      <c r="F1296" s="10">
        <f t="shared" si="21"/>
        <v>1120</v>
      </c>
    </row>
    <row r="1297" spans="1:6" s="9" customFormat="1" x14ac:dyDescent="0.25">
      <c r="C1297" s="5"/>
      <c r="E1297" s="10"/>
      <c r="F1297" s="8">
        <f>SUM(F1296)</f>
        <v>1120</v>
      </c>
    </row>
    <row r="1298" spans="1:6" s="9" customFormat="1" x14ac:dyDescent="0.25">
      <c r="C1298" s="5"/>
      <c r="E1298" s="10"/>
      <c r="F1298" s="10"/>
    </row>
    <row r="1299" spans="1:6" s="9" customFormat="1" x14ac:dyDescent="0.25">
      <c r="A1299" s="9" t="s">
        <v>17</v>
      </c>
      <c r="B1299" s="4">
        <v>45735</v>
      </c>
      <c r="C1299" s="5">
        <v>10</v>
      </c>
      <c r="D1299" s="9" t="s">
        <v>13</v>
      </c>
      <c r="E1299" s="10">
        <v>140</v>
      </c>
      <c r="F1299" s="10">
        <f t="shared" si="21"/>
        <v>1400</v>
      </c>
    </row>
    <row r="1300" spans="1:6" s="9" customFormat="1" x14ac:dyDescent="0.25">
      <c r="C1300" s="5"/>
      <c r="E1300" s="10"/>
      <c r="F1300" s="8">
        <f>SUM(F1299)</f>
        <v>1400</v>
      </c>
    </row>
    <row r="1301" spans="1:6" s="9" customFormat="1" x14ac:dyDescent="0.25">
      <c r="C1301" s="5"/>
      <c r="E1301" s="10"/>
      <c r="F1301" s="10"/>
    </row>
    <row r="1302" spans="1:6" s="9" customFormat="1" x14ac:dyDescent="0.25">
      <c r="A1302" s="9" t="s">
        <v>157</v>
      </c>
      <c r="B1302" s="4">
        <v>45735</v>
      </c>
      <c r="C1302" s="5">
        <v>10</v>
      </c>
      <c r="D1302" s="9" t="s">
        <v>13</v>
      </c>
      <c r="E1302" s="10">
        <v>140</v>
      </c>
      <c r="F1302" s="10">
        <f t="shared" si="21"/>
        <v>1400</v>
      </c>
    </row>
    <row r="1303" spans="1:6" s="9" customFormat="1" x14ac:dyDescent="0.25">
      <c r="C1303" s="5"/>
      <c r="E1303" s="10"/>
      <c r="F1303" s="8">
        <f>SUM(F1302)</f>
        <v>1400</v>
      </c>
    </row>
    <row r="1304" spans="1:6" s="9" customFormat="1" x14ac:dyDescent="0.25">
      <c r="C1304" s="5"/>
      <c r="E1304" s="10"/>
      <c r="F1304" s="10"/>
    </row>
    <row r="1305" spans="1:6" s="9" customFormat="1" x14ac:dyDescent="0.25">
      <c r="A1305" s="9" t="s">
        <v>20</v>
      </c>
      <c r="B1305" s="4">
        <v>45735</v>
      </c>
      <c r="C1305" s="5">
        <v>30</v>
      </c>
      <c r="D1305" s="9" t="s">
        <v>13</v>
      </c>
      <c r="E1305" s="10">
        <v>140</v>
      </c>
      <c r="F1305" s="10">
        <f t="shared" si="21"/>
        <v>4200</v>
      </c>
    </row>
    <row r="1306" spans="1:6" s="9" customFormat="1" x14ac:dyDescent="0.25">
      <c r="C1306" s="5"/>
      <c r="E1306" s="10"/>
      <c r="F1306" s="8">
        <f>SUM(F1305)</f>
        <v>4200</v>
      </c>
    </row>
    <row r="1307" spans="1:6" s="9" customFormat="1" x14ac:dyDescent="0.25">
      <c r="C1307" s="5"/>
      <c r="E1307" s="10"/>
      <c r="F1307" s="10"/>
    </row>
    <row r="1308" spans="1:6" s="9" customFormat="1" x14ac:dyDescent="0.25">
      <c r="A1308" s="9" t="s">
        <v>21</v>
      </c>
      <c r="B1308" s="4">
        <v>45735</v>
      </c>
      <c r="C1308" s="5">
        <v>20</v>
      </c>
      <c r="D1308" s="9" t="s">
        <v>22</v>
      </c>
      <c r="E1308" s="10">
        <v>105</v>
      </c>
      <c r="F1308" s="10">
        <f t="shared" si="21"/>
        <v>2100</v>
      </c>
    </row>
    <row r="1309" spans="1:6" s="9" customFormat="1" x14ac:dyDescent="0.25">
      <c r="C1309" s="5">
        <v>10</v>
      </c>
      <c r="D1309" s="9" t="s">
        <v>14</v>
      </c>
      <c r="E1309" s="10">
        <v>125</v>
      </c>
      <c r="F1309" s="10">
        <f t="shared" si="21"/>
        <v>1250</v>
      </c>
    </row>
    <row r="1310" spans="1:6" s="9" customFormat="1" x14ac:dyDescent="0.25">
      <c r="C1310" s="5">
        <v>10</v>
      </c>
      <c r="D1310" s="9" t="s">
        <v>12</v>
      </c>
      <c r="E1310" s="10">
        <v>120</v>
      </c>
      <c r="F1310" s="10">
        <f t="shared" si="21"/>
        <v>1200</v>
      </c>
    </row>
    <row r="1311" spans="1:6" s="9" customFormat="1" x14ac:dyDescent="0.25">
      <c r="C1311" s="5">
        <v>15</v>
      </c>
      <c r="D1311" s="9" t="s">
        <v>13</v>
      </c>
      <c r="E1311" s="10">
        <v>140</v>
      </c>
      <c r="F1311" s="10">
        <f t="shared" si="21"/>
        <v>2100</v>
      </c>
    </row>
    <row r="1312" spans="1:6" s="9" customFormat="1" x14ac:dyDescent="0.25">
      <c r="C1312" s="5"/>
      <c r="E1312" s="10"/>
      <c r="F1312" s="8">
        <f>SUM(F1308:F1311)</f>
        <v>6650</v>
      </c>
    </row>
    <row r="1313" spans="1:6" s="9" customFormat="1" x14ac:dyDescent="0.25">
      <c r="C1313" s="5"/>
      <c r="E1313" s="10"/>
      <c r="F1313" s="10"/>
    </row>
    <row r="1314" spans="1:6" s="9" customFormat="1" x14ac:dyDescent="0.25">
      <c r="A1314" s="9" t="s">
        <v>57</v>
      </c>
      <c r="B1314" s="4">
        <v>45735</v>
      </c>
      <c r="C1314" s="5">
        <v>15</v>
      </c>
      <c r="D1314" s="9" t="s">
        <v>13</v>
      </c>
      <c r="E1314" s="10">
        <v>140</v>
      </c>
      <c r="F1314" s="10">
        <f t="shared" si="21"/>
        <v>2100</v>
      </c>
    </row>
    <row r="1315" spans="1:6" s="9" customFormat="1" x14ac:dyDescent="0.25">
      <c r="C1315" s="5">
        <v>10</v>
      </c>
      <c r="D1315" s="9" t="s">
        <v>14</v>
      </c>
      <c r="E1315" s="10">
        <v>125</v>
      </c>
      <c r="F1315" s="10">
        <f t="shared" si="21"/>
        <v>1250</v>
      </c>
    </row>
    <row r="1316" spans="1:6" s="9" customFormat="1" x14ac:dyDescent="0.25">
      <c r="C1316" s="5"/>
      <c r="E1316" s="10"/>
      <c r="F1316" s="8">
        <f>SUM(F1314:F1315)</f>
        <v>3350</v>
      </c>
    </row>
    <row r="1317" spans="1:6" s="9" customFormat="1" x14ac:dyDescent="0.25">
      <c r="C1317" s="5"/>
      <c r="E1317" s="10"/>
      <c r="F1317" s="10"/>
    </row>
    <row r="1318" spans="1:6" s="9" customFormat="1" x14ac:dyDescent="0.25">
      <c r="A1318" s="9" t="s">
        <v>335</v>
      </c>
      <c r="B1318" s="4">
        <v>45735</v>
      </c>
      <c r="C1318" s="5">
        <v>10</v>
      </c>
      <c r="D1318" s="9" t="s">
        <v>22</v>
      </c>
      <c r="E1318" s="10">
        <v>100</v>
      </c>
      <c r="F1318" s="10">
        <f t="shared" si="21"/>
        <v>1000</v>
      </c>
    </row>
    <row r="1319" spans="1:6" s="9" customFormat="1" x14ac:dyDescent="0.25">
      <c r="C1319" s="5"/>
      <c r="E1319" s="10"/>
      <c r="F1319" s="8">
        <f>SUM(F1318)</f>
        <v>1000</v>
      </c>
    </row>
    <row r="1320" spans="1:6" s="9" customFormat="1" x14ac:dyDescent="0.25">
      <c r="C1320" s="5"/>
      <c r="E1320" s="10"/>
      <c r="F1320" s="10"/>
    </row>
    <row r="1321" spans="1:6" s="9" customFormat="1" x14ac:dyDescent="0.25">
      <c r="A1321" s="9" t="s">
        <v>40</v>
      </c>
      <c r="B1321" s="4">
        <v>45735</v>
      </c>
      <c r="C1321" s="5">
        <v>11</v>
      </c>
      <c r="D1321" s="9" t="s">
        <v>14</v>
      </c>
      <c r="E1321" s="10">
        <v>125</v>
      </c>
      <c r="F1321" s="10">
        <f t="shared" si="21"/>
        <v>1375</v>
      </c>
    </row>
    <row r="1322" spans="1:6" s="9" customFormat="1" x14ac:dyDescent="0.25">
      <c r="C1322" s="5">
        <v>8</v>
      </c>
      <c r="D1322" s="9" t="s">
        <v>13</v>
      </c>
      <c r="E1322" s="10">
        <v>140</v>
      </c>
      <c r="F1322" s="10">
        <f t="shared" si="21"/>
        <v>1120</v>
      </c>
    </row>
    <row r="1323" spans="1:6" s="9" customFormat="1" x14ac:dyDescent="0.25">
      <c r="C1323" s="5">
        <v>10</v>
      </c>
      <c r="D1323" s="9" t="s">
        <v>12</v>
      </c>
      <c r="E1323" s="10">
        <v>120</v>
      </c>
      <c r="F1323" s="10">
        <f t="shared" si="21"/>
        <v>1200</v>
      </c>
    </row>
    <row r="1324" spans="1:6" s="9" customFormat="1" x14ac:dyDescent="0.25">
      <c r="C1324" s="5">
        <v>14</v>
      </c>
      <c r="D1324" s="9" t="s">
        <v>11</v>
      </c>
      <c r="E1324" s="10">
        <v>115</v>
      </c>
      <c r="F1324" s="10">
        <f t="shared" si="21"/>
        <v>1610</v>
      </c>
    </row>
    <row r="1325" spans="1:6" s="9" customFormat="1" x14ac:dyDescent="0.25">
      <c r="C1325" s="5">
        <v>17</v>
      </c>
      <c r="D1325" s="9" t="s">
        <v>8</v>
      </c>
      <c r="E1325" s="10">
        <v>150</v>
      </c>
      <c r="F1325" s="10">
        <f t="shared" si="21"/>
        <v>2550</v>
      </c>
    </row>
    <row r="1326" spans="1:6" s="9" customFormat="1" x14ac:dyDescent="0.25">
      <c r="C1326" s="5"/>
      <c r="E1326" s="10"/>
      <c r="F1326" s="8">
        <f>SUM(F1321:F1325)</f>
        <v>7855</v>
      </c>
    </row>
    <row r="1327" spans="1:6" s="9" customFormat="1" x14ac:dyDescent="0.25">
      <c r="C1327" s="5"/>
      <c r="E1327" s="10"/>
      <c r="F1327" s="10"/>
    </row>
    <row r="1328" spans="1:6" s="9" customFormat="1" x14ac:dyDescent="0.25">
      <c r="A1328" s="9" t="s">
        <v>336</v>
      </c>
      <c r="B1328" s="4">
        <v>45735</v>
      </c>
      <c r="C1328" s="5">
        <v>3</v>
      </c>
      <c r="D1328" s="9" t="s">
        <v>13</v>
      </c>
      <c r="E1328" s="10">
        <v>140</v>
      </c>
      <c r="F1328" s="10">
        <f t="shared" si="21"/>
        <v>420</v>
      </c>
    </row>
    <row r="1329" spans="1:6" s="9" customFormat="1" x14ac:dyDescent="0.25">
      <c r="C1329" s="5"/>
      <c r="E1329" s="10"/>
      <c r="F1329" s="8">
        <f>SUM(F1328)</f>
        <v>420</v>
      </c>
    </row>
    <row r="1330" spans="1:6" s="9" customFormat="1" x14ac:dyDescent="0.25">
      <c r="C1330" s="5"/>
      <c r="E1330" s="10"/>
      <c r="F1330" s="10"/>
    </row>
    <row r="1331" spans="1:6" s="9" customFormat="1" x14ac:dyDescent="0.25">
      <c r="A1331" s="9" t="s">
        <v>41</v>
      </c>
      <c r="B1331" s="4">
        <v>45735</v>
      </c>
      <c r="C1331" s="5">
        <v>30</v>
      </c>
      <c r="D1331" s="9" t="s">
        <v>14</v>
      </c>
      <c r="E1331" s="10">
        <v>130</v>
      </c>
      <c r="F1331" s="10">
        <f t="shared" si="21"/>
        <v>3900</v>
      </c>
    </row>
    <row r="1332" spans="1:6" s="9" customFormat="1" x14ac:dyDescent="0.25">
      <c r="C1332" s="5"/>
      <c r="E1332" s="10"/>
      <c r="F1332" s="8">
        <f>SUM(F1331)</f>
        <v>3900</v>
      </c>
    </row>
    <row r="1333" spans="1:6" s="9" customFormat="1" x14ac:dyDescent="0.25">
      <c r="C1333" s="5"/>
      <c r="E1333" s="10"/>
      <c r="F1333" s="10"/>
    </row>
    <row r="1334" spans="1:6" s="9" customFormat="1" x14ac:dyDescent="0.25">
      <c r="A1334" s="9" t="s">
        <v>44</v>
      </c>
      <c r="B1334" s="4">
        <v>45735</v>
      </c>
      <c r="C1334" s="5">
        <v>30</v>
      </c>
      <c r="D1334" s="9" t="s">
        <v>14</v>
      </c>
      <c r="E1334" s="10">
        <v>125</v>
      </c>
      <c r="F1334" s="10">
        <f>+C1334*E1334</f>
        <v>3750</v>
      </c>
    </row>
    <row r="1335" spans="1:6" s="9" customFormat="1" x14ac:dyDescent="0.25">
      <c r="C1335" s="5"/>
      <c r="E1335" s="10"/>
      <c r="F1335" s="8">
        <f>SUM(F1334)</f>
        <v>3750</v>
      </c>
    </row>
    <row r="1336" spans="1:6" s="9" customFormat="1" x14ac:dyDescent="0.25">
      <c r="C1336" s="5"/>
      <c r="E1336" s="10"/>
      <c r="F1336" s="10"/>
    </row>
    <row r="1337" spans="1:6" s="9" customFormat="1" x14ac:dyDescent="0.25">
      <c r="A1337" s="9" t="s">
        <v>138</v>
      </c>
      <c r="B1337" s="4">
        <v>45735</v>
      </c>
      <c r="C1337" s="5">
        <v>20</v>
      </c>
      <c r="D1337" s="9" t="s">
        <v>14</v>
      </c>
      <c r="E1337" s="10">
        <v>130</v>
      </c>
      <c r="F1337" s="10">
        <f t="shared" si="21"/>
        <v>2600</v>
      </c>
    </row>
    <row r="1338" spans="1:6" s="9" customFormat="1" x14ac:dyDescent="0.25">
      <c r="C1338" s="5"/>
      <c r="E1338" s="10"/>
      <c r="F1338" s="8">
        <f>SUM(F1337)</f>
        <v>2600</v>
      </c>
    </row>
    <row r="1339" spans="1:6" s="9" customFormat="1" x14ac:dyDescent="0.25">
      <c r="C1339" s="5"/>
      <c r="E1339" s="10"/>
      <c r="F1339" s="10"/>
    </row>
    <row r="1340" spans="1:6" s="9" customFormat="1" x14ac:dyDescent="0.25">
      <c r="A1340" s="9" t="s">
        <v>47</v>
      </c>
      <c r="B1340" s="4">
        <v>45735</v>
      </c>
      <c r="C1340" s="5">
        <v>20</v>
      </c>
      <c r="D1340" s="9" t="s">
        <v>12</v>
      </c>
      <c r="E1340" s="10">
        <v>140</v>
      </c>
      <c r="F1340" s="10">
        <f t="shared" si="21"/>
        <v>2800</v>
      </c>
    </row>
    <row r="1341" spans="1:6" s="9" customFormat="1" x14ac:dyDescent="0.25">
      <c r="C1341" s="5"/>
      <c r="E1341" s="10"/>
      <c r="F1341" s="8">
        <f>SUM(F1340)</f>
        <v>2800</v>
      </c>
    </row>
    <row r="1342" spans="1:6" s="9" customFormat="1" x14ac:dyDescent="0.25">
      <c r="C1342" s="5"/>
      <c r="E1342" s="10"/>
      <c r="F1342" s="10"/>
    </row>
    <row r="1343" spans="1:6" s="9" customFormat="1" x14ac:dyDescent="0.25">
      <c r="A1343" s="9" t="s">
        <v>18</v>
      </c>
      <c r="B1343" s="4">
        <v>45735</v>
      </c>
      <c r="C1343" s="5">
        <v>20</v>
      </c>
      <c r="D1343" s="9" t="s">
        <v>14</v>
      </c>
      <c r="E1343" s="10">
        <v>125</v>
      </c>
      <c r="F1343" s="10">
        <f t="shared" si="21"/>
        <v>2500</v>
      </c>
    </row>
    <row r="1344" spans="1:6" s="9" customFormat="1" x14ac:dyDescent="0.25">
      <c r="C1344" s="5">
        <v>10</v>
      </c>
      <c r="D1344" s="9" t="s">
        <v>12</v>
      </c>
      <c r="E1344" s="10">
        <v>135</v>
      </c>
      <c r="F1344" s="10">
        <f t="shared" si="21"/>
        <v>1350</v>
      </c>
    </row>
    <row r="1345" spans="1:6" s="9" customFormat="1" x14ac:dyDescent="0.25">
      <c r="C1345" s="5"/>
      <c r="E1345" s="10"/>
      <c r="F1345" s="8">
        <f>SUM(F1343:F1344)</f>
        <v>3850</v>
      </c>
    </row>
    <row r="1346" spans="1:6" s="9" customFormat="1" x14ac:dyDescent="0.25">
      <c r="C1346" s="5"/>
      <c r="E1346" s="10"/>
      <c r="F1346" s="10"/>
    </row>
    <row r="1347" spans="1:6" s="9" customFormat="1" x14ac:dyDescent="0.25">
      <c r="A1347" s="9" t="s">
        <v>43</v>
      </c>
      <c r="B1347" s="4">
        <v>45735</v>
      </c>
      <c r="C1347" s="5">
        <v>30</v>
      </c>
      <c r="D1347" s="9" t="s">
        <v>14</v>
      </c>
      <c r="E1347" s="10">
        <v>125</v>
      </c>
      <c r="F1347" s="10">
        <f t="shared" si="21"/>
        <v>3750</v>
      </c>
    </row>
    <row r="1348" spans="1:6" s="9" customFormat="1" x14ac:dyDescent="0.25">
      <c r="C1348" s="5">
        <v>10</v>
      </c>
      <c r="D1348" s="9" t="s">
        <v>13</v>
      </c>
      <c r="E1348" s="10">
        <v>140</v>
      </c>
      <c r="F1348" s="10">
        <f t="shared" si="21"/>
        <v>1400</v>
      </c>
    </row>
    <row r="1349" spans="1:6" s="9" customFormat="1" x14ac:dyDescent="0.25">
      <c r="C1349" s="5"/>
      <c r="E1349" s="10"/>
      <c r="F1349" s="8">
        <f>SUM(F1347:F1348)</f>
        <v>5150</v>
      </c>
    </row>
    <row r="1350" spans="1:6" s="9" customFormat="1" x14ac:dyDescent="0.25">
      <c r="C1350" s="5"/>
      <c r="E1350" s="10"/>
      <c r="F1350" s="10"/>
    </row>
    <row r="1351" spans="1:6" s="9" customFormat="1" x14ac:dyDescent="0.25">
      <c r="A1351" s="9" t="s">
        <v>107</v>
      </c>
      <c r="B1351" s="4">
        <v>45735</v>
      </c>
      <c r="C1351" s="5">
        <v>48</v>
      </c>
      <c r="D1351" s="9" t="s">
        <v>14</v>
      </c>
      <c r="E1351" s="10">
        <v>125</v>
      </c>
      <c r="F1351" s="10">
        <f t="shared" ref="F1351:F1413" si="22">+C1351*E1351</f>
        <v>6000</v>
      </c>
    </row>
    <row r="1352" spans="1:6" s="9" customFormat="1" x14ac:dyDescent="0.25">
      <c r="C1352" s="5"/>
      <c r="E1352" s="10"/>
      <c r="F1352" s="8">
        <f>SUM(F1351)</f>
        <v>6000</v>
      </c>
    </row>
    <row r="1353" spans="1:6" s="9" customFormat="1" x14ac:dyDescent="0.25">
      <c r="C1353" s="5"/>
      <c r="E1353" s="10"/>
      <c r="F1353" s="10"/>
    </row>
    <row r="1354" spans="1:6" s="9" customFormat="1" x14ac:dyDescent="0.25">
      <c r="A1354" s="9" t="s">
        <v>45</v>
      </c>
      <c r="B1354" s="4">
        <v>45735</v>
      </c>
      <c r="C1354" s="5">
        <v>5</v>
      </c>
      <c r="D1354" s="9" t="s">
        <v>14</v>
      </c>
      <c r="E1354" s="10">
        <v>125</v>
      </c>
      <c r="F1354" s="10">
        <f t="shared" si="22"/>
        <v>625</v>
      </c>
    </row>
    <row r="1355" spans="1:6" s="9" customFormat="1" x14ac:dyDescent="0.25">
      <c r="C1355" s="5"/>
      <c r="E1355" s="10"/>
      <c r="F1355" s="8">
        <f>SUM(F1354)</f>
        <v>625</v>
      </c>
    </row>
    <row r="1356" spans="1:6" s="9" customFormat="1" x14ac:dyDescent="0.25">
      <c r="C1356" s="5"/>
      <c r="E1356" s="10"/>
      <c r="F1356" s="10"/>
    </row>
    <row r="1357" spans="1:6" s="9" customFormat="1" x14ac:dyDescent="0.25">
      <c r="A1357" s="9" t="s">
        <v>53</v>
      </c>
      <c r="B1357" s="4">
        <v>45735</v>
      </c>
      <c r="C1357" s="5">
        <v>100</v>
      </c>
      <c r="D1357" s="9" t="s">
        <v>13</v>
      </c>
      <c r="E1357" s="10">
        <v>135</v>
      </c>
      <c r="F1357" s="10">
        <f t="shared" si="22"/>
        <v>13500</v>
      </c>
    </row>
    <row r="1358" spans="1:6" s="9" customFormat="1" x14ac:dyDescent="0.25">
      <c r="C1358" s="5">
        <v>26</v>
      </c>
      <c r="D1358" s="9" t="s">
        <v>13</v>
      </c>
      <c r="E1358" s="10">
        <v>140</v>
      </c>
      <c r="F1358" s="10">
        <f t="shared" si="22"/>
        <v>3640</v>
      </c>
    </row>
    <row r="1359" spans="1:6" s="9" customFormat="1" x14ac:dyDescent="0.25">
      <c r="C1359" s="5">
        <v>13</v>
      </c>
      <c r="D1359" s="9" t="s">
        <v>12</v>
      </c>
      <c r="E1359" s="10">
        <v>130</v>
      </c>
      <c r="F1359" s="10">
        <f t="shared" si="22"/>
        <v>1690</v>
      </c>
    </row>
    <row r="1360" spans="1:6" s="9" customFormat="1" x14ac:dyDescent="0.25">
      <c r="C1360" s="5"/>
      <c r="E1360" s="10"/>
      <c r="F1360" s="8">
        <f>SUM(F1357:F1359)</f>
        <v>18830</v>
      </c>
    </row>
    <row r="1361" spans="1:6" s="9" customFormat="1" x14ac:dyDescent="0.25">
      <c r="C1361" s="5"/>
      <c r="E1361" s="10"/>
      <c r="F1361" s="10"/>
    </row>
    <row r="1362" spans="1:6" s="9" customFormat="1" x14ac:dyDescent="0.25">
      <c r="A1362" s="9" t="s">
        <v>26</v>
      </c>
      <c r="B1362" s="4">
        <v>45735</v>
      </c>
      <c r="C1362" s="5">
        <v>60</v>
      </c>
      <c r="D1362" s="9" t="s">
        <v>13</v>
      </c>
      <c r="E1362" s="10">
        <v>140</v>
      </c>
      <c r="F1362" s="10">
        <f t="shared" si="22"/>
        <v>8400</v>
      </c>
    </row>
    <row r="1363" spans="1:6" s="9" customFormat="1" x14ac:dyDescent="0.25">
      <c r="C1363" s="5">
        <v>30</v>
      </c>
      <c r="D1363" s="9" t="s">
        <v>14</v>
      </c>
      <c r="E1363" s="10">
        <v>135</v>
      </c>
      <c r="F1363" s="10">
        <f t="shared" si="22"/>
        <v>4050</v>
      </c>
    </row>
    <row r="1364" spans="1:6" s="9" customFormat="1" x14ac:dyDescent="0.25">
      <c r="C1364" s="5"/>
      <c r="E1364" s="10"/>
      <c r="F1364" s="8">
        <f>SUM(F1362:F1363)</f>
        <v>12450</v>
      </c>
    </row>
    <row r="1365" spans="1:6" s="9" customFormat="1" x14ac:dyDescent="0.25">
      <c r="C1365" s="5"/>
      <c r="E1365" s="10"/>
      <c r="F1365" s="10"/>
    </row>
    <row r="1366" spans="1:6" s="9" customFormat="1" x14ac:dyDescent="0.25">
      <c r="A1366" s="9" t="s">
        <v>113</v>
      </c>
      <c r="B1366" s="4">
        <v>45735</v>
      </c>
      <c r="C1366" s="5">
        <v>20</v>
      </c>
      <c r="D1366" s="9" t="s">
        <v>8</v>
      </c>
      <c r="E1366" s="10">
        <v>155</v>
      </c>
      <c r="F1366" s="10">
        <f t="shared" si="22"/>
        <v>3100</v>
      </c>
    </row>
    <row r="1367" spans="1:6" s="9" customFormat="1" x14ac:dyDescent="0.25">
      <c r="C1367" s="5"/>
      <c r="E1367" s="10"/>
      <c r="F1367" s="8">
        <f>SUM(F1366)</f>
        <v>3100</v>
      </c>
    </row>
    <row r="1368" spans="1:6" s="9" customFormat="1" x14ac:dyDescent="0.25">
      <c r="C1368" s="5"/>
      <c r="E1368" s="10"/>
      <c r="F1368" s="10"/>
    </row>
    <row r="1369" spans="1:6" s="9" customFormat="1" x14ac:dyDescent="0.25">
      <c r="A1369" s="9" t="s">
        <v>72</v>
      </c>
      <c r="B1369" s="4">
        <v>45735</v>
      </c>
      <c r="C1369" s="5">
        <v>200</v>
      </c>
      <c r="D1369" s="9" t="s">
        <v>13</v>
      </c>
      <c r="E1369" s="10">
        <v>130</v>
      </c>
      <c r="F1369" s="10">
        <f t="shared" si="22"/>
        <v>26000</v>
      </c>
    </row>
    <row r="1370" spans="1:6" s="9" customFormat="1" x14ac:dyDescent="0.25">
      <c r="C1370" s="5">
        <v>150</v>
      </c>
      <c r="D1370" s="9" t="s">
        <v>12</v>
      </c>
      <c r="E1370" s="10">
        <v>125</v>
      </c>
      <c r="F1370" s="10">
        <f t="shared" si="22"/>
        <v>18750</v>
      </c>
    </row>
    <row r="1371" spans="1:6" s="9" customFormat="1" x14ac:dyDescent="0.25">
      <c r="C1371" s="5">
        <v>100</v>
      </c>
      <c r="D1371" s="9" t="s">
        <v>11</v>
      </c>
      <c r="E1371" s="10">
        <v>120</v>
      </c>
      <c r="F1371" s="10">
        <f t="shared" si="22"/>
        <v>12000</v>
      </c>
    </row>
    <row r="1372" spans="1:6" s="9" customFormat="1" x14ac:dyDescent="0.25">
      <c r="C1372" s="5"/>
      <c r="E1372" s="10"/>
      <c r="F1372" s="8">
        <f>SUM(F1369:F1371)</f>
        <v>56750</v>
      </c>
    </row>
    <row r="1373" spans="1:6" s="9" customFormat="1" x14ac:dyDescent="0.25">
      <c r="C1373" s="5"/>
      <c r="E1373" s="10"/>
      <c r="F1373" s="10"/>
    </row>
    <row r="1374" spans="1:6" s="9" customFormat="1" x14ac:dyDescent="0.25">
      <c r="A1374" s="9" t="s">
        <v>7</v>
      </c>
      <c r="B1374" s="4">
        <v>45735</v>
      </c>
      <c r="C1374" s="5">
        <v>1</v>
      </c>
      <c r="D1374" s="9" t="s">
        <v>13</v>
      </c>
      <c r="E1374" s="10">
        <v>160</v>
      </c>
      <c r="F1374" s="10">
        <f t="shared" si="22"/>
        <v>160</v>
      </c>
    </row>
    <row r="1375" spans="1:6" s="9" customFormat="1" x14ac:dyDescent="0.25">
      <c r="C1375" s="5">
        <v>1</v>
      </c>
      <c r="D1375" s="9" t="s">
        <v>13</v>
      </c>
      <c r="E1375" s="10">
        <v>160</v>
      </c>
      <c r="F1375" s="10">
        <f t="shared" si="22"/>
        <v>160</v>
      </c>
    </row>
    <row r="1376" spans="1:6" s="9" customFormat="1" x14ac:dyDescent="0.25">
      <c r="C1376" s="5"/>
      <c r="E1376" s="10"/>
      <c r="F1376" s="8">
        <f>SUM(F1374:F1375)</f>
        <v>320</v>
      </c>
    </row>
    <row r="1377" spans="1:6" s="9" customFormat="1" x14ac:dyDescent="0.25">
      <c r="C1377" s="5"/>
      <c r="E1377" s="10"/>
      <c r="F1377" s="10"/>
    </row>
    <row r="1378" spans="1:6" s="9" customFormat="1" x14ac:dyDescent="0.25">
      <c r="A1378" s="9" t="s">
        <v>7</v>
      </c>
      <c r="B1378" s="4">
        <v>45735</v>
      </c>
      <c r="C1378" s="5">
        <v>1</v>
      </c>
      <c r="D1378" s="9" t="s">
        <v>14</v>
      </c>
      <c r="E1378" s="10">
        <v>160</v>
      </c>
      <c r="F1378" s="10">
        <f t="shared" si="22"/>
        <v>160</v>
      </c>
    </row>
    <row r="1379" spans="1:6" s="9" customFormat="1" x14ac:dyDescent="0.25">
      <c r="C1379" s="5">
        <v>1</v>
      </c>
      <c r="D1379" s="9" t="s">
        <v>13</v>
      </c>
      <c r="E1379" s="10">
        <v>140</v>
      </c>
      <c r="F1379" s="10">
        <f t="shared" si="22"/>
        <v>140</v>
      </c>
    </row>
    <row r="1380" spans="1:6" s="9" customFormat="1" x14ac:dyDescent="0.25">
      <c r="C1380" s="5"/>
      <c r="E1380" s="10"/>
      <c r="F1380" s="8">
        <f>SUM(F1378:F1379)</f>
        <v>300</v>
      </c>
    </row>
    <row r="1381" spans="1:6" s="9" customFormat="1" x14ac:dyDescent="0.25">
      <c r="C1381" s="5"/>
      <c r="E1381" s="10"/>
      <c r="F1381" s="10"/>
    </row>
    <row r="1382" spans="1:6" s="9" customFormat="1" x14ac:dyDescent="0.25">
      <c r="A1382" s="9" t="s">
        <v>127</v>
      </c>
      <c r="B1382" s="4">
        <v>45736</v>
      </c>
      <c r="C1382" s="5">
        <v>30</v>
      </c>
      <c r="D1382" s="9" t="s">
        <v>13</v>
      </c>
      <c r="E1382" s="10">
        <v>140</v>
      </c>
      <c r="F1382" s="10">
        <f t="shared" si="22"/>
        <v>4200</v>
      </c>
    </row>
    <row r="1383" spans="1:6" s="9" customFormat="1" x14ac:dyDescent="0.25">
      <c r="C1383" s="5"/>
      <c r="E1383" s="10"/>
      <c r="F1383" s="8">
        <f>SUM(F1382)</f>
        <v>4200</v>
      </c>
    </row>
    <row r="1384" spans="1:6" s="9" customFormat="1" x14ac:dyDescent="0.25">
      <c r="C1384" s="5"/>
      <c r="E1384" s="10"/>
      <c r="F1384" s="10"/>
    </row>
    <row r="1385" spans="1:6" s="9" customFormat="1" x14ac:dyDescent="0.25">
      <c r="A1385" s="9" t="s">
        <v>60</v>
      </c>
      <c r="B1385" s="4">
        <v>45736</v>
      </c>
      <c r="C1385" s="5">
        <v>30</v>
      </c>
      <c r="D1385" s="9" t="s">
        <v>13</v>
      </c>
      <c r="E1385" s="10">
        <v>140</v>
      </c>
      <c r="F1385" s="10">
        <f t="shared" si="22"/>
        <v>4200</v>
      </c>
    </row>
    <row r="1386" spans="1:6" s="9" customFormat="1" x14ac:dyDescent="0.25">
      <c r="C1386" s="5"/>
      <c r="E1386" s="10"/>
      <c r="F1386" s="8">
        <f>SUM(F1385)</f>
        <v>4200</v>
      </c>
    </row>
    <row r="1387" spans="1:6" s="9" customFormat="1" x14ac:dyDescent="0.25">
      <c r="C1387" s="5"/>
      <c r="E1387" s="10"/>
      <c r="F1387" s="10"/>
    </row>
    <row r="1388" spans="1:6" s="9" customFormat="1" x14ac:dyDescent="0.25">
      <c r="A1388" s="9" t="s">
        <v>62</v>
      </c>
      <c r="B1388" s="4">
        <v>45736</v>
      </c>
      <c r="C1388" s="5">
        <v>72</v>
      </c>
      <c r="D1388" s="9" t="s">
        <v>337</v>
      </c>
      <c r="E1388" s="10">
        <v>160</v>
      </c>
      <c r="F1388" s="10">
        <f t="shared" si="22"/>
        <v>11520</v>
      </c>
    </row>
    <row r="1389" spans="1:6" s="9" customFormat="1" x14ac:dyDescent="0.25">
      <c r="C1389" s="5">
        <v>10</v>
      </c>
      <c r="D1389" s="9" t="s">
        <v>12</v>
      </c>
      <c r="E1389" s="10">
        <v>125</v>
      </c>
      <c r="F1389" s="10">
        <f t="shared" si="22"/>
        <v>1250</v>
      </c>
    </row>
    <row r="1390" spans="1:6" s="9" customFormat="1" x14ac:dyDescent="0.25">
      <c r="C1390" s="5"/>
      <c r="E1390" s="10"/>
      <c r="F1390" s="8">
        <f>SUM(F1388:F1389)</f>
        <v>12770</v>
      </c>
    </row>
    <row r="1391" spans="1:6" s="9" customFormat="1" x14ac:dyDescent="0.25">
      <c r="C1391" s="5"/>
      <c r="E1391" s="10"/>
      <c r="F1391" s="10"/>
    </row>
    <row r="1392" spans="1:6" s="9" customFormat="1" x14ac:dyDescent="0.25">
      <c r="A1392" s="9" t="s">
        <v>290</v>
      </c>
      <c r="B1392" s="4">
        <v>45736</v>
      </c>
      <c r="C1392" s="5">
        <v>5</v>
      </c>
      <c r="D1392" s="9" t="s">
        <v>8</v>
      </c>
      <c r="E1392" s="10">
        <v>160</v>
      </c>
      <c r="F1392" s="10">
        <f t="shared" si="22"/>
        <v>800</v>
      </c>
    </row>
    <row r="1393" spans="1:6" s="9" customFormat="1" x14ac:dyDescent="0.25">
      <c r="C1393" s="5">
        <v>45</v>
      </c>
      <c r="D1393" s="9" t="s">
        <v>13</v>
      </c>
      <c r="E1393" s="10">
        <v>145</v>
      </c>
      <c r="F1393" s="10">
        <f t="shared" si="22"/>
        <v>6525</v>
      </c>
    </row>
    <row r="1394" spans="1:6" s="9" customFormat="1" x14ac:dyDescent="0.25">
      <c r="C1394" s="5">
        <v>10</v>
      </c>
      <c r="D1394" s="9" t="s">
        <v>13</v>
      </c>
      <c r="E1394" s="10">
        <v>135</v>
      </c>
      <c r="F1394" s="10">
        <f t="shared" si="22"/>
        <v>1350</v>
      </c>
    </row>
    <row r="1395" spans="1:6" s="9" customFormat="1" x14ac:dyDescent="0.25">
      <c r="C1395" s="5"/>
      <c r="E1395" s="10"/>
      <c r="F1395" s="8">
        <f>SUM(F1392:F1394)</f>
        <v>8675</v>
      </c>
    </row>
    <row r="1396" spans="1:6" s="9" customFormat="1" x14ac:dyDescent="0.25">
      <c r="C1396" s="5"/>
      <c r="E1396" s="10"/>
      <c r="F1396" s="10"/>
    </row>
    <row r="1397" spans="1:6" s="9" customFormat="1" x14ac:dyDescent="0.25">
      <c r="A1397" s="9" t="s">
        <v>89</v>
      </c>
      <c r="B1397" s="4">
        <v>45736</v>
      </c>
      <c r="C1397" s="5">
        <v>30</v>
      </c>
      <c r="D1397" s="9" t="s">
        <v>338</v>
      </c>
      <c r="E1397" s="10">
        <v>130</v>
      </c>
      <c r="F1397" s="10">
        <f t="shared" si="22"/>
        <v>3900</v>
      </c>
    </row>
    <row r="1398" spans="1:6" s="9" customFormat="1" x14ac:dyDescent="0.25">
      <c r="C1398" s="5">
        <v>50</v>
      </c>
      <c r="D1398" s="9" t="s">
        <v>12</v>
      </c>
      <c r="E1398" s="10">
        <v>120</v>
      </c>
      <c r="F1398" s="10">
        <f t="shared" si="22"/>
        <v>6000</v>
      </c>
    </row>
    <row r="1399" spans="1:6" s="9" customFormat="1" x14ac:dyDescent="0.25">
      <c r="C1399" s="5">
        <v>20</v>
      </c>
      <c r="D1399" s="9" t="s">
        <v>14</v>
      </c>
      <c r="E1399" s="10">
        <v>125</v>
      </c>
      <c r="F1399" s="10">
        <f t="shared" si="22"/>
        <v>2500</v>
      </c>
    </row>
    <row r="1400" spans="1:6" s="9" customFormat="1" x14ac:dyDescent="0.25">
      <c r="C1400" s="5"/>
      <c r="E1400" s="10"/>
      <c r="F1400" s="8">
        <f>SUM(F1397:F1399)</f>
        <v>12400</v>
      </c>
    </row>
    <row r="1401" spans="1:6" s="9" customFormat="1" x14ac:dyDescent="0.25">
      <c r="C1401" s="5"/>
      <c r="E1401" s="10"/>
      <c r="F1401" s="10"/>
    </row>
    <row r="1402" spans="1:6" s="9" customFormat="1" x14ac:dyDescent="0.25">
      <c r="A1402" s="9" t="s">
        <v>26</v>
      </c>
      <c r="B1402" s="4">
        <v>45736</v>
      </c>
      <c r="C1402" s="5">
        <v>50</v>
      </c>
      <c r="D1402" s="9" t="s">
        <v>13</v>
      </c>
      <c r="E1402" s="10">
        <v>140</v>
      </c>
      <c r="F1402" s="10">
        <f t="shared" si="22"/>
        <v>7000</v>
      </c>
    </row>
    <row r="1403" spans="1:6" s="9" customFormat="1" x14ac:dyDescent="0.25">
      <c r="C1403" s="5"/>
      <c r="E1403" s="10"/>
      <c r="F1403" s="8">
        <f>SUM(F1402)</f>
        <v>7000</v>
      </c>
    </row>
    <row r="1404" spans="1:6" s="9" customFormat="1" x14ac:dyDescent="0.25">
      <c r="C1404" s="5"/>
      <c r="E1404" s="10"/>
      <c r="F1404" s="10"/>
    </row>
    <row r="1405" spans="1:6" s="9" customFormat="1" x14ac:dyDescent="0.25">
      <c r="A1405" s="9" t="s">
        <v>29</v>
      </c>
      <c r="B1405" s="4">
        <v>45736</v>
      </c>
      <c r="C1405" s="5">
        <v>5</v>
      </c>
      <c r="D1405" s="9" t="s">
        <v>98</v>
      </c>
      <c r="E1405" s="10">
        <v>100</v>
      </c>
      <c r="F1405" s="10">
        <f t="shared" si="22"/>
        <v>500</v>
      </c>
    </row>
    <row r="1406" spans="1:6" s="9" customFormat="1" x14ac:dyDescent="0.25">
      <c r="C1406" s="5"/>
      <c r="E1406" s="10"/>
      <c r="F1406" s="8">
        <f>SUM(F1405)</f>
        <v>500</v>
      </c>
    </row>
    <row r="1407" spans="1:6" s="9" customFormat="1" x14ac:dyDescent="0.25">
      <c r="C1407" s="5"/>
      <c r="E1407" s="10"/>
      <c r="F1407" s="10"/>
    </row>
    <row r="1408" spans="1:6" s="9" customFormat="1" x14ac:dyDescent="0.25">
      <c r="A1408" s="9" t="s">
        <v>181</v>
      </c>
      <c r="B1408" s="4">
        <v>45736</v>
      </c>
      <c r="C1408" s="5">
        <v>2</v>
      </c>
      <c r="D1408" s="9" t="s">
        <v>14</v>
      </c>
      <c r="E1408" s="10">
        <v>170</v>
      </c>
      <c r="F1408" s="10">
        <f t="shared" si="22"/>
        <v>340</v>
      </c>
    </row>
    <row r="1409" spans="1:6" s="9" customFormat="1" x14ac:dyDescent="0.25">
      <c r="C1409" s="11">
        <v>0.5</v>
      </c>
      <c r="D1409" s="9" t="s">
        <v>339</v>
      </c>
      <c r="E1409" s="10">
        <v>150</v>
      </c>
      <c r="F1409" s="10">
        <f t="shared" si="22"/>
        <v>75</v>
      </c>
    </row>
    <row r="1410" spans="1:6" s="9" customFormat="1" x14ac:dyDescent="0.25">
      <c r="C1410" s="5">
        <v>1</v>
      </c>
      <c r="D1410" s="9" t="s">
        <v>340</v>
      </c>
      <c r="E1410" s="10">
        <v>170</v>
      </c>
      <c r="F1410" s="10">
        <f t="shared" si="22"/>
        <v>170</v>
      </c>
    </row>
    <row r="1411" spans="1:6" s="9" customFormat="1" x14ac:dyDescent="0.25">
      <c r="C1411" s="5"/>
      <c r="E1411" s="10"/>
      <c r="F1411" s="8">
        <f>SUM(F1408:F1410)</f>
        <v>585</v>
      </c>
    </row>
    <row r="1412" spans="1:6" s="9" customFormat="1" x14ac:dyDescent="0.25">
      <c r="C1412" s="5"/>
      <c r="E1412" s="10"/>
      <c r="F1412" s="10"/>
    </row>
    <row r="1413" spans="1:6" s="9" customFormat="1" x14ac:dyDescent="0.25">
      <c r="A1413" s="9" t="s">
        <v>76</v>
      </c>
      <c r="B1413" s="4">
        <v>45737</v>
      </c>
      <c r="C1413" s="5">
        <v>200</v>
      </c>
      <c r="D1413" s="9" t="s">
        <v>14</v>
      </c>
      <c r="E1413" s="10">
        <v>120</v>
      </c>
      <c r="F1413" s="10">
        <f t="shared" si="22"/>
        <v>24000</v>
      </c>
    </row>
    <row r="1414" spans="1:6" s="9" customFormat="1" x14ac:dyDescent="0.25">
      <c r="C1414" s="5">
        <v>140</v>
      </c>
      <c r="D1414" s="9" t="s">
        <v>11</v>
      </c>
      <c r="E1414" s="10">
        <v>115</v>
      </c>
      <c r="F1414" s="10">
        <f t="shared" ref="F1414:F1475" si="23">+C1414*E1414</f>
        <v>16100</v>
      </c>
    </row>
    <row r="1415" spans="1:6" s="9" customFormat="1" x14ac:dyDescent="0.25">
      <c r="C1415" s="5">
        <v>300</v>
      </c>
      <c r="D1415" s="9" t="s">
        <v>13</v>
      </c>
      <c r="E1415" s="10">
        <v>135</v>
      </c>
      <c r="F1415" s="10">
        <f t="shared" si="23"/>
        <v>40500</v>
      </c>
    </row>
    <row r="1416" spans="1:6" s="9" customFormat="1" x14ac:dyDescent="0.25">
      <c r="C1416" s="5">
        <v>260</v>
      </c>
      <c r="D1416" s="9" t="s">
        <v>12</v>
      </c>
      <c r="E1416" s="10">
        <v>120</v>
      </c>
      <c r="F1416" s="10">
        <f t="shared" si="23"/>
        <v>31200</v>
      </c>
    </row>
    <row r="1417" spans="1:6" s="9" customFormat="1" x14ac:dyDescent="0.25">
      <c r="C1417" s="5"/>
      <c r="E1417" s="10"/>
      <c r="F1417" s="8">
        <f>SUM(F1413:F1416)</f>
        <v>111800</v>
      </c>
    </row>
    <row r="1418" spans="1:6" s="9" customFormat="1" x14ac:dyDescent="0.25">
      <c r="C1418" s="5"/>
      <c r="E1418" s="10"/>
      <c r="F1418" s="10"/>
    </row>
    <row r="1419" spans="1:6" s="9" customFormat="1" x14ac:dyDescent="0.25">
      <c r="A1419" s="9" t="s">
        <v>184</v>
      </c>
      <c r="B1419" s="4">
        <v>45737</v>
      </c>
      <c r="C1419" s="5">
        <v>5</v>
      </c>
      <c r="D1419" s="9" t="s">
        <v>13</v>
      </c>
      <c r="E1419" s="10">
        <v>155</v>
      </c>
      <c r="F1419" s="10">
        <f t="shared" si="23"/>
        <v>775</v>
      </c>
    </row>
    <row r="1420" spans="1:6" s="9" customFormat="1" x14ac:dyDescent="0.25">
      <c r="C1420" s="5"/>
      <c r="E1420" s="10"/>
      <c r="F1420" s="8">
        <f>SUM(F1419)</f>
        <v>775</v>
      </c>
    </row>
    <row r="1421" spans="1:6" s="9" customFormat="1" x14ac:dyDescent="0.25">
      <c r="C1421" s="5"/>
      <c r="E1421" s="10"/>
      <c r="F1421" s="10"/>
    </row>
    <row r="1422" spans="1:6" s="9" customFormat="1" x14ac:dyDescent="0.25">
      <c r="A1422" s="9" t="s">
        <v>270</v>
      </c>
      <c r="B1422" s="4">
        <v>45737</v>
      </c>
      <c r="C1422" s="5">
        <v>10</v>
      </c>
      <c r="D1422" s="9" t="s">
        <v>275</v>
      </c>
      <c r="E1422" s="10">
        <v>100</v>
      </c>
      <c r="F1422" s="10">
        <f t="shared" si="23"/>
        <v>1000</v>
      </c>
    </row>
    <row r="1423" spans="1:6" s="9" customFormat="1" x14ac:dyDescent="0.25">
      <c r="C1423" s="5"/>
      <c r="E1423" s="10"/>
      <c r="F1423" s="8">
        <f>SUM(F1422)</f>
        <v>1000</v>
      </c>
    </row>
    <row r="1424" spans="1:6" s="9" customFormat="1" x14ac:dyDescent="0.25">
      <c r="C1424" s="5"/>
      <c r="E1424" s="10"/>
      <c r="F1424" s="10"/>
    </row>
    <row r="1425" spans="1:6" s="9" customFormat="1" x14ac:dyDescent="0.25">
      <c r="A1425" s="9" t="s">
        <v>341</v>
      </c>
      <c r="B1425" s="4">
        <v>45737</v>
      </c>
      <c r="C1425" s="5">
        <v>4</v>
      </c>
      <c r="D1425" s="9" t="s">
        <v>22</v>
      </c>
      <c r="E1425" s="10">
        <v>105</v>
      </c>
      <c r="F1425" s="10">
        <f t="shared" si="23"/>
        <v>420</v>
      </c>
    </row>
    <row r="1426" spans="1:6" s="9" customFormat="1" x14ac:dyDescent="0.25">
      <c r="C1426" s="5">
        <v>6</v>
      </c>
      <c r="D1426" s="9" t="s">
        <v>12</v>
      </c>
      <c r="E1426" s="10">
        <v>125</v>
      </c>
      <c r="F1426" s="10">
        <f t="shared" si="23"/>
        <v>750</v>
      </c>
    </row>
    <row r="1427" spans="1:6" s="9" customFormat="1" x14ac:dyDescent="0.25">
      <c r="C1427" s="5"/>
      <c r="E1427" s="10"/>
      <c r="F1427" s="8">
        <f>SUM(F1425:F1426)</f>
        <v>1170</v>
      </c>
    </row>
    <row r="1428" spans="1:6" s="9" customFormat="1" x14ac:dyDescent="0.25">
      <c r="C1428" s="5"/>
      <c r="E1428" s="10"/>
      <c r="F1428" s="10"/>
    </row>
    <row r="1429" spans="1:6" s="9" customFormat="1" x14ac:dyDescent="0.25">
      <c r="A1429" s="9" t="s">
        <v>40</v>
      </c>
      <c r="B1429" s="4">
        <v>45737</v>
      </c>
      <c r="C1429" s="5">
        <v>10</v>
      </c>
      <c r="D1429" s="9" t="s">
        <v>14</v>
      </c>
      <c r="E1429" s="10">
        <v>125</v>
      </c>
      <c r="F1429" s="10">
        <f t="shared" si="23"/>
        <v>1250</v>
      </c>
    </row>
    <row r="1430" spans="1:6" s="9" customFormat="1" x14ac:dyDescent="0.25">
      <c r="C1430" s="5">
        <v>10</v>
      </c>
      <c r="D1430" s="9" t="s">
        <v>12</v>
      </c>
      <c r="E1430" s="10">
        <v>120</v>
      </c>
      <c r="F1430" s="10">
        <f t="shared" si="23"/>
        <v>1200</v>
      </c>
    </row>
    <row r="1431" spans="1:6" s="9" customFormat="1" x14ac:dyDescent="0.25">
      <c r="C1431" s="5">
        <v>7</v>
      </c>
      <c r="D1431" s="9" t="s">
        <v>13</v>
      </c>
      <c r="E1431" s="10">
        <v>140</v>
      </c>
      <c r="F1431" s="10">
        <f t="shared" si="23"/>
        <v>980</v>
      </c>
    </row>
    <row r="1432" spans="1:6" s="9" customFormat="1" x14ac:dyDescent="0.25">
      <c r="C1432" s="5">
        <v>17</v>
      </c>
      <c r="D1432" s="9" t="s">
        <v>8</v>
      </c>
      <c r="E1432" s="10">
        <v>150</v>
      </c>
      <c r="F1432" s="10">
        <f t="shared" si="23"/>
        <v>2550</v>
      </c>
    </row>
    <row r="1433" spans="1:6" s="9" customFormat="1" x14ac:dyDescent="0.25">
      <c r="C1433" s="5"/>
      <c r="E1433" s="10"/>
      <c r="F1433" s="8">
        <f>SUM(F1429:F1432)</f>
        <v>5980</v>
      </c>
    </row>
    <row r="1434" spans="1:6" s="9" customFormat="1" x14ac:dyDescent="0.25">
      <c r="C1434" s="5"/>
      <c r="E1434" s="10"/>
      <c r="F1434" s="10"/>
    </row>
    <row r="1435" spans="1:6" s="9" customFormat="1" x14ac:dyDescent="0.25">
      <c r="A1435" s="9" t="s">
        <v>15</v>
      </c>
      <c r="B1435" s="4">
        <v>45737</v>
      </c>
      <c r="C1435" s="5">
        <v>50</v>
      </c>
      <c r="D1435" s="9" t="s">
        <v>98</v>
      </c>
      <c r="E1435" s="10">
        <v>85</v>
      </c>
      <c r="F1435" s="10">
        <f t="shared" si="23"/>
        <v>4250</v>
      </c>
    </row>
    <row r="1436" spans="1:6" s="9" customFormat="1" x14ac:dyDescent="0.25">
      <c r="C1436" s="5"/>
      <c r="E1436" s="10"/>
      <c r="F1436" s="8">
        <f>SUM(F1435)</f>
        <v>4250</v>
      </c>
    </row>
    <row r="1437" spans="1:6" s="9" customFormat="1" x14ac:dyDescent="0.25">
      <c r="C1437" s="5"/>
      <c r="E1437" s="10"/>
      <c r="F1437" s="10"/>
    </row>
    <row r="1438" spans="1:6" s="9" customFormat="1" x14ac:dyDescent="0.25">
      <c r="A1438" s="9" t="s">
        <v>17</v>
      </c>
      <c r="B1438" s="4">
        <v>45737</v>
      </c>
      <c r="C1438" s="5">
        <v>10</v>
      </c>
      <c r="D1438" s="9" t="s">
        <v>13</v>
      </c>
      <c r="E1438" s="10">
        <v>140</v>
      </c>
      <c r="F1438" s="10">
        <f t="shared" si="23"/>
        <v>1400</v>
      </c>
    </row>
    <row r="1439" spans="1:6" s="9" customFormat="1" x14ac:dyDescent="0.25">
      <c r="C1439" s="5"/>
      <c r="E1439" s="10"/>
      <c r="F1439" s="8">
        <f>SUM(F1438)</f>
        <v>1400</v>
      </c>
    </row>
    <row r="1440" spans="1:6" s="9" customFormat="1" x14ac:dyDescent="0.25">
      <c r="C1440" s="5"/>
      <c r="E1440" s="10"/>
      <c r="F1440" s="10"/>
    </row>
    <row r="1441" spans="1:6" s="9" customFormat="1" x14ac:dyDescent="0.25">
      <c r="A1441" s="9" t="s">
        <v>157</v>
      </c>
      <c r="B1441" s="4">
        <v>45737</v>
      </c>
      <c r="C1441" s="5">
        <v>10</v>
      </c>
      <c r="D1441" s="9" t="s">
        <v>8</v>
      </c>
      <c r="E1441" s="10">
        <v>150</v>
      </c>
      <c r="F1441" s="10">
        <f t="shared" si="23"/>
        <v>1500</v>
      </c>
    </row>
    <row r="1442" spans="1:6" s="9" customFormat="1" x14ac:dyDescent="0.25">
      <c r="C1442" s="5"/>
      <c r="E1442" s="10"/>
      <c r="F1442" s="8">
        <f>SUM(F1441)</f>
        <v>1500</v>
      </c>
    </row>
    <row r="1443" spans="1:6" s="9" customFormat="1" x14ac:dyDescent="0.25">
      <c r="C1443" s="5"/>
      <c r="E1443" s="10"/>
      <c r="F1443" s="10"/>
    </row>
    <row r="1444" spans="1:6" s="9" customFormat="1" x14ac:dyDescent="0.25">
      <c r="A1444" s="9" t="s">
        <v>41</v>
      </c>
      <c r="B1444" s="4">
        <v>45737</v>
      </c>
      <c r="C1444" s="5">
        <v>30</v>
      </c>
      <c r="D1444" s="9" t="s">
        <v>14</v>
      </c>
      <c r="E1444" s="10">
        <v>130</v>
      </c>
      <c r="F1444" s="10">
        <f t="shared" si="23"/>
        <v>3900</v>
      </c>
    </row>
    <row r="1445" spans="1:6" s="9" customFormat="1" x14ac:dyDescent="0.25">
      <c r="C1445" s="5"/>
      <c r="E1445" s="10"/>
      <c r="F1445" s="8">
        <f>SUM(F1444)</f>
        <v>3900</v>
      </c>
    </row>
    <row r="1446" spans="1:6" s="9" customFormat="1" x14ac:dyDescent="0.25">
      <c r="C1446" s="5"/>
      <c r="E1446" s="10"/>
      <c r="F1446" s="10"/>
    </row>
    <row r="1447" spans="1:6" s="9" customFormat="1" x14ac:dyDescent="0.25">
      <c r="A1447" s="9" t="s">
        <v>106</v>
      </c>
      <c r="B1447" s="4">
        <v>45737</v>
      </c>
      <c r="C1447" s="5">
        <v>30</v>
      </c>
      <c r="D1447" s="9" t="s">
        <v>11</v>
      </c>
      <c r="E1447" s="10">
        <v>135</v>
      </c>
      <c r="F1447" s="10">
        <f t="shared" si="23"/>
        <v>4050</v>
      </c>
    </row>
    <row r="1448" spans="1:6" s="9" customFormat="1" x14ac:dyDescent="0.25">
      <c r="C1448" s="5"/>
      <c r="E1448" s="10"/>
      <c r="F1448" s="8">
        <f>SUM(F1447)</f>
        <v>4050</v>
      </c>
    </row>
    <row r="1449" spans="1:6" s="9" customFormat="1" x14ac:dyDescent="0.25">
      <c r="C1449" s="5"/>
      <c r="E1449" s="10"/>
      <c r="F1449" s="10"/>
    </row>
    <row r="1450" spans="1:6" s="9" customFormat="1" x14ac:dyDescent="0.25">
      <c r="A1450" s="9" t="s">
        <v>43</v>
      </c>
      <c r="B1450" s="4">
        <v>45737</v>
      </c>
      <c r="C1450" s="5">
        <v>40</v>
      </c>
      <c r="D1450" s="9" t="s">
        <v>14</v>
      </c>
      <c r="E1450" s="10">
        <v>125</v>
      </c>
      <c r="F1450" s="10">
        <f t="shared" si="23"/>
        <v>5000</v>
      </c>
    </row>
    <row r="1451" spans="1:6" s="9" customFormat="1" x14ac:dyDescent="0.25">
      <c r="C1451" s="5"/>
      <c r="E1451" s="10"/>
      <c r="F1451" s="8">
        <f>SUM(F1450)</f>
        <v>5000</v>
      </c>
    </row>
    <row r="1452" spans="1:6" s="9" customFormat="1" x14ac:dyDescent="0.25">
      <c r="C1452" s="5"/>
      <c r="E1452" s="10"/>
      <c r="F1452" s="10"/>
    </row>
    <row r="1453" spans="1:6" s="9" customFormat="1" x14ac:dyDescent="0.25">
      <c r="A1453" s="9" t="s">
        <v>44</v>
      </c>
      <c r="B1453" s="4">
        <v>45737</v>
      </c>
      <c r="C1453" s="5">
        <v>80</v>
      </c>
      <c r="D1453" s="9" t="s">
        <v>14</v>
      </c>
      <c r="E1453" s="10">
        <v>125</v>
      </c>
      <c r="F1453" s="10">
        <f t="shared" si="23"/>
        <v>10000</v>
      </c>
    </row>
    <row r="1454" spans="1:6" s="9" customFormat="1" x14ac:dyDescent="0.25">
      <c r="C1454" s="5"/>
      <c r="E1454" s="10"/>
      <c r="F1454" s="8">
        <f>SUM(F1453)</f>
        <v>10000</v>
      </c>
    </row>
    <row r="1455" spans="1:6" s="9" customFormat="1" x14ac:dyDescent="0.25">
      <c r="C1455" s="5"/>
      <c r="E1455" s="10"/>
      <c r="F1455" s="10"/>
    </row>
    <row r="1456" spans="1:6" s="9" customFormat="1" x14ac:dyDescent="0.25">
      <c r="A1456" s="9" t="s">
        <v>18</v>
      </c>
      <c r="B1456" s="4">
        <v>45737</v>
      </c>
      <c r="C1456" s="5">
        <v>30</v>
      </c>
      <c r="D1456" s="9" t="s">
        <v>14</v>
      </c>
      <c r="E1456" s="10">
        <v>125</v>
      </c>
      <c r="F1456" s="10">
        <f t="shared" si="23"/>
        <v>3750</v>
      </c>
    </row>
    <row r="1457" spans="1:6" s="9" customFormat="1" x14ac:dyDescent="0.25">
      <c r="C1457" s="5"/>
      <c r="E1457" s="10"/>
      <c r="F1457" s="8">
        <f>SUM(F1456)</f>
        <v>3750</v>
      </c>
    </row>
    <row r="1458" spans="1:6" s="9" customFormat="1" x14ac:dyDescent="0.25">
      <c r="C1458" s="5"/>
      <c r="E1458" s="10"/>
      <c r="F1458" s="10"/>
    </row>
    <row r="1459" spans="1:6" s="9" customFormat="1" x14ac:dyDescent="0.25">
      <c r="A1459" s="9" t="s">
        <v>42</v>
      </c>
      <c r="B1459" s="4">
        <v>45737</v>
      </c>
      <c r="C1459" s="5">
        <v>15</v>
      </c>
      <c r="D1459" s="9" t="s">
        <v>14</v>
      </c>
      <c r="E1459" s="10">
        <v>125</v>
      </c>
      <c r="F1459" s="10">
        <f t="shared" si="23"/>
        <v>1875</v>
      </c>
    </row>
    <row r="1460" spans="1:6" s="9" customFormat="1" x14ac:dyDescent="0.25">
      <c r="C1460" s="5"/>
      <c r="E1460" s="10"/>
      <c r="F1460" s="8">
        <f>SUM(F1459)</f>
        <v>1875</v>
      </c>
    </row>
    <row r="1461" spans="1:6" s="9" customFormat="1" x14ac:dyDescent="0.25">
      <c r="C1461" s="5"/>
      <c r="E1461" s="10"/>
      <c r="F1461" s="10"/>
    </row>
    <row r="1462" spans="1:6" s="9" customFormat="1" x14ac:dyDescent="0.25">
      <c r="A1462" s="9" t="s">
        <v>138</v>
      </c>
      <c r="B1462" s="4">
        <v>45737</v>
      </c>
      <c r="C1462" s="5">
        <v>30</v>
      </c>
      <c r="D1462" s="9" t="s">
        <v>14</v>
      </c>
      <c r="E1462" s="10">
        <v>130</v>
      </c>
      <c r="F1462" s="10">
        <f t="shared" si="23"/>
        <v>3900</v>
      </c>
    </row>
    <row r="1463" spans="1:6" s="9" customFormat="1" x14ac:dyDescent="0.25">
      <c r="C1463" s="5"/>
      <c r="E1463" s="10"/>
      <c r="F1463" s="8">
        <f>SUM(F1462)</f>
        <v>3900</v>
      </c>
    </row>
    <row r="1464" spans="1:6" s="9" customFormat="1" x14ac:dyDescent="0.25">
      <c r="C1464" s="5"/>
      <c r="E1464" s="10"/>
      <c r="F1464" s="10"/>
    </row>
    <row r="1465" spans="1:6" s="9" customFormat="1" x14ac:dyDescent="0.25">
      <c r="A1465" s="9" t="s">
        <v>47</v>
      </c>
      <c r="B1465" s="4">
        <v>45737</v>
      </c>
      <c r="C1465" s="5">
        <v>38</v>
      </c>
      <c r="D1465" s="9" t="s">
        <v>14</v>
      </c>
      <c r="E1465" s="10">
        <v>130</v>
      </c>
      <c r="F1465" s="10">
        <f t="shared" si="23"/>
        <v>4940</v>
      </c>
    </row>
    <row r="1466" spans="1:6" s="9" customFormat="1" x14ac:dyDescent="0.25">
      <c r="C1466" s="5">
        <v>10</v>
      </c>
      <c r="D1466" s="9" t="s">
        <v>12</v>
      </c>
      <c r="E1466" s="10">
        <v>135</v>
      </c>
      <c r="F1466" s="10">
        <f t="shared" si="23"/>
        <v>1350</v>
      </c>
    </row>
    <row r="1467" spans="1:6" s="9" customFormat="1" x14ac:dyDescent="0.25">
      <c r="C1467" s="5"/>
      <c r="E1467" s="10"/>
      <c r="F1467" s="8">
        <f>SUM(F1465:F1466)</f>
        <v>6290</v>
      </c>
    </row>
    <row r="1468" spans="1:6" s="9" customFormat="1" x14ac:dyDescent="0.25">
      <c r="C1468" s="5"/>
      <c r="E1468" s="10"/>
      <c r="F1468" s="10"/>
    </row>
    <row r="1469" spans="1:6" s="9" customFormat="1" x14ac:dyDescent="0.25">
      <c r="A1469" s="9" t="s">
        <v>51</v>
      </c>
      <c r="B1469" s="4">
        <v>45737</v>
      </c>
      <c r="C1469" s="5">
        <v>139</v>
      </c>
      <c r="D1469" s="9" t="s">
        <v>14</v>
      </c>
      <c r="E1469" s="10">
        <v>118</v>
      </c>
      <c r="F1469" s="10">
        <f t="shared" si="23"/>
        <v>16402</v>
      </c>
    </row>
    <row r="1470" spans="1:6" s="9" customFormat="1" x14ac:dyDescent="0.25">
      <c r="C1470" s="5"/>
      <c r="E1470" s="10"/>
      <c r="F1470" s="8">
        <f>SUM(F1469)</f>
        <v>16402</v>
      </c>
    </row>
    <row r="1471" spans="1:6" s="9" customFormat="1" x14ac:dyDescent="0.25">
      <c r="C1471" s="5"/>
      <c r="E1471" s="10"/>
      <c r="F1471" s="10"/>
    </row>
    <row r="1472" spans="1:6" s="9" customFormat="1" x14ac:dyDescent="0.25">
      <c r="A1472" s="9" t="s">
        <v>48</v>
      </c>
      <c r="B1472" s="4">
        <v>45737</v>
      </c>
      <c r="C1472" s="5">
        <v>52</v>
      </c>
      <c r="D1472" s="9" t="s">
        <v>49</v>
      </c>
      <c r="E1472" s="10"/>
      <c r="F1472" s="10">
        <f t="shared" si="23"/>
        <v>0</v>
      </c>
    </row>
    <row r="1473" spans="1:6" s="9" customFormat="1" x14ac:dyDescent="0.25">
      <c r="C1473" s="5">
        <v>150</v>
      </c>
      <c r="D1473" s="9" t="s">
        <v>14</v>
      </c>
      <c r="E1473" s="10"/>
      <c r="F1473" s="10">
        <f t="shared" si="23"/>
        <v>0</v>
      </c>
    </row>
    <row r="1474" spans="1:6" s="9" customFormat="1" x14ac:dyDescent="0.25">
      <c r="C1474" s="5">
        <v>194</v>
      </c>
      <c r="D1474" s="9" t="s">
        <v>50</v>
      </c>
      <c r="E1474" s="10"/>
      <c r="F1474" s="10">
        <f t="shared" si="23"/>
        <v>0</v>
      </c>
    </row>
    <row r="1475" spans="1:6" s="9" customFormat="1" x14ac:dyDescent="0.25">
      <c r="C1475" s="5">
        <v>72</v>
      </c>
      <c r="D1475" s="9" t="s">
        <v>22</v>
      </c>
      <c r="E1475" s="10"/>
      <c r="F1475" s="10">
        <f t="shared" si="23"/>
        <v>0</v>
      </c>
    </row>
    <row r="1476" spans="1:6" s="9" customFormat="1" x14ac:dyDescent="0.25">
      <c r="C1476" s="5"/>
      <c r="E1476" s="10"/>
      <c r="F1476" s="8">
        <f>SUM(F1472:F1475)</f>
        <v>0</v>
      </c>
    </row>
    <row r="1477" spans="1:6" s="9" customFormat="1" x14ac:dyDescent="0.25">
      <c r="C1477" s="5"/>
      <c r="E1477" s="10"/>
      <c r="F1477" s="10"/>
    </row>
    <row r="1478" spans="1:6" s="9" customFormat="1" x14ac:dyDescent="0.25">
      <c r="A1478" s="9" t="s">
        <v>259</v>
      </c>
      <c r="B1478" s="4">
        <v>45737</v>
      </c>
      <c r="C1478" s="5">
        <v>70</v>
      </c>
      <c r="D1478" s="9" t="s">
        <v>98</v>
      </c>
      <c r="E1478" s="10"/>
      <c r="F1478" s="10">
        <f t="shared" ref="F1478:F1540" si="24">+C1478*E1478</f>
        <v>0</v>
      </c>
    </row>
    <row r="1479" spans="1:6" s="9" customFormat="1" x14ac:dyDescent="0.25">
      <c r="C1479" s="5"/>
      <c r="E1479" s="10"/>
      <c r="F1479" s="8">
        <f>SUM(F1478)</f>
        <v>0</v>
      </c>
    </row>
    <row r="1480" spans="1:6" s="9" customFormat="1" x14ac:dyDescent="0.25">
      <c r="C1480" s="5"/>
      <c r="E1480" s="10"/>
      <c r="F1480" s="10"/>
    </row>
    <row r="1481" spans="1:6" s="9" customFormat="1" x14ac:dyDescent="0.25">
      <c r="A1481" s="9" t="s">
        <v>218</v>
      </c>
      <c r="B1481" s="4">
        <v>45737</v>
      </c>
      <c r="C1481" s="5">
        <v>5</v>
      </c>
      <c r="D1481" s="9" t="s">
        <v>13</v>
      </c>
      <c r="E1481" s="10">
        <v>150</v>
      </c>
      <c r="F1481" s="10">
        <f t="shared" si="24"/>
        <v>750</v>
      </c>
    </row>
    <row r="1482" spans="1:6" s="9" customFormat="1" x14ac:dyDescent="0.25">
      <c r="C1482" s="5"/>
      <c r="E1482" s="10"/>
      <c r="F1482" s="8">
        <f>SUM(F1481)</f>
        <v>750</v>
      </c>
    </row>
    <row r="1483" spans="1:6" s="9" customFormat="1" x14ac:dyDescent="0.25">
      <c r="C1483" s="5"/>
      <c r="E1483" s="10"/>
      <c r="F1483" s="10"/>
    </row>
    <row r="1484" spans="1:6" s="9" customFormat="1" x14ac:dyDescent="0.25">
      <c r="A1484" s="9" t="s">
        <v>29</v>
      </c>
      <c r="B1484" s="4">
        <v>45737</v>
      </c>
      <c r="C1484" s="5">
        <v>1</v>
      </c>
      <c r="D1484" s="9" t="s">
        <v>12</v>
      </c>
      <c r="E1484" s="10">
        <v>150</v>
      </c>
      <c r="F1484" s="10">
        <f t="shared" si="24"/>
        <v>150</v>
      </c>
    </row>
    <row r="1485" spans="1:6" s="9" customFormat="1" x14ac:dyDescent="0.25">
      <c r="C1485" s="5">
        <v>2</v>
      </c>
      <c r="D1485" s="9" t="s">
        <v>12</v>
      </c>
      <c r="E1485" s="10">
        <v>150</v>
      </c>
      <c r="F1485" s="10">
        <f t="shared" si="24"/>
        <v>300</v>
      </c>
    </row>
    <row r="1486" spans="1:6" s="9" customFormat="1" x14ac:dyDescent="0.25">
      <c r="C1486" s="5">
        <v>10</v>
      </c>
      <c r="D1486" s="9" t="s">
        <v>168</v>
      </c>
      <c r="E1486" s="10">
        <v>140</v>
      </c>
      <c r="F1486" s="10">
        <f t="shared" si="24"/>
        <v>1400</v>
      </c>
    </row>
    <row r="1487" spans="1:6" s="9" customFormat="1" x14ac:dyDescent="0.25">
      <c r="C1487" s="5"/>
      <c r="E1487" s="10"/>
      <c r="F1487" s="8">
        <f>SUM(F1484:F1486)</f>
        <v>1850</v>
      </c>
    </row>
    <row r="1488" spans="1:6" s="9" customFormat="1" x14ac:dyDescent="0.25">
      <c r="C1488" s="5"/>
      <c r="E1488" s="10"/>
      <c r="F1488" s="10"/>
    </row>
    <row r="1489" spans="1:6" s="9" customFormat="1" x14ac:dyDescent="0.25">
      <c r="A1489" s="9" t="s">
        <v>7</v>
      </c>
      <c r="B1489" s="4">
        <v>45737</v>
      </c>
      <c r="C1489" s="5">
        <v>2</v>
      </c>
      <c r="D1489" s="9" t="s">
        <v>342</v>
      </c>
      <c r="E1489" s="10">
        <v>140</v>
      </c>
      <c r="F1489" s="10">
        <f t="shared" si="24"/>
        <v>280</v>
      </c>
    </row>
    <row r="1490" spans="1:6" s="9" customFormat="1" x14ac:dyDescent="0.25">
      <c r="C1490" s="5">
        <v>1.1399999999999999</v>
      </c>
      <c r="D1490" s="9" t="s">
        <v>8</v>
      </c>
      <c r="E1490" s="10">
        <v>170</v>
      </c>
      <c r="F1490" s="10">
        <f t="shared" si="24"/>
        <v>193.79999999999998</v>
      </c>
    </row>
    <row r="1491" spans="1:6" s="9" customFormat="1" x14ac:dyDescent="0.25">
      <c r="C1491" s="5"/>
      <c r="E1491" s="10"/>
      <c r="F1491" s="8">
        <f>SUM(F1489:F1490)</f>
        <v>473.79999999999995</v>
      </c>
    </row>
    <row r="1492" spans="1:6" s="9" customFormat="1" x14ac:dyDescent="0.25">
      <c r="C1492" s="5"/>
      <c r="E1492" s="10"/>
      <c r="F1492" s="10"/>
    </row>
    <row r="1493" spans="1:6" s="9" customFormat="1" x14ac:dyDescent="0.25">
      <c r="A1493" s="9" t="s">
        <v>270</v>
      </c>
      <c r="B1493" s="4">
        <v>45738</v>
      </c>
      <c r="C1493" s="5">
        <v>5</v>
      </c>
      <c r="D1493" s="9" t="s">
        <v>98</v>
      </c>
      <c r="E1493" s="10">
        <v>100</v>
      </c>
      <c r="F1493" s="10">
        <f t="shared" si="24"/>
        <v>500</v>
      </c>
    </row>
    <row r="1494" spans="1:6" s="9" customFormat="1" x14ac:dyDescent="0.25">
      <c r="C1494" s="5"/>
      <c r="E1494" s="10"/>
      <c r="F1494" s="8">
        <f>SUM(F1493)</f>
        <v>500</v>
      </c>
    </row>
    <row r="1495" spans="1:6" s="9" customFormat="1" x14ac:dyDescent="0.25">
      <c r="C1495" s="5"/>
      <c r="E1495" s="10"/>
      <c r="F1495" s="10"/>
    </row>
    <row r="1496" spans="1:6" s="9" customFormat="1" x14ac:dyDescent="0.25">
      <c r="A1496" s="9" t="s">
        <v>58</v>
      </c>
      <c r="B1496" s="4">
        <v>45738</v>
      </c>
      <c r="C1496" s="5">
        <v>10</v>
      </c>
      <c r="D1496" s="9" t="s">
        <v>13</v>
      </c>
      <c r="E1496" s="10">
        <v>140</v>
      </c>
      <c r="F1496" s="10">
        <f t="shared" si="24"/>
        <v>1400</v>
      </c>
    </row>
    <row r="1497" spans="1:6" s="9" customFormat="1" x14ac:dyDescent="0.25">
      <c r="C1497" s="5"/>
      <c r="E1497" s="10"/>
      <c r="F1497" s="8">
        <f>SUM(F1496)</f>
        <v>1400</v>
      </c>
    </row>
    <row r="1498" spans="1:6" s="9" customFormat="1" x14ac:dyDescent="0.25">
      <c r="C1498" s="5"/>
      <c r="E1498" s="10"/>
      <c r="F1498" s="10"/>
    </row>
    <row r="1499" spans="1:6" s="9" customFormat="1" x14ac:dyDescent="0.25">
      <c r="A1499" s="9" t="s">
        <v>343</v>
      </c>
      <c r="B1499" s="4">
        <v>45738</v>
      </c>
      <c r="C1499" s="5">
        <v>4</v>
      </c>
      <c r="D1499" s="9" t="s">
        <v>22</v>
      </c>
      <c r="E1499" s="10">
        <v>105</v>
      </c>
      <c r="F1499" s="10">
        <f t="shared" si="24"/>
        <v>420</v>
      </c>
    </row>
    <row r="1500" spans="1:6" s="9" customFormat="1" x14ac:dyDescent="0.25">
      <c r="C1500" s="5">
        <v>6</v>
      </c>
      <c r="D1500" s="9" t="s">
        <v>13</v>
      </c>
      <c r="E1500" s="10">
        <v>140</v>
      </c>
      <c r="F1500" s="10">
        <f t="shared" si="24"/>
        <v>840</v>
      </c>
    </row>
    <row r="1501" spans="1:6" s="9" customFormat="1" x14ac:dyDescent="0.25">
      <c r="C1501" s="5"/>
      <c r="E1501" s="10"/>
      <c r="F1501" s="8">
        <f>SUM(F1499:F1500)</f>
        <v>1260</v>
      </c>
    </row>
    <row r="1502" spans="1:6" s="9" customFormat="1" x14ac:dyDescent="0.25">
      <c r="C1502" s="5"/>
      <c r="E1502" s="10"/>
      <c r="F1502" s="10"/>
    </row>
    <row r="1503" spans="1:6" s="9" customFormat="1" x14ac:dyDescent="0.25">
      <c r="A1503" s="9" t="s">
        <v>17</v>
      </c>
      <c r="B1503" s="4">
        <v>45738</v>
      </c>
      <c r="C1503" s="5">
        <v>10</v>
      </c>
      <c r="D1503" s="9" t="s">
        <v>13</v>
      </c>
      <c r="E1503" s="10">
        <v>140</v>
      </c>
      <c r="F1503" s="10">
        <f t="shared" si="24"/>
        <v>1400</v>
      </c>
    </row>
    <row r="1504" spans="1:6" s="9" customFormat="1" x14ac:dyDescent="0.25">
      <c r="C1504" s="5"/>
      <c r="E1504" s="10"/>
      <c r="F1504" s="8">
        <f>SUM(F1503)</f>
        <v>1400</v>
      </c>
    </row>
    <row r="1505" spans="1:6" s="9" customFormat="1" x14ac:dyDescent="0.25">
      <c r="C1505" s="5"/>
      <c r="E1505" s="10"/>
      <c r="F1505" s="10"/>
    </row>
    <row r="1506" spans="1:6" s="9" customFormat="1" x14ac:dyDescent="0.25">
      <c r="A1506" s="9" t="s">
        <v>157</v>
      </c>
      <c r="B1506" s="4">
        <v>45738</v>
      </c>
      <c r="C1506" s="5">
        <v>10</v>
      </c>
      <c r="D1506" s="9" t="s">
        <v>8</v>
      </c>
      <c r="E1506" s="10">
        <v>150</v>
      </c>
      <c r="F1506" s="10">
        <f t="shared" si="24"/>
        <v>1500</v>
      </c>
    </row>
    <row r="1507" spans="1:6" s="9" customFormat="1" x14ac:dyDescent="0.25">
      <c r="C1507" s="5"/>
      <c r="E1507" s="10"/>
      <c r="F1507" s="8">
        <f>SUM(F1506)</f>
        <v>1500</v>
      </c>
    </row>
    <row r="1508" spans="1:6" s="9" customFormat="1" x14ac:dyDescent="0.25">
      <c r="C1508" s="5"/>
      <c r="E1508" s="10"/>
      <c r="F1508" s="10"/>
    </row>
    <row r="1509" spans="1:6" s="9" customFormat="1" x14ac:dyDescent="0.25">
      <c r="A1509" s="9" t="s">
        <v>20</v>
      </c>
      <c r="B1509" s="4">
        <v>45738</v>
      </c>
      <c r="C1509" s="5">
        <v>10</v>
      </c>
      <c r="D1509" s="9" t="s">
        <v>13</v>
      </c>
      <c r="E1509" s="10">
        <v>140</v>
      </c>
      <c r="F1509" s="10">
        <f t="shared" si="24"/>
        <v>1400</v>
      </c>
    </row>
    <row r="1510" spans="1:6" s="9" customFormat="1" x14ac:dyDescent="0.25">
      <c r="C1510" s="5"/>
      <c r="E1510" s="10"/>
      <c r="F1510" s="8">
        <f>SUM(F1509)</f>
        <v>1400</v>
      </c>
    </row>
    <row r="1511" spans="1:6" s="9" customFormat="1" x14ac:dyDescent="0.25">
      <c r="C1511" s="5"/>
      <c r="E1511" s="10"/>
      <c r="F1511" s="10"/>
    </row>
    <row r="1512" spans="1:6" s="9" customFormat="1" x14ac:dyDescent="0.25">
      <c r="A1512" s="9" t="s">
        <v>21</v>
      </c>
      <c r="B1512" s="4">
        <v>45738</v>
      </c>
      <c r="C1512" s="5">
        <v>14</v>
      </c>
      <c r="D1512" s="9" t="s">
        <v>13</v>
      </c>
      <c r="E1512" s="10">
        <v>140</v>
      </c>
      <c r="F1512" s="10">
        <f t="shared" si="24"/>
        <v>1960</v>
      </c>
    </row>
    <row r="1513" spans="1:6" s="9" customFormat="1" x14ac:dyDescent="0.25">
      <c r="C1513" s="5">
        <v>6</v>
      </c>
      <c r="D1513" s="9" t="s">
        <v>12</v>
      </c>
      <c r="E1513" s="10">
        <v>120</v>
      </c>
      <c r="F1513" s="10">
        <f t="shared" si="24"/>
        <v>720</v>
      </c>
    </row>
    <row r="1514" spans="1:6" s="9" customFormat="1" x14ac:dyDescent="0.25">
      <c r="C1514" s="5"/>
      <c r="E1514" s="10"/>
      <c r="F1514" s="8">
        <f>SUM(F1512:F1513)</f>
        <v>2680</v>
      </c>
    </row>
    <row r="1515" spans="1:6" s="9" customFormat="1" x14ac:dyDescent="0.25">
      <c r="C1515" s="5"/>
      <c r="E1515" s="10"/>
      <c r="F1515" s="10"/>
    </row>
    <row r="1516" spans="1:6" s="9" customFormat="1" x14ac:dyDescent="0.25">
      <c r="A1516" s="9" t="s">
        <v>57</v>
      </c>
      <c r="B1516" s="4">
        <v>45738</v>
      </c>
      <c r="C1516" s="5">
        <v>10</v>
      </c>
      <c r="D1516" s="9" t="s">
        <v>14</v>
      </c>
      <c r="E1516" s="10">
        <v>125</v>
      </c>
      <c r="F1516" s="10">
        <f t="shared" si="24"/>
        <v>1250</v>
      </c>
    </row>
    <row r="1517" spans="1:6" s="9" customFormat="1" x14ac:dyDescent="0.25">
      <c r="C1517" s="5">
        <v>15</v>
      </c>
      <c r="D1517" s="9" t="s">
        <v>13</v>
      </c>
      <c r="E1517" s="10">
        <v>140</v>
      </c>
      <c r="F1517" s="10">
        <f t="shared" si="24"/>
        <v>2100</v>
      </c>
    </row>
    <row r="1518" spans="1:6" s="9" customFormat="1" x14ac:dyDescent="0.25">
      <c r="C1518" s="5"/>
      <c r="E1518" s="10"/>
      <c r="F1518" s="8">
        <f>SUM(F1516:F1517)</f>
        <v>3350</v>
      </c>
    </row>
    <row r="1519" spans="1:6" s="9" customFormat="1" x14ac:dyDescent="0.25">
      <c r="C1519" s="5"/>
      <c r="E1519" s="10"/>
      <c r="F1519" s="10"/>
    </row>
    <row r="1520" spans="1:6" s="9" customFormat="1" x14ac:dyDescent="0.25">
      <c r="A1520" s="9" t="s">
        <v>344</v>
      </c>
      <c r="B1520" s="4">
        <v>45738</v>
      </c>
      <c r="C1520" s="5">
        <v>10</v>
      </c>
      <c r="D1520" s="9" t="s">
        <v>8</v>
      </c>
      <c r="E1520" s="10">
        <v>150</v>
      </c>
      <c r="F1520" s="10">
        <f t="shared" si="24"/>
        <v>1500</v>
      </c>
    </row>
    <row r="1521" spans="1:6" s="9" customFormat="1" x14ac:dyDescent="0.25">
      <c r="C1521" s="5">
        <v>10</v>
      </c>
      <c r="D1521" s="9" t="s">
        <v>13</v>
      </c>
      <c r="E1521" s="10">
        <v>140</v>
      </c>
      <c r="F1521" s="10">
        <f t="shared" si="24"/>
        <v>1400</v>
      </c>
    </row>
    <row r="1522" spans="1:6" s="9" customFormat="1" x14ac:dyDescent="0.25">
      <c r="C1522" s="5"/>
      <c r="E1522" s="10"/>
      <c r="F1522" s="8">
        <f>SUM(F1520:F1521)</f>
        <v>2900</v>
      </c>
    </row>
    <row r="1523" spans="1:6" s="9" customFormat="1" x14ac:dyDescent="0.25">
      <c r="C1523" s="5"/>
      <c r="E1523" s="10"/>
      <c r="F1523" s="10"/>
    </row>
    <row r="1524" spans="1:6" s="9" customFormat="1" x14ac:dyDescent="0.25">
      <c r="A1524" s="9" t="s">
        <v>40</v>
      </c>
      <c r="B1524" s="4">
        <v>45738</v>
      </c>
      <c r="C1524" s="5">
        <v>15</v>
      </c>
      <c r="D1524" s="9" t="s">
        <v>8</v>
      </c>
      <c r="E1524" s="10">
        <v>150</v>
      </c>
      <c r="F1524" s="10">
        <f t="shared" si="24"/>
        <v>2250</v>
      </c>
    </row>
    <row r="1525" spans="1:6" s="9" customFormat="1" x14ac:dyDescent="0.25">
      <c r="C1525" s="5">
        <v>10</v>
      </c>
      <c r="D1525" s="9" t="s">
        <v>13</v>
      </c>
      <c r="E1525" s="10">
        <v>140</v>
      </c>
      <c r="F1525" s="10">
        <f t="shared" si="24"/>
        <v>1400</v>
      </c>
    </row>
    <row r="1526" spans="1:6" s="9" customFormat="1" x14ac:dyDescent="0.25">
      <c r="C1526" s="5">
        <v>6</v>
      </c>
      <c r="D1526" s="9" t="s">
        <v>14</v>
      </c>
      <c r="E1526" s="10">
        <v>125</v>
      </c>
      <c r="F1526" s="10">
        <f t="shared" si="24"/>
        <v>750</v>
      </c>
    </row>
    <row r="1527" spans="1:6" s="9" customFormat="1" x14ac:dyDescent="0.25">
      <c r="C1527" s="5">
        <v>10</v>
      </c>
      <c r="D1527" s="9" t="s">
        <v>12</v>
      </c>
      <c r="E1527" s="10">
        <v>120</v>
      </c>
      <c r="F1527" s="10">
        <f t="shared" si="24"/>
        <v>1200</v>
      </c>
    </row>
    <row r="1528" spans="1:6" s="9" customFormat="1" x14ac:dyDescent="0.25">
      <c r="C1528" s="5">
        <v>10</v>
      </c>
      <c r="D1528" s="9" t="s">
        <v>11</v>
      </c>
      <c r="E1528" s="10">
        <v>115</v>
      </c>
      <c r="F1528" s="10">
        <f t="shared" si="24"/>
        <v>1150</v>
      </c>
    </row>
    <row r="1529" spans="1:6" s="9" customFormat="1" x14ac:dyDescent="0.25">
      <c r="C1529" s="5">
        <v>60</v>
      </c>
      <c r="D1529" s="9" t="s">
        <v>345</v>
      </c>
      <c r="E1529" s="10">
        <v>2</v>
      </c>
      <c r="F1529" s="10">
        <f t="shared" si="24"/>
        <v>120</v>
      </c>
    </row>
    <row r="1530" spans="1:6" s="9" customFormat="1" x14ac:dyDescent="0.25">
      <c r="C1530" s="5"/>
      <c r="E1530" s="10"/>
      <c r="F1530" s="8">
        <f>SUM(F1524:F1529)</f>
        <v>6870</v>
      </c>
    </row>
    <row r="1531" spans="1:6" s="9" customFormat="1" x14ac:dyDescent="0.25">
      <c r="C1531" s="5"/>
      <c r="E1531" s="10"/>
      <c r="F1531" s="10"/>
    </row>
    <row r="1532" spans="1:6" s="9" customFormat="1" x14ac:dyDescent="0.25">
      <c r="A1532" s="9" t="s">
        <v>80</v>
      </c>
      <c r="B1532" s="4">
        <v>45738</v>
      </c>
      <c r="C1532" s="5">
        <v>5</v>
      </c>
      <c r="D1532" s="9" t="s">
        <v>13</v>
      </c>
      <c r="E1532" s="10">
        <v>140</v>
      </c>
      <c r="F1532" s="10">
        <f t="shared" si="24"/>
        <v>700</v>
      </c>
    </row>
    <row r="1533" spans="1:6" s="9" customFormat="1" x14ac:dyDescent="0.25">
      <c r="C1533" s="5"/>
      <c r="E1533" s="10"/>
      <c r="F1533" s="8">
        <f>SUM(F1532)</f>
        <v>700</v>
      </c>
    </row>
    <row r="1534" spans="1:6" s="9" customFormat="1" x14ac:dyDescent="0.25">
      <c r="C1534" s="5"/>
      <c r="E1534" s="10"/>
      <c r="F1534" s="10"/>
    </row>
    <row r="1535" spans="1:6" s="9" customFormat="1" x14ac:dyDescent="0.25">
      <c r="A1535" s="9" t="s">
        <v>65</v>
      </c>
      <c r="B1535" s="4">
        <v>45738</v>
      </c>
      <c r="C1535" s="5">
        <v>1830</v>
      </c>
      <c r="D1535" s="9" t="s">
        <v>12</v>
      </c>
      <c r="E1535" s="10"/>
      <c r="F1535" s="10">
        <f t="shared" si="24"/>
        <v>0</v>
      </c>
    </row>
    <row r="1536" spans="1:6" s="9" customFormat="1" x14ac:dyDescent="0.25">
      <c r="C1536" s="5">
        <v>300</v>
      </c>
      <c r="D1536" s="9" t="s">
        <v>11</v>
      </c>
      <c r="E1536" s="10"/>
      <c r="F1536" s="10">
        <f t="shared" si="24"/>
        <v>0</v>
      </c>
    </row>
    <row r="1537" spans="1:6" s="9" customFormat="1" x14ac:dyDescent="0.25">
      <c r="C1537" s="5">
        <v>500</v>
      </c>
      <c r="D1537" s="9" t="s">
        <v>22</v>
      </c>
      <c r="E1537" s="10"/>
      <c r="F1537" s="10">
        <f t="shared" si="24"/>
        <v>0</v>
      </c>
    </row>
    <row r="1538" spans="1:6" s="9" customFormat="1" x14ac:dyDescent="0.25">
      <c r="C1538" s="5"/>
      <c r="E1538" s="10"/>
      <c r="F1538" s="8">
        <f>SUM(F1535:F1537)</f>
        <v>0</v>
      </c>
    </row>
    <row r="1539" spans="1:6" s="9" customFormat="1" x14ac:dyDescent="0.25">
      <c r="C1539" s="5"/>
      <c r="E1539" s="10"/>
      <c r="F1539" s="10"/>
    </row>
    <row r="1540" spans="1:6" s="9" customFormat="1" x14ac:dyDescent="0.25">
      <c r="A1540" s="9" t="s">
        <v>127</v>
      </c>
      <c r="B1540" s="4">
        <v>45738</v>
      </c>
      <c r="C1540" s="5">
        <v>20</v>
      </c>
      <c r="D1540" s="9" t="s">
        <v>13</v>
      </c>
      <c r="E1540" s="10">
        <v>140</v>
      </c>
      <c r="F1540" s="10">
        <f t="shared" si="24"/>
        <v>2800</v>
      </c>
    </row>
    <row r="1541" spans="1:6" s="9" customFormat="1" x14ac:dyDescent="0.25">
      <c r="C1541" s="5"/>
      <c r="E1541" s="10"/>
      <c r="F1541" s="8">
        <f>SUM(F1540)</f>
        <v>2800</v>
      </c>
    </row>
    <row r="1542" spans="1:6" s="9" customFormat="1" x14ac:dyDescent="0.25">
      <c r="C1542" s="5"/>
      <c r="E1542" s="10"/>
      <c r="F1542" s="10"/>
    </row>
    <row r="1543" spans="1:6" s="9" customFormat="1" x14ac:dyDescent="0.25">
      <c r="A1543" s="9" t="s">
        <v>60</v>
      </c>
      <c r="B1543" s="4">
        <v>45738</v>
      </c>
      <c r="C1543" s="5">
        <v>20</v>
      </c>
      <c r="D1543" s="9" t="s">
        <v>13</v>
      </c>
      <c r="E1543" s="10">
        <v>140</v>
      </c>
      <c r="F1543" s="10">
        <f t="shared" ref="F1543:F1605" si="25">+C1543*E1543</f>
        <v>2800</v>
      </c>
    </row>
    <row r="1544" spans="1:6" s="9" customFormat="1" x14ac:dyDescent="0.25">
      <c r="C1544" s="5"/>
      <c r="E1544" s="10"/>
      <c r="F1544" s="8">
        <f>SUM(F1543)</f>
        <v>2800</v>
      </c>
    </row>
    <row r="1545" spans="1:6" s="9" customFormat="1" x14ac:dyDescent="0.25">
      <c r="C1545" s="5"/>
      <c r="E1545" s="10"/>
      <c r="F1545" s="10"/>
    </row>
    <row r="1546" spans="1:6" s="9" customFormat="1" x14ac:dyDescent="0.25">
      <c r="A1546" s="9" t="s">
        <v>62</v>
      </c>
      <c r="B1546" s="4">
        <v>45738</v>
      </c>
      <c r="C1546" s="5">
        <v>20</v>
      </c>
      <c r="D1546" s="9" t="s">
        <v>8</v>
      </c>
      <c r="E1546" s="10">
        <v>160</v>
      </c>
      <c r="F1546" s="10">
        <f t="shared" si="25"/>
        <v>3200</v>
      </c>
    </row>
    <row r="1547" spans="1:6" s="9" customFormat="1" x14ac:dyDescent="0.25">
      <c r="C1547" s="5"/>
      <c r="E1547" s="10"/>
      <c r="F1547" s="8">
        <f>SUM(F1546)</f>
        <v>3200</v>
      </c>
    </row>
    <row r="1548" spans="1:6" s="9" customFormat="1" x14ac:dyDescent="0.25">
      <c r="C1548" s="5"/>
      <c r="E1548" s="10"/>
      <c r="F1548" s="10"/>
    </row>
    <row r="1549" spans="1:6" s="9" customFormat="1" x14ac:dyDescent="0.25">
      <c r="A1549" s="9" t="s">
        <v>64</v>
      </c>
      <c r="B1549" s="4">
        <v>45738</v>
      </c>
      <c r="C1549" s="5">
        <v>50</v>
      </c>
      <c r="D1549" s="9" t="s">
        <v>8</v>
      </c>
      <c r="E1549" s="10">
        <v>155</v>
      </c>
      <c r="F1549" s="10">
        <f t="shared" si="25"/>
        <v>7750</v>
      </c>
    </row>
    <row r="1550" spans="1:6" s="9" customFormat="1" x14ac:dyDescent="0.25">
      <c r="C1550" s="5">
        <v>40</v>
      </c>
      <c r="D1550" s="9" t="s">
        <v>13</v>
      </c>
      <c r="E1550" s="10">
        <v>140</v>
      </c>
      <c r="F1550" s="10">
        <f t="shared" si="25"/>
        <v>5600</v>
      </c>
    </row>
    <row r="1551" spans="1:6" s="9" customFormat="1" x14ac:dyDescent="0.25">
      <c r="C1551" s="5">
        <v>30</v>
      </c>
      <c r="D1551" s="9" t="s">
        <v>12</v>
      </c>
      <c r="E1551" s="10">
        <v>130</v>
      </c>
      <c r="F1551" s="10">
        <f t="shared" si="25"/>
        <v>3900</v>
      </c>
    </row>
    <row r="1552" spans="1:6" s="9" customFormat="1" x14ac:dyDescent="0.25">
      <c r="C1552" s="5">
        <v>40</v>
      </c>
      <c r="D1552" s="9" t="s">
        <v>22</v>
      </c>
      <c r="E1552" s="10">
        <v>115</v>
      </c>
      <c r="F1552" s="10">
        <f t="shared" si="25"/>
        <v>4600</v>
      </c>
    </row>
    <row r="1553" spans="1:6" s="9" customFormat="1" x14ac:dyDescent="0.25">
      <c r="C1553" s="5">
        <v>20</v>
      </c>
      <c r="D1553" s="9" t="s">
        <v>14</v>
      </c>
      <c r="E1553" s="10">
        <v>130</v>
      </c>
      <c r="F1553" s="10">
        <f t="shared" si="25"/>
        <v>2600</v>
      </c>
    </row>
    <row r="1554" spans="1:6" s="9" customFormat="1" x14ac:dyDescent="0.25">
      <c r="C1554" s="5">
        <v>30</v>
      </c>
      <c r="D1554" s="9" t="s">
        <v>11</v>
      </c>
      <c r="E1554" s="10">
        <v>125</v>
      </c>
      <c r="F1554" s="10">
        <f t="shared" si="25"/>
        <v>3750</v>
      </c>
    </row>
    <row r="1555" spans="1:6" s="9" customFormat="1" x14ac:dyDescent="0.25">
      <c r="C1555" s="5"/>
      <c r="E1555" s="10"/>
      <c r="F1555" s="8">
        <f>SUM(F1549:F1554)</f>
        <v>28200</v>
      </c>
    </row>
    <row r="1556" spans="1:6" s="9" customFormat="1" x14ac:dyDescent="0.25">
      <c r="C1556" s="5"/>
      <c r="E1556" s="10"/>
      <c r="F1556" s="10"/>
    </row>
    <row r="1557" spans="1:6" s="9" customFormat="1" x14ac:dyDescent="0.25">
      <c r="A1557" s="9" t="s">
        <v>61</v>
      </c>
      <c r="B1557" s="4">
        <v>45738</v>
      </c>
      <c r="C1557" s="5">
        <v>50</v>
      </c>
      <c r="D1557" s="9" t="s">
        <v>13</v>
      </c>
      <c r="E1557" s="10">
        <v>140</v>
      </c>
      <c r="F1557" s="10">
        <f t="shared" si="25"/>
        <v>7000</v>
      </c>
    </row>
    <row r="1558" spans="1:6" s="9" customFormat="1" x14ac:dyDescent="0.25">
      <c r="C1558" s="5"/>
      <c r="E1558" s="10"/>
      <c r="F1558" s="8">
        <f>SUM(F1557)</f>
        <v>7000</v>
      </c>
    </row>
    <row r="1559" spans="1:6" s="9" customFormat="1" x14ac:dyDescent="0.25">
      <c r="C1559" s="5"/>
      <c r="E1559" s="10"/>
      <c r="F1559" s="10"/>
    </row>
    <row r="1560" spans="1:6" s="9" customFormat="1" x14ac:dyDescent="0.25">
      <c r="A1560" s="9" t="s">
        <v>66</v>
      </c>
      <c r="B1560" s="4">
        <v>45738</v>
      </c>
      <c r="C1560" s="5">
        <v>20</v>
      </c>
      <c r="D1560" s="9" t="s">
        <v>8</v>
      </c>
      <c r="E1560" s="10">
        <v>155</v>
      </c>
      <c r="F1560" s="10">
        <f t="shared" si="25"/>
        <v>3100</v>
      </c>
    </row>
    <row r="1561" spans="1:6" s="9" customFormat="1" x14ac:dyDescent="0.25">
      <c r="C1561" s="5"/>
      <c r="E1561" s="10"/>
      <c r="F1561" s="8">
        <f>SUM(F1560)</f>
        <v>3100</v>
      </c>
    </row>
    <row r="1562" spans="1:6" s="9" customFormat="1" x14ac:dyDescent="0.25">
      <c r="C1562" s="5"/>
      <c r="E1562" s="10"/>
      <c r="F1562" s="10"/>
    </row>
    <row r="1563" spans="1:6" s="9" customFormat="1" x14ac:dyDescent="0.25">
      <c r="A1563" s="9" t="s">
        <v>245</v>
      </c>
      <c r="B1563" s="4">
        <v>45738</v>
      </c>
      <c r="C1563" s="5">
        <v>130</v>
      </c>
      <c r="D1563" s="9" t="s">
        <v>13</v>
      </c>
      <c r="E1563" s="10">
        <v>140</v>
      </c>
      <c r="F1563" s="10">
        <f t="shared" si="25"/>
        <v>18200</v>
      </c>
    </row>
    <row r="1564" spans="1:6" s="9" customFormat="1" x14ac:dyDescent="0.25">
      <c r="C1564" s="5">
        <v>20</v>
      </c>
      <c r="D1564" s="9" t="s">
        <v>14</v>
      </c>
      <c r="E1564" s="10">
        <v>135</v>
      </c>
      <c r="F1564" s="10">
        <f t="shared" si="25"/>
        <v>2700</v>
      </c>
    </row>
    <row r="1565" spans="1:6" s="9" customFormat="1" x14ac:dyDescent="0.25">
      <c r="C1565" s="5"/>
      <c r="E1565" s="10"/>
      <c r="F1565" s="8">
        <f>SUM(F1563:F1564)</f>
        <v>20900</v>
      </c>
    </row>
    <row r="1566" spans="1:6" s="9" customFormat="1" x14ac:dyDescent="0.25">
      <c r="C1566" s="5"/>
      <c r="E1566" s="10"/>
      <c r="F1566" s="10"/>
    </row>
    <row r="1567" spans="1:6" s="9" customFormat="1" x14ac:dyDescent="0.25">
      <c r="A1567" s="9" t="s">
        <v>88</v>
      </c>
      <c r="B1567" s="4">
        <v>45738</v>
      </c>
      <c r="C1567" s="5">
        <v>3</v>
      </c>
      <c r="D1567" s="9" t="s">
        <v>13</v>
      </c>
      <c r="E1567" s="10">
        <v>145</v>
      </c>
      <c r="F1567" s="10">
        <f t="shared" si="25"/>
        <v>435</v>
      </c>
    </row>
    <row r="1568" spans="1:6" s="9" customFormat="1" x14ac:dyDescent="0.25">
      <c r="C1568" s="5">
        <v>10</v>
      </c>
      <c r="D1568" s="9" t="s">
        <v>14</v>
      </c>
      <c r="E1568" s="10">
        <v>135</v>
      </c>
      <c r="F1568" s="10">
        <f t="shared" si="25"/>
        <v>1350</v>
      </c>
    </row>
    <row r="1569" spans="1:6" s="9" customFormat="1" x14ac:dyDescent="0.25">
      <c r="C1569" s="5"/>
      <c r="E1569" s="10"/>
      <c r="F1569" s="8">
        <f>SUM(F1567:F1568)</f>
        <v>1785</v>
      </c>
    </row>
    <row r="1570" spans="1:6" s="9" customFormat="1" x14ac:dyDescent="0.25">
      <c r="C1570" s="5"/>
      <c r="E1570" s="10"/>
      <c r="F1570" s="10"/>
    </row>
    <row r="1571" spans="1:6" s="9" customFormat="1" x14ac:dyDescent="0.25">
      <c r="A1571" s="9" t="s">
        <v>26</v>
      </c>
      <c r="B1571" s="4">
        <v>45738</v>
      </c>
      <c r="C1571" s="5">
        <v>40</v>
      </c>
      <c r="D1571" s="9" t="s">
        <v>13</v>
      </c>
      <c r="E1571" s="10">
        <v>140</v>
      </c>
      <c r="F1571" s="10">
        <f t="shared" si="25"/>
        <v>5600</v>
      </c>
    </row>
    <row r="1572" spans="1:6" s="9" customFormat="1" x14ac:dyDescent="0.25">
      <c r="C1572" s="5"/>
      <c r="E1572" s="10"/>
      <c r="F1572" s="8">
        <f>SUM(F1571)</f>
        <v>5600</v>
      </c>
    </row>
    <row r="1573" spans="1:6" s="9" customFormat="1" x14ac:dyDescent="0.25">
      <c r="C1573" s="5"/>
      <c r="E1573" s="10"/>
      <c r="F1573" s="10"/>
    </row>
    <row r="1574" spans="1:6" s="9" customFormat="1" x14ac:dyDescent="0.25">
      <c r="A1574" s="9" t="s">
        <v>72</v>
      </c>
      <c r="B1574" s="4">
        <v>45738</v>
      </c>
      <c r="C1574" s="5">
        <v>200</v>
      </c>
      <c r="D1574" s="9" t="s">
        <v>13</v>
      </c>
      <c r="E1574" s="10">
        <v>130</v>
      </c>
      <c r="F1574" s="10">
        <f t="shared" si="25"/>
        <v>26000</v>
      </c>
    </row>
    <row r="1575" spans="1:6" s="9" customFormat="1" x14ac:dyDescent="0.25">
      <c r="C1575" s="5">
        <v>200</v>
      </c>
      <c r="D1575" s="9" t="s">
        <v>12</v>
      </c>
      <c r="E1575" s="10">
        <v>125</v>
      </c>
      <c r="F1575" s="10">
        <f t="shared" si="25"/>
        <v>25000</v>
      </c>
    </row>
    <row r="1576" spans="1:6" s="9" customFormat="1" x14ac:dyDescent="0.25">
      <c r="C1576" s="5">
        <v>20</v>
      </c>
      <c r="D1576" s="9" t="s">
        <v>14</v>
      </c>
      <c r="E1576" s="10">
        <v>130</v>
      </c>
      <c r="F1576" s="10">
        <f t="shared" si="25"/>
        <v>2600</v>
      </c>
    </row>
    <row r="1577" spans="1:6" s="9" customFormat="1" x14ac:dyDescent="0.25">
      <c r="C1577" s="5">
        <v>80</v>
      </c>
      <c r="D1577" s="9" t="s">
        <v>11</v>
      </c>
      <c r="E1577" s="10">
        <v>120</v>
      </c>
      <c r="F1577" s="10">
        <f t="shared" si="25"/>
        <v>9600</v>
      </c>
    </row>
    <row r="1578" spans="1:6" s="9" customFormat="1" x14ac:dyDescent="0.25">
      <c r="C1578" s="5"/>
      <c r="E1578" s="10"/>
      <c r="F1578" s="8">
        <f>SUM(F1574:F1577)</f>
        <v>63200</v>
      </c>
    </row>
    <row r="1579" spans="1:6" s="9" customFormat="1" x14ac:dyDescent="0.25">
      <c r="C1579" s="5"/>
      <c r="E1579" s="10"/>
      <c r="F1579" s="10"/>
    </row>
    <row r="1580" spans="1:6" s="9" customFormat="1" x14ac:dyDescent="0.25">
      <c r="A1580" s="9" t="s">
        <v>181</v>
      </c>
      <c r="B1580" s="4">
        <v>45738</v>
      </c>
      <c r="C1580" s="5">
        <v>2</v>
      </c>
      <c r="D1580" s="9" t="s">
        <v>8</v>
      </c>
      <c r="E1580" s="10">
        <v>170</v>
      </c>
      <c r="F1580" s="10">
        <f t="shared" si="25"/>
        <v>340</v>
      </c>
    </row>
    <row r="1581" spans="1:6" s="9" customFormat="1" x14ac:dyDescent="0.25">
      <c r="C1581" s="5">
        <v>3</v>
      </c>
      <c r="D1581" s="9" t="s">
        <v>8</v>
      </c>
      <c r="E1581" s="10">
        <v>170</v>
      </c>
      <c r="F1581" s="10">
        <f t="shared" si="25"/>
        <v>510</v>
      </c>
    </row>
    <row r="1582" spans="1:6" s="9" customFormat="1" x14ac:dyDescent="0.25">
      <c r="C1582" s="5">
        <v>2</v>
      </c>
      <c r="D1582" s="9" t="s">
        <v>8</v>
      </c>
      <c r="E1582" s="10">
        <v>170</v>
      </c>
      <c r="F1582" s="10">
        <f t="shared" si="25"/>
        <v>340</v>
      </c>
    </row>
    <row r="1583" spans="1:6" s="9" customFormat="1" x14ac:dyDescent="0.25">
      <c r="C1583" s="5"/>
      <c r="E1583" s="10"/>
      <c r="F1583" s="8">
        <f>SUM(F1580:F1582)</f>
        <v>1190</v>
      </c>
    </row>
    <row r="1584" spans="1:6" s="9" customFormat="1" x14ac:dyDescent="0.25">
      <c r="C1584" s="5"/>
      <c r="E1584" s="10"/>
      <c r="F1584" s="10"/>
    </row>
    <row r="1585" spans="1:6" s="9" customFormat="1" x14ac:dyDescent="0.25">
      <c r="A1585" s="9" t="s">
        <v>181</v>
      </c>
      <c r="B1585" s="4">
        <v>45739</v>
      </c>
      <c r="C1585" s="5">
        <v>1</v>
      </c>
      <c r="D1585" s="9" t="s">
        <v>12</v>
      </c>
      <c r="E1585" s="10">
        <v>150</v>
      </c>
      <c r="F1585" s="10">
        <f t="shared" si="25"/>
        <v>150</v>
      </c>
    </row>
    <row r="1586" spans="1:6" s="9" customFormat="1" x14ac:dyDescent="0.25">
      <c r="C1586" s="5">
        <v>68</v>
      </c>
      <c r="D1586" s="9" t="s">
        <v>346</v>
      </c>
      <c r="E1586" s="10">
        <v>140</v>
      </c>
      <c r="F1586" s="10">
        <f t="shared" si="25"/>
        <v>9520</v>
      </c>
    </row>
    <row r="1587" spans="1:6" s="9" customFormat="1" x14ac:dyDescent="0.25">
      <c r="C1587" s="5">
        <v>6</v>
      </c>
      <c r="D1587" s="9" t="s">
        <v>347</v>
      </c>
      <c r="E1587" s="10">
        <v>150</v>
      </c>
      <c r="F1587" s="10">
        <f t="shared" si="25"/>
        <v>900</v>
      </c>
    </row>
    <row r="1588" spans="1:6" s="9" customFormat="1" x14ac:dyDescent="0.25">
      <c r="C1588" s="5"/>
      <c r="E1588" s="10"/>
      <c r="F1588" s="8">
        <f>SUM(F1585:F1587)</f>
        <v>10570</v>
      </c>
    </row>
    <row r="1589" spans="1:6" s="9" customFormat="1" x14ac:dyDescent="0.25">
      <c r="C1589" s="5"/>
      <c r="E1589" s="10"/>
      <c r="F1589" s="10"/>
    </row>
    <row r="1590" spans="1:6" s="9" customFormat="1" x14ac:dyDescent="0.25">
      <c r="A1590" s="9" t="s">
        <v>58</v>
      </c>
      <c r="B1590" s="4">
        <v>45740</v>
      </c>
      <c r="C1590" s="5">
        <v>6</v>
      </c>
      <c r="D1590" s="9" t="s">
        <v>13</v>
      </c>
      <c r="E1590" s="10">
        <v>140</v>
      </c>
      <c r="F1590" s="10">
        <f t="shared" si="25"/>
        <v>840</v>
      </c>
    </row>
    <row r="1591" spans="1:6" s="9" customFormat="1" x14ac:dyDescent="0.25">
      <c r="C1591" s="5"/>
      <c r="E1591" s="10"/>
      <c r="F1591" s="8">
        <f>SUM(F1590)</f>
        <v>840</v>
      </c>
    </row>
    <row r="1592" spans="1:6" s="9" customFormat="1" x14ac:dyDescent="0.25">
      <c r="C1592" s="5"/>
      <c r="E1592" s="10"/>
      <c r="F1592" s="10"/>
    </row>
    <row r="1593" spans="1:6" s="9" customFormat="1" x14ac:dyDescent="0.25">
      <c r="A1593" s="9" t="s">
        <v>270</v>
      </c>
      <c r="B1593" s="4">
        <v>45740</v>
      </c>
      <c r="C1593" s="5">
        <v>13</v>
      </c>
      <c r="D1593" s="9" t="s">
        <v>98</v>
      </c>
      <c r="E1593" s="10">
        <v>100</v>
      </c>
      <c r="F1593" s="10">
        <f t="shared" si="25"/>
        <v>1300</v>
      </c>
    </row>
    <row r="1594" spans="1:6" s="9" customFormat="1" x14ac:dyDescent="0.25">
      <c r="C1594" s="5"/>
      <c r="E1594" s="10"/>
      <c r="F1594" s="8">
        <f>SUM(F1593)</f>
        <v>1300</v>
      </c>
    </row>
    <row r="1595" spans="1:6" s="9" customFormat="1" x14ac:dyDescent="0.25">
      <c r="C1595" s="5"/>
      <c r="E1595" s="10"/>
      <c r="F1595" s="10"/>
    </row>
    <row r="1596" spans="1:6" s="9" customFormat="1" x14ac:dyDescent="0.25">
      <c r="A1596" s="9" t="s">
        <v>15</v>
      </c>
      <c r="B1596" s="4">
        <v>45740</v>
      </c>
      <c r="C1596" s="5">
        <v>57</v>
      </c>
      <c r="D1596" s="9" t="s">
        <v>98</v>
      </c>
      <c r="E1596" s="10">
        <v>85</v>
      </c>
      <c r="F1596" s="10">
        <f t="shared" si="25"/>
        <v>4845</v>
      </c>
    </row>
    <row r="1597" spans="1:6" s="9" customFormat="1" x14ac:dyDescent="0.25">
      <c r="C1597" s="5"/>
      <c r="E1597" s="10"/>
      <c r="F1597" s="8">
        <f>SUM(F1596)</f>
        <v>4845</v>
      </c>
    </row>
    <row r="1598" spans="1:6" s="9" customFormat="1" x14ac:dyDescent="0.25">
      <c r="C1598" s="5"/>
      <c r="E1598" s="10"/>
      <c r="F1598" s="10"/>
    </row>
    <row r="1599" spans="1:6" s="9" customFormat="1" x14ac:dyDescent="0.25">
      <c r="A1599" s="9" t="s">
        <v>343</v>
      </c>
      <c r="B1599" s="4">
        <v>45740</v>
      </c>
      <c r="C1599" s="5">
        <v>8</v>
      </c>
      <c r="D1599" s="9" t="s">
        <v>14</v>
      </c>
      <c r="E1599" s="10">
        <v>125</v>
      </c>
      <c r="F1599" s="10">
        <f t="shared" si="25"/>
        <v>1000</v>
      </c>
    </row>
    <row r="1600" spans="1:6" s="9" customFormat="1" x14ac:dyDescent="0.25">
      <c r="C1600" s="5"/>
      <c r="E1600" s="10"/>
      <c r="F1600" s="8">
        <f>SUM(F1599)</f>
        <v>1000</v>
      </c>
    </row>
    <row r="1601" spans="1:6" s="9" customFormat="1" x14ac:dyDescent="0.25">
      <c r="C1601" s="5"/>
      <c r="E1601" s="10"/>
      <c r="F1601" s="10"/>
    </row>
    <row r="1602" spans="1:6" s="9" customFormat="1" x14ac:dyDescent="0.25">
      <c r="A1602" s="9" t="s">
        <v>79</v>
      </c>
      <c r="B1602" s="4">
        <v>45740</v>
      </c>
      <c r="C1602" s="5">
        <v>25</v>
      </c>
      <c r="D1602" s="9" t="s">
        <v>13</v>
      </c>
      <c r="E1602" s="10">
        <v>140</v>
      </c>
      <c r="F1602" s="10">
        <f t="shared" si="25"/>
        <v>3500</v>
      </c>
    </row>
    <row r="1603" spans="1:6" s="9" customFormat="1" x14ac:dyDescent="0.25">
      <c r="C1603" s="5"/>
      <c r="E1603" s="10"/>
      <c r="F1603" s="8">
        <f>SUM(F1602)</f>
        <v>3500</v>
      </c>
    </row>
    <row r="1604" spans="1:6" s="9" customFormat="1" x14ac:dyDescent="0.25">
      <c r="C1604" s="5"/>
      <c r="E1604" s="10"/>
      <c r="F1604" s="10"/>
    </row>
    <row r="1605" spans="1:6" s="9" customFormat="1" x14ac:dyDescent="0.25">
      <c r="A1605" s="9" t="s">
        <v>18</v>
      </c>
      <c r="B1605" s="4">
        <v>45740</v>
      </c>
      <c r="C1605" s="5">
        <v>10</v>
      </c>
      <c r="D1605" s="9" t="s">
        <v>13</v>
      </c>
      <c r="E1605" s="10">
        <v>140</v>
      </c>
      <c r="F1605" s="10">
        <f t="shared" si="25"/>
        <v>1400</v>
      </c>
    </row>
    <row r="1606" spans="1:6" s="9" customFormat="1" x14ac:dyDescent="0.25">
      <c r="C1606" s="5"/>
      <c r="E1606" s="10"/>
      <c r="F1606" s="8">
        <f>SUM(F1605)</f>
        <v>1400</v>
      </c>
    </row>
    <row r="1607" spans="1:6" s="9" customFormat="1" x14ac:dyDescent="0.25">
      <c r="C1607" s="5"/>
      <c r="E1607" s="10"/>
      <c r="F1607" s="10"/>
    </row>
    <row r="1608" spans="1:6" s="9" customFormat="1" x14ac:dyDescent="0.25">
      <c r="A1608" s="9" t="s">
        <v>157</v>
      </c>
      <c r="B1608" s="4">
        <v>45740</v>
      </c>
      <c r="C1608" s="5">
        <v>10</v>
      </c>
      <c r="D1608" s="9" t="s">
        <v>13</v>
      </c>
      <c r="E1608" s="10">
        <v>140</v>
      </c>
      <c r="F1608" s="10">
        <f t="shared" ref="F1608:F1667" si="26">+C1608*E1608</f>
        <v>1400</v>
      </c>
    </row>
    <row r="1609" spans="1:6" s="9" customFormat="1" x14ac:dyDescent="0.25">
      <c r="C1609" s="5"/>
      <c r="E1609" s="10"/>
      <c r="F1609" s="8">
        <f>SUM(F1608)</f>
        <v>1400</v>
      </c>
    </row>
    <row r="1610" spans="1:6" s="9" customFormat="1" x14ac:dyDescent="0.25">
      <c r="C1610" s="5"/>
      <c r="E1610" s="10"/>
      <c r="F1610" s="10"/>
    </row>
    <row r="1611" spans="1:6" s="9" customFormat="1" x14ac:dyDescent="0.25">
      <c r="A1611" s="9" t="s">
        <v>20</v>
      </c>
      <c r="B1611" s="4">
        <v>45740</v>
      </c>
      <c r="C1611" s="5">
        <v>20</v>
      </c>
      <c r="D1611" s="9" t="s">
        <v>13</v>
      </c>
      <c r="E1611" s="10">
        <v>135</v>
      </c>
      <c r="F1611" s="10">
        <f t="shared" si="26"/>
        <v>2700</v>
      </c>
    </row>
    <row r="1612" spans="1:6" s="9" customFormat="1" x14ac:dyDescent="0.25">
      <c r="C1612" s="5"/>
      <c r="E1612" s="10"/>
      <c r="F1612" s="8">
        <f>SUM(F1611)</f>
        <v>2700</v>
      </c>
    </row>
    <row r="1613" spans="1:6" s="9" customFormat="1" x14ac:dyDescent="0.25">
      <c r="C1613" s="5"/>
      <c r="E1613" s="10"/>
      <c r="F1613" s="10"/>
    </row>
    <row r="1614" spans="1:6" s="9" customFormat="1" x14ac:dyDescent="0.25">
      <c r="A1614" s="9" t="s">
        <v>21</v>
      </c>
      <c r="B1614" s="4">
        <v>45740</v>
      </c>
      <c r="C1614" s="5">
        <v>20</v>
      </c>
      <c r="D1614" s="9" t="s">
        <v>13</v>
      </c>
      <c r="E1614" s="10">
        <v>135</v>
      </c>
      <c r="F1614" s="10">
        <f t="shared" si="26"/>
        <v>2700</v>
      </c>
    </row>
    <row r="1615" spans="1:6" s="9" customFormat="1" x14ac:dyDescent="0.25">
      <c r="C1615" s="5">
        <v>20</v>
      </c>
      <c r="D1615" s="9" t="s">
        <v>22</v>
      </c>
      <c r="E1615" s="10">
        <v>100</v>
      </c>
      <c r="F1615" s="10">
        <f t="shared" si="26"/>
        <v>2000</v>
      </c>
    </row>
    <row r="1616" spans="1:6" s="9" customFormat="1" x14ac:dyDescent="0.25">
      <c r="C1616" s="5">
        <v>30</v>
      </c>
      <c r="D1616" s="9" t="s">
        <v>12</v>
      </c>
      <c r="E1616" s="10">
        <v>120</v>
      </c>
      <c r="F1616" s="10">
        <f t="shared" si="26"/>
        <v>3600</v>
      </c>
    </row>
    <row r="1617" spans="1:6" s="9" customFormat="1" x14ac:dyDescent="0.25">
      <c r="C1617" s="5">
        <v>10</v>
      </c>
      <c r="D1617" s="9" t="s">
        <v>14</v>
      </c>
      <c r="E1617" s="10">
        <v>125</v>
      </c>
      <c r="F1617" s="10">
        <f t="shared" si="26"/>
        <v>1250</v>
      </c>
    </row>
    <row r="1618" spans="1:6" s="9" customFormat="1" x14ac:dyDescent="0.25">
      <c r="C1618" s="5">
        <v>10</v>
      </c>
      <c r="D1618" s="9" t="s">
        <v>11</v>
      </c>
      <c r="E1618" s="10">
        <v>120</v>
      </c>
      <c r="F1618" s="10">
        <f t="shared" si="26"/>
        <v>1200</v>
      </c>
    </row>
    <row r="1619" spans="1:6" s="9" customFormat="1" x14ac:dyDescent="0.25">
      <c r="C1619" s="5"/>
      <c r="E1619" s="10"/>
      <c r="F1619" s="8">
        <f>SUM(F1614:F1618)</f>
        <v>10750</v>
      </c>
    </row>
    <row r="1620" spans="1:6" s="9" customFormat="1" x14ac:dyDescent="0.25">
      <c r="C1620" s="5"/>
      <c r="E1620" s="10"/>
      <c r="F1620" s="10"/>
    </row>
    <row r="1621" spans="1:6" s="9" customFormat="1" x14ac:dyDescent="0.25">
      <c r="A1621" s="9" t="s">
        <v>37</v>
      </c>
      <c r="B1621" s="4">
        <v>45740</v>
      </c>
      <c r="C1621" s="5">
        <v>10</v>
      </c>
      <c r="D1621" s="9" t="s">
        <v>12</v>
      </c>
      <c r="E1621" s="10">
        <v>130</v>
      </c>
      <c r="F1621" s="10">
        <f t="shared" si="26"/>
        <v>1300</v>
      </c>
    </row>
    <row r="1622" spans="1:6" s="9" customFormat="1" x14ac:dyDescent="0.25">
      <c r="C1622" s="5"/>
      <c r="E1622" s="10"/>
      <c r="F1622" s="8">
        <f>SUM(F1621)</f>
        <v>1300</v>
      </c>
    </row>
    <row r="1623" spans="1:6" s="9" customFormat="1" x14ac:dyDescent="0.25">
      <c r="C1623" s="5"/>
      <c r="E1623" s="10"/>
      <c r="F1623" s="10"/>
    </row>
    <row r="1624" spans="1:6" s="9" customFormat="1" x14ac:dyDescent="0.25">
      <c r="A1624" s="9" t="s">
        <v>40</v>
      </c>
      <c r="B1624" s="4">
        <v>45740</v>
      </c>
      <c r="C1624" s="5">
        <v>19</v>
      </c>
      <c r="D1624" s="9" t="s">
        <v>8</v>
      </c>
      <c r="E1624" s="10">
        <v>150</v>
      </c>
      <c r="F1624" s="10">
        <f t="shared" si="26"/>
        <v>2850</v>
      </c>
    </row>
    <row r="1625" spans="1:6" s="9" customFormat="1" x14ac:dyDescent="0.25">
      <c r="C1625" s="5">
        <v>6</v>
      </c>
      <c r="D1625" s="9" t="s">
        <v>13</v>
      </c>
      <c r="E1625" s="10">
        <v>135</v>
      </c>
      <c r="F1625" s="10">
        <f t="shared" si="26"/>
        <v>810</v>
      </c>
    </row>
    <row r="1626" spans="1:6" s="9" customFormat="1" x14ac:dyDescent="0.25">
      <c r="C1626" s="5">
        <v>13</v>
      </c>
      <c r="D1626" s="9" t="s">
        <v>14</v>
      </c>
      <c r="E1626" s="10">
        <v>125</v>
      </c>
      <c r="F1626" s="10">
        <f t="shared" si="26"/>
        <v>1625</v>
      </c>
    </row>
    <row r="1627" spans="1:6" s="9" customFormat="1" x14ac:dyDescent="0.25">
      <c r="C1627" s="5">
        <v>15</v>
      </c>
      <c r="D1627" s="9" t="s">
        <v>11</v>
      </c>
      <c r="E1627" s="10">
        <v>115</v>
      </c>
      <c r="F1627" s="10">
        <f t="shared" si="26"/>
        <v>1725</v>
      </c>
    </row>
    <row r="1628" spans="1:6" s="9" customFormat="1" x14ac:dyDescent="0.25">
      <c r="C1628" s="5">
        <v>10</v>
      </c>
      <c r="D1628" s="9" t="s">
        <v>22</v>
      </c>
      <c r="E1628" s="10">
        <v>100</v>
      </c>
      <c r="F1628" s="10">
        <f t="shared" si="26"/>
        <v>1000</v>
      </c>
    </row>
    <row r="1629" spans="1:6" s="9" customFormat="1" x14ac:dyDescent="0.25">
      <c r="C1629" s="5">
        <v>15</v>
      </c>
      <c r="D1629" s="9" t="s">
        <v>12</v>
      </c>
      <c r="E1629" s="10">
        <v>115</v>
      </c>
      <c r="F1629" s="10">
        <f t="shared" si="26"/>
        <v>1725</v>
      </c>
    </row>
    <row r="1630" spans="1:6" s="9" customFormat="1" x14ac:dyDescent="0.25">
      <c r="C1630" s="5"/>
      <c r="E1630" s="10"/>
      <c r="F1630" s="8">
        <f>SUM(F1624:F1629)</f>
        <v>9735</v>
      </c>
    </row>
    <row r="1631" spans="1:6" s="9" customFormat="1" x14ac:dyDescent="0.25">
      <c r="C1631" s="5"/>
      <c r="E1631" s="10"/>
      <c r="F1631" s="10"/>
    </row>
    <row r="1632" spans="1:6" s="9" customFormat="1" x14ac:dyDescent="0.25">
      <c r="A1632" s="9" t="s">
        <v>26</v>
      </c>
      <c r="B1632" s="4">
        <v>45740</v>
      </c>
      <c r="C1632" s="5">
        <v>30</v>
      </c>
      <c r="D1632" s="9" t="s">
        <v>13</v>
      </c>
      <c r="E1632" s="10">
        <v>140</v>
      </c>
      <c r="F1632" s="10">
        <f t="shared" si="26"/>
        <v>4200</v>
      </c>
    </row>
    <row r="1633" spans="1:6" s="9" customFormat="1" x14ac:dyDescent="0.25">
      <c r="C1633" s="5"/>
      <c r="E1633" s="10"/>
      <c r="F1633" s="8">
        <f>SUM(F1632)</f>
        <v>4200</v>
      </c>
    </row>
    <row r="1634" spans="1:6" s="9" customFormat="1" x14ac:dyDescent="0.25">
      <c r="C1634" s="5"/>
      <c r="E1634" s="10"/>
      <c r="F1634" s="10"/>
    </row>
    <row r="1635" spans="1:6" s="9" customFormat="1" x14ac:dyDescent="0.25">
      <c r="A1635" s="9" t="s">
        <v>41</v>
      </c>
      <c r="B1635" s="4">
        <v>45740</v>
      </c>
      <c r="C1635" s="5">
        <v>25</v>
      </c>
      <c r="D1635" s="9" t="s">
        <v>14</v>
      </c>
      <c r="E1635" s="10">
        <v>130</v>
      </c>
      <c r="F1635" s="10">
        <f t="shared" si="26"/>
        <v>3250</v>
      </c>
    </row>
    <row r="1636" spans="1:6" s="9" customFormat="1" x14ac:dyDescent="0.25">
      <c r="C1636" s="5"/>
      <c r="E1636" s="10"/>
      <c r="F1636" s="8">
        <f>SUM(F1635)</f>
        <v>3250</v>
      </c>
    </row>
    <row r="1637" spans="1:6" s="9" customFormat="1" x14ac:dyDescent="0.25">
      <c r="C1637" s="5"/>
      <c r="E1637" s="10"/>
      <c r="F1637" s="10"/>
    </row>
    <row r="1638" spans="1:6" s="9" customFormat="1" x14ac:dyDescent="0.25">
      <c r="A1638" s="9" t="s">
        <v>253</v>
      </c>
      <c r="B1638" s="4">
        <v>45740</v>
      </c>
      <c r="C1638" s="5">
        <v>10</v>
      </c>
      <c r="D1638" s="9" t="s">
        <v>14</v>
      </c>
      <c r="E1638" s="10">
        <v>125</v>
      </c>
      <c r="F1638" s="10">
        <f t="shared" si="26"/>
        <v>1250</v>
      </c>
    </row>
    <row r="1639" spans="1:6" s="9" customFormat="1" x14ac:dyDescent="0.25">
      <c r="C1639" s="5"/>
      <c r="E1639" s="10"/>
      <c r="F1639" s="8">
        <f>SUM(F1638)</f>
        <v>1250</v>
      </c>
    </row>
    <row r="1640" spans="1:6" s="9" customFormat="1" x14ac:dyDescent="0.25">
      <c r="C1640" s="5"/>
      <c r="E1640" s="10"/>
      <c r="F1640" s="10"/>
    </row>
    <row r="1641" spans="1:6" s="9" customFormat="1" x14ac:dyDescent="0.25">
      <c r="A1641" s="9" t="s">
        <v>251</v>
      </c>
      <c r="B1641" s="4">
        <v>45740</v>
      </c>
      <c r="C1641" s="5">
        <v>50</v>
      </c>
      <c r="D1641" s="9" t="s">
        <v>12</v>
      </c>
      <c r="E1641" s="10">
        <v>130</v>
      </c>
      <c r="F1641" s="10">
        <f t="shared" si="26"/>
        <v>6500</v>
      </c>
    </row>
    <row r="1642" spans="1:6" s="9" customFormat="1" x14ac:dyDescent="0.25">
      <c r="C1642" s="5"/>
      <c r="E1642" s="10"/>
      <c r="F1642" s="8">
        <f>SUM(F1641)</f>
        <v>6500</v>
      </c>
    </row>
    <row r="1643" spans="1:6" s="9" customFormat="1" x14ac:dyDescent="0.25">
      <c r="C1643" s="5"/>
      <c r="E1643" s="10"/>
      <c r="F1643" s="10"/>
    </row>
    <row r="1644" spans="1:6" s="9" customFormat="1" x14ac:dyDescent="0.25">
      <c r="A1644" s="9" t="s">
        <v>43</v>
      </c>
      <c r="B1644" s="4">
        <v>45740</v>
      </c>
      <c r="C1644" s="5">
        <v>20</v>
      </c>
      <c r="D1644" s="9" t="s">
        <v>14</v>
      </c>
      <c r="E1644" s="10">
        <v>125</v>
      </c>
      <c r="F1644" s="10">
        <f t="shared" si="26"/>
        <v>2500</v>
      </c>
    </row>
    <row r="1645" spans="1:6" s="9" customFormat="1" x14ac:dyDescent="0.25">
      <c r="C1645" s="5"/>
      <c r="E1645" s="10"/>
      <c r="F1645" s="8">
        <f>SUM(F1644)</f>
        <v>2500</v>
      </c>
    </row>
    <row r="1646" spans="1:6" s="9" customFormat="1" x14ac:dyDescent="0.25">
      <c r="C1646" s="5"/>
      <c r="E1646" s="10"/>
      <c r="F1646" s="10"/>
    </row>
    <row r="1647" spans="1:6" s="9" customFormat="1" x14ac:dyDescent="0.25">
      <c r="A1647" s="9" t="s">
        <v>18</v>
      </c>
      <c r="B1647" s="4">
        <v>45740</v>
      </c>
      <c r="C1647" s="5">
        <v>20</v>
      </c>
      <c r="D1647" s="9" t="s">
        <v>14</v>
      </c>
      <c r="E1647" s="10">
        <v>125</v>
      </c>
      <c r="F1647" s="10">
        <f t="shared" si="26"/>
        <v>2500</v>
      </c>
    </row>
    <row r="1648" spans="1:6" s="9" customFormat="1" x14ac:dyDescent="0.25">
      <c r="C1648" s="5"/>
      <c r="E1648" s="10"/>
      <c r="F1648" s="8">
        <f>SUM(F1647)</f>
        <v>2500</v>
      </c>
    </row>
    <row r="1649" spans="1:6" s="9" customFormat="1" x14ac:dyDescent="0.25">
      <c r="C1649" s="5"/>
      <c r="E1649" s="10"/>
      <c r="F1649" s="10"/>
    </row>
    <row r="1650" spans="1:6" s="9" customFormat="1" x14ac:dyDescent="0.25">
      <c r="A1650" s="9" t="s">
        <v>138</v>
      </c>
      <c r="B1650" s="4">
        <v>45740</v>
      </c>
      <c r="C1650" s="5">
        <v>20</v>
      </c>
      <c r="D1650" s="9" t="s">
        <v>14</v>
      </c>
      <c r="E1650" s="10">
        <v>130</v>
      </c>
      <c r="F1650" s="10">
        <f t="shared" si="26"/>
        <v>2600</v>
      </c>
    </row>
    <row r="1651" spans="1:6" s="9" customFormat="1" x14ac:dyDescent="0.25">
      <c r="C1651" s="5"/>
      <c r="E1651" s="10"/>
      <c r="F1651" s="8">
        <f>SUM(F1650)</f>
        <v>2600</v>
      </c>
    </row>
    <row r="1652" spans="1:6" s="9" customFormat="1" x14ac:dyDescent="0.25">
      <c r="C1652" s="5"/>
      <c r="E1652" s="10"/>
      <c r="F1652" s="10"/>
    </row>
    <row r="1653" spans="1:6" s="9" customFormat="1" x14ac:dyDescent="0.25">
      <c r="A1653" s="9" t="s">
        <v>47</v>
      </c>
      <c r="B1653" s="4">
        <v>45740</v>
      </c>
      <c r="C1653" s="5">
        <v>60</v>
      </c>
      <c r="D1653" s="9" t="s">
        <v>348</v>
      </c>
      <c r="E1653" s="10">
        <v>100</v>
      </c>
      <c r="F1653" s="10">
        <f t="shared" si="26"/>
        <v>6000</v>
      </c>
    </row>
    <row r="1654" spans="1:6" s="9" customFormat="1" x14ac:dyDescent="0.25">
      <c r="C1654" s="5"/>
      <c r="E1654" s="10"/>
      <c r="F1654" s="8">
        <f>SUM(F1653)</f>
        <v>6000</v>
      </c>
    </row>
    <row r="1655" spans="1:6" s="9" customFormat="1" x14ac:dyDescent="0.25">
      <c r="C1655" s="5"/>
      <c r="E1655" s="10"/>
      <c r="F1655" s="10"/>
    </row>
    <row r="1656" spans="1:6" s="9" customFormat="1" x14ac:dyDescent="0.25">
      <c r="A1656" s="9" t="s">
        <v>85</v>
      </c>
      <c r="B1656" s="4">
        <v>45740</v>
      </c>
      <c r="C1656" s="5">
        <v>60</v>
      </c>
      <c r="D1656" s="9" t="s">
        <v>14</v>
      </c>
      <c r="E1656" s="10">
        <v>125</v>
      </c>
      <c r="F1656" s="10">
        <f t="shared" si="26"/>
        <v>7500</v>
      </c>
    </row>
    <row r="1657" spans="1:6" s="9" customFormat="1" x14ac:dyDescent="0.25">
      <c r="C1657" s="5"/>
      <c r="E1657" s="10"/>
      <c r="F1657" s="8">
        <f>SUM(F1656)</f>
        <v>7500</v>
      </c>
    </row>
    <row r="1658" spans="1:6" s="9" customFormat="1" x14ac:dyDescent="0.25">
      <c r="C1658" s="5"/>
      <c r="E1658" s="10"/>
      <c r="F1658" s="10"/>
    </row>
    <row r="1659" spans="1:6" s="9" customFormat="1" x14ac:dyDescent="0.25">
      <c r="A1659" s="9" t="s">
        <v>349</v>
      </c>
      <c r="B1659" s="4">
        <v>45740</v>
      </c>
      <c r="C1659" s="5">
        <v>20</v>
      </c>
      <c r="D1659" s="9" t="s">
        <v>13</v>
      </c>
      <c r="E1659" s="10">
        <v>130</v>
      </c>
      <c r="F1659" s="10">
        <f t="shared" si="26"/>
        <v>2600</v>
      </c>
    </row>
    <row r="1660" spans="1:6" s="9" customFormat="1" x14ac:dyDescent="0.25">
      <c r="C1660" s="5">
        <v>60</v>
      </c>
      <c r="D1660" s="9" t="s">
        <v>12</v>
      </c>
      <c r="E1660" s="10">
        <v>115</v>
      </c>
      <c r="F1660" s="10">
        <f t="shared" si="26"/>
        <v>6900</v>
      </c>
    </row>
    <row r="1661" spans="1:6" s="9" customFormat="1" x14ac:dyDescent="0.25">
      <c r="C1661" s="5">
        <v>20</v>
      </c>
      <c r="D1661" s="9" t="s">
        <v>14</v>
      </c>
      <c r="E1661" s="10">
        <v>125</v>
      </c>
      <c r="F1661" s="10">
        <f t="shared" si="26"/>
        <v>2500</v>
      </c>
    </row>
    <row r="1662" spans="1:6" s="9" customFormat="1" x14ac:dyDescent="0.25">
      <c r="C1662" s="5"/>
      <c r="E1662" s="10"/>
      <c r="F1662" s="8">
        <f>SUM(F1659:F1661)</f>
        <v>12000</v>
      </c>
    </row>
    <row r="1663" spans="1:6" s="9" customFormat="1" x14ac:dyDescent="0.25">
      <c r="C1663" s="5"/>
      <c r="E1663" s="10"/>
      <c r="F1663" s="10"/>
    </row>
    <row r="1664" spans="1:6" s="9" customFormat="1" x14ac:dyDescent="0.25">
      <c r="A1664" s="9" t="s">
        <v>32</v>
      </c>
      <c r="B1664" s="4">
        <v>45740</v>
      </c>
      <c r="C1664" s="5">
        <v>30</v>
      </c>
      <c r="D1664" s="9" t="s">
        <v>13</v>
      </c>
      <c r="E1664" s="10">
        <v>140</v>
      </c>
      <c r="F1664" s="10">
        <f t="shared" si="26"/>
        <v>4200</v>
      </c>
    </row>
    <row r="1665" spans="1:6" s="9" customFormat="1" x14ac:dyDescent="0.25">
      <c r="C1665" s="5"/>
      <c r="E1665" s="10"/>
      <c r="F1665" s="8">
        <f>SUM(F1664)</f>
        <v>4200</v>
      </c>
    </row>
    <row r="1666" spans="1:6" s="9" customFormat="1" x14ac:dyDescent="0.25">
      <c r="C1666" s="5"/>
      <c r="E1666" s="10"/>
      <c r="F1666" s="10"/>
    </row>
    <row r="1667" spans="1:6" s="9" customFormat="1" x14ac:dyDescent="0.25">
      <c r="A1667" s="9" t="s">
        <v>350</v>
      </c>
      <c r="B1667" s="4">
        <v>45740</v>
      </c>
      <c r="C1667" s="5">
        <v>10</v>
      </c>
      <c r="D1667" s="9" t="s">
        <v>13</v>
      </c>
      <c r="E1667" s="10">
        <v>150</v>
      </c>
      <c r="F1667" s="10">
        <f t="shared" si="26"/>
        <v>1500</v>
      </c>
    </row>
    <row r="1668" spans="1:6" s="9" customFormat="1" x14ac:dyDescent="0.25">
      <c r="C1668" s="5"/>
      <c r="E1668" s="10"/>
      <c r="F1668" s="8">
        <f>SUM(F1667)</f>
        <v>1500</v>
      </c>
    </row>
    <row r="1669" spans="1:6" s="9" customFormat="1" x14ac:dyDescent="0.25">
      <c r="C1669" s="5"/>
      <c r="E1669" s="10"/>
      <c r="F1669" s="10"/>
    </row>
    <row r="1670" spans="1:6" s="9" customFormat="1" x14ac:dyDescent="0.25">
      <c r="A1670" s="9" t="s">
        <v>330</v>
      </c>
      <c r="B1670" s="4">
        <v>45740</v>
      </c>
      <c r="C1670" s="5">
        <v>50</v>
      </c>
      <c r="D1670" s="9" t="s">
        <v>12</v>
      </c>
      <c r="E1670" s="10"/>
      <c r="F1670" s="10">
        <f t="shared" ref="F1670:F1731" si="27">+C1670*E1670</f>
        <v>0</v>
      </c>
    </row>
    <row r="1671" spans="1:6" s="9" customFormat="1" x14ac:dyDescent="0.25">
      <c r="C1671" s="5">
        <v>400</v>
      </c>
      <c r="D1671" s="9" t="s">
        <v>50</v>
      </c>
      <c r="E1671" s="10"/>
      <c r="F1671" s="10">
        <f t="shared" si="27"/>
        <v>0</v>
      </c>
    </row>
    <row r="1672" spans="1:6" s="9" customFormat="1" x14ac:dyDescent="0.25">
      <c r="C1672" s="5"/>
      <c r="E1672" s="10"/>
      <c r="F1672" s="8">
        <f>SUM(F1670:F1671)</f>
        <v>0</v>
      </c>
    </row>
    <row r="1673" spans="1:6" s="9" customFormat="1" x14ac:dyDescent="0.25">
      <c r="C1673" s="5"/>
      <c r="E1673" s="10"/>
      <c r="F1673" s="10"/>
    </row>
    <row r="1674" spans="1:6" s="9" customFormat="1" x14ac:dyDescent="0.25">
      <c r="A1674" s="9" t="s">
        <v>100</v>
      </c>
      <c r="B1674" s="4">
        <v>45740</v>
      </c>
      <c r="C1674" s="5">
        <v>10</v>
      </c>
      <c r="D1674" s="9" t="s">
        <v>13</v>
      </c>
      <c r="E1674" s="10">
        <v>140</v>
      </c>
      <c r="F1674" s="10">
        <f t="shared" si="27"/>
        <v>1400</v>
      </c>
    </row>
    <row r="1675" spans="1:6" s="9" customFormat="1" x14ac:dyDescent="0.25">
      <c r="C1675" s="5"/>
      <c r="E1675" s="10"/>
      <c r="F1675" s="8">
        <f>SUM(F1674)</f>
        <v>1400</v>
      </c>
    </row>
    <row r="1676" spans="1:6" s="9" customFormat="1" x14ac:dyDescent="0.25">
      <c r="C1676" s="5"/>
      <c r="E1676" s="10"/>
      <c r="F1676" s="10"/>
    </row>
    <row r="1677" spans="1:6" s="9" customFormat="1" x14ac:dyDescent="0.25">
      <c r="A1677" s="9" t="s">
        <v>29</v>
      </c>
      <c r="B1677" s="4">
        <v>45740</v>
      </c>
      <c r="C1677" s="5">
        <v>10</v>
      </c>
      <c r="D1677" s="9" t="s">
        <v>12</v>
      </c>
      <c r="E1677" s="10">
        <v>140</v>
      </c>
      <c r="F1677" s="10">
        <f t="shared" si="27"/>
        <v>1400</v>
      </c>
    </row>
    <row r="1678" spans="1:6" s="9" customFormat="1" x14ac:dyDescent="0.25">
      <c r="C1678" s="5">
        <v>2</v>
      </c>
      <c r="D1678" s="9" t="s">
        <v>22</v>
      </c>
      <c r="E1678" s="10">
        <v>130</v>
      </c>
      <c r="F1678" s="10">
        <f t="shared" si="27"/>
        <v>260</v>
      </c>
    </row>
    <row r="1679" spans="1:6" s="9" customFormat="1" x14ac:dyDescent="0.25">
      <c r="C1679" s="5">
        <v>1</v>
      </c>
      <c r="D1679" s="9" t="s">
        <v>13</v>
      </c>
      <c r="E1679" s="10">
        <v>150</v>
      </c>
      <c r="F1679" s="10">
        <f t="shared" si="27"/>
        <v>150</v>
      </c>
    </row>
    <row r="1680" spans="1:6" s="9" customFormat="1" x14ac:dyDescent="0.25">
      <c r="C1680" s="5"/>
      <c r="E1680" s="10"/>
      <c r="F1680" s="8">
        <f>SUM(F1677:F1679)</f>
        <v>1810</v>
      </c>
    </row>
    <row r="1681" spans="1:6" s="9" customFormat="1" x14ac:dyDescent="0.25">
      <c r="C1681" s="5"/>
      <c r="E1681" s="10"/>
      <c r="F1681" s="10"/>
    </row>
    <row r="1682" spans="1:6" s="9" customFormat="1" x14ac:dyDescent="0.25">
      <c r="A1682" s="9" t="s">
        <v>7</v>
      </c>
      <c r="B1682" s="4">
        <v>45740</v>
      </c>
      <c r="C1682" s="5">
        <v>3</v>
      </c>
      <c r="D1682" s="9" t="s">
        <v>8</v>
      </c>
      <c r="E1682" s="10">
        <v>170</v>
      </c>
      <c r="F1682" s="10">
        <f t="shared" si="27"/>
        <v>510</v>
      </c>
    </row>
    <row r="1683" spans="1:6" s="9" customFormat="1" x14ac:dyDescent="0.25">
      <c r="C1683" s="5">
        <v>1</v>
      </c>
      <c r="D1683" s="9" t="s">
        <v>13</v>
      </c>
      <c r="E1683" s="10">
        <v>140</v>
      </c>
      <c r="F1683" s="10">
        <f t="shared" si="27"/>
        <v>140</v>
      </c>
    </row>
    <row r="1684" spans="1:6" s="9" customFormat="1" x14ac:dyDescent="0.25">
      <c r="C1684" s="5">
        <v>1</v>
      </c>
      <c r="D1684" s="9" t="s">
        <v>8</v>
      </c>
      <c r="E1684" s="10">
        <v>170</v>
      </c>
      <c r="F1684" s="10">
        <f t="shared" si="27"/>
        <v>170</v>
      </c>
    </row>
    <row r="1685" spans="1:6" s="9" customFormat="1" x14ac:dyDescent="0.25">
      <c r="C1685" s="5">
        <v>1</v>
      </c>
      <c r="D1685" s="9" t="s">
        <v>351</v>
      </c>
      <c r="E1685" s="10">
        <v>150</v>
      </c>
      <c r="F1685" s="10">
        <f t="shared" si="27"/>
        <v>150</v>
      </c>
    </row>
    <row r="1686" spans="1:6" s="9" customFormat="1" x14ac:dyDescent="0.25">
      <c r="C1686" s="5"/>
      <c r="E1686" s="10"/>
      <c r="F1686" s="8">
        <f>SUM(F1682:F1685)</f>
        <v>970</v>
      </c>
    </row>
    <row r="1687" spans="1:6" s="9" customFormat="1" x14ac:dyDescent="0.25">
      <c r="C1687" s="5"/>
      <c r="E1687" s="10"/>
      <c r="F1687" s="10"/>
    </row>
    <row r="1688" spans="1:6" s="9" customFormat="1" x14ac:dyDescent="0.25">
      <c r="A1688" s="9" t="s">
        <v>195</v>
      </c>
      <c r="B1688" s="4">
        <v>45741</v>
      </c>
      <c r="C1688" s="5">
        <v>200</v>
      </c>
      <c r="D1688" s="9" t="s">
        <v>12</v>
      </c>
      <c r="E1688" s="10">
        <v>125</v>
      </c>
      <c r="F1688" s="10">
        <f t="shared" si="27"/>
        <v>25000</v>
      </c>
    </row>
    <row r="1689" spans="1:6" s="9" customFormat="1" x14ac:dyDescent="0.25">
      <c r="C1689" s="5">
        <v>250</v>
      </c>
      <c r="D1689" s="9" t="s">
        <v>13</v>
      </c>
      <c r="E1689" s="10">
        <v>135</v>
      </c>
      <c r="F1689" s="10">
        <f t="shared" si="27"/>
        <v>33750</v>
      </c>
    </row>
    <row r="1690" spans="1:6" s="9" customFormat="1" x14ac:dyDescent="0.25">
      <c r="C1690" s="5">
        <v>100</v>
      </c>
      <c r="D1690" s="9" t="s">
        <v>11</v>
      </c>
      <c r="E1690" s="10">
        <v>120</v>
      </c>
      <c r="F1690" s="10">
        <f t="shared" si="27"/>
        <v>12000</v>
      </c>
    </row>
    <row r="1691" spans="1:6" s="9" customFormat="1" x14ac:dyDescent="0.25">
      <c r="C1691" s="5">
        <v>50</v>
      </c>
      <c r="D1691" s="9" t="s">
        <v>14</v>
      </c>
      <c r="E1691" s="10">
        <v>130</v>
      </c>
      <c r="F1691" s="10">
        <f t="shared" si="27"/>
        <v>6500</v>
      </c>
    </row>
    <row r="1692" spans="1:6" s="9" customFormat="1" x14ac:dyDescent="0.25">
      <c r="C1692" s="5">
        <v>50</v>
      </c>
      <c r="D1692" s="9" t="s">
        <v>8</v>
      </c>
      <c r="E1692" s="10">
        <v>150</v>
      </c>
      <c r="F1692" s="10">
        <f t="shared" si="27"/>
        <v>7500</v>
      </c>
    </row>
    <row r="1693" spans="1:6" s="9" customFormat="1" x14ac:dyDescent="0.25">
      <c r="C1693" s="5"/>
      <c r="E1693" s="10"/>
      <c r="F1693" s="8">
        <f>SUM(F1688:F1692)</f>
        <v>84750</v>
      </c>
    </row>
    <row r="1694" spans="1:6" s="9" customFormat="1" x14ac:dyDescent="0.25">
      <c r="C1694" s="5"/>
      <c r="E1694" s="10"/>
      <c r="F1694" s="10"/>
    </row>
    <row r="1695" spans="1:6" s="9" customFormat="1" x14ac:dyDescent="0.25">
      <c r="A1695" s="9" t="s">
        <v>61</v>
      </c>
      <c r="B1695" s="4">
        <v>45741</v>
      </c>
      <c r="C1695" s="5">
        <v>100</v>
      </c>
      <c r="D1695" s="9" t="s">
        <v>13</v>
      </c>
      <c r="E1695" s="10">
        <v>140</v>
      </c>
      <c r="F1695" s="10">
        <f t="shared" si="27"/>
        <v>14000</v>
      </c>
    </row>
    <row r="1696" spans="1:6" s="9" customFormat="1" x14ac:dyDescent="0.25">
      <c r="C1696" s="5">
        <v>3</v>
      </c>
      <c r="D1696" s="9" t="s">
        <v>318</v>
      </c>
      <c r="E1696" s="10">
        <v>0</v>
      </c>
      <c r="F1696" s="10">
        <f t="shared" si="27"/>
        <v>0</v>
      </c>
    </row>
    <row r="1697" spans="1:6" s="9" customFormat="1" x14ac:dyDescent="0.25">
      <c r="C1697" s="5"/>
      <c r="E1697" s="10"/>
      <c r="F1697" s="8">
        <f>SUM(F1695:F1696)</f>
        <v>14000</v>
      </c>
    </row>
    <row r="1698" spans="1:6" s="9" customFormat="1" x14ac:dyDescent="0.25">
      <c r="C1698" s="5"/>
      <c r="E1698" s="10"/>
      <c r="F1698" s="10"/>
    </row>
    <row r="1699" spans="1:6" s="9" customFormat="1" x14ac:dyDescent="0.25">
      <c r="A1699" s="9" t="s">
        <v>111</v>
      </c>
      <c r="B1699" s="4">
        <v>45741</v>
      </c>
      <c r="C1699" s="5">
        <v>20</v>
      </c>
      <c r="D1699" s="9" t="s">
        <v>13</v>
      </c>
      <c r="E1699" s="10">
        <v>140</v>
      </c>
      <c r="F1699" s="10">
        <f t="shared" si="27"/>
        <v>2800</v>
      </c>
    </row>
    <row r="1700" spans="1:6" s="9" customFormat="1" x14ac:dyDescent="0.25">
      <c r="C1700" s="5"/>
      <c r="E1700" s="10"/>
      <c r="F1700" s="8">
        <f>SUM(F1699)</f>
        <v>2800</v>
      </c>
    </row>
    <row r="1701" spans="1:6" s="9" customFormat="1" x14ac:dyDescent="0.25">
      <c r="C1701" s="5"/>
      <c r="E1701" s="10"/>
      <c r="F1701" s="10"/>
    </row>
    <row r="1702" spans="1:6" s="9" customFormat="1" x14ac:dyDescent="0.25">
      <c r="A1702" s="9" t="s">
        <v>255</v>
      </c>
      <c r="B1702" s="4">
        <v>45741</v>
      </c>
      <c r="C1702" s="5">
        <v>50</v>
      </c>
      <c r="D1702" s="9" t="s">
        <v>8</v>
      </c>
      <c r="E1702" s="10">
        <v>160</v>
      </c>
      <c r="F1702" s="10">
        <f t="shared" si="27"/>
        <v>8000</v>
      </c>
    </row>
    <row r="1703" spans="1:6" s="9" customFormat="1" x14ac:dyDescent="0.25">
      <c r="C1703" s="5">
        <v>20</v>
      </c>
      <c r="D1703" s="9" t="s">
        <v>13</v>
      </c>
      <c r="E1703" s="10">
        <v>140</v>
      </c>
      <c r="F1703" s="10">
        <f t="shared" si="27"/>
        <v>2800</v>
      </c>
    </row>
    <row r="1704" spans="1:6" s="9" customFormat="1" x14ac:dyDescent="0.25">
      <c r="C1704" s="5"/>
      <c r="E1704" s="10"/>
      <c r="F1704" s="8">
        <f>SUM(F1702:F1703)</f>
        <v>10800</v>
      </c>
    </row>
    <row r="1705" spans="1:6" s="9" customFormat="1" x14ac:dyDescent="0.25">
      <c r="C1705" s="5"/>
      <c r="E1705" s="10"/>
      <c r="F1705" s="10"/>
    </row>
    <row r="1706" spans="1:6" s="9" customFormat="1" x14ac:dyDescent="0.25">
      <c r="A1706" s="9" t="s">
        <v>352</v>
      </c>
      <c r="B1706" s="4">
        <v>45741</v>
      </c>
      <c r="C1706" s="5">
        <v>8</v>
      </c>
      <c r="D1706" s="9" t="s">
        <v>275</v>
      </c>
      <c r="E1706" s="10">
        <v>100</v>
      </c>
      <c r="F1706" s="10">
        <f t="shared" si="27"/>
        <v>800</v>
      </c>
    </row>
    <row r="1707" spans="1:6" s="9" customFormat="1" x14ac:dyDescent="0.25">
      <c r="C1707" s="5"/>
      <c r="E1707" s="10"/>
      <c r="F1707" s="8">
        <f>SUM(F1706)</f>
        <v>800</v>
      </c>
    </row>
    <row r="1708" spans="1:6" s="9" customFormat="1" x14ac:dyDescent="0.25">
      <c r="C1708" s="5"/>
      <c r="E1708" s="10"/>
      <c r="F1708" s="10"/>
    </row>
    <row r="1709" spans="1:6" s="9" customFormat="1" x14ac:dyDescent="0.25">
      <c r="A1709" s="9" t="s">
        <v>7</v>
      </c>
      <c r="B1709" s="4">
        <v>45741</v>
      </c>
      <c r="C1709" s="5">
        <v>12</v>
      </c>
      <c r="D1709" s="9" t="s">
        <v>22</v>
      </c>
      <c r="E1709" s="10">
        <v>103</v>
      </c>
      <c r="F1709" s="10">
        <f t="shared" si="27"/>
        <v>1236</v>
      </c>
    </row>
    <row r="1710" spans="1:6" s="9" customFormat="1" x14ac:dyDescent="0.25">
      <c r="C1710" s="5"/>
      <c r="E1710" s="10"/>
      <c r="F1710" s="8">
        <f>SUM(F1709)</f>
        <v>1236</v>
      </c>
    </row>
    <row r="1711" spans="1:6" s="9" customFormat="1" x14ac:dyDescent="0.25">
      <c r="C1711" s="5"/>
      <c r="E1711" s="10"/>
      <c r="F1711" s="10"/>
    </row>
    <row r="1712" spans="1:6" s="9" customFormat="1" x14ac:dyDescent="0.25">
      <c r="A1712" s="9" t="s">
        <v>245</v>
      </c>
      <c r="B1712" s="4">
        <v>45741</v>
      </c>
      <c r="C1712" s="5">
        <v>50</v>
      </c>
      <c r="D1712" s="9" t="s">
        <v>13</v>
      </c>
      <c r="E1712" s="10">
        <v>140</v>
      </c>
      <c r="F1712" s="10">
        <f t="shared" si="27"/>
        <v>7000</v>
      </c>
    </row>
    <row r="1713" spans="1:6" s="9" customFormat="1" x14ac:dyDescent="0.25">
      <c r="C1713" s="5">
        <v>20</v>
      </c>
      <c r="D1713" s="9" t="s">
        <v>14</v>
      </c>
      <c r="E1713" s="10">
        <v>135</v>
      </c>
      <c r="F1713" s="10">
        <f t="shared" si="27"/>
        <v>2700</v>
      </c>
    </row>
    <row r="1714" spans="1:6" s="9" customFormat="1" x14ac:dyDescent="0.25">
      <c r="C1714" s="5"/>
      <c r="E1714" s="10"/>
      <c r="F1714" s="8">
        <f>SUM(F1712:F1713)</f>
        <v>9700</v>
      </c>
    </row>
    <row r="1715" spans="1:6" s="9" customFormat="1" x14ac:dyDescent="0.25">
      <c r="C1715" s="5"/>
      <c r="E1715" s="10"/>
      <c r="F1715" s="10"/>
    </row>
    <row r="1716" spans="1:6" s="9" customFormat="1" x14ac:dyDescent="0.25">
      <c r="A1716" s="9" t="s">
        <v>53</v>
      </c>
      <c r="B1716" s="4">
        <v>45741</v>
      </c>
      <c r="C1716" s="5">
        <v>41</v>
      </c>
      <c r="D1716" s="9" t="s">
        <v>13</v>
      </c>
      <c r="E1716" s="10">
        <v>135</v>
      </c>
      <c r="F1716" s="10">
        <f t="shared" si="27"/>
        <v>5535</v>
      </c>
    </row>
    <row r="1717" spans="1:6" s="9" customFormat="1" x14ac:dyDescent="0.25">
      <c r="C1717" s="5">
        <v>14</v>
      </c>
      <c r="D1717" s="9" t="s">
        <v>12</v>
      </c>
      <c r="E1717" s="10">
        <v>130</v>
      </c>
      <c r="F1717" s="10">
        <f t="shared" si="27"/>
        <v>1820</v>
      </c>
    </row>
    <row r="1718" spans="1:6" s="9" customFormat="1" x14ac:dyDescent="0.25">
      <c r="C1718" s="5">
        <v>35</v>
      </c>
      <c r="D1718" s="9" t="s">
        <v>12</v>
      </c>
      <c r="E1718" s="10">
        <v>125</v>
      </c>
      <c r="F1718" s="10">
        <f t="shared" si="27"/>
        <v>4375</v>
      </c>
    </row>
    <row r="1719" spans="1:6" s="9" customFormat="1" x14ac:dyDescent="0.25">
      <c r="C1719" s="5"/>
      <c r="E1719" s="10"/>
      <c r="F1719" s="8">
        <f>SUM(F1716:F1718)</f>
        <v>11730</v>
      </c>
    </row>
    <row r="1720" spans="1:6" s="9" customFormat="1" x14ac:dyDescent="0.25">
      <c r="C1720" s="5"/>
      <c r="E1720" s="10"/>
      <c r="F1720" s="10"/>
    </row>
    <row r="1721" spans="1:6" s="9" customFormat="1" x14ac:dyDescent="0.25">
      <c r="A1721" s="9" t="s">
        <v>88</v>
      </c>
      <c r="B1721" s="4">
        <v>45741</v>
      </c>
      <c r="C1721" s="5">
        <v>6</v>
      </c>
      <c r="D1721" s="9" t="s">
        <v>13</v>
      </c>
      <c r="E1721" s="10">
        <v>145</v>
      </c>
      <c r="F1721" s="10">
        <f t="shared" si="27"/>
        <v>870</v>
      </c>
    </row>
    <row r="1722" spans="1:6" s="9" customFormat="1" x14ac:dyDescent="0.25">
      <c r="C1722" s="5"/>
      <c r="E1722" s="10"/>
      <c r="F1722" s="8">
        <f>SUM(F1721)</f>
        <v>870</v>
      </c>
    </row>
    <row r="1723" spans="1:6" s="9" customFormat="1" x14ac:dyDescent="0.25">
      <c r="C1723" s="5"/>
      <c r="E1723" s="10"/>
      <c r="F1723" s="10"/>
    </row>
    <row r="1724" spans="1:6" s="9" customFormat="1" x14ac:dyDescent="0.25">
      <c r="A1724" s="9" t="s">
        <v>136</v>
      </c>
      <c r="B1724" s="4">
        <v>45741</v>
      </c>
      <c r="C1724" s="5">
        <v>15</v>
      </c>
      <c r="D1724" s="9" t="s">
        <v>13</v>
      </c>
      <c r="E1724" s="10">
        <v>140</v>
      </c>
      <c r="F1724" s="10">
        <f t="shared" si="27"/>
        <v>2100</v>
      </c>
    </row>
    <row r="1725" spans="1:6" s="9" customFormat="1" x14ac:dyDescent="0.25">
      <c r="C1725" s="5"/>
      <c r="E1725" s="10"/>
      <c r="F1725" s="8">
        <f>SUM(F1724)</f>
        <v>2100</v>
      </c>
    </row>
    <row r="1726" spans="1:6" s="9" customFormat="1" x14ac:dyDescent="0.25">
      <c r="C1726" s="5"/>
      <c r="E1726" s="10"/>
      <c r="F1726" s="10"/>
    </row>
    <row r="1727" spans="1:6" s="9" customFormat="1" x14ac:dyDescent="0.25">
      <c r="A1727" s="9" t="s">
        <v>353</v>
      </c>
      <c r="B1727" s="4">
        <v>45741</v>
      </c>
      <c r="C1727" s="5">
        <v>10</v>
      </c>
      <c r="D1727" s="9" t="s">
        <v>168</v>
      </c>
      <c r="E1727" s="10">
        <v>140</v>
      </c>
      <c r="F1727" s="10">
        <f t="shared" si="27"/>
        <v>1400</v>
      </c>
    </row>
    <row r="1728" spans="1:6" s="9" customFormat="1" x14ac:dyDescent="0.25">
      <c r="C1728" s="5">
        <v>2</v>
      </c>
      <c r="D1728" s="9" t="s">
        <v>13</v>
      </c>
      <c r="E1728" s="10">
        <v>150</v>
      </c>
      <c r="F1728" s="10">
        <f t="shared" si="27"/>
        <v>300</v>
      </c>
    </row>
    <row r="1729" spans="1:6" s="9" customFormat="1" x14ac:dyDescent="0.25">
      <c r="C1729" s="5">
        <v>1</v>
      </c>
      <c r="D1729" s="9" t="s">
        <v>12</v>
      </c>
      <c r="E1729" s="10">
        <v>150</v>
      </c>
      <c r="F1729" s="10">
        <f t="shared" si="27"/>
        <v>150</v>
      </c>
    </row>
    <row r="1730" spans="1:6" s="9" customFormat="1" x14ac:dyDescent="0.25">
      <c r="C1730" s="5">
        <v>2</v>
      </c>
      <c r="D1730" s="9" t="s">
        <v>13</v>
      </c>
      <c r="E1730" s="10">
        <v>140</v>
      </c>
      <c r="F1730" s="10">
        <f t="shared" si="27"/>
        <v>280</v>
      </c>
    </row>
    <row r="1731" spans="1:6" s="9" customFormat="1" x14ac:dyDescent="0.25">
      <c r="C1731" s="11">
        <v>0.5</v>
      </c>
      <c r="D1731" s="9" t="s">
        <v>49</v>
      </c>
      <c r="E1731" s="10">
        <v>170</v>
      </c>
      <c r="F1731" s="10">
        <f t="shared" si="27"/>
        <v>85</v>
      </c>
    </row>
    <row r="1732" spans="1:6" s="9" customFormat="1" x14ac:dyDescent="0.25">
      <c r="C1732" s="5"/>
      <c r="E1732" s="10"/>
      <c r="F1732" s="8">
        <f>SUM(F1727:F1731)</f>
        <v>2215</v>
      </c>
    </row>
    <row r="1733" spans="1:6" s="9" customFormat="1" x14ac:dyDescent="0.25">
      <c r="C1733" s="5"/>
      <c r="E1733" s="10"/>
      <c r="F1733" s="10"/>
    </row>
    <row r="1734" spans="1:6" s="9" customFormat="1" x14ac:dyDescent="0.25">
      <c r="A1734" s="9" t="s">
        <v>7</v>
      </c>
      <c r="B1734" s="4">
        <v>45741</v>
      </c>
      <c r="C1734" s="5">
        <v>2</v>
      </c>
      <c r="D1734" s="9" t="s">
        <v>12</v>
      </c>
      <c r="E1734" s="10">
        <v>140</v>
      </c>
      <c r="F1734" s="10">
        <f t="shared" ref="F1734:F1797" si="28">+C1734*E1734</f>
        <v>280</v>
      </c>
    </row>
    <row r="1735" spans="1:6" s="9" customFormat="1" x14ac:dyDescent="0.25">
      <c r="C1735" s="5">
        <v>1</v>
      </c>
      <c r="D1735" s="9" t="s">
        <v>12</v>
      </c>
      <c r="E1735" s="10">
        <v>150</v>
      </c>
      <c r="F1735" s="10">
        <f t="shared" si="28"/>
        <v>150</v>
      </c>
    </row>
    <row r="1736" spans="1:6" s="9" customFormat="1" x14ac:dyDescent="0.25">
      <c r="C1736" s="5">
        <v>1</v>
      </c>
      <c r="D1736" s="9" t="s">
        <v>8</v>
      </c>
      <c r="E1736" s="10">
        <v>170</v>
      </c>
      <c r="F1736" s="10">
        <f t="shared" si="28"/>
        <v>170</v>
      </c>
    </row>
    <row r="1737" spans="1:6" s="9" customFormat="1" x14ac:dyDescent="0.25">
      <c r="C1737" s="5">
        <v>1</v>
      </c>
      <c r="D1737" s="9" t="s">
        <v>225</v>
      </c>
      <c r="E1737" s="10">
        <v>140</v>
      </c>
      <c r="F1737" s="10">
        <f t="shared" si="28"/>
        <v>140</v>
      </c>
    </row>
    <row r="1738" spans="1:6" s="9" customFormat="1" x14ac:dyDescent="0.25">
      <c r="C1738" s="5">
        <v>10</v>
      </c>
      <c r="D1738" s="9" t="s">
        <v>8</v>
      </c>
      <c r="E1738" s="10">
        <v>160</v>
      </c>
      <c r="F1738" s="10">
        <f t="shared" si="28"/>
        <v>1600</v>
      </c>
    </row>
    <row r="1739" spans="1:6" s="9" customFormat="1" x14ac:dyDescent="0.25">
      <c r="C1739" s="5"/>
      <c r="E1739" s="10"/>
      <c r="F1739" s="8">
        <f>SUM(F1734:F1738)</f>
        <v>2340</v>
      </c>
    </row>
    <row r="1740" spans="1:6" s="9" customFormat="1" x14ac:dyDescent="0.25">
      <c r="C1740" s="5"/>
      <c r="E1740" s="10"/>
      <c r="F1740" s="10"/>
    </row>
    <row r="1741" spans="1:6" s="9" customFormat="1" x14ac:dyDescent="0.25">
      <c r="A1741" s="9" t="s">
        <v>87</v>
      </c>
      <c r="B1741" s="4">
        <v>45742</v>
      </c>
      <c r="C1741" s="5">
        <v>2</v>
      </c>
      <c r="D1741" s="9" t="s">
        <v>8</v>
      </c>
      <c r="E1741" s="10">
        <v>160</v>
      </c>
      <c r="F1741" s="10">
        <f t="shared" si="28"/>
        <v>320</v>
      </c>
    </row>
    <row r="1742" spans="1:6" s="9" customFormat="1" x14ac:dyDescent="0.25">
      <c r="C1742" s="5">
        <v>3</v>
      </c>
      <c r="D1742" s="9" t="s">
        <v>22</v>
      </c>
      <c r="E1742" s="10">
        <v>120</v>
      </c>
      <c r="F1742" s="10">
        <f t="shared" si="28"/>
        <v>360</v>
      </c>
    </row>
    <row r="1743" spans="1:6" s="9" customFormat="1" x14ac:dyDescent="0.25">
      <c r="C1743" s="5"/>
      <c r="E1743" s="10"/>
      <c r="F1743" s="8">
        <f>SUM(F1741:F1742)</f>
        <v>680</v>
      </c>
    </row>
    <row r="1744" spans="1:6" s="9" customFormat="1" x14ac:dyDescent="0.25">
      <c r="C1744" s="5"/>
      <c r="E1744" s="10"/>
      <c r="F1744" s="10"/>
    </row>
    <row r="1745" spans="1:6" s="9" customFormat="1" x14ac:dyDescent="0.25">
      <c r="A1745" s="9" t="s">
        <v>184</v>
      </c>
      <c r="B1745" s="4">
        <v>45742</v>
      </c>
      <c r="C1745" s="5">
        <v>5</v>
      </c>
      <c r="D1745" s="9" t="s">
        <v>13</v>
      </c>
      <c r="E1745" s="10">
        <v>155</v>
      </c>
      <c r="F1745" s="10">
        <f t="shared" si="28"/>
        <v>775</v>
      </c>
    </row>
    <row r="1746" spans="1:6" s="9" customFormat="1" x14ac:dyDescent="0.25">
      <c r="C1746" s="5"/>
      <c r="E1746" s="10"/>
      <c r="F1746" s="8">
        <f>SUM(F1745)</f>
        <v>775</v>
      </c>
    </row>
    <row r="1747" spans="1:6" s="9" customFormat="1" x14ac:dyDescent="0.25">
      <c r="C1747" s="5"/>
      <c r="E1747" s="10"/>
      <c r="F1747" s="10"/>
    </row>
    <row r="1748" spans="1:6" s="9" customFormat="1" x14ac:dyDescent="0.25">
      <c r="A1748" s="9" t="s">
        <v>354</v>
      </c>
      <c r="B1748" s="4">
        <v>45742</v>
      </c>
      <c r="C1748" s="5">
        <v>5</v>
      </c>
      <c r="D1748" s="9" t="s">
        <v>8</v>
      </c>
      <c r="E1748" s="10">
        <v>160</v>
      </c>
      <c r="F1748" s="10">
        <f t="shared" si="28"/>
        <v>800</v>
      </c>
    </row>
    <row r="1749" spans="1:6" s="9" customFormat="1" x14ac:dyDescent="0.25">
      <c r="C1749" s="5"/>
      <c r="E1749" s="10"/>
      <c r="F1749" s="8">
        <f>SUM(F1748)</f>
        <v>800</v>
      </c>
    </row>
    <row r="1750" spans="1:6" s="9" customFormat="1" x14ac:dyDescent="0.25">
      <c r="C1750" s="5"/>
      <c r="E1750" s="10"/>
      <c r="F1750" s="10"/>
    </row>
    <row r="1751" spans="1:6" s="9" customFormat="1" x14ac:dyDescent="0.25">
      <c r="A1751" s="9" t="s">
        <v>117</v>
      </c>
      <c r="B1751" s="4">
        <v>45742</v>
      </c>
      <c r="C1751" s="5">
        <v>5</v>
      </c>
      <c r="D1751" s="9" t="s">
        <v>13</v>
      </c>
      <c r="E1751" s="10">
        <v>155</v>
      </c>
      <c r="F1751" s="10">
        <f t="shared" si="28"/>
        <v>775</v>
      </c>
    </row>
    <row r="1752" spans="1:6" s="9" customFormat="1" x14ac:dyDescent="0.25">
      <c r="C1752" s="5"/>
      <c r="E1752" s="10"/>
      <c r="F1752" s="8">
        <f>SUM(F1751)</f>
        <v>775</v>
      </c>
    </row>
    <row r="1753" spans="1:6" s="9" customFormat="1" x14ac:dyDescent="0.25">
      <c r="C1753" s="5"/>
      <c r="E1753" s="10"/>
      <c r="F1753" s="10"/>
    </row>
    <row r="1754" spans="1:6" s="9" customFormat="1" x14ac:dyDescent="0.25">
      <c r="A1754" s="9" t="s">
        <v>53</v>
      </c>
      <c r="B1754" s="4">
        <v>45742</v>
      </c>
      <c r="C1754" s="5">
        <v>150</v>
      </c>
      <c r="D1754" s="9" t="s">
        <v>13</v>
      </c>
      <c r="E1754" s="10">
        <v>135</v>
      </c>
      <c r="F1754" s="10">
        <f t="shared" si="28"/>
        <v>20250</v>
      </c>
    </row>
    <row r="1755" spans="1:6" s="9" customFormat="1" x14ac:dyDescent="0.25">
      <c r="C1755" s="5"/>
      <c r="E1755" s="10"/>
      <c r="F1755" s="8">
        <f>SUM(F1754)</f>
        <v>20250</v>
      </c>
    </row>
    <row r="1756" spans="1:6" s="9" customFormat="1" x14ac:dyDescent="0.25">
      <c r="C1756" s="5"/>
      <c r="E1756" s="10"/>
      <c r="F1756" s="10"/>
    </row>
    <row r="1757" spans="1:6" s="9" customFormat="1" x14ac:dyDescent="0.25">
      <c r="A1757" s="9" t="s">
        <v>270</v>
      </c>
      <c r="B1757" s="4">
        <v>45742</v>
      </c>
      <c r="C1757" s="5">
        <v>10</v>
      </c>
      <c r="D1757" s="9" t="s">
        <v>98</v>
      </c>
      <c r="E1757" s="10">
        <v>100</v>
      </c>
      <c r="F1757" s="10">
        <f t="shared" si="28"/>
        <v>1000</v>
      </c>
    </row>
    <row r="1758" spans="1:6" s="9" customFormat="1" x14ac:dyDescent="0.25">
      <c r="C1758" s="5"/>
      <c r="E1758" s="10"/>
      <c r="F1758" s="8">
        <f>SUM(F1757)</f>
        <v>1000</v>
      </c>
    </row>
    <row r="1759" spans="1:6" s="9" customFormat="1" x14ac:dyDescent="0.25">
      <c r="C1759" s="5"/>
      <c r="E1759" s="10"/>
      <c r="F1759" s="10"/>
    </row>
    <row r="1760" spans="1:6" s="9" customFormat="1" x14ac:dyDescent="0.25">
      <c r="A1760" s="9" t="s">
        <v>15</v>
      </c>
      <c r="B1760" s="4">
        <v>45742</v>
      </c>
      <c r="C1760" s="5">
        <v>40</v>
      </c>
      <c r="D1760" s="9" t="s">
        <v>275</v>
      </c>
      <c r="E1760" s="10">
        <v>85</v>
      </c>
      <c r="F1760" s="10">
        <f t="shared" si="28"/>
        <v>3400</v>
      </c>
    </row>
    <row r="1761" spans="1:6" s="9" customFormat="1" x14ac:dyDescent="0.25">
      <c r="C1761" s="5">
        <v>20</v>
      </c>
      <c r="D1761" s="9" t="s">
        <v>22</v>
      </c>
      <c r="E1761" s="10">
        <v>50</v>
      </c>
      <c r="F1761" s="10">
        <f t="shared" si="28"/>
        <v>1000</v>
      </c>
    </row>
    <row r="1762" spans="1:6" s="9" customFormat="1" x14ac:dyDescent="0.25">
      <c r="C1762" s="5"/>
      <c r="E1762" s="10"/>
      <c r="F1762" s="8">
        <f>SUM(F1760:F1761)</f>
        <v>4400</v>
      </c>
    </row>
    <row r="1763" spans="1:6" s="9" customFormat="1" x14ac:dyDescent="0.25">
      <c r="C1763" s="5"/>
      <c r="E1763" s="10"/>
      <c r="F1763" s="10"/>
    </row>
    <row r="1764" spans="1:6" s="9" customFormat="1" x14ac:dyDescent="0.25">
      <c r="A1764" s="9" t="s">
        <v>18</v>
      </c>
      <c r="B1764" s="4">
        <v>45742</v>
      </c>
      <c r="C1764" s="5">
        <v>5</v>
      </c>
      <c r="D1764" s="9" t="s">
        <v>13</v>
      </c>
      <c r="E1764" s="10">
        <v>140</v>
      </c>
      <c r="F1764" s="10">
        <f t="shared" si="28"/>
        <v>700</v>
      </c>
    </row>
    <row r="1765" spans="1:6" s="9" customFormat="1" x14ac:dyDescent="0.25">
      <c r="C1765" s="5"/>
      <c r="E1765" s="10"/>
      <c r="F1765" s="8">
        <f>SUM(F1764)</f>
        <v>700</v>
      </c>
    </row>
    <row r="1766" spans="1:6" s="9" customFormat="1" x14ac:dyDescent="0.25">
      <c r="C1766" s="5"/>
      <c r="E1766" s="10"/>
      <c r="F1766" s="10"/>
    </row>
    <row r="1767" spans="1:6" s="9" customFormat="1" x14ac:dyDescent="0.25">
      <c r="A1767" s="9" t="s">
        <v>157</v>
      </c>
      <c r="B1767" s="4">
        <v>45742</v>
      </c>
      <c r="C1767" s="5">
        <v>10</v>
      </c>
      <c r="D1767" s="9" t="s">
        <v>8</v>
      </c>
      <c r="E1767" s="10">
        <v>150</v>
      </c>
      <c r="F1767" s="10">
        <f t="shared" si="28"/>
        <v>1500</v>
      </c>
    </row>
    <row r="1768" spans="1:6" s="9" customFormat="1" x14ac:dyDescent="0.25">
      <c r="C1768" s="5"/>
      <c r="E1768" s="10"/>
      <c r="F1768" s="8">
        <f>SUM(F1767)</f>
        <v>1500</v>
      </c>
    </row>
    <row r="1769" spans="1:6" s="9" customFormat="1" x14ac:dyDescent="0.25">
      <c r="C1769" s="5"/>
      <c r="E1769" s="10"/>
      <c r="F1769" s="10"/>
    </row>
    <row r="1770" spans="1:6" s="9" customFormat="1" x14ac:dyDescent="0.25">
      <c r="A1770" s="9" t="s">
        <v>57</v>
      </c>
      <c r="B1770" s="4">
        <v>45742</v>
      </c>
      <c r="C1770" s="5">
        <v>10</v>
      </c>
      <c r="D1770" s="9" t="s">
        <v>13</v>
      </c>
      <c r="E1770" s="10">
        <v>135</v>
      </c>
      <c r="F1770" s="10">
        <f t="shared" si="28"/>
        <v>1350</v>
      </c>
    </row>
    <row r="1771" spans="1:6" s="9" customFormat="1" x14ac:dyDescent="0.25">
      <c r="C1771" s="5">
        <v>5</v>
      </c>
      <c r="D1771" s="9" t="s">
        <v>14</v>
      </c>
      <c r="E1771" s="10">
        <v>125</v>
      </c>
      <c r="F1771" s="10">
        <f t="shared" si="28"/>
        <v>625</v>
      </c>
    </row>
    <row r="1772" spans="1:6" s="9" customFormat="1" x14ac:dyDescent="0.25">
      <c r="C1772" s="5"/>
      <c r="E1772" s="10"/>
      <c r="F1772" s="8">
        <f>SUM(F1770:F1771)</f>
        <v>1975</v>
      </c>
    </row>
    <row r="1773" spans="1:6" s="9" customFormat="1" x14ac:dyDescent="0.25">
      <c r="C1773" s="5"/>
      <c r="E1773" s="10"/>
      <c r="F1773" s="10"/>
    </row>
    <row r="1774" spans="1:6" s="9" customFormat="1" x14ac:dyDescent="0.25">
      <c r="A1774" s="9" t="s">
        <v>40</v>
      </c>
      <c r="B1774" s="4">
        <v>45742</v>
      </c>
      <c r="C1774" s="5">
        <v>10</v>
      </c>
      <c r="D1774" s="9" t="s">
        <v>8</v>
      </c>
      <c r="E1774" s="10">
        <v>150</v>
      </c>
      <c r="F1774" s="10">
        <f t="shared" si="28"/>
        <v>1500</v>
      </c>
    </row>
    <row r="1775" spans="1:6" s="9" customFormat="1" x14ac:dyDescent="0.25">
      <c r="C1775" s="5">
        <v>11</v>
      </c>
      <c r="D1775" s="9" t="s">
        <v>13</v>
      </c>
      <c r="E1775" s="10">
        <v>135</v>
      </c>
      <c r="F1775" s="10">
        <f t="shared" si="28"/>
        <v>1485</v>
      </c>
    </row>
    <row r="1776" spans="1:6" s="9" customFormat="1" x14ac:dyDescent="0.25">
      <c r="C1776" s="5">
        <v>8</v>
      </c>
      <c r="D1776" s="9" t="s">
        <v>14</v>
      </c>
      <c r="E1776" s="10">
        <v>125</v>
      </c>
      <c r="F1776" s="10">
        <f t="shared" si="28"/>
        <v>1000</v>
      </c>
    </row>
    <row r="1777" spans="1:6" s="9" customFormat="1" x14ac:dyDescent="0.25">
      <c r="C1777" s="5">
        <v>10</v>
      </c>
      <c r="D1777" s="9" t="s">
        <v>12</v>
      </c>
      <c r="E1777" s="10">
        <v>115</v>
      </c>
      <c r="F1777" s="10">
        <f t="shared" si="28"/>
        <v>1150</v>
      </c>
    </row>
    <row r="1778" spans="1:6" s="9" customFormat="1" x14ac:dyDescent="0.25">
      <c r="C1778" s="5">
        <v>10</v>
      </c>
      <c r="D1778" s="9" t="s">
        <v>11</v>
      </c>
      <c r="E1778" s="10">
        <v>115</v>
      </c>
      <c r="F1778" s="10">
        <f t="shared" si="28"/>
        <v>1150</v>
      </c>
    </row>
    <row r="1779" spans="1:6" s="9" customFormat="1" x14ac:dyDescent="0.25">
      <c r="C1779" s="5">
        <v>10</v>
      </c>
      <c r="D1779" s="9" t="s">
        <v>22</v>
      </c>
      <c r="E1779" s="10">
        <v>100</v>
      </c>
      <c r="F1779" s="10">
        <f t="shared" si="28"/>
        <v>1000</v>
      </c>
    </row>
    <row r="1780" spans="1:6" s="9" customFormat="1" x14ac:dyDescent="0.25">
      <c r="C1780" s="5"/>
      <c r="E1780" s="10"/>
      <c r="F1780" s="8">
        <f>SUM(F1774:F1779)</f>
        <v>7285</v>
      </c>
    </row>
    <row r="1781" spans="1:6" s="9" customFormat="1" x14ac:dyDescent="0.25">
      <c r="C1781" s="5"/>
      <c r="E1781" s="10"/>
      <c r="F1781" s="10"/>
    </row>
    <row r="1782" spans="1:6" s="9" customFormat="1" x14ac:dyDescent="0.25">
      <c r="A1782" s="9" t="s">
        <v>80</v>
      </c>
      <c r="B1782" s="4">
        <v>45742</v>
      </c>
      <c r="C1782" s="5">
        <v>10</v>
      </c>
      <c r="D1782" s="9" t="s">
        <v>13</v>
      </c>
      <c r="E1782" s="10">
        <v>140</v>
      </c>
      <c r="F1782" s="10">
        <f t="shared" si="28"/>
        <v>1400</v>
      </c>
    </row>
    <row r="1783" spans="1:6" s="9" customFormat="1" x14ac:dyDescent="0.25">
      <c r="C1783" s="5"/>
      <c r="E1783" s="10"/>
      <c r="F1783" s="8">
        <f>SUM(F1782)</f>
        <v>1400</v>
      </c>
    </row>
    <row r="1784" spans="1:6" s="9" customFormat="1" x14ac:dyDescent="0.25">
      <c r="C1784" s="5"/>
      <c r="E1784" s="10"/>
      <c r="F1784" s="10"/>
    </row>
    <row r="1785" spans="1:6" s="9" customFormat="1" x14ac:dyDescent="0.25">
      <c r="A1785" s="9" t="s">
        <v>58</v>
      </c>
      <c r="B1785" s="4">
        <v>45742</v>
      </c>
      <c r="C1785" s="5">
        <v>8</v>
      </c>
      <c r="D1785" s="9" t="s">
        <v>13</v>
      </c>
      <c r="E1785" s="10">
        <v>140</v>
      </c>
      <c r="F1785" s="10">
        <f t="shared" si="28"/>
        <v>1120</v>
      </c>
    </row>
    <row r="1786" spans="1:6" s="9" customFormat="1" x14ac:dyDescent="0.25">
      <c r="C1786" s="5"/>
      <c r="E1786" s="10"/>
      <c r="F1786" s="8">
        <f>SUM(F1785)</f>
        <v>1120</v>
      </c>
    </row>
    <row r="1787" spans="1:6" s="9" customFormat="1" x14ac:dyDescent="0.25">
      <c r="C1787" s="5"/>
      <c r="E1787" s="10"/>
      <c r="F1787" s="10"/>
    </row>
    <row r="1788" spans="1:6" s="9" customFormat="1" x14ac:dyDescent="0.25">
      <c r="A1788" s="9" t="s">
        <v>21</v>
      </c>
      <c r="B1788" s="4">
        <v>45742</v>
      </c>
      <c r="C1788" s="5">
        <v>20</v>
      </c>
      <c r="D1788" s="9" t="s">
        <v>22</v>
      </c>
      <c r="E1788" s="10">
        <v>100</v>
      </c>
      <c r="F1788" s="10">
        <f t="shared" si="28"/>
        <v>2000</v>
      </c>
    </row>
    <row r="1789" spans="1:6" s="9" customFormat="1" x14ac:dyDescent="0.25">
      <c r="C1789" s="5"/>
      <c r="E1789" s="10"/>
      <c r="F1789" s="8">
        <f>SUM(F1788)</f>
        <v>2000</v>
      </c>
    </row>
    <row r="1790" spans="1:6" s="9" customFormat="1" x14ac:dyDescent="0.25">
      <c r="C1790" s="5"/>
      <c r="E1790" s="10"/>
      <c r="F1790" s="10"/>
    </row>
    <row r="1791" spans="1:6" s="9" customFormat="1" x14ac:dyDescent="0.25">
      <c r="A1791" s="9" t="s">
        <v>107</v>
      </c>
      <c r="B1791" s="4">
        <v>45742</v>
      </c>
      <c r="C1791" s="5">
        <v>32</v>
      </c>
      <c r="D1791" s="9" t="s">
        <v>14</v>
      </c>
      <c r="E1791" s="10">
        <v>125</v>
      </c>
      <c r="F1791" s="10">
        <f t="shared" si="28"/>
        <v>4000</v>
      </c>
    </row>
    <row r="1792" spans="1:6" s="9" customFormat="1" x14ac:dyDescent="0.25">
      <c r="C1792" s="5"/>
      <c r="E1792" s="10"/>
      <c r="F1792" s="8">
        <f>SUM(F1791)</f>
        <v>4000</v>
      </c>
    </row>
    <row r="1793" spans="1:6" s="9" customFormat="1" x14ac:dyDescent="0.25">
      <c r="C1793" s="5"/>
      <c r="E1793" s="10"/>
      <c r="F1793" s="10"/>
    </row>
    <row r="1794" spans="1:6" s="9" customFormat="1" x14ac:dyDescent="0.25">
      <c r="A1794" s="9" t="s">
        <v>41</v>
      </c>
      <c r="B1794" s="4">
        <v>45742</v>
      </c>
      <c r="C1794" s="5">
        <v>20</v>
      </c>
      <c r="D1794" s="9" t="s">
        <v>14</v>
      </c>
      <c r="E1794" s="10">
        <v>130</v>
      </c>
      <c r="F1794" s="10">
        <f t="shared" si="28"/>
        <v>2600</v>
      </c>
    </row>
    <row r="1795" spans="1:6" s="9" customFormat="1" x14ac:dyDescent="0.25">
      <c r="C1795" s="5"/>
      <c r="E1795" s="10"/>
      <c r="F1795" s="8">
        <f>SUM(F1794)</f>
        <v>2600</v>
      </c>
    </row>
    <row r="1796" spans="1:6" s="9" customFormat="1" x14ac:dyDescent="0.25">
      <c r="C1796" s="5"/>
      <c r="E1796" s="10"/>
      <c r="F1796" s="10"/>
    </row>
    <row r="1797" spans="1:6" s="9" customFormat="1" x14ac:dyDescent="0.25">
      <c r="A1797" s="9" t="s">
        <v>18</v>
      </c>
      <c r="B1797" s="4">
        <v>45742</v>
      </c>
      <c r="C1797" s="5">
        <v>30</v>
      </c>
      <c r="D1797" s="9" t="s">
        <v>14</v>
      </c>
      <c r="E1797" s="10">
        <v>125</v>
      </c>
      <c r="F1797" s="10">
        <f t="shared" si="28"/>
        <v>3750</v>
      </c>
    </row>
    <row r="1798" spans="1:6" s="9" customFormat="1" x14ac:dyDescent="0.25">
      <c r="C1798" s="5"/>
      <c r="E1798" s="10"/>
      <c r="F1798" s="8">
        <f>SUM(F1797)</f>
        <v>3750</v>
      </c>
    </row>
    <row r="1799" spans="1:6" s="9" customFormat="1" x14ac:dyDescent="0.25">
      <c r="C1799" s="5"/>
      <c r="E1799" s="10"/>
      <c r="F1799" s="10"/>
    </row>
    <row r="1800" spans="1:6" s="9" customFormat="1" x14ac:dyDescent="0.25">
      <c r="A1800" s="9" t="s">
        <v>253</v>
      </c>
      <c r="B1800" s="4">
        <v>45742</v>
      </c>
      <c r="C1800" s="5">
        <v>30</v>
      </c>
      <c r="D1800" s="9" t="s">
        <v>355</v>
      </c>
      <c r="E1800" s="10">
        <v>120</v>
      </c>
      <c r="F1800" s="10">
        <f t="shared" ref="F1800:F1861" si="29">+C1800*E1800</f>
        <v>3600</v>
      </c>
    </row>
    <row r="1801" spans="1:6" s="9" customFormat="1" x14ac:dyDescent="0.25">
      <c r="C1801" s="5"/>
      <c r="E1801" s="10"/>
      <c r="F1801" s="8">
        <f>SUM(F1800)</f>
        <v>3600</v>
      </c>
    </row>
    <row r="1802" spans="1:6" s="9" customFormat="1" x14ac:dyDescent="0.25">
      <c r="C1802" s="5"/>
      <c r="E1802" s="10"/>
      <c r="F1802" s="10"/>
    </row>
    <row r="1803" spans="1:6" s="9" customFormat="1" x14ac:dyDescent="0.25">
      <c r="A1803" s="9" t="s">
        <v>138</v>
      </c>
      <c r="B1803" s="4">
        <v>45742</v>
      </c>
      <c r="C1803" s="5">
        <v>10</v>
      </c>
      <c r="D1803" s="9" t="s">
        <v>13</v>
      </c>
      <c r="E1803" s="10">
        <v>130</v>
      </c>
      <c r="F1803" s="10">
        <f t="shared" si="29"/>
        <v>1300</v>
      </c>
    </row>
    <row r="1804" spans="1:6" s="9" customFormat="1" x14ac:dyDescent="0.25">
      <c r="C1804" s="5"/>
      <c r="E1804" s="10"/>
      <c r="F1804" s="8">
        <f>SUM(F1803)</f>
        <v>1300</v>
      </c>
    </row>
    <row r="1805" spans="1:6" s="9" customFormat="1" x14ac:dyDescent="0.25">
      <c r="C1805" s="5"/>
      <c r="E1805" s="10"/>
      <c r="F1805" s="10"/>
    </row>
    <row r="1806" spans="1:6" s="9" customFormat="1" x14ac:dyDescent="0.25">
      <c r="A1806" s="9" t="s">
        <v>44</v>
      </c>
      <c r="B1806" s="4">
        <v>45742</v>
      </c>
      <c r="C1806" s="5">
        <v>20</v>
      </c>
      <c r="D1806" s="9" t="s">
        <v>14</v>
      </c>
      <c r="E1806" s="10">
        <v>125</v>
      </c>
      <c r="F1806" s="10">
        <f t="shared" si="29"/>
        <v>2500</v>
      </c>
    </row>
    <row r="1807" spans="1:6" s="9" customFormat="1" x14ac:dyDescent="0.25">
      <c r="C1807" s="5"/>
      <c r="E1807" s="10"/>
      <c r="F1807" s="8">
        <f>SUM(F1806)</f>
        <v>2500</v>
      </c>
    </row>
    <row r="1808" spans="1:6" s="9" customFormat="1" x14ac:dyDescent="0.25">
      <c r="C1808" s="5"/>
      <c r="E1808" s="10"/>
      <c r="F1808" s="10"/>
    </row>
    <row r="1809" spans="1:6" s="9" customFormat="1" x14ac:dyDescent="0.25">
      <c r="A1809" s="9" t="s">
        <v>145</v>
      </c>
      <c r="B1809" s="4">
        <v>45742</v>
      </c>
      <c r="C1809" s="5">
        <v>30</v>
      </c>
      <c r="D1809" s="9" t="s">
        <v>356</v>
      </c>
      <c r="E1809" s="10">
        <v>95</v>
      </c>
      <c r="F1809" s="10">
        <f t="shared" si="29"/>
        <v>2850</v>
      </c>
    </row>
    <row r="1810" spans="1:6" s="9" customFormat="1" x14ac:dyDescent="0.25">
      <c r="C1810" s="5"/>
      <c r="E1810" s="10"/>
      <c r="F1810" s="8">
        <f>SUM(F1809)</f>
        <v>2850</v>
      </c>
    </row>
    <row r="1811" spans="1:6" s="9" customFormat="1" x14ac:dyDescent="0.25">
      <c r="C1811" s="5"/>
      <c r="E1811" s="10"/>
      <c r="F1811" s="10"/>
    </row>
    <row r="1812" spans="1:6" s="9" customFormat="1" x14ac:dyDescent="0.25">
      <c r="A1812" s="9" t="s">
        <v>357</v>
      </c>
      <c r="B1812" s="4">
        <v>45742</v>
      </c>
      <c r="C1812" s="5">
        <v>10</v>
      </c>
      <c r="D1812" s="9" t="s">
        <v>50</v>
      </c>
      <c r="E1812" s="10">
        <v>95</v>
      </c>
      <c r="F1812" s="10">
        <f t="shared" si="29"/>
        <v>950</v>
      </c>
    </row>
    <row r="1813" spans="1:6" s="9" customFormat="1" x14ac:dyDescent="0.25">
      <c r="C1813" s="5"/>
      <c r="E1813" s="10"/>
      <c r="F1813" s="8">
        <f>SUM(F1812)</f>
        <v>950</v>
      </c>
    </row>
    <row r="1814" spans="1:6" s="9" customFormat="1" x14ac:dyDescent="0.25">
      <c r="C1814" s="5"/>
      <c r="E1814" s="10"/>
      <c r="F1814" s="10"/>
    </row>
    <row r="1815" spans="1:6" s="9" customFormat="1" x14ac:dyDescent="0.25">
      <c r="A1815" s="9" t="s">
        <v>45</v>
      </c>
      <c r="B1815" s="4">
        <v>45742</v>
      </c>
      <c r="C1815" s="5">
        <v>4</v>
      </c>
      <c r="D1815" s="9" t="s">
        <v>14</v>
      </c>
      <c r="E1815" s="10">
        <v>125</v>
      </c>
      <c r="F1815" s="10">
        <f t="shared" si="29"/>
        <v>500</v>
      </c>
    </row>
    <row r="1816" spans="1:6" s="9" customFormat="1" x14ac:dyDescent="0.25">
      <c r="C1816" s="5"/>
      <c r="E1816" s="10"/>
      <c r="F1816" s="8">
        <f>SUM(F1815)</f>
        <v>500</v>
      </c>
    </row>
    <row r="1817" spans="1:6" s="9" customFormat="1" x14ac:dyDescent="0.25">
      <c r="C1817" s="5"/>
      <c r="E1817" s="10"/>
      <c r="F1817" s="10"/>
    </row>
    <row r="1818" spans="1:6" s="9" customFormat="1" x14ac:dyDescent="0.25">
      <c r="A1818" s="9" t="s">
        <v>26</v>
      </c>
      <c r="B1818" s="4">
        <v>45742</v>
      </c>
      <c r="C1818" s="5">
        <v>70</v>
      </c>
      <c r="D1818" s="9" t="s">
        <v>13</v>
      </c>
      <c r="E1818" s="10">
        <v>140</v>
      </c>
      <c r="F1818" s="10">
        <f t="shared" si="29"/>
        <v>9800</v>
      </c>
    </row>
    <row r="1819" spans="1:6" s="9" customFormat="1" x14ac:dyDescent="0.25">
      <c r="C1819" s="5">
        <v>10</v>
      </c>
      <c r="D1819" s="9" t="s">
        <v>14</v>
      </c>
      <c r="E1819" s="10">
        <v>135</v>
      </c>
      <c r="F1819" s="10">
        <f t="shared" si="29"/>
        <v>1350</v>
      </c>
    </row>
    <row r="1820" spans="1:6" s="9" customFormat="1" x14ac:dyDescent="0.25">
      <c r="C1820" s="5"/>
      <c r="E1820" s="10"/>
      <c r="F1820" s="8">
        <f>SUM(F1818:F1819)</f>
        <v>11150</v>
      </c>
    </row>
    <row r="1821" spans="1:6" s="9" customFormat="1" x14ac:dyDescent="0.25">
      <c r="C1821" s="5"/>
      <c r="E1821" s="10"/>
      <c r="F1821" s="10"/>
    </row>
    <row r="1822" spans="1:6" s="9" customFormat="1" x14ac:dyDescent="0.25">
      <c r="A1822" s="9" t="s">
        <v>76</v>
      </c>
      <c r="B1822" s="4">
        <v>45742</v>
      </c>
      <c r="C1822" s="5">
        <v>550</v>
      </c>
      <c r="D1822" s="9" t="s">
        <v>14</v>
      </c>
      <c r="E1822" s="10">
        <v>120</v>
      </c>
      <c r="F1822" s="10">
        <f t="shared" si="29"/>
        <v>66000</v>
      </c>
    </row>
    <row r="1823" spans="1:6" s="9" customFormat="1" x14ac:dyDescent="0.25">
      <c r="C1823" s="5">
        <v>150</v>
      </c>
      <c r="D1823" s="9" t="s">
        <v>49</v>
      </c>
      <c r="E1823" s="10">
        <v>130</v>
      </c>
      <c r="F1823" s="10">
        <f t="shared" si="29"/>
        <v>19500</v>
      </c>
    </row>
    <row r="1824" spans="1:6" s="9" customFormat="1" x14ac:dyDescent="0.25">
      <c r="C1824" s="5">
        <v>170</v>
      </c>
      <c r="D1824" s="9" t="s">
        <v>358</v>
      </c>
      <c r="E1824" s="10">
        <v>110</v>
      </c>
      <c r="F1824" s="10">
        <f t="shared" si="29"/>
        <v>18700</v>
      </c>
    </row>
    <row r="1825" spans="1:6" s="9" customFormat="1" x14ac:dyDescent="0.25">
      <c r="C1825" s="5"/>
      <c r="E1825" s="10"/>
      <c r="F1825" s="8">
        <f>SUM(F1822:F1824)</f>
        <v>104200</v>
      </c>
    </row>
    <row r="1826" spans="1:6" s="9" customFormat="1" x14ac:dyDescent="0.25">
      <c r="C1826" s="5"/>
      <c r="E1826" s="10"/>
      <c r="F1826" s="10"/>
    </row>
    <row r="1827" spans="1:6" s="9" customFormat="1" x14ac:dyDescent="0.25">
      <c r="A1827" s="9" t="s">
        <v>72</v>
      </c>
      <c r="B1827" s="4">
        <v>45742</v>
      </c>
      <c r="C1827" s="5">
        <v>170</v>
      </c>
      <c r="D1827" s="9" t="s">
        <v>242</v>
      </c>
      <c r="E1827" s="10">
        <v>130</v>
      </c>
      <c r="F1827" s="10">
        <f t="shared" si="29"/>
        <v>22100</v>
      </c>
    </row>
    <row r="1828" spans="1:6" s="9" customFormat="1" x14ac:dyDescent="0.25">
      <c r="C1828" s="5">
        <v>180</v>
      </c>
      <c r="D1828" s="9" t="s">
        <v>12</v>
      </c>
      <c r="E1828" s="10">
        <v>120</v>
      </c>
      <c r="F1828" s="10">
        <f t="shared" si="29"/>
        <v>21600</v>
      </c>
    </row>
    <row r="1829" spans="1:6" s="9" customFormat="1" x14ac:dyDescent="0.25">
      <c r="C1829" s="5">
        <v>30</v>
      </c>
      <c r="D1829" s="9" t="s">
        <v>14</v>
      </c>
      <c r="E1829" s="10">
        <v>125</v>
      </c>
      <c r="F1829" s="10">
        <f t="shared" si="29"/>
        <v>3750</v>
      </c>
    </row>
    <row r="1830" spans="1:6" s="9" customFormat="1" x14ac:dyDescent="0.25">
      <c r="C1830" s="5">
        <v>70</v>
      </c>
      <c r="D1830" s="9" t="s">
        <v>11</v>
      </c>
      <c r="E1830" s="10">
        <v>120</v>
      </c>
      <c r="F1830" s="10">
        <f t="shared" si="29"/>
        <v>8400</v>
      </c>
    </row>
    <row r="1831" spans="1:6" s="9" customFormat="1" x14ac:dyDescent="0.25">
      <c r="C1831" s="5"/>
      <c r="E1831" s="10"/>
      <c r="F1831" s="8">
        <f>SUM(F1827:F1830)</f>
        <v>55850</v>
      </c>
    </row>
    <row r="1832" spans="1:6" s="9" customFormat="1" x14ac:dyDescent="0.25">
      <c r="C1832" s="5"/>
      <c r="E1832" s="10"/>
      <c r="F1832" s="10"/>
    </row>
    <row r="1833" spans="1:6" s="9" customFormat="1" x14ac:dyDescent="0.25">
      <c r="A1833" s="9" t="s">
        <v>191</v>
      </c>
      <c r="B1833" s="4">
        <v>45742</v>
      </c>
      <c r="C1833" s="5">
        <v>300</v>
      </c>
      <c r="D1833" s="9" t="s">
        <v>14</v>
      </c>
      <c r="E1833" s="10">
        <v>122</v>
      </c>
      <c r="F1833" s="10">
        <f t="shared" si="29"/>
        <v>36600</v>
      </c>
    </row>
    <row r="1834" spans="1:6" s="9" customFormat="1" x14ac:dyDescent="0.25">
      <c r="C1834" s="5">
        <v>200</v>
      </c>
      <c r="D1834" s="9" t="s">
        <v>11</v>
      </c>
      <c r="E1834" s="10">
        <v>115</v>
      </c>
      <c r="F1834" s="10">
        <f t="shared" si="29"/>
        <v>23000</v>
      </c>
    </row>
    <row r="1835" spans="1:6" s="9" customFormat="1" x14ac:dyDescent="0.25">
      <c r="C1835" s="5">
        <v>200</v>
      </c>
      <c r="D1835" s="9" t="s">
        <v>13</v>
      </c>
      <c r="E1835" s="10">
        <v>130</v>
      </c>
      <c r="F1835" s="10">
        <f t="shared" si="29"/>
        <v>26000</v>
      </c>
    </row>
    <row r="1836" spans="1:6" s="9" customFormat="1" x14ac:dyDescent="0.25">
      <c r="C1836" s="5"/>
      <c r="E1836" s="10"/>
      <c r="F1836" s="8">
        <f>SUM(F1833:F1835)</f>
        <v>85600</v>
      </c>
    </row>
    <row r="1837" spans="1:6" s="9" customFormat="1" x14ac:dyDescent="0.25">
      <c r="C1837" s="5"/>
      <c r="E1837" s="10"/>
      <c r="F1837" s="10"/>
    </row>
    <row r="1838" spans="1:6" s="9" customFormat="1" x14ac:dyDescent="0.25">
      <c r="A1838" s="9" t="s">
        <v>29</v>
      </c>
      <c r="B1838" s="4">
        <v>45742</v>
      </c>
      <c r="C1838" s="5">
        <v>2</v>
      </c>
      <c r="D1838" s="9" t="s">
        <v>13</v>
      </c>
      <c r="E1838" s="10">
        <v>160</v>
      </c>
      <c r="F1838" s="10">
        <f t="shared" si="29"/>
        <v>320</v>
      </c>
    </row>
    <row r="1839" spans="1:6" s="9" customFormat="1" x14ac:dyDescent="0.25">
      <c r="C1839" s="5"/>
      <c r="E1839" s="10"/>
      <c r="F1839" s="8">
        <f>SUM(F1838)</f>
        <v>320</v>
      </c>
    </row>
    <row r="1840" spans="1:6" s="9" customFormat="1" x14ac:dyDescent="0.25">
      <c r="C1840" s="5"/>
      <c r="E1840" s="10"/>
      <c r="F1840" s="10"/>
    </row>
    <row r="1841" spans="1:6" s="9" customFormat="1" x14ac:dyDescent="0.25">
      <c r="A1841" s="9" t="s">
        <v>7</v>
      </c>
      <c r="B1841" s="4">
        <v>45742</v>
      </c>
      <c r="C1841" s="5">
        <v>1</v>
      </c>
      <c r="D1841" s="9" t="s">
        <v>359</v>
      </c>
      <c r="E1841" s="10">
        <v>100</v>
      </c>
      <c r="F1841" s="10">
        <f t="shared" si="29"/>
        <v>100</v>
      </c>
    </row>
    <row r="1842" spans="1:6" s="9" customFormat="1" x14ac:dyDescent="0.25">
      <c r="C1842" s="5">
        <v>1</v>
      </c>
      <c r="D1842" s="9" t="s">
        <v>360</v>
      </c>
      <c r="E1842" s="10">
        <v>170</v>
      </c>
      <c r="F1842" s="10">
        <f t="shared" si="29"/>
        <v>170</v>
      </c>
    </row>
    <row r="1843" spans="1:6" s="9" customFormat="1" x14ac:dyDescent="0.25">
      <c r="C1843" s="5">
        <v>2</v>
      </c>
      <c r="D1843" s="9" t="s">
        <v>361</v>
      </c>
      <c r="E1843" s="10">
        <v>140</v>
      </c>
      <c r="F1843" s="10">
        <f t="shared" si="29"/>
        <v>280</v>
      </c>
    </row>
    <row r="1844" spans="1:6" s="9" customFormat="1" x14ac:dyDescent="0.25">
      <c r="C1844" s="5"/>
      <c r="E1844" s="10"/>
      <c r="F1844" s="8">
        <f>SUM(F1841:F1843)</f>
        <v>550</v>
      </c>
    </row>
    <row r="1845" spans="1:6" s="9" customFormat="1" x14ac:dyDescent="0.25">
      <c r="C1845" s="5"/>
      <c r="E1845" s="10"/>
      <c r="F1845" s="10"/>
    </row>
    <row r="1846" spans="1:6" s="9" customFormat="1" x14ac:dyDescent="0.25">
      <c r="A1846" s="9" t="s">
        <v>290</v>
      </c>
      <c r="B1846" s="4">
        <v>45743</v>
      </c>
      <c r="C1846" s="5">
        <v>11</v>
      </c>
      <c r="D1846" s="9" t="s">
        <v>13</v>
      </c>
      <c r="E1846" s="10">
        <v>145</v>
      </c>
      <c r="F1846" s="10">
        <f t="shared" si="29"/>
        <v>1595</v>
      </c>
    </row>
    <row r="1847" spans="1:6" s="9" customFormat="1" x14ac:dyDescent="0.25">
      <c r="C1847" s="5">
        <v>20</v>
      </c>
      <c r="D1847" s="9" t="s">
        <v>13</v>
      </c>
      <c r="E1847" s="10">
        <v>140</v>
      </c>
      <c r="F1847" s="10">
        <f t="shared" si="29"/>
        <v>2800</v>
      </c>
    </row>
    <row r="1848" spans="1:6" s="9" customFormat="1" x14ac:dyDescent="0.25">
      <c r="C1848" s="5">
        <v>3</v>
      </c>
      <c r="D1848" s="9" t="s">
        <v>13</v>
      </c>
      <c r="E1848" s="10">
        <v>150</v>
      </c>
      <c r="F1848" s="10">
        <f t="shared" si="29"/>
        <v>450</v>
      </c>
    </row>
    <row r="1849" spans="1:6" s="9" customFormat="1" x14ac:dyDescent="0.25">
      <c r="C1849" s="5">
        <v>15</v>
      </c>
      <c r="D1849" s="9" t="s">
        <v>13</v>
      </c>
      <c r="E1849" s="10">
        <v>135</v>
      </c>
      <c r="F1849" s="10">
        <f t="shared" si="29"/>
        <v>2025</v>
      </c>
    </row>
    <row r="1850" spans="1:6" s="9" customFormat="1" x14ac:dyDescent="0.25">
      <c r="C1850" s="5">
        <v>12</v>
      </c>
      <c r="D1850" s="9" t="s">
        <v>12</v>
      </c>
      <c r="E1850" s="10">
        <v>135</v>
      </c>
      <c r="F1850" s="10">
        <f t="shared" si="29"/>
        <v>1620</v>
      </c>
    </row>
    <row r="1851" spans="1:6" s="9" customFormat="1" x14ac:dyDescent="0.25">
      <c r="C1851" s="5">
        <v>2</v>
      </c>
      <c r="D1851" s="9" t="s">
        <v>22</v>
      </c>
      <c r="E1851" s="10">
        <v>100</v>
      </c>
      <c r="F1851" s="10">
        <f t="shared" si="29"/>
        <v>200</v>
      </c>
    </row>
    <row r="1852" spans="1:6" s="9" customFormat="1" x14ac:dyDescent="0.25">
      <c r="C1852" s="5">
        <v>3</v>
      </c>
      <c r="D1852" s="9" t="s">
        <v>14</v>
      </c>
      <c r="E1852" s="10">
        <v>135</v>
      </c>
      <c r="F1852" s="10">
        <f t="shared" si="29"/>
        <v>405</v>
      </c>
    </row>
    <row r="1853" spans="1:6" s="9" customFormat="1" x14ac:dyDescent="0.25">
      <c r="C1853" s="5">
        <v>5</v>
      </c>
      <c r="D1853" s="9" t="s">
        <v>8</v>
      </c>
      <c r="E1853" s="10">
        <v>170</v>
      </c>
      <c r="F1853" s="10">
        <f t="shared" si="29"/>
        <v>850</v>
      </c>
    </row>
    <row r="1854" spans="1:6" s="9" customFormat="1" x14ac:dyDescent="0.25">
      <c r="C1854" s="5"/>
      <c r="E1854" s="10"/>
      <c r="F1854" s="8">
        <f>SUM(F1846:F1853)</f>
        <v>9945</v>
      </c>
    </row>
    <row r="1855" spans="1:6" s="9" customFormat="1" x14ac:dyDescent="0.25">
      <c r="C1855" s="5"/>
      <c r="E1855" s="10"/>
      <c r="F1855" s="10"/>
    </row>
    <row r="1856" spans="1:6" s="9" customFormat="1" x14ac:dyDescent="0.25">
      <c r="A1856" s="9" t="s">
        <v>362</v>
      </c>
      <c r="B1856" s="4">
        <v>45743</v>
      </c>
      <c r="C1856" s="5">
        <v>10</v>
      </c>
      <c r="D1856" s="9" t="s">
        <v>13</v>
      </c>
      <c r="E1856" s="10">
        <v>140</v>
      </c>
      <c r="F1856" s="10">
        <f t="shared" si="29"/>
        <v>1400</v>
      </c>
    </row>
    <row r="1857" spans="1:6" s="9" customFormat="1" x14ac:dyDescent="0.25">
      <c r="C1857" s="5"/>
      <c r="E1857" s="10"/>
      <c r="F1857" s="8">
        <f>SUM(F1856)</f>
        <v>1400</v>
      </c>
    </row>
    <row r="1858" spans="1:6" s="9" customFormat="1" x14ac:dyDescent="0.25">
      <c r="C1858" s="5"/>
      <c r="E1858" s="10"/>
      <c r="F1858" s="10"/>
    </row>
    <row r="1859" spans="1:6" s="9" customFormat="1" x14ac:dyDescent="0.25">
      <c r="A1859" s="9" t="s">
        <v>363</v>
      </c>
      <c r="B1859" s="4">
        <v>45743</v>
      </c>
      <c r="C1859" s="5">
        <v>10</v>
      </c>
      <c r="D1859" s="9" t="s">
        <v>13</v>
      </c>
      <c r="E1859" s="10">
        <v>140</v>
      </c>
      <c r="F1859" s="10">
        <f t="shared" si="29"/>
        <v>1400</v>
      </c>
    </row>
    <row r="1860" spans="1:6" s="9" customFormat="1" x14ac:dyDescent="0.25">
      <c r="C1860" s="5">
        <v>10</v>
      </c>
      <c r="D1860" s="9" t="s">
        <v>14</v>
      </c>
      <c r="E1860" s="10">
        <v>125</v>
      </c>
      <c r="F1860" s="10">
        <f t="shared" si="29"/>
        <v>1250</v>
      </c>
    </row>
    <row r="1861" spans="1:6" s="9" customFormat="1" x14ac:dyDescent="0.25">
      <c r="C1861" s="5">
        <v>10</v>
      </c>
      <c r="D1861" s="9" t="s">
        <v>22</v>
      </c>
      <c r="E1861" s="10">
        <v>105</v>
      </c>
      <c r="F1861" s="10">
        <f t="shared" si="29"/>
        <v>1050</v>
      </c>
    </row>
    <row r="1862" spans="1:6" s="9" customFormat="1" x14ac:dyDescent="0.25">
      <c r="C1862" s="5"/>
      <c r="E1862" s="10"/>
      <c r="F1862" s="8">
        <f>SUM(F1859:F1861)</f>
        <v>3700</v>
      </c>
    </row>
    <row r="1863" spans="1:6" s="9" customFormat="1" x14ac:dyDescent="0.25">
      <c r="C1863" s="5"/>
      <c r="E1863" s="10"/>
      <c r="F1863" s="10"/>
    </row>
    <row r="1864" spans="1:6" s="9" customFormat="1" x14ac:dyDescent="0.25">
      <c r="A1864" s="9" t="s">
        <v>60</v>
      </c>
      <c r="B1864" s="4">
        <v>45743</v>
      </c>
      <c r="C1864" s="5">
        <v>15</v>
      </c>
      <c r="D1864" s="9" t="s">
        <v>13</v>
      </c>
      <c r="E1864" s="10">
        <v>140</v>
      </c>
      <c r="F1864" s="10">
        <f t="shared" ref="F1864:F1932" si="30">+C1864*E1864</f>
        <v>2100</v>
      </c>
    </row>
    <row r="1865" spans="1:6" s="9" customFormat="1" x14ac:dyDescent="0.25">
      <c r="C1865" s="5"/>
      <c r="E1865" s="10"/>
      <c r="F1865" s="8">
        <f>SUM(F1864)</f>
        <v>2100</v>
      </c>
    </row>
    <row r="1866" spans="1:6" s="9" customFormat="1" x14ac:dyDescent="0.25">
      <c r="C1866" s="5"/>
      <c r="E1866" s="10"/>
      <c r="F1866" s="10"/>
    </row>
    <row r="1867" spans="1:6" s="9" customFormat="1" x14ac:dyDescent="0.25">
      <c r="A1867" s="9" t="s">
        <v>89</v>
      </c>
      <c r="B1867" s="4">
        <v>45743</v>
      </c>
      <c r="C1867" s="5">
        <v>16</v>
      </c>
      <c r="D1867" s="9" t="s">
        <v>13</v>
      </c>
      <c r="E1867" s="10">
        <v>130</v>
      </c>
      <c r="F1867" s="10">
        <f t="shared" si="30"/>
        <v>2080</v>
      </c>
    </row>
    <row r="1868" spans="1:6" s="9" customFormat="1" x14ac:dyDescent="0.25">
      <c r="C1868" s="5">
        <v>64</v>
      </c>
      <c r="D1868" s="9" t="s">
        <v>12</v>
      </c>
      <c r="E1868" s="10">
        <v>110</v>
      </c>
      <c r="F1868" s="10">
        <f t="shared" si="30"/>
        <v>7040</v>
      </c>
    </row>
    <row r="1869" spans="1:6" s="9" customFormat="1" x14ac:dyDescent="0.25">
      <c r="C1869" s="5"/>
      <c r="E1869" s="10"/>
      <c r="F1869" s="8">
        <f>SUM(F1867:F1868)</f>
        <v>9120</v>
      </c>
    </row>
    <row r="1870" spans="1:6" s="9" customFormat="1" x14ac:dyDescent="0.25">
      <c r="C1870" s="5"/>
      <c r="E1870" s="10"/>
      <c r="F1870" s="10"/>
    </row>
    <row r="1871" spans="1:6" s="9" customFormat="1" x14ac:dyDescent="0.25">
      <c r="A1871" s="9" t="s">
        <v>66</v>
      </c>
      <c r="B1871" s="4">
        <v>45743</v>
      </c>
      <c r="C1871" s="5">
        <v>20</v>
      </c>
      <c r="D1871" s="9" t="s">
        <v>8</v>
      </c>
      <c r="E1871" s="10">
        <v>155</v>
      </c>
      <c r="F1871" s="10">
        <f t="shared" si="30"/>
        <v>3100</v>
      </c>
    </row>
    <row r="1872" spans="1:6" s="9" customFormat="1" x14ac:dyDescent="0.25">
      <c r="C1872" s="5"/>
      <c r="E1872" s="10"/>
      <c r="F1872" s="8">
        <f>SUM(F1871)</f>
        <v>3100</v>
      </c>
    </row>
    <row r="1873" spans="1:6" s="9" customFormat="1" x14ac:dyDescent="0.25">
      <c r="C1873" s="5"/>
      <c r="E1873" s="10"/>
      <c r="F1873" s="10"/>
    </row>
    <row r="1874" spans="1:6" s="9" customFormat="1" x14ac:dyDescent="0.25">
      <c r="A1874" s="9" t="s">
        <v>26</v>
      </c>
      <c r="B1874" s="4">
        <v>45743</v>
      </c>
      <c r="C1874" s="5">
        <v>80</v>
      </c>
      <c r="D1874" s="9" t="s">
        <v>13</v>
      </c>
      <c r="E1874" s="10">
        <v>140</v>
      </c>
      <c r="F1874" s="10">
        <f t="shared" si="30"/>
        <v>11200</v>
      </c>
    </row>
    <row r="1875" spans="1:6" s="9" customFormat="1" x14ac:dyDescent="0.25">
      <c r="C1875" s="5">
        <v>10</v>
      </c>
      <c r="D1875" s="9" t="s">
        <v>14</v>
      </c>
      <c r="E1875" s="10">
        <v>130</v>
      </c>
      <c r="F1875" s="10">
        <f t="shared" si="30"/>
        <v>1300</v>
      </c>
    </row>
    <row r="1876" spans="1:6" s="9" customFormat="1" x14ac:dyDescent="0.25">
      <c r="C1876" s="5">
        <v>7</v>
      </c>
      <c r="D1876" s="9" t="s">
        <v>318</v>
      </c>
      <c r="E1876" s="10">
        <v>0</v>
      </c>
      <c r="F1876" s="10">
        <f t="shared" si="30"/>
        <v>0</v>
      </c>
    </row>
    <row r="1877" spans="1:6" s="9" customFormat="1" x14ac:dyDescent="0.25">
      <c r="C1877" s="5"/>
      <c r="E1877" s="10"/>
      <c r="F1877" s="8">
        <f>SUM(F1874:F1876)</f>
        <v>12500</v>
      </c>
    </row>
    <row r="1878" spans="1:6" s="9" customFormat="1" x14ac:dyDescent="0.25">
      <c r="C1878" s="5"/>
      <c r="E1878" s="10"/>
      <c r="F1878" s="10"/>
    </row>
    <row r="1879" spans="1:6" s="9" customFormat="1" x14ac:dyDescent="0.25">
      <c r="A1879" s="9" t="s">
        <v>205</v>
      </c>
      <c r="B1879" s="4">
        <v>45743</v>
      </c>
      <c r="C1879" s="5">
        <v>10</v>
      </c>
      <c r="D1879" s="9" t="s">
        <v>13</v>
      </c>
      <c r="E1879" s="10">
        <v>140</v>
      </c>
      <c r="F1879" s="10">
        <f>+C1879*E1879</f>
        <v>1400</v>
      </c>
    </row>
    <row r="1880" spans="1:6" s="9" customFormat="1" x14ac:dyDescent="0.25">
      <c r="C1880" s="5"/>
      <c r="E1880" s="10"/>
      <c r="F1880" s="8">
        <f>SUM(F1879)</f>
        <v>1400</v>
      </c>
    </row>
    <row r="1881" spans="1:6" s="9" customFormat="1" x14ac:dyDescent="0.25">
      <c r="C1881" s="5"/>
      <c r="E1881" s="10"/>
      <c r="F1881" s="10"/>
    </row>
    <row r="1882" spans="1:6" s="9" customFormat="1" x14ac:dyDescent="0.25">
      <c r="A1882" s="9" t="s">
        <v>218</v>
      </c>
      <c r="B1882" s="4">
        <v>45743</v>
      </c>
      <c r="C1882" s="5">
        <v>5</v>
      </c>
      <c r="D1882" s="9" t="s">
        <v>13</v>
      </c>
      <c r="E1882" s="10">
        <v>150</v>
      </c>
      <c r="F1882" s="10">
        <f>+C1882*E1882</f>
        <v>750</v>
      </c>
    </row>
    <row r="1883" spans="1:6" s="9" customFormat="1" x14ac:dyDescent="0.25">
      <c r="C1883" s="5"/>
      <c r="E1883" s="10"/>
      <c r="F1883" s="8">
        <f>SUM(F1882)</f>
        <v>750</v>
      </c>
    </row>
    <row r="1884" spans="1:6" s="9" customFormat="1" x14ac:dyDescent="0.25">
      <c r="C1884" s="5"/>
      <c r="E1884" s="10"/>
      <c r="F1884" s="10"/>
    </row>
    <row r="1885" spans="1:6" s="9" customFormat="1" x14ac:dyDescent="0.25">
      <c r="A1885" s="9" t="s">
        <v>29</v>
      </c>
      <c r="B1885" s="4">
        <v>45743</v>
      </c>
      <c r="C1885" s="5">
        <v>1</v>
      </c>
      <c r="D1885" s="9" t="s">
        <v>193</v>
      </c>
      <c r="E1885" s="10">
        <v>150</v>
      </c>
      <c r="F1885" s="10">
        <f t="shared" si="30"/>
        <v>150</v>
      </c>
    </row>
    <row r="1886" spans="1:6" s="9" customFormat="1" x14ac:dyDescent="0.25">
      <c r="C1886" s="11">
        <v>0.5</v>
      </c>
      <c r="D1886" s="9" t="s">
        <v>364</v>
      </c>
      <c r="E1886" s="10">
        <v>170</v>
      </c>
      <c r="F1886" s="10">
        <f t="shared" si="30"/>
        <v>85</v>
      </c>
    </row>
    <row r="1887" spans="1:6" s="9" customFormat="1" x14ac:dyDescent="0.25">
      <c r="C1887" s="5"/>
      <c r="E1887" s="10"/>
      <c r="F1887" s="8">
        <f>SUM(F1885:F1886)</f>
        <v>235</v>
      </c>
    </row>
    <row r="1888" spans="1:6" s="9" customFormat="1" x14ac:dyDescent="0.25">
      <c r="C1888" s="5"/>
      <c r="E1888" s="10"/>
      <c r="F1888" s="10"/>
    </row>
    <row r="1889" spans="1:6" s="9" customFormat="1" x14ac:dyDescent="0.25">
      <c r="A1889" s="9" t="s">
        <v>7</v>
      </c>
      <c r="B1889" s="4">
        <v>45743</v>
      </c>
      <c r="C1889" s="5">
        <v>6</v>
      </c>
      <c r="D1889" s="9" t="s">
        <v>229</v>
      </c>
      <c r="E1889" s="10">
        <v>3.3333300000000001</v>
      </c>
      <c r="F1889" s="10">
        <f t="shared" si="30"/>
        <v>19.999980000000001</v>
      </c>
    </row>
    <row r="1890" spans="1:6" s="9" customFormat="1" x14ac:dyDescent="0.25">
      <c r="C1890" s="5">
        <v>1</v>
      </c>
      <c r="D1890" s="9" t="s">
        <v>13</v>
      </c>
      <c r="E1890" s="10">
        <v>150</v>
      </c>
      <c r="F1890" s="10">
        <f t="shared" si="30"/>
        <v>150</v>
      </c>
    </row>
    <row r="1891" spans="1:6" s="9" customFormat="1" x14ac:dyDescent="0.25">
      <c r="C1891" s="5">
        <v>2</v>
      </c>
      <c r="D1891" s="9" t="s">
        <v>13</v>
      </c>
      <c r="E1891" s="10">
        <v>140</v>
      </c>
      <c r="F1891" s="10">
        <f t="shared" si="30"/>
        <v>280</v>
      </c>
    </row>
    <row r="1892" spans="1:6" s="9" customFormat="1" x14ac:dyDescent="0.25">
      <c r="C1892" s="5"/>
      <c r="E1892" s="10"/>
      <c r="F1892" s="8">
        <f>SUM(F1889:F1891)</f>
        <v>449.99997999999999</v>
      </c>
    </row>
    <row r="1893" spans="1:6" s="9" customFormat="1" x14ac:dyDescent="0.25">
      <c r="C1893" s="5"/>
      <c r="E1893" s="10"/>
      <c r="F1893" s="10"/>
    </row>
    <row r="1894" spans="1:6" s="9" customFormat="1" x14ac:dyDescent="0.25">
      <c r="A1894" s="9" t="s">
        <v>365</v>
      </c>
      <c r="B1894" s="4">
        <v>45744</v>
      </c>
      <c r="C1894" s="5">
        <v>10</v>
      </c>
      <c r="D1894" s="9" t="s">
        <v>13</v>
      </c>
      <c r="E1894" s="10">
        <v>140</v>
      </c>
      <c r="F1894" s="10">
        <f t="shared" si="30"/>
        <v>1400</v>
      </c>
    </row>
    <row r="1895" spans="1:6" s="9" customFormat="1" x14ac:dyDescent="0.25">
      <c r="F1895" s="8">
        <f>SUM(F1894)</f>
        <v>1400</v>
      </c>
    </row>
    <row r="1896" spans="1:6" s="9" customFormat="1" x14ac:dyDescent="0.25">
      <c r="F1896" s="10"/>
    </row>
    <row r="1897" spans="1:6" s="9" customFormat="1" x14ac:dyDescent="0.25">
      <c r="A1897" s="9" t="s">
        <v>184</v>
      </c>
      <c r="B1897" s="4">
        <v>45744</v>
      </c>
      <c r="C1897" s="5">
        <v>5</v>
      </c>
      <c r="D1897" s="9" t="s">
        <v>13</v>
      </c>
      <c r="E1897" s="10">
        <v>155</v>
      </c>
      <c r="F1897" s="10">
        <f t="shared" si="30"/>
        <v>775</v>
      </c>
    </row>
    <row r="1898" spans="1:6" s="9" customFormat="1" x14ac:dyDescent="0.25">
      <c r="F1898" s="8">
        <f>SUM(F1897)</f>
        <v>775</v>
      </c>
    </row>
    <row r="1899" spans="1:6" s="9" customFormat="1" x14ac:dyDescent="0.25">
      <c r="C1899" s="5"/>
      <c r="E1899" s="10"/>
      <c r="F1899" s="10"/>
    </row>
    <row r="1900" spans="1:6" s="9" customFormat="1" x14ac:dyDescent="0.25">
      <c r="A1900" s="9" t="s">
        <v>270</v>
      </c>
      <c r="B1900" s="4">
        <v>45744</v>
      </c>
      <c r="C1900" s="5">
        <v>10</v>
      </c>
      <c r="D1900" s="9" t="s">
        <v>275</v>
      </c>
      <c r="E1900" s="10">
        <v>100</v>
      </c>
      <c r="F1900" s="10">
        <f t="shared" si="30"/>
        <v>1000</v>
      </c>
    </row>
    <row r="1901" spans="1:6" s="9" customFormat="1" x14ac:dyDescent="0.25">
      <c r="C1901" s="5"/>
      <c r="E1901" s="10"/>
      <c r="F1901" s="8">
        <f>SUM(F1900)</f>
        <v>1000</v>
      </c>
    </row>
    <row r="1902" spans="1:6" s="9" customFormat="1" x14ac:dyDescent="0.25">
      <c r="C1902" s="5"/>
      <c r="E1902" s="10"/>
      <c r="F1902" s="10"/>
    </row>
    <row r="1903" spans="1:6" s="9" customFormat="1" x14ac:dyDescent="0.25">
      <c r="A1903" s="9" t="s">
        <v>15</v>
      </c>
      <c r="B1903" s="4">
        <v>45744</v>
      </c>
      <c r="C1903" s="5">
        <v>46</v>
      </c>
      <c r="D1903" s="9" t="s">
        <v>98</v>
      </c>
      <c r="E1903" s="10">
        <v>85</v>
      </c>
      <c r="F1903" s="10">
        <f t="shared" si="30"/>
        <v>3910</v>
      </c>
    </row>
    <row r="1904" spans="1:6" s="9" customFormat="1" x14ac:dyDescent="0.25">
      <c r="C1904" s="5"/>
      <c r="E1904" s="10"/>
      <c r="F1904" s="8">
        <f>SUM(F1903)</f>
        <v>3910</v>
      </c>
    </row>
    <row r="1905" spans="1:6" s="9" customFormat="1" x14ac:dyDescent="0.25">
      <c r="C1905" s="5"/>
      <c r="E1905" s="10"/>
      <c r="F1905" s="10"/>
    </row>
    <row r="1906" spans="1:6" s="9" customFormat="1" x14ac:dyDescent="0.25">
      <c r="A1906" s="9" t="s">
        <v>37</v>
      </c>
      <c r="B1906" s="4">
        <v>45744</v>
      </c>
      <c r="C1906" s="5">
        <v>20</v>
      </c>
      <c r="D1906" s="9" t="s">
        <v>12</v>
      </c>
      <c r="E1906" s="10">
        <v>130</v>
      </c>
      <c r="F1906" s="10">
        <f t="shared" si="30"/>
        <v>2600</v>
      </c>
    </row>
    <row r="1907" spans="1:6" s="9" customFormat="1" x14ac:dyDescent="0.25">
      <c r="C1907" s="5"/>
      <c r="E1907" s="10"/>
      <c r="F1907" s="8">
        <f>SUM(F1906)</f>
        <v>2600</v>
      </c>
    </row>
    <row r="1908" spans="1:6" s="9" customFormat="1" x14ac:dyDescent="0.25">
      <c r="C1908" s="5"/>
      <c r="E1908" s="10"/>
      <c r="F1908" s="10"/>
    </row>
    <row r="1909" spans="1:6" s="9" customFormat="1" x14ac:dyDescent="0.25">
      <c r="A1909" s="9" t="s">
        <v>366</v>
      </c>
      <c r="B1909" s="4">
        <v>45744</v>
      </c>
      <c r="C1909" s="5">
        <v>10</v>
      </c>
      <c r="D1909" s="9" t="s">
        <v>8</v>
      </c>
      <c r="E1909" s="10">
        <v>150</v>
      </c>
      <c r="F1909" s="10">
        <f t="shared" si="30"/>
        <v>1500</v>
      </c>
    </row>
    <row r="1910" spans="1:6" s="9" customFormat="1" x14ac:dyDescent="0.25">
      <c r="C1910" s="5"/>
      <c r="E1910" s="10"/>
      <c r="F1910" s="8">
        <f>SUM(F1909)</f>
        <v>1500</v>
      </c>
    </row>
    <row r="1911" spans="1:6" s="9" customFormat="1" x14ac:dyDescent="0.25">
      <c r="C1911" s="5"/>
      <c r="E1911" s="10"/>
      <c r="F1911" s="10"/>
    </row>
    <row r="1912" spans="1:6" s="9" customFormat="1" x14ac:dyDescent="0.25">
      <c r="A1912" s="9" t="s">
        <v>157</v>
      </c>
      <c r="B1912" s="4">
        <v>45744</v>
      </c>
      <c r="C1912" s="5">
        <v>10</v>
      </c>
      <c r="D1912" s="9" t="s">
        <v>8</v>
      </c>
      <c r="E1912" s="10">
        <v>150</v>
      </c>
      <c r="F1912" s="10">
        <f t="shared" si="30"/>
        <v>1500</v>
      </c>
    </row>
    <row r="1913" spans="1:6" s="9" customFormat="1" x14ac:dyDescent="0.25">
      <c r="C1913" s="5"/>
      <c r="E1913" s="10"/>
      <c r="F1913" s="8">
        <f>SUM(F1912)</f>
        <v>1500</v>
      </c>
    </row>
    <row r="1914" spans="1:6" s="9" customFormat="1" x14ac:dyDescent="0.25">
      <c r="C1914" s="5"/>
      <c r="E1914" s="10"/>
      <c r="F1914" s="10"/>
    </row>
    <row r="1915" spans="1:6" s="9" customFormat="1" x14ac:dyDescent="0.25">
      <c r="A1915" s="9" t="s">
        <v>20</v>
      </c>
      <c r="B1915" s="4">
        <v>45744</v>
      </c>
      <c r="C1915" s="5">
        <v>10</v>
      </c>
      <c r="D1915" s="9" t="s">
        <v>13</v>
      </c>
      <c r="E1915" s="10">
        <v>135</v>
      </c>
      <c r="F1915" s="10">
        <f t="shared" si="30"/>
        <v>1350</v>
      </c>
    </row>
    <row r="1916" spans="1:6" s="9" customFormat="1" x14ac:dyDescent="0.25">
      <c r="C1916" s="5"/>
      <c r="E1916" s="10"/>
      <c r="F1916" s="8">
        <f>SUM(F1915)</f>
        <v>1350</v>
      </c>
    </row>
    <row r="1917" spans="1:6" s="9" customFormat="1" x14ac:dyDescent="0.25">
      <c r="C1917" s="5"/>
      <c r="E1917" s="10"/>
      <c r="F1917" s="10"/>
    </row>
    <row r="1918" spans="1:6" s="9" customFormat="1" x14ac:dyDescent="0.25">
      <c r="A1918" s="9" t="s">
        <v>367</v>
      </c>
      <c r="B1918" s="4">
        <v>45744</v>
      </c>
      <c r="C1918" s="5">
        <v>10</v>
      </c>
      <c r="D1918" s="9" t="s">
        <v>13</v>
      </c>
      <c r="E1918" s="10">
        <v>135</v>
      </c>
      <c r="F1918" s="10">
        <f t="shared" si="30"/>
        <v>1350</v>
      </c>
    </row>
    <row r="1919" spans="1:6" s="9" customFormat="1" x14ac:dyDescent="0.25">
      <c r="C1919" s="5">
        <v>5</v>
      </c>
      <c r="D1919" s="9" t="s">
        <v>14</v>
      </c>
      <c r="E1919" s="10">
        <v>125</v>
      </c>
      <c r="F1919" s="10">
        <f t="shared" si="30"/>
        <v>625</v>
      </c>
    </row>
    <row r="1920" spans="1:6" s="9" customFormat="1" x14ac:dyDescent="0.25">
      <c r="C1920" s="5"/>
      <c r="E1920" s="10"/>
      <c r="F1920" s="8">
        <f>SUM(F1918:F1919)</f>
        <v>1975</v>
      </c>
    </row>
    <row r="1921" spans="1:6" s="9" customFormat="1" x14ac:dyDescent="0.25">
      <c r="C1921" s="5"/>
      <c r="E1921" s="10"/>
      <c r="F1921" s="10"/>
    </row>
    <row r="1922" spans="1:6" s="9" customFormat="1" x14ac:dyDescent="0.25">
      <c r="A1922" s="9" t="s">
        <v>40</v>
      </c>
      <c r="B1922" s="4">
        <v>45744</v>
      </c>
      <c r="C1922" s="5">
        <v>15</v>
      </c>
      <c r="D1922" s="9" t="s">
        <v>8</v>
      </c>
      <c r="E1922" s="10">
        <v>150</v>
      </c>
      <c r="F1922" s="10">
        <f t="shared" si="30"/>
        <v>2250</v>
      </c>
    </row>
    <row r="1923" spans="1:6" s="9" customFormat="1" x14ac:dyDescent="0.25">
      <c r="C1923" s="5">
        <v>10</v>
      </c>
      <c r="D1923" s="9" t="s">
        <v>13</v>
      </c>
      <c r="E1923" s="10">
        <v>135</v>
      </c>
      <c r="F1923" s="10">
        <f t="shared" si="30"/>
        <v>1350</v>
      </c>
    </row>
    <row r="1924" spans="1:6" s="9" customFormat="1" x14ac:dyDescent="0.25">
      <c r="C1924" s="5">
        <v>5</v>
      </c>
      <c r="D1924" s="9" t="s">
        <v>14</v>
      </c>
      <c r="E1924" s="10">
        <v>125</v>
      </c>
      <c r="F1924" s="10">
        <f t="shared" si="30"/>
        <v>625</v>
      </c>
    </row>
    <row r="1925" spans="1:6" s="9" customFormat="1" x14ac:dyDescent="0.25">
      <c r="C1925" s="5">
        <v>10</v>
      </c>
      <c r="D1925" s="9" t="s">
        <v>22</v>
      </c>
      <c r="E1925" s="10">
        <v>100</v>
      </c>
      <c r="F1925" s="10">
        <f t="shared" si="30"/>
        <v>1000</v>
      </c>
    </row>
    <row r="1926" spans="1:6" s="9" customFormat="1" x14ac:dyDescent="0.25">
      <c r="C1926" s="5">
        <v>5</v>
      </c>
      <c r="D1926" s="9" t="s">
        <v>11</v>
      </c>
      <c r="E1926" s="10">
        <v>115</v>
      </c>
      <c r="F1926" s="10">
        <f t="shared" si="30"/>
        <v>575</v>
      </c>
    </row>
    <row r="1927" spans="1:6" s="9" customFormat="1" x14ac:dyDescent="0.25">
      <c r="C1927" s="5"/>
      <c r="E1927" s="10"/>
      <c r="F1927" s="8">
        <f>SUM(F1922:F1926)</f>
        <v>5800</v>
      </c>
    </row>
    <row r="1928" spans="1:6" s="9" customFormat="1" x14ac:dyDescent="0.25">
      <c r="C1928" s="5"/>
      <c r="E1928" s="10"/>
      <c r="F1928" s="10"/>
    </row>
    <row r="1929" spans="1:6" s="9" customFormat="1" x14ac:dyDescent="0.25">
      <c r="A1929" s="9" t="s">
        <v>41</v>
      </c>
      <c r="B1929" s="4">
        <v>45744</v>
      </c>
      <c r="C1929" s="5">
        <v>35</v>
      </c>
      <c r="D1929" s="9" t="s">
        <v>14</v>
      </c>
      <c r="E1929" s="10">
        <v>130</v>
      </c>
      <c r="F1929" s="10">
        <f t="shared" si="30"/>
        <v>4550</v>
      </c>
    </row>
    <row r="1930" spans="1:6" s="9" customFormat="1" x14ac:dyDescent="0.25">
      <c r="C1930" s="5"/>
      <c r="E1930" s="10"/>
      <c r="F1930" s="8">
        <f>SUM(F1929)</f>
        <v>4550</v>
      </c>
    </row>
    <row r="1931" spans="1:6" s="9" customFormat="1" x14ac:dyDescent="0.25">
      <c r="C1931" s="5"/>
      <c r="E1931" s="10"/>
      <c r="F1931" s="10"/>
    </row>
    <row r="1932" spans="1:6" s="9" customFormat="1" x14ac:dyDescent="0.25">
      <c r="A1932" s="9" t="s">
        <v>46</v>
      </c>
      <c r="B1932" s="4">
        <v>45744</v>
      </c>
      <c r="C1932" s="5">
        <v>20</v>
      </c>
      <c r="D1932" s="9" t="s">
        <v>14</v>
      </c>
      <c r="E1932" s="10">
        <v>125</v>
      </c>
      <c r="F1932" s="10">
        <f t="shared" si="30"/>
        <v>2500</v>
      </c>
    </row>
    <row r="1933" spans="1:6" s="9" customFormat="1" x14ac:dyDescent="0.25">
      <c r="C1933" s="5"/>
      <c r="E1933" s="10"/>
      <c r="F1933" s="8">
        <f>SUM(F1932)</f>
        <v>2500</v>
      </c>
    </row>
    <row r="1934" spans="1:6" s="9" customFormat="1" x14ac:dyDescent="0.25">
      <c r="C1934" s="5"/>
      <c r="E1934" s="10"/>
      <c r="F1934" s="10"/>
    </row>
    <row r="1935" spans="1:6" s="9" customFormat="1" x14ac:dyDescent="0.25">
      <c r="A1935" s="9" t="s">
        <v>368</v>
      </c>
      <c r="B1935" s="4">
        <v>45744</v>
      </c>
      <c r="C1935" s="5">
        <v>10</v>
      </c>
      <c r="D1935" s="9" t="s">
        <v>14</v>
      </c>
      <c r="E1935" s="10">
        <v>125</v>
      </c>
      <c r="F1935" s="10">
        <f t="shared" ref="F1935:F1997" si="31">+C1935*E1935</f>
        <v>1250</v>
      </c>
    </row>
    <row r="1936" spans="1:6" s="9" customFormat="1" x14ac:dyDescent="0.25">
      <c r="C1936" s="5"/>
      <c r="E1936" s="10"/>
      <c r="F1936" s="8">
        <f>SUM(F1935)</f>
        <v>1250</v>
      </c>
    </row>
    <row r="1937" spans="1:6" s="9" customFormat="1" x14ac:dyDescent="0.25">
      <c r="C1937" s="5"/>
      <c r="E1937" s="10"/>
      <c r="F1937" s="10"/>
    </row>
    <row r="1938" spans="1:6" s="9" customFormat="1" x14ac:dyDescent="0.25">
      <c r="A1938" s="9" t="s">
        <v>369</v>
      </c>
      <c r="B1938" s="4">
        <v>45744</v>
      </c>
      <c r="C1938" s="5">
        <v>20</v>
      </c>
      <c r="D1938" s="9" t="s">
        <v>49</v>
      </c>
      <c r="E1938" s="10">
        <v>135</v>
      </c>
      <c r="F1938" s="10">
        <f t="shared" si="31"/>
        <v>2700</v>
      </c>
    </row>
    <row r="1939" spans="1:6" s="9" customFormat="1" x14ac:dyDescent="0.25">
      <c r="C1939" s="5"/>
      <c r="E1939" s="10"/>
      <c r="F1939" s="8">
        <f>SUM(F1938)</f>
        <v>2700</v>
      </c>
    </row>
    <row r="1940" spans="1:6" s="9" customFormat="1" x14ac:dyDescent="0.25">
      <c r="C1940" s="5"/>
      <c r="E1940" s="10"/>
      <c r="F1940" s="10"/>
    </row>
    <row r="1941" spans="1:6" s="9" customFormat="1" x14ac:dyDescent="0.25">
      <c r="A1941" s="9" t="s">
        <v>183</v>
      </c>
      <c r="B1941" s="4">
        <v>45744</v>
      </c>
      <c r="C1941" s="5">
        <v>3</v>
      </c>
      <c r="D1941" s="9" t="s">
        <v>14</v>
      </c>
      <c r="E1941" s="10">
        <v>125</v>
      </c>
      <c r="F1941" s="10">
        <f t="shared" si="31"/>
        <v>375</v>
      </c>
    </row>
    <row r="1942" spans="1:6" s="9" customFormat="1" x14ac:dyDescent="0.25">
      <c r="C1942" s="5"/>
      <c r="E1942" s="10"/>
      <c r="F1942" s="8">
        <f>SUM(F1941)</f>
        <v>375</v>
      </c>
    </row>
    <row r="1943" spans="1:6" s="9" customFormat="1" x14ac:dyDescent="0.25">
      <c r="C1943" s="5"/>
      <c r="E1943" s="10"/>
      <c r="F1943" s="10"/>
    </row>
    <row r="1944" spans="1:6" s="9" customFormat="1" x14ac:dyDescent="0.25">
      <c r="A1944" s="9" t="s">
        <v>106</v>
      </c>
      <c r="B1944" s="4">
        <v>45744</v>
      </c>
      <c r="C1944" s="5">
        <v>40</v>
      </c>
      <c r="D1944" s="9" t="s">
        <v>12</v>
      </c>
      <c r="E1944" s="10">
        <v>130</v>
      </c>
      <c r="F1944" s="10">
        <f t="shared" si="31"/>
        <v>5200</v>
      </c>
    </row>
    <row r="1945" spans="1:6" s="9" customFormat="1" x14ac:dyDescent="0.25">
      <c r="C1945" s="5"/>
      <c r="E1945" s="10"/>
      <c r="F1945" s="8">
        <f>SUM(F1944)</f>
        <v>5200</v>
      </c>
    </row>
    <row r="1946" spans="1:6" s="9" customFormat="1" x14ac:dyDescent="0.25">
      <c r="C1946" s="5"/>
      <c r="E1946" s="10"/>
      <c r="F1946" s="10"/>
    </row>
    <row r="1947" spans="1:6" s="9" customFormat="1" x14ac:dyDescent="0.25">
      <c r="A1947" s="9" t="s">
        <v>370</v>
      </c>
      <c r="B1947" s="4">
        <v>45744</v>
      </c>
      <c r="C1947" s="5">
        <v>50</v>
      </c>
      <c r="D1947" s="9" t="s">
        <v>14</v>
      </c>
      <c r="E1947" s="10">
        <v>120</v>
      </c>
      <c r="F1947" s="10">
        <f t="shared" si="31"/>
        <v>6000</v>
      </c>
    </row>
    <row r="1948" spans="1:6" s="9" customFormat="1" x14ac:dyDescent="0.25">
      <c r="C1948" s="5"/>
      <c r="E1948" s="10"/>
      <c r="F1948" s="8">
        <f>SUM(F1947)</f>
        <v>6000</v>
      </c>
    </row>
    <row r="1949" spans="1:6" s="9" customFormat="1" x14ac:dyDescent="0.25">
      <c r="C1949" s="5"/>
      <c r="E1949" s="10"/>
      <c r="F1949" s="10"/>
    </row>
    <row r="1950" spans="1:6" s="9" customFormat="1" x14ac:dyDescent="0.25">
      <c r="A1950" s="9" t="s">
        <v>18</v>
      </c>
      <c r="B1950" s="4">
        <v>45744</v>
      </c>
      <c r="C1950" s="5">
        <v>20</v>
      </c>
      <c r="D1950" s="9" t="s">
        <v>14</v>
      </c>
      <c r="E1950" s="10">
        <v>125</v>
      </c>
      <c r="F1950" s="10">
        <f t="shared" si="31"/>
        <v>2500</v>
      </c>
    </row>
    <row r="1951" spans="1:6" s="9" customFormat="1" x14ac:dyDescent="0.25">
      <c r="C1951" s="5"/>
      <c r="E1951" s="10"/>
      <c r="F1951" s="8">
        <f>SUM(F1950)</f>
        <v>2500</v>
      </c>
    </row>
    <row r="1952" spans="1:6" s="9" customFormat="1" x14ac:dyDescent="0.25">
      <c r="C1952" s="5"/>
      <c r="E1952" s="10"/>
      <c r="F1952" s="10"/>
    </row>
    <row r="1953" spans="1:6" s="9" customFormat="1" x14ac:dyDescent="0.25">
      <c r="A1953" s="9" t="s">
        <v>47</v>
      </c>
      <c r="B1953" s="4">
        <v>45744</v>
      </c>
      <c r="C1953" s="5">
        <v>50</v>
      </c>
      <c r="D1953" s="9" t="s">
        <v>22</v>
      </c>
      <c r="E1953" s="10">
        <v>100</v>
      </c>
      <c r="F1953" s="10">
        <f t="shared" si="31"/>
        <v>5000</v>
      </c>
    </row>
    <row r="1954" spans="1:6" s="9" customFormat="1" x14ac:dyDescent="0.25">
      <c r="C1954" s="5"/>
      <c r="E1954" s="10"/>
      <c r="F1954" s="8">
        <f>SUM(F1953)</f>
        <v>5000</v>
      </c>
    </row>
    <row r="1955" spans="1:6" s="9" customFormat="1" x14ac:dyDescent="0.25">
      <c r="C1955" s="5"/>
      <c r="E1955" s="10"/>
      <c r="F1955" s="10"/>
    </row>
    <row r="1956" spans="1:6" s="9" customFormat="1" x14ac:dyDescent="0.25">
      <c r="A1956" s="9" t="s">
        <v>145</v>
      </c>
      <c r="B1956" s="4">
        <v>45744</v>
      </c>
      <c r="C1956" s="5">
        <v>30</v>
      </c>
      <c r="D1956" s="9" t="s">
        <v>50</v>
      </c>
      <c r="E1956" s="10">
        <v>95</v>
      </c>
      <c r="F1956" s="10">
        <f t="shared" si="31"/>
        <v>2850</v>
      </c>
    </row>
    <row r="1957" spans="1:6" s="9" customFormat="1" x14ac:dyDescent="0.25">
      <c r="C1957" s="5"/>
      <c r="E1957" s="10"/>
      <c r="F1957" s="8">
        <f>SUM(F1956)</f>
        <v>2850</v>
      </c>
    </row>
    <row r="1958" spans="1:6" s="9" customFormat="1" x14ac:dyDescent="0.25">
      <c r="C1958" s="5"/>
      <c r="E1958" s="10"/>
      <c r="F1958" s="10"/>
    </row>
    <row r="1959" spans="1:6" s="9" customFormat="1" x14ac:dyDescent="0.25">
      <c r="A1959" s="9" t="s">
        <v>184</v>
      </c>
      <c r="B1959" s="4">
        <v>45744</v>
      </c>
      <c r="C1959" s="5">
        <v>5</v>
      </c>
      <c r="D1959" s="9" t="s">
        <v>13</v>
      </c>
      <c r="E1959" s="10">
        <v>155</v>
      </c>
      <c r="F1959" s="10">
        <f t="shared" si="31"/>
        <v>775</v>
      </c>
    </row>
    <row r="1960" spans="1:6" s="9" customFormat="1" x14ac:dyDescent="0.25">
      <c r="C1960" s="5"/>
      <c r="E1960" s="10"/>
      <c r="F1960" s="8">
        <f>SUM(F1959)</f>
        <v>775</v>
      </c>
    </row>
    <row r="1961" spans="1:6" s="9" customFormat="1" x14ac:dyDescent="0.25">
      <c r="C1961" s="5"/>
      <c r="E1961" s="10"/>
      <c r="F1961" s="10"/>
    </row>
    <row r="1962" spans="1:6" s="9" customFormat="1" x14ac:dyDescent="0.25">
      <c r="A1962" s="9" t="s">
        <v>245</v>
      </c>
      <c r="B1962" s="4">
        <v>45744</v>
      </c>
      <c r="C1962" s="5">
        <v>50</v>
      </c>
      <c r="D1962" s="9" t="s">
        <v>13</v>
      </c>
      <c r="E1962" s="10">
        <v>140</v>
      </c>
      <c r="F1962" s="10">
        <f t="shared" si="31"/>
        <v>7000</v>
      </c>
    </row>
    <row r="1963" spans="1:6" s="9" customFormat="1" x14ac:dyDescent="0.25">
      <c r="C1963" s="5">
        <v>10</v>
      </c>
      <c r="D1963" s="9" t="s">
        <v>14</v>
      </c>
      <c r="E1963" s="10">
        <v>130</v>
      </c>
      <c r="F1963" s="10">
        <f t="shared" si="31"/>
        <v>1300</v>
      </c>
    </row>
    <row r="1964" spans="1:6" s="9" customFormat="1" x14ac:dyDescent="0.25">
      <c r="C1964" s="5"/>
      <c r="E1964" s="10"/>
      <c r="F1964" s="8">
        <f>SUM(F1962:F1963)</f>
        <v>8300</v>
      </c>
    </row>
    <row r="1965" spans="1:6" s="9" customFormat="1" x14ac:dyDescent="0.25">
      <c r="C1965" s="5"/>
      <c r="E1965" s="10"/>
      <c r="F1965" s="10"/>
    </row>
    <row r="1966" spans="1:6" s="9" customFormat="1" x14ac:dyDescent="0.25">
      <c r="A1966" s="9" t="s">
        <v>29</v>
      </c>
      <c r="B1966" s="4">
        <v>45744</v>
      </c>
      <c r="C1966" s="5">
        <v>1</v>
      </c>
      <c r="D1966" s="9" t="s">
        <v>12</v>
      </c>
      <c r="E1966" s="10">
        <v>150</v>
      </c>
      <c r="F1966" s="10">
        <f t="shared" si="31"/>
        <v>150</v>
      </c>
    </row>
    <row r="1967" spans="1:6" s="9" customFormat="1" x14ac:dyDescent="0.25">
      <c r="C1967" s="5"/>
      <c r="E1967" s="10"/>
      <c r="F1967" s="8">
        <f>SUM(F1966)</f>
        <v>150</v>
      </c>
    </row>
    <row r="1968" spans="1:6" s="9" customFormat="1" x14ac:dyDescent="0.25">
      <c r="C1968" s="5"/>
      <c r="E1968" s="10"/>
      <c r="F1968" s="10"/>
    </row>
    <row r="1969" spans="1:6" s="9" customFormat="1" x14ac:dyDescent="0.25">
      <c r="A1969" s="9" t="s">
        <v>7</v>
      </c>
      <c r="B1969" s="4">
        <v>45744</v>
      </c>
      <c r="C1969" s="5">
        <v>2</v>
      </c>
      <c r="D1969" s="9" t="s">
        <v>8</v>
      </c>
      <c r="E1969" s="10">
        <v>170</v>
      </c>
      <c r="F1969" s="10">
        <f t="shared" si="31"/>
        <v>340</v>
      </c>
    </row>
    <row r="1970" spans="1:6" s="9" customFormat="1" x14ac:dyDescent="0.25">
      <c r="C1970" s="5">
        <v>4</v>
      </c>
      <c r="D1970" s="9" t="s">
        <v>13</v>
      </c>
      <c r="E1970" s="10">
        <v>145</v>
      </c>
      <c r="F1970" s="10">
        <f t="shared" si="31"/>
        <v>580</v>
      </c>
    </row>
    <row r="1971" spans="1:6" s="9" customFormat="1" x14ac:dyDescent="0.25">
      <c r="C1971" s="5"/>
      <c r="E1971" s="10"/>
      <c r="F1971" s="8">
        <f>SUM(F1969:F1970)</f>
        <v>920</v>
      </c>
    </row>
    <row r="1972" spans="1:6" s="9" customFormat="1" x14ac:dyDescent="0.25">
      <c r="C1972" s="5"/>
      <c r="E1972" s="10"/>
      <c r="F1972" s="10"/>
    </row>
    <row r="1973" spans="1:6" s="9" customFormat="1" x14ac:dyDescent="0.25">
      <c r="A1973" s="9" t="s">
        <v>270</v>
      </c>
      <c r="B1973" s="4">
        <v>45745</v>
      </c>
      <c r="C1973" s="5">
        <v>6</v>
      </c>
      <c r="D1973" s="9" t="s">
        <v>98</v>
      </c>
      <c r="E1973" s="10">
        <v>100</v>
      </c>
      <c r="F1973" s="10">
        <f t="shared" si="31"/>
        <v>600</v>
      </c>
    </row>
    <row r="1974" spans="1:6" s="9" customFormat="1" x14ac:dyDescent="0.25">
      <c r="C1974" s="5"/>
      <c r="E1974" s="10"/>
      <c r="F1974" s="8">
        <f>SUM(F1973)</f>
        <v>600</v>
      </c>
    </row>
    <row r="1975" spans="1:6" s="9" customFormat="1" x14ac:dyDescent="0.25">
      <c r="C1975" s="5"/>
      <c r="E1975" s="10"/>
      <c r="F1975" s="10"/>
    </row>
    <row r="1976" spans="1:6" s="9" customFormat="1" x14ac:dyDescent="0.25">
      <c r="A1976" s="9" t="s">
        <v>20</v>
      </c>
      <c r="B1976" s="4">
        <v>45745</v>
      </c>
      <c r="C1976" s="5">
        <v>20</v>
      </c>
      <c r="D1976" s="9" t="s">
        <v>13</v>
      </c>
      <c r="E1976" s="10">
        <v>135</v>
      </c>
      <c r="F1976" s="10">
        <f t="shared" si="31"/>
        <v>2700</v>
      </c>
    </row>
    <row r="1977" spans="1:6" s="9" customFormat="1" x14ac:dyDescent="0.25">
      <c r="C1977" s="5"/>
      <c r="E1977" s="10"/>
      <c r="F1977" s="8">
        <f>SUM(F1976)</f>
        <v>2700</v>
      </c>
    </row>
    <row r="1978" spans="1:6" s="9" customFormat="1" x14ac:dyDescent="0.25">
      <c r="C1978" s="5"/>
      <c r="E1978" s="10"/>
      <c r="F1978" s="10"/>
    </row>
    <row r="1979" spans="1:6" s="9" customFormat="1" x14ac:dyDescent="0.25">
      <c r="A1979" s="9" t="s">
        <v>21</v>
      </c>
      <c r="B1979" s="4">
        <v>45745</v>
      </c>
      <c r="C1979" s="5">
        <v>20</v>
      </c>
      <c r="D1979" s="9" t="s">
        <v>22</v>
      </c>
      <c r="E1979" s="10">
        <v>100</v>
      </c>
      <c r="F1979" s="10">
        <f t="shared" si="31"/>
        <v>2000</v>
      </c>
    </row>
    <row r="1980" spans="1:6" s="9" customFormat="1" x14ac:dyDescent="0.25">
      <c r="C1980" s="5">
        <v>15</v>
      </c>
      <c r="D1980" s="9" t="s">
        <v>12</v>
      </c>
      <c r="E1980" s="10">
        <v>120</v>
      </c>
      <c r="F1980" s="10">
        <f t="shared" si="31"/>
        <v>1800</v>
      </c>
    </row>
    <row r="1981" spans="1:6" s="9" customFormat="1" x14ac:dyDescent="0.25">
      <c r="C1981" s="5">
        <v>15</v>
      </c>
      <c r="D1981" s="9" t="s">
        <v>13</v>
      </c>
      <c r="E1981" s="10">
        <v>135</v>
      </c>
      <c r="F1981" s="10">
        <f t="shared" si="31"/>
        <v>2025</v>
      </c>
    </row>
    <row r="1982" spans="1:6" s="9" customFormat="1" x14ac:dyDescent="0.25">
      <c r="C1982" s="5">
        <v>5</v>
      </c>
      <c r="D1982" s="9" t="s">
        <v>11</v>
      </c>
      <c r="E1982" s="10">
        <v>120</v>
      </c>
      <c r="F1982" s="10">
        <f t="shared" si="31"/>
        <v>600</v>
      </c>
    </row>
    <row r="1983" spans="1:6" s="9" customFormat="1" x14ac:dyDescent="0.25">
      <c r="C1983" s="5">
        <v>5</v>
      </c>
      <c r="D1983" s="9" t="s">
        <v>14</v>
      </c>
      <c r="E1983" s="10">
        <v>125</v>
      </c>
      <c r="F1983" s="10">
        <f t="shared" si="31"/>
        <v>625</v>
      </c>
    </row>
    <row r="1984" spans="1:6" s="9" customFormat="1" x14ac:dyDescent="0.25">
      <c r="C1984" s="5">
        <v>10</v>
      </c>
      <c r="D1984" s="9" t="s">
        <v>8</v>
      </c>
      <c r="E1984" s="10">
        <v>150</v>
      </c>
      <c r="F1984" s="10">
        <f t="shared" si="31"/>
        <v>1500</v>
      </c>
    </row>
    <row r="1985" spans="1:6" s="9" customFormat="1" x14ac:dyDescent="0.25">
      <c r="C1985" s="5"/>
      <c r="E1985" s="10"/>
      <c r="F1985" s="8">
        <f>SUM(F1979:F1984)</f>
        <v>8550</v>
      </c>
    </row>
    <row r="1986" spans="1:6" s="9" customFormat="1" x14ac:dyDescent="0.25">
      <c r="C1986" s="5"/>
      <c r="E1986" s="10"/>
      <c r="F1986" s="10"/>
    </row>
    <row r="1987" spans="1:6" s="9" customFormat="1" x14ac:dyDescent="0.25">
      <c r="A1987" s="9" t="s">
        <v>57</v>
      </c>
      <c r="B1987" s="4">
        <v>45745</v>
      </c>
      <c r="C1987" s="5">
        <v>15</v>
      </c>
      <c r="D1987" s="9" t="s">
        <v>13</v>
      </c>
      <c r="E1987" s="10">
        <v>135</v>
      </c>
      <c r="F1987" s="10">
        <f t="shared" si="31"/>
        <v>2025</v>
      </c>
    </row>
    <row r="1988" spans="1:6" s="9" customFormat="1" x14ac:dyDescent="0.25">
      <c r="C1988" s="5">
        <v>5</v>
      </c>
      <c r="D1988" s="9" t="s">
        <v>14</v>
      </c>
      <c r="E1988" s="10">
        <v>125</v>
      </c>
      <c r="F1988" s="10">
        <f t="shared" si="31"/>
        <v>625</v>
      </c>
    </row>
    <row r="1989" spans="1:6" s="9" customFormat="1" x14ac:dyDescent="0.25">
      <c r="C1989" s="5"/>
      <c r="E1989" s="10"/>
      <c r="F1989" s="8">
        <f>SUM(F1987:F1988)</f>
        <v>2650</v>
      </c>
    </row>
    <row r="1990" spans="1:6" s="9" customFormat="1" x14ac:dyDescent="0.25">
      <c r="C1990" s="5"/>
      <c r="E1990" s="10"/>
      <c r="F1990" s="10"/>
    </row>
    <row r="1991" spans="1:6" s="9" customFormat="1" x14ac:dyDescent="0.25">
      <c r="A1991" s="9" t="s">
        <v>40</v>
      </c>
      <c r="B1991" s="4">
        <v>45745</v>
      </c>
      <c r="C1991" s="5">
        <v>10</v>
      </c>
      <c r="D1991" s="9" t="s">
        <v>13</v>
      </c>
      <c r="E1991" s="10">
        <v>135</v>
      </c>
      <c r="F1991" s="10">
        <f t="shared" si="31"/>
        <v>1350</v>
      </c>
    </row>
    <row r="1992" spans="1:6" s="9" customFormat="1" x14ac:dyDescent="0.25">
      <c r="C1992" s="5">
        <v>5</v>
      </c>
      <c r="D1992" s="9" t="s">
        <v>14</v>
      </c>
      <c r="E1992" s="10">
        <v>125</v>
      </c>
      <c r="F1992" s="10">
        <f t="shared" si="31"/>
        <v>625</v>
      </c>
    </row>
    <row r="1993" spans="1:6" s="9" customFormat="1" x14ac:dyDescent="0.25">
      <c r="C1993" s="5">
        <v>10</v>
      </c>
      <c r="D1993" s="9" t="s">
        <v>12</v>
      </c>
      <c r="E1993" s="10">
        <v>115</v>
      </c>
      <c r="F1993" s="10">
        <f t="shared" si="31"/>
        <v>1150</v>
      </c>
    </row>
    <row r="1994" spans="1:6" s="9" customFormat="1" x14ac:dyDescent="0.25">
      <c r="C1994" s="5">
        <v>5</v>
      </c>
      <c r="D1994" s="9" t="s">
        <v>11</v>
      </c>
      <c r="E1994" s="10">
        <v>115</v>
      </c>
      <c r="F1994" s="10">
        <f t="shared" si="31"/>
        <v>575</v>
      </c>
    </row>
    <row r="1995" spans="1:6" s="9" customFormat="1" x14ac:dyDescent="0.25">
      <c r="C1995" s="5"/>
      <c r="E1995" s="10"/>
      <c r="F1995" s="8">
        <f>SUM(F1991:F1994)</f>
        <v>3700</v>
      </c>
    </row>
    <row r="1996" spans="1:6" s="9" customFormat="1" x14ac:dyDescent="0.25">
      <c r="C1996" s="5"/>
      <c r="E1996" s="10"/>
      <c r="F1996" s="10"/>
    </row>
    <row r="1997" spans="1:6" s="9" customFormat="1" x14ac:dyDescent="0.25">
      <c r="A1997" s="9" t="s">
        <v>58</v>
      </c>
      <c r="B1997" s="4">
        <v>45745</v>
      </c>
      <c r="C1997" s="5">
        <v>10</v>
      </c>
      <c r="D1997" s="9" t="s">
        <v>13</v>
      </c>
      <c r="E1997" s="10">
        <v>140</v>
      </c>
      <c r="F1997" s="10">
        <f t="shared" si="31"/>
        <v>1400</v>
      </c>
    </row>
    <row r="1998" spans="1:6" s="9" customFormat="1" x14ac:dyDescent="0.25">
      <c r="C1998" s="5"/>
      <c r="E1998" s="10"/>
      <c r="F1998" s="8">
        <f>SUM(F1997)</f>
        <v>1400</v>
      </c>
    </row>
    <row r="1999" spans="1:6" s="9" customFormat="1" x14ac:dyDescent="0.25">
      <c r="C1999" s="5"/>
      <c r="E1999" s="10"/>
      <c r="F1999" s="10"/>
    </row>
    <row r="2000" spans="1:6" s="9" customFormat="1" x14ac:dyDescent="0.25">
      <c r="A2000" s="9" t="s">
        <v>371</v>
      </c>
      <c r="B2000" s="4">
        <v>45745</v>
      </c>
      <c r="C2000" s="5">
        <v>5</v>
      </c>
      <c r="D2000" s="9" t="s">
        <v>13</v>
      </c>
      <c r="E2000" s="10">
        <v>140</v>
      </c>
      <c r="F2000" s="10">
        <f t="shared" ref="F2000:F2064" si="32">+C2000*E2000</f>
        <v>700</v>
      </c>
    </row>
    <row r="2001" spans="1:6" s="9" customFormat="1" x14ac:dyDescent="0.25">
      <c r="C2001" s="5"/>
      <c r="E2001" s="10"/>
      <c r="F2001" s="8">
        <f>SUM(F2000)</f>
        <v>700</v>
      </c>
    </row>
    <row r="2002" spans="1:6" s="9" customFormat="1" x14ac:dyDescent="0.25">
      <c r="C2002" s="5"/>
      <c r="E2002" s="10"/>
      <c r="F2002" s="10"/>
    </row>
    <row r="2003" spans="1:6" s="9" customFormat="1" x14ac:dyDescent="0.25">
      <c r="A2003" s="9" t="s">
        <v>60</v>
      </c>
      <c r="B2003" s="4">
        <v>45745</v>
      </c>
      <c r="C2003" s="5">
        <v>30</v>
      </c>
      <c r="D2003" s="9" t="s">
        <v>13</v>
      </c>
      <c r="E2003" s="10">
        <v>140</v>
      </c>
      <c r="F2003" s="10">
        <f t="shared" si="32"/>
        <v>4200</v>
      </c>
    </row>
    <row r="2004" spans="1:6" s="9" customFormat="1" x14ac:dyDescent="0.25">
      <c r="C2004" s="5"/>
      <c r="E2004" s="10"/>
      <c r="F2004" s="8">
        <f>SUM(F2003)</f>
        <v>4200</v>
      </c>
    </row>
    <row r="2005" spans="1:6" s="9" customFormat="1" x14ac:dyDescent="0.25">
      <c r="C2005" s="5"/>
      <c r="E2005" s="10"/>
      <c r="F2005" s="10"/>
    </row>
    <row r="2006" spans="1:6" s="9" customFormat="1" x14ac:dyDescent="0.25">
      <c r="A2006" s="9" t="s">
        <v>62</v>
      </c>
      <c r="B2006" s="4">
        <v>45745</v>
      </c>
      <c r="C2006" s="5">
        <v>10</v>
      </c>
      <c r="D2006" s="9" t="s">
        <v>12</v>
      </c>
      <c r="E2006" s="10">
        <v>125</v>
      </c>
      <c r="F2006" s="10">
        <f t="shared" si="32"/>
        <v>1250</v>
      </c>
    </row>
    <row r="2007" spans="1:6" s="9" customFormat="1" x14ac:dyDescent="0.25">
      <c r="C2007" s="5">
        <v>20</v>
      </c>
      <c r="D2007" s="9" t="s">
        <v>13</v>
      </c>
      <c r="E2007" s="10">
        <v>140</v>
      </c>
      <c r="F2007" s="10">
        <f t="shared" si="32"/>
        <v>2800</v>
      </c>
    </row>
    <row r="2008" spans="1:6" s="9" customFormat="1" x14ac:dyDescent="0.25">
      <c r="C2008" s="5">
        <v>150</v>
      </c>
      <c r="D2008" s="9" t="s">
        <v>8</v>
      </c>
      <c r="E2008" s="10">
        <v>160</v>
      </c>
      <c r="F2008" s="10">
        <f t="shared" si="32"/>
        <v>24000</v>
      </c>
    </row>
    <row r="2009" spans="1:6" s="9" customFormat="1" x14ac:dyDescent="0.25">
      <c r="C2009" s="5"/>
      <c r="E2009" s="10"/>
      <c r="F2009" s="8">
        <f>SUM(F2006:F2008)</f>
        <v>28050</v>
      </c>
    </row>
    <row r="2010" spans="1:6" s="9" customFormat="1" x14ac:dyDescent="0.25">
      <c r="C2010" s="5"/>
      <c r="E2010" s="10"/>
      <c r="F2010" s="10"/>
    </row>
    <row r="2011" spans="1:6" s="9" customFormat="1" x14ac:dyDescent="0.25">
      <c r="A2011" s="9" t="s">
        <v>372</v>
      </c>
      <c r="B2011" s="4">
        <v>45745</v>
      </c>
      <c r="C2011" s="5">
        <v>5</v>
      </c>
      <c r="D2011" s="9" t="s">
        <v>373</v>
      </c>
      <c r="E2011" s="10">
        <v>140</v>
      </c>
      <c r="F2011" s="10">
        <f t="shared" si="32"/>
        <v>700</v>
      </c>
    </row>
    <row r="2012" spans="1:6" s="9" customFormat="1" x14ac:dyDescent="0.25">
      <c r="C2012" s="5"/>
      <c r="E2012" s="10"/>
      <c r="F2012" s="8">
        <f>SUM(F2011)</f>
        <v>700</v>
      </c>
    </row>
    <row r="2013" spans="1:6" s="9" customFormat="1" x14ac:dyDescent="0.25">
      <c r="C2013" s="5"/>
      <c r="E2013" s="10"/>
      <c r="F2013" s="10"/>
    </row>
    <row r="2014" spans="1:6" s="9" customFormat="1" x14ac:dyDescent="0.25">
      <c r="A2014" s="9" t="s">
        <v>153</v>
      </c>
      <c r="B2014" s="4">
        <v>45745</v>
      </c>
      <c r="C2014" s="5">
        <v>60</v>
      </c>
      <c r="D2014" s="9" t="s">
        <v>12</v>
      </c>
      <c r="E2014" s="10">
        <v>140</v>
      </c>
      <c r="F2014" s="10">
        <f t="shared" si="32"/>
        <v>8400</v>
      </c>
    </row>
    <row r="2015" spans="1:6" s="9" customFormat="1" x14ac:dyDescent="0.25">
      <c r="C2015" s="5">
        <v>60</v>
      </c>
      <c r="D2015" s="9" t="s">
        <v>22</v>
      </c>
      <c r="E2015" s="10">
        <v>120</v>
      </c>
      <c r="F2015" s="10">
        <f t="shared" si="32"/>
        <v>7200</v>
      </c>
    </row>
    <row r="2016" spans="1:6" s="9" customFormat="1" x14ac:dyDescent="0.25">
      <c r="C2016" s="5"/>
      <c r="E2016" s="10"/>
      <c r="F2016" s="8">
        <f>SUM(F2014:F2015)</f>
        <v>15600</v>
      </c>
    </row>
    <row r="2017" spans="1:6" s="9" customFormat="1" x14ac:dyDescent="0.25">
      <c r="C2017" s="5"/>
      <c r="E2017" s="10"/>
      <c r="F2017" s="10"/>
    </row>
    <row r="2018" spans="1:6" s="9" customFormat="1" x14ac:dyDescent="0.25">
      <c r="A2018" s="9" t="s">
        <v>72</v>
      </c>
      <c r="B2018" s="4">
        <v>45745</v>
      </c>
      <c r="C2018" s="5">
        <v>250</v>
      </c>
      <c r="D2018" s="9" t="s">
        <v>13</v>
      </c>
      <c r="E2018" s="10">
        <v>130</v>
      </c>
      <c r="F2018" s="10">
        <f t="shared" si="32"/>
        <v>32500</v>
      </c>
    </row>
    <row r="2019" spans="1:6" s="9" customFormat="1" x14ac:dyDescent="0.25">
      <c r="C2019" s="5">
        <v>180</v>
      </c>
      <c r="D2019" s="9" t="s">
        <v>12</v>
      </c>
      <c r="E2019" s="10">
        <v>120</v>
      </c>
      <c r="F2019" s="10">
        <f t="shared" si="32"/>
        <v>21600</v>
      </c>
    </row>
    <row r="2020" spans="1:6" s="9" customFormat="1" x14ac:dyDescent="0.25">
      <c r="C2020" s="5">
        <v>40</v>
      </c>
      <c r="D2020" s="9" t="s">
        <v>14</v>
      </c>
      <c r="E2020" s="10">
        <v>125</v>
      </c>
      <c r="F2020" s="10">
        <f t="shared" si="32"/>
        <v>5000</v>
      </c>
    </row>
    <row r="2021" spans="1:6" s="9" customFormat="1" x14ac:dyDescent="0.25">
      <c r="C2021" s="5">
        <v>80</v>
      </c>
      <c r="D2021" s="9" t="s">
        <v>11</v>
      </c>
      <c r="E2021" s="10">
        <v>120</v>
      </c>
      <c r="F2021" s="10">
        <f t="shared" si="32"/>
        <v>9600</v>
      </c>
    </row>
    <row r="2022" spans="1:6" s="9" customFormat="1" x14ac:dyDescent="0.25">
      <c r="C2022" s="5"/>
      <c r="E2022" s="10"/>
      <c r="F2022" s="8">
        <f>SUM(F2018:F2021)</f>
        <v>68700</v>
      </c>
    </row>
    <row r="2023" spans="1:6" s="9" customFormat="1" x14ac:dyDescent="0.25">
      <c r="C2023" s="5"/>
      <c r="E2023" s="10"/>
      <c r="F2023" s="10"/>
    </row>
    <row r="2024" spans="1:6" s="9" customFormat="1" x14ac:dyDescent="0.25">
      <c r="A2024" s="9" t="s">
        <v>32</v>
      </c>
      <c r="B2024" s="4">
        <v>45745</v>
      </c>
      <c r="C2024" s="5">
        <v>30</v>
      </c>
      <c r="D2024" s="9" t="s">
        <v>13</v>
      </c>
      <c r="E2024" s="10">
        <v>140</v>
      </c>
      <c r="F2024" s="10">
        <f t="shared" si="32"/>
        <v>4200</v>
      </c>
    </row>
    <row r="2025" spans="1:6" s="9" customFormat="1" x14ac:dyDescent="0.25">
      <c r="C2025" s="5"/>
      <c r="E2025" s="10"/>
      <c r="F2025" s="8">
        <f>SUM(F2024)</f>
        <v>4200</v>
      </c>
    </row>
    <row r="2026" spans="1:6" s="9" customFormat="1" x14ac:dyDescent="0.25">
      <c r="C2026" s="5"/>
      <c r="E2026" s="10"/>
      <c r="F2026" s="10"/>
    </row>
    <row r="2027" spans="1:6" s="9" customFormat="1" x14ac:dyDescent="0.25">
      <c r="A2027" s="9" t="s">
        <v>245</v>
      </c>
      <c r="B2027" s="4">
        <v>45745</v>
      </c>
      <c r="C2027" s="5">
        <v>140</v>
      </c>
      <c r="D2027" s="9" t="s">
        <v>13</v>
      </c>
      <c r="E2027" s="10">
        <v>140</v>
      </c>
      <c r="F2027" s="10">
        <f t="shared" si="32"/>
        <v>19600</v>
      </c>
    </row>
    <row r="2028" spans="1:6" s="9" customFormat="1" x14ac:dyDescent="0.25">
      <c r="C2028" s="5">
        <v>20</v>
      </c>
      <c r="D2028" s="9" t="s">
        <v>14</v>
      </c>
      <c r="E2028" s="10">
        <v>130</v>
      </c>
      <c r="F2028" s="10">
        <f t="shared" si="32"/>
        <v>2600</v>
      </c>
    </row>
    <row r="2029" spans="1:6" s="9" customFormat="1" x14ac:dyDescent="0.25">
      <c r="C2029" s="5">
        <v>7</v>
      </c>
      <c r="D2029" s="9" t="s">
        <v>318</v>
      </c>
      <c r="E2029" s="10">
        <v>0</v>
      </c>
      <c r="F2029" s="10">
        <f t="shared" si="32"/>
        <v>0</v>
      </c>
    </row>
    <row r="2030" spans="1:6" s="9" customFormat="1" x14ac:dyDescent="0.25">
      <c r="C2030" s="5"/>
      <c r="E2030" s="10"/>
      <c r="F2030" s="8">
        <f>SUM(F2027:F2029)</f>
        <v>22200</v>
      </c>
    </row>
    <row r="2031" spans="1:6" s="9" customFormat="1" x14ac:dyDescent="0.25">
      <c r="C2031" s="5"/>
      <c r="E2031" s="10"/>
      <c r="F2031" s="10"/>
    </row>
    <row r="2032" spans="1:6" s="9" customFormat="1" x14ac:dyDescent="0.25">
      <c r="A2032" s="9" t="s">
        <v>88</v>
      </c>
      <c r="B2032" s="4">
        <v>45745</v>
      </c>
      <c r="C2032" s="5">
        <v>10</v>
      </c>
      <c r="D2032" s="9" t="s">
        <v>14</v>
      </c>
      <c r="E2032" s="10">
        <v>135</v>
      </c>
      <c r="F2032" s="10">
        <f t="shared" si="32"/>
        <v>1350</v>
      </c>
    </row>
    <row r="2033" spans="1:6" s="9" customFormat="1" x14ac:dyDescent="0.25">
      <c r="C2033" s="5">
        <v>5</v>
      </c>
      <c r="D2033" s="9" t="s">
        <v>13</v>
      </c>
      <c r="E2033" s="10">
        <v>145</v>
      </c>
      <c r="F2033" s="10">
        <f t="shared" si="32"/>
        <v>725</v>
      </c>
    </row>
    <row r="2034" spans="1:6" s="9" customFormat="1" x14ac:dyDescent="0.25">
      <c r="C2034" s="5"/>
      <c r="E2034" s="10"/>
      <c r="F2034" s="8">
        <f>SUM(F2032:F2033)</f>
        <v>2075</v>
      </c>
    </row>
    <row r="2035" spans="1:6" s="9" customFormat="1" x14ac:dyDescent="0.25">
      <c r="C2035" s="5"/>
      <c r="E2035" s="10"/>
      <c r="F2035" s="10"/>
    </row>
    <row r="2036" spans="1:6" s="9" customFormat="1" x14ac:dyDescent="0.25">
      <c r="A2036" s="9" t="s">
        <v>113</v>
      </c>
      <c r="B2036" s="4">
        <v>45745</v>
      </c>
      <c r="C2036" s="5">
        <v>20</v>
      </c>
      <c r="D2036" s="9" t="s">
        <v>8</v>
      </c>
      <c r="E2036" s="10">
        <v>155</v>
      </c>
      <c r="F2036" s="10">
        <f t="shared" si="32"/>
        <v>3100</v>
      </c>
    </row>
    <row r="2037" spans="1:6" s="9" customFormat="1" x14ac:dyDescent="0.25">
      <c r="C2037" s="5"/>
      <c r="E2037" s="10"/>
      <c r="F2037" s="8">
        <f>SUM(F2036)</f>
        <v>3100</v>
      </c>
    </row>
    <row r="2038" spans="1:6" s="9" customFormat="1" x14ac:dyDescent="0.25">
      <c r="C2038" s="5"/>
      <c r="E2038" s="10"/>
      <c r="F2038" s="10"/>
    </row>
    <row r="2039" spans="1:6" s="9" customFormat="1" x14ac:dyDescent="0.25">
      <c r="A2039" s="9" t="s">
        <v>53</v>
      </c>
      <c r="B2039" s="4">
        <v>45745</v>
      </c>
      <c r="C2039" s="5">
        <v>40</v>
      </c>
      <c r="D2039" s="9" t="s">
        <v>13</v>
      </c>
      <c r="E2039" s="10">
        <v>130</v>
      </c>
      <c r="F2039" s="10">
        <f t="shared" si="32"/>
        <v>5200</v>
      </c>
    </row>
    <row r="2040" spans="1:6" s="9" customFormat="1" x14ac:dyDescent="0.25">
      <c r="C2040" s="5">
        <v>20</v>
      </c>
      <c r="D2040" s="9" t="s">
        <v>13</v>
      </c>
      <c r="E2040" s="10">
        <v>135</v>
      </c>
      <c r="F2040" s="10">
        <f t="shared" si="32"/>
        <v>2700</v>
      </c>
    </row>
    <row r="2041" spans="1:6" s="9" customFormat="1" x14ac:dyDescent="0.25">
      <c r="C2041" s="5">
        <v>57</v>
      </c>
      <c r="D2041" s="9" t="s">
        <v>12</v>
      </c>
      <c r="E2041" s="10">
        <v>125</v>
      </c>
      <c r="F2041" s="10">
        <f t="shared" si="32"/>
        <v>7125</v>
      </c>
    </row>
    <row r="2042" spans="1:6" s="9" customFormat="1" x14ac:dyDescent="0.25">
      <c r="C2042" s="5">
        <v>6</v>
      </c>
      <c r="D2042" s="9" t="s">
        <v>22</v>
      </c>
      <c r="E2042" s="10">
        <v>100</v>
      </c>
      <c r="F2042" s="10">
        <f t="shared" si="32"/>
        <v>600</v>
      </c>
    </row>
    <row r="2043" spans="1:6" s="9" customFormat="1" x14ac:dyDescent="0.25">
      <c r="C2043" s="5">
        <v>5</v>
      </c>
      <c r="D2043" s="9" t="s">
        <v>11</v>
      </c>
      <c r="E2043" s="10">
        <v>120</v>
      </c>
      <c r="F2043" s="10">
        <f t="shared" si="32"/>
        <v>600</v>
      </c>
    </row>
    <row r="2044" spans="1:6" s="9" customFormat="1" x14ac:dyDescent="0.25">
      <c r="C2044" s="5"/>
      <c r="E2044" s="10"/>
      <c r="F2044" s="8">
        <f>SUM(F2039:F2043)</f>
        <v>16225</v>
      </c>
    </row>
    <row r="2045" spans="1:6" s="9" customFormat="1" x14ac:dyDescent="0.25">
      <c r="C2045" s="5"/>
      <c r="E2045" s="10"/>
      <c r="F2045" s="10"/>
    </row>
    <row r="2046" spans="1:6" s="9" customFormat="1" x14ac:dyDescent="0.25">
      <c r="A2046" s="9" t="s">
        <v>76</v>
      </c>
      <c r="B2046" s="4">
        <v>45745</v>
      </c>
      <c r="C2046" s="5">
        <v>400</v>
      </c>
      <c r="D2046" s="9" t="s">
        <v>14</v>
      </c>
      <c r="E2046" s="10">
        <v>120</v>
      </c>
      <c r="F2046" s="10">
        <f t="shared" si="32"/>
        <v>48000</v>
      </c>
    </row>
    <row r="2047" spans="1:6" s="9" customFormat="1" x14ac:dyDescent="0.25">
      <c r="C2047" s="5">
        <v>170</v>
      </c>
      <c r="D2047" s="9" t="s">
        <v>11</v>
      </c>
      <c r="E2047" s="10">
        <v>115</v>
      </c>
      <c r="F2047" s="10">
        <f t="shared" si="32"/>
        <v>19550</v>
      </c>
    </row>
    <row r="2048" spans="1:6" s="9" customFormat="1" x14ac:dyDescent="0.25">
      <c r="C2048" s="5">
        <v>199</v>
      </c>
      <c r="D2048" s="9" t="s">
        <v>50</v>
      </c>
      <c r="E2048" s="10">
        <v>75</v>
      </c>
      <c r="F2048" s="10">
        <f t="shared" si="32"/>
        <v>14925</v>
      </c>
    </row>
    <row r="2049" spans="1:6" s="9" customFormat="1" x14ac:dyDescent="0.25">
      <c r="C2049" s="5">
        <v>200</v>
      </c>
      <c r="D2049" s="9" t="s">
        <v>13</v>
      </c>
      <c r="E2049" s="10">
        <v>135</v>
      </c>
      <c r="F2049" s="10">
        <f t="shared" si="32"/>
        <v>27000</v>
      </c>
    </row>
    <row r="2050" spans="1:6" s="9" customFormat="1" x14ac:dyDescent="0.25">
      <c r="C2050" s="5">
        <v>100</v>
      </c>
      <c r="D2050" s="9" t="s">
        <v>12</v>
      </c>
      <c r="E2050" s="10">
        <v>120</v>
      </c>
      <c r="F2050" s="10">
        <f t="shared" si="32"/>
        <v>12000</v>
      </c>
    </row>
    <row r="2051" spans="1:6" s="9" customFormat="1" x14ac:dyDescent="0.25">
      <c r="C2051" s="5"/>
      <c r="E2051" s="10"/>
      <c r="F2051" s="8">
        <f>SUM(F2046:F2050)</f>
        <v>121475</v>
      </c>
    </row>
    <row r="2052" spans="1:6" s="9" customFormat="1" x14ac:dyDescent="0.25">
      <c r="C2052" s="5"/>
      <c r="E2052" s="10"/>
      <c r="F2052" s="10"/>
    </row>
    <row r="2053" spans="1:6" s="9" customFormat="1" x14ac:dyDescent="0.25">
      <c r="A2053" s="9" t="s">
        <v>65</v>
      </c>
      <c r="B2053" s="4">
        <v>45745</v>
      </c>
      <c r="C2053" s="5">
        <v>1500</v>
      </c>
      <c r="D2053" s="9" t="s">
        <v>12</v>
      </c>
      <c r="E2053" s="10">
        <v>117</v>
      </c>
      <c r="F2053" s="10">
        <f t="shared" si="32"/>
        <v>175500</v>
      </c>
    </row>
    <row r="2054" spans="1:6" s="9" customFormat="1" x14ac:dyDescent="0.25">
      <c r="C2054" s="5">
        <v>200</v>
      </c>
      <c r="D2054" s="9" t="s">
        <v>11</v>
      </c>
      <c r="E2054" s="10">
        <v>117</v>
      </c>
      <c r="F2054" s="10">
        <f t="shared" si="32"/>
        <v>23400</v>
      </c>
    </row>
    <row r="2055" spans="1:6" s="9" customFormat="1" x14ac:dyDescent="0.25">
      <c r="C2055" s="5">
        <v>700</v>
      </c>
      <c r="D2055" s="9" t="s">
        <v>22</v>
      </c>
      <c r="E2055" s="10">
        <v>95</v>
      </c>
      <c r="F2055" s="10">
        <f t="shared" si="32"/>
        <v>66500</v>
      </c>
    </row>
    <row r="2056" spans="1:6" s="9" customFormat="1" x14ac:dyDescent="0.25">
      <c r="C2056" s="5">
        <v>100</v>
      </c>
      <c r="D2056" s="9" t="s">
        <v>374</v>
      </c>
      <c r="E2056" s="10">
        <v>90</v>
      </c>
      <c r="F2056" s="10">
        <f t="shared" si="32"/>
        <v>9000</v>
      </c>
    </row>
    <row r="2057" spans="1:6" s="9" customFormat="1" x14ac:dyDescent="0.25">
      <c r="C2057" s="5"/>
      <c r="E2057" s="10"/>
      <c r="F2057" s="8">
        <f>SUM(F2053:F2056)</f>
        <v>274400</v>
      </c>
    </row>
    <row r="2058" spans="1:6" s="9" customFormat="1" x14ac:dyDescent="0.25">
      <c r="C2058" s="5"/>
      <c r="E2058" s="10"/>
      <c r="F2058" s="10"/>
    </row>
    <row r="2059" spans="1:6" s="9" customFormat="1" x14ac:dyDescent="0.25">
      <c r="A2059" s="9" t="s">
        <v>101</v>
      </c>
      <c r="B2059" s="4">
        <v>45745</v>
      </c>
      <c r="C2059" s="5">
        <v>2</v>
      </c>
      <c r="D2059" s="9" t="s">
        <v>12</v>
      </c>
      <c r="E2059" s="10">
        <v>140</v>
      </c>
      <c r="F2059" s="10">
        <f t="shared" si="32"/>
        <v>280</v>
      </c>
    </row>
    <row r="2060" spans="1:6" s="9" customFormat="1" x14ac:dyDescent="0.25">
      <c r="C2060" s="5">
        <v>10</v>
      </c>
      <c r="D2060" s="9" t="s">
        <v>293</v>
      </c>
      <c r="E2060" s="10">
        <v>140</v>
      </c>
      <c r="F2060" s="10">
        <f t="shared" si="32"/>
        <v>1400</v>
      </c>
    </row>
    <row r="2061" spans="1:6" s="9" customFormat="1" x14ac:dyDescent="0.25">
      <c r="C2061" s="5">
        <v>5</v>
      </c>
      <c r="D2061" s="9" t="s">
        <v>91</v>
      </c>
      <c r="E2061" s="10">
        <v>100</v>
      </c>
      <c r="F2061" s="10">
        <f t="shared" si="32"/>
        <v>500</v>
      </c>
    </row>
    <row r="2062" spans="1:6" s="9" customFormat="1" x14ac:dyDescent="0.25">
      <c r="C2062" s="5">
        <v>10</v>
      </c>
      <c r="D2062" s="9" t="s">
        <v>293</v>
      </c>
      <c r="E2062" s="10">
        <v>140</v>
      </c>
      <c r="F2062" s="10">
        <f t="shared" si="32"/>
        <v>1400</v>
      </c>
    </row>
    <row r="2063" spans="1:6" s="9" customFormat="1" x14ac:dyDescent="0.25">
      <c r="C2063" s="5">
        <v>1</v>
      </c>
      <c r="D2063" s="9" t="s">
        <v>13</v>
      </c>
      <c r="E2063" s="10">
        <v>160</v>
      </c>
      <c r="F2063" s="10">
        <f t="shared" si="32"/>
        <v>160</v>
      </c>
    </row>
    <row r="2064" spans="1:6" s="9" customFormat="1" x14ac:dyDescent="0.25">
      <c r="C2064" s="5">
        <v>1</v>
      </c>
      <c r="D2064" s="9" t="s">
        <v>170</v>
      </c>
      <c r="E2064" s="10">
        <v>100</v>
      </c>
      <c r="F2064" s="10">
        <f t="shared" si="32"/>
        <v>100</v>
      </c>
    </row>
    <row r="2065" spans="1:6" s="9" customFormat="1" x14ac:dyDescent="0.25">
      <c r="C2065" s="5"/>
      <c r="E2065" s="10"/>
      <c r="F2065" s="8">
        <f>SUM(F2059:F2064)</f>
        <v>3840</v>
      </c>
    </row>
    <row r="2066" spans="1:6" s="9" customFormat="1" x14ac:dyDescent="0.25">
      <c r="C2066" s="5"/>
      <c r="E2066" s="10"/>
      <c r="F2066" s="10"/>
    </row>
    <row r="2067" spans="1:6" s="9" customFormat="1" x14ac:dyDescent="0.25">
      <c r="A2067" s="9" t="s">
        <v>7</v>
      </c>
      <c r="B2067" s="4">
        <v>45745</v>
      </c>
      <c r="C2067" s="5">
        <v>3</v>
      </c>
      <c r="D2067" s="9" t="s">
        <v>30</v>
      </c>
      <c r="E2067" s="10">
        <v>140</v>
      </c>
      <c r="F2067" s="10">
        <f t="shared" ref="F2067:F2129" si="33">+C2067*E2067</f>
        <v>420</v>
      </c>
    </row>
    <row r="2068" spans="1:6" s="9" customFormat="1" x14ac:dyDescent="0.25">
      <c r="C2068" s="5">
        <v>1</v>
      </c>
      <c r="D2068" s="9" t="s">
        <v>8</v>
      </c>
      <c r="E2068" s="10">
        <v>170</v>
      </c>
      <c r="F2068" s="10">
        <f t="shared" si="33"/>
        <v>170</v>
      </c>
    </row>
    <row r="2069" spans="1:6" s="9" customFormat="1" x14ac:dyDescent="0.25">
      <c r="C2069" s="5"/>
      <c r="E2069" s="10"/>
      <c r="F2069" s="8">
        <f>SUM(F2067:F2068)</f>
        <v>590</v>
      </c>
    </row>
    <row r="2070" spans="1:6" s="9" customFormat="1" x14ac:dyDescent="0.25">
      <c r="C2070" s="5"/>
      <c r="E2070" s="10"/>
      <c r="F2070" s="10"/>
    </row>
    <row r="2071" spans="1:6" s="9" customFormat="1" x14ac:dyDescent="0.25">
      <c r="A2071" s="9" t="s">
        <v>7</v>
      </c>
      <c r="B2071" s="4">
        <v>45746</v>
      </c>
      <c r="C2071" s="5">
        <v>2</v>
      </c>
      <c r="D2071" s="9" t="s">
        <v>13</v>
      </c>
      <c r="E2071" s="10">
        <v>140</v>
      </c>
      <c r="F2071" s="10">
        <f t="shared" si="33"/>
        <v>280</v>
      </c>
    </row>
    <row r="2072" spans="1:6" s="9" customFormat="1" x14ac:dyDescent="0.25">
      <c r="C2072" s="5">
        <v>4</v>
      </c>
      <c r="D2072" s="9" t="s">
        <v>254</v>
      </c>
      <c r="E2072" s="10">
        <v>150</v>
      </c>
      <c r="F2072" s="10">
        <f t="shared" si="33"/>
        <v>600</v>
      </c>
    </row>
    <row r="2073" spans="1:6" s="9" customFormat="1" x14ac:dyDescent="0.25">
      <c r="C2073" s="5">
        <v>3</v>
      </c>
      <c r="D2073" s="9" t="s">
        <v>8</v>
      </c>
      <c r="E2073" s="10">
        <v>170</v>
      </c>
      <c r="F2073" s="10">
        <f t="shared" si="33"/>
        <v>510</v>
      </c>
    </row>
    <row r="2074" spans="1:6" s="9" customFormat="1" x14ac:dyDescent="0.25">
      <c r="C2074" s="5"/>
      <c r="E2074" s="10"/>
      <c r="F2074" s="8">
        <f>SUM(F2071:F2073)</f>
        <v>1390</v>
      </c>
    </row>
    <row r="2075" spans="1:6" s="9" customFormat="1" x14ac:dyDescent="0.25">
      <c r="C2075" s="5"/>
      <c r="E2075" s="10"/>
      <c r="F2075" s="10"/>
    </row>
    <row r="2076" spans="1:6" s="9" customFormat="1" x14ac:dyDescent="0.25">
      <c r="A2076" s="9" t="s">
        <v>102</v>
      </c>
      <c r="B2076" s="4">
        <v>45747</v>
      </c>
      <c r="C2076" s="5">
        <v>5</v>
      </c>
      <c r="D2076" s="9" t="s">
        <v>13</v>
      </c>
      <c r="E2076" s="10">
        <v>155</v>
      </c>
      <c r="F2076" s="10">
        <f t="shared" si="33"/>
        <v>775</v>
      </c>
    </row>
    <row r="2077" spans="1:6" s="9" customFormat="1" x14ac:dyDescent="0.25">
      <c r="C2077" s="5"/>
      <c r="E2077" s="10"/>
      <c r="F2077" s="8">
        <f>SUM(F2076)</f>
        <v>775</v>
      </c>
    </row>
    <row r="2078" spans="1:6" s="9" customFormat="1" x14ac:dyDescent="0.25">
      <c r="C2078" s="5"/>
      <c r="E2078" s="10"/>
      <c r="F2078" s="10"/>
    </row>
    <row r="2079" spans="1:6" s="9" customFormat="1" x14ac:dyDescent="0.25">
      <c r="A2079" s="9" t="s">
        <v>89</v>
      </c>
      <c r="B2079" s="4">
        <v>45747</v>
      </c>
      <c r="C2079" s="5">
        <v>20</v>
      </c>
      <c r="D2079" s="9" t="s">
        <v>13</v>
      </c>
      <c r="E2079" s="10">
        <v>130</v>
      </c>
      <c r="F2079" s="10">
        <f t="shared" si="33"/>
        <v>2600</v>
      </c>
    </row>
    <row r="2080" spans="1:6" s="9" customFormat="1" x14ac:dyDescent="0.25">
      <c r="C2080" s="5">
        <v>30</v>
      </c>
      <c r="D2080" s="9" t="s">
        <v>12</v>
      </c>
      <c r="E2080" s="10">
        <v>115</v>
      </c>
      <c r="F2080" s="10">
        <f t="shared" si="33"/>
        <v>3450</v>
      </c>
    </row>
    <row r="2081" spans="1:6" s="9" customFormat="1" x14ac:dyDescent="0.25">
      <c r="C2081" s="5">
        <v>15</v>
      </c>
      <c r="D2081" s="9" t="s">
        <v>14</v>
      </c>
      <c r="E2081" s="10">
        <v>125</v>
      </c>
      <c r="F2081" s="10">
        <f t="shared" si="33"/>
        <v>1875</v>
      </c>
    </row>
    <row r="2082" spans="1:6" s="9" customFormat="1" x14ac:dyDescent="0.25">
      <c r="C2082" s="5"/>
      <c r="E2082" s="10"/>
      <c r="F2082" s="8">
        <f>SUM(F2079:F2081)</f>
        <v>7925</v>
      </c>
    </row>
    <row r="2083" spans="1:6" s="9" customFormat="1" x14ac:dyDescent="0.25">
      <c r="C2083" s="5"/>
      <c r="E2083" s="10"/>
      <c r="F2083" s="10"/>
    </row>
    <row r="2084" spans="1:6" s="9" customFormat="1" x14ac:dyDescent="0.25">
      <c r="A2084" s="9" t="s">
        <v>26</v>
      </c>
      <c r="B2084" s="4">
        <v>45747</v>
      </c>
      <c r="C2084" s="5">
        <v>60</v>
      </c>
      <c r="D2084" s="9" t="s">
        <v>13</v>
      </c>
      <c r="E2084" s="10">
        <v>140</v>
      </c>
      <c r="F2084" s="10">
        <f t="shared" si="33"/>
        <v>8400</v>
      </c>
    </row>
    <row r="2085" spans="1:6" s="9" customFormat="1" x14ac:dyDescent="0.25">
      <c r="C2085" s="5">
        <v>30</v>
      </c>
      <c r="D2085" s="9" t="s">
        <v>14</v>
      </c>
      <c r="E2085" s="10">
        <v>130</v>
      </c>
      <c r="F2085" s="10">
        <f t="shared" si="33"/>
        <v>3900</v>
      </c>
    </row>
    <row r="2086" spans="1:6" s="9" customFormat="1" x14ac:dyDescent="0.25">
      <c r="C2086" s="5"/>
      <c r="E2086" s="10"/>
      <c r="F2086" s="8">
        <f>SUM(F2084:F2085)</f>
        <v>12300</v>
      </c>
    </row>
    <row r="2087" spans="1:6" s="9" customFormat="1" x14ac:dyDescent="0.25">
      <c r="C2087" s="5"/>
      <c r="E2087" s="10"/>
      <c r="F2087" s="10"/>
    </row>
    <row r="2088" spans="1:6" s="9" customFormat="1" x14ac:dyDescent="0.25">
      <c r="A2088" s="9" t="s">
        <v>117</v>
      </c>
      <c r="B2088" s="4">
        <v>45747</v>
      </c>
      <c r="C2088" s="5">
        <v>5</v>
      </c>
      <c r="D2088" s="9" t="s">
        <v>13</v>
      </c>
      <c r="E2088" s="10">
        <v>155</v>
      </c>
      <c r="F2088" s="10">
        <f t="shared" si="33"/>
        <v>775</v>
      </c>
    </row>
    <row r="2089" spans="1:6" s="9" customFormat="1" x14ac:dyDescent="0.25">
      <c r="C2089" s="5"/>
      <c r="E2089" s="10"/>
      <c r="F2089" s="8">
        <f>SUM(F2088)</f>
        <v>775</v>
      </c>
    </row>
    <row r="2090" spans="1:6" s="9" customFormat="1" x14ac:dyDescent="0.25">
      <c r="C2090" s="5"/>
      <c r="E2090" s="10"/>
      <c r="F2090" s="10"/>
    </row>
    <row r="2091" spans="1:6" s="9" customFormat="1" x14ac:dyDescent="0.25">
      <c r="A2091" s="9" t="s">
        <v>7</v>
      </c>
      <c r="B2091" s="4">
        <v>45747</v>
      </c>
      <c r="C2091" s="5">
        <v>6</v>
      </c>
      <c r="D2091" s="9" t="s">
        <v>13</v>
      </c>
      <c r="E2091" s="10">
        <v>150</v>
      </c>
      <c r="F2091" s="10">
        <f t="shared" si="33"/>
        <v>900</v>
      </c>
    </row>
    <row r="2092" spans="1:6" s="9" customFormat="1" x14ac:dyDescent="0.25">
      <c r="C2092" s="5"/>
      <c r="E2092" s="10"/>
      <c r="F2092" s="8">
        <f>SUM(F2091)</f>
        <v>900</v>
      </c>
    </row>
    <row r="2093" spans="1:6" s="9" customFormat="1" x14ac:dyDescent="0.25">
      <c r="C2093" s="5"/>
      <c r="E2093" s="10"/>
      <c r="F2093" s="10"/>
    </row>
    <row r="2094" spans="1:6" s="9" customFormat="1" x14ac:dyDescent="0.25">
      <c r="A2094" s="9" t="s">
        <v>127</v>
      </c>
      <c r="B2094" s="4">
        <v>45747</v>
      </c>
      <c r="C2094" s="5">
        <v>30</v>
      </c>
      <c r="D2094" s="9" t="s">
        <v>13</v>
      </c>
      <c r="E2094" s="10">
        <v>140</v>
      </c>
      <c r="F2094" s="10">
        <f t="shared" si="33"/>
        <v>4200</v>
      </c>
    </row>
    <row r="2095" spans="1:6" s="9" customFormat="1" x14ac:dyDescent="0.25">
      <c r="C2095" s="5"/>
      <c r="E2095" s="10"/>
      <c r="F2095" s="8">
        <f>SUM(F2094)</f>
        <v>4200</v>
      </c>
    </row>
    <row r="2096" spans="1:6" s="9" customFormat="1" x14ac:dyDescent="0.25">
      <c r="C2096" s="5"/>
      <c r="E2096" s="10"/>
      <c r="F2096" s="10"/>
    </row>
    <row r="2097" spans="1:6" s="9" customFormat="1" x14ac:dyDescent="0.25">
      <c r="A2097" s="9" t="s">
        <v>61</v>
      </c>
      <c r="B2097" s="4">
        <v>45747</v>
      </c>
      <c r="C2097" s="5">
        <v>100</v>
      </c>
      <c r="D2097" s="9" t="s">
        <v>13</v>
      </c>
      <c r="E2097" s="10">
        <v>140</v>
      </c>
      <c r="F2097" s="10">
        <f t="shared" si="33"/>
        <v>14000</v>
      </c>
    </row>
    <row r="2098" spans="1:6" s="9" customFormat="1" x14ac:dyDescent="0.25">
      <c r="C2098" s="5">
        <v>4</v>
      </c>
      <c r="D2098" s="9" t="s">
        <v>318</v>
      </c>
      <c r="E2098" s="10">
        <v>0</v>
      </c>
      <c r="F2098" s="10">
        <f t="shared" si="33"/>
        <v>0</v>
      </c>
    </row>
    <row r="2099" spans="1:6" s="9" customFormat="1" x14ac:dyDescent="0.25">
      <c r="C2099" s="5"/>
      <c r="E2099" s="10"/>
      <c r="F2099" s="8">
        <f>SUM(F2097:F2098)</f>
        <v>14000</v>
      </c>
    </row>
    <row r="2100" spans="1:6" s="9" customFormat="1" x14ac:dyDescent="0.25">
      <c r="C2100" s="5"/>
      <c r="E2100" s="10"/>
      <c r="F2100" s="10"/>
    </row>
    <row r="2101" spans="1:6" s="9" customFormat="1" x14ac:dyDescent="0.25">
      <c r="A2101" s="9" t="s">
        <v>58</v>
      </c>
      <c r="B2101" s="4">
        <v>45747</v>
      </c>
      <c r="C2101" s="5">
        <v>5</v>
      </c>
      <c r="D2101" s="9" t="s">
        <v>13</v>
      </c>
      <c r="E2101" s="10">
        <v>140</v>
      </c>
      <c r="F2101" s="10">
        <f t="shared" si="33"/>
        <v>700</v>
      </c>
    </row>
    <row r="2102" spans="1:6" s="9" customFormat="1" x14ac:dyDescent="0.25">
      <c r="C2102" s="5"/>
      <c r="E2102" s="10"/>
      <c r="F2102" s="8">
        <f>SUM(F2101)</f>
        <v>700</v>
      </c>
    </row>
    <row r="2103" spans="1:6" s="9" customFormat="1" x14ac:dyDescent="0.25">
      <c r="C2103" s="5"/>
      <c r="E2103" s="10"/>
      <c r="F2103" s="10"/>
    </row>
    <row r="2104" spans="1:6" s="9" customFormat="1" x14ac:dyDescent="0.25">
      <c r="A2104" s="9" t="s">
        <v>271</v>
      </c>
      <c r="B2104" s="4">
        <v>45747</v>
      </c>
      <c r="C2104" s="5">
        <v>54</v>
      </c>
      <c r="D2104" s="9" t="s">
        <v>98</v>
      </c>
      <c r="E2104" s="10">
        <v>85</v>
      </c>
      <c r="F2104" s="10">
        <f t="shared" si="33"/>
        <v>4590</v>
      </c>
    </row>
    <row r="2105" spans="1:6" s="9" customFormat="1" x14ac:dyDescent="0.25">
      <c r="C2105" s="5"/>
      <c r="E2105" s="10"/>
      <c r="F2105" s="8">
        <f>SUM(F2104)</f>
        <v>4590</v>
      </c>
    </row>
    <row r="2106" spans="1:6" s="9" customFormat="1" x14ac:dyDescent="0.25">
      <c r="C2106" s="5"/>
      <c r="E2106" s="10"/>
      <c r="F2106" s="10"/>
    </row>
    <row r="2107" spans="1:6" s="9" customFormat="1" x14ac:dyDescent="0.25">
      <c r="A2107" s="9" t="s">
        <v>79</v>
      </c>
      <c r="B2107" s="4">
        <v>45747</v>
      </c>
      <c r="C2107" s="5">
        <v>20</v>
      </c>
      <c r="D2107" s="9" t="s">
        <v>13</v>
      </c>
      <c r="E2107" s="10">
        <v>140</v>
      </c>
      <c r="F2107" s="10">
        <f t="shared" si="33"/>
        <v>2800</v>
      </c>
    </row>
    <row r="2108" spans="1:6" s="9" customFormat="1" x14ac:dyDescent="0.25">
      <c r="C2108" s="5"/>
      <c r="E2108" s="10"/>
      <c r="F2108" s="8">
        <f>SUM(F2107)</f>
        <v>2800</v>
      </c>
    </row>
    <row r="2109" spans="1:6" s="9" customFormat="1" x14ac:dyDescent="0.25">
      <c r="C2109" s="5"/>
      <c r="E2109" s="10"/>
      <c r="F2109" s="10"/>
    </row>
    <row r="2110" spans="1:6" s="9" customFormat="1" x14ac:dyDescent="0.25">
      <c r="A2110" s="9" t="s">
        <v>40</v>
      </c>
      <c r="B2110" s="4">
        <v>45747</v>
      </c>
      <c r="C2110" s="5">
        <v>22</v>
      </c>
      <c r="D2110" s="9" t="s">
        <v>8</v>
      </c>
      <c r="E2110" s="10">
        <v>150</v>
      </c>
      <c r="F2110" s="10">
        <f t="shared" si="33"/>
        <v>3300</v>
      </c>
    </row>
    <row r="2111" spans="1:6" s="9" customFormat="1" x14ac:dyDescent="0.25">
      <c r="C2111" s="5">
        <v>12</v>
      </c>
      <c r="D2111" s="9" t="s">
        <v>14</v>
      </c>
      <c r="E2111" s="10">
        <v>125</v>
      </c>
      <c r="F2111" s="10">
        <f t="shared" si="33"/>
        <v>1500</v>
      </c>
    </row>
    <row r="2112" spans="1:6" s="9" customFormat="1" x14ac:dyDescent="0.25">
      <c r="C2112" s="5">
        <v>10</v>
      </c>
      <c r="D2112" s="9" t="s">
        <v>375</v>
      </c>
      <c r="E2112" s="10">
        <v>115</v>
      </c>
      <c r="F2112" s="10">
        <f t="shared" si="33"/>
        <v>1150</v>
      </c>
    </row>
    <row r="2113" spans="1:6" s="9" customFormat="1" x14ac:dyDescent="0.25">
      <c r="C2113" s="5">
        <v>15</v>
      </c>
      <c r="D2113" s="9" t="s">
        <v>12</v>
      </c>
      <c r="E2113" s="10">
        <v>115</v>
      </c>
      <c r="F2113" s="10">
        <f t="shared" si="33"/>
        <v>1725</v>
      </c>
    </row>
    <row r="2114" spans="1:6" s="9" customFormat="1" x14ac:dyDescent="0.25">
      <c r="C2114" s="5">
        <v>15</v>
      </c>
      <c r="D2114" s="9" t="s">
        <v>22</v>
      </c>
      <c r="E2114" s="10">
        <v>100</v>
      </c>
      <c r="F2114" s="10">
        <f t="shared" si="33"/>
        <v>1500</v>
      </c>
    </row>
    <row r="2115" spans="1:6" s="9" customFormat="1" x14ac:dyDescent="0.25">
      <c r="C2115" s="5"/>
      <c r="E2115" s="10"/>
      <c r="F2115" s="8">
        <f>SUM(F2110:F2114)</f>
        <v>9175</v>
      </c>
    </row>
    <row r="2116" spans="1:6" s="9" customFormat="1" x14ac:dyDescent="0.25">
      <c r="C2116" s="5"/>
      <c r="E2116" s="10"/>
      <c r="F2116" s="10"/>
    </row>
    <row r="2117" spans="1:6" s="9" customFormat="1" x14ac:dyDescent="0.25">
      <c r="A2117" s="9" t="s">
        <v>20</v>
      </c>
      <c r="B2117" s="4">
        <v>45747</v>
      </c>
      <c r="C2117" s="5">
        <v>30</v>
      </c>
      <c r="D2117" s="9" t="s">
        <v>13</v>
      </c>
      <c r="E2117" s="10">
        <v>135</v>
      </c>
      <c r="F2117" s="10">
        <f t="shared" si="33"/>
        <v>4050</v>
      </c>
    </row>
    <row r="2118" spans="1:6" s="9" customFormat="1" x14ac:dyDescent="0.25">
      <c r="C2118" s="5"/>
      <c r="E2118" s="10"/>
      <c r="F2118" s="8">
        <f>SUM(F2117)</f>
        <v>4050</v>
      </c>
    </row>
    <row r="2119" spans="1:6" s="9" customFormat="1" x14ac:dyDescent="0.25">
      <c r="C2119" s="5"/>
      <c r="E2119" s="10"/>
      <c r="F2119" s="10"/>
    </row>
    <row r="2120" spans="1:6" s="9" customFormat="1" x14ac:dyDescent="0.25">
      <c r="A2120" s="9" t="s">
        <v>148</v>
      </c>
      <c r="B2120" s="4">
        <v>45747</v>
      </c>
      <c r="C2120" s="5">
        <v>10</v>
      </c>
      <c r="D2120" s="9" t="s">
        <v>376</v>
      </c>
      <c r="E2120" s="10">
        <v>135</v>
      </c>
      <c r="F2120" s="10">
        <f t="shared" si="33"/>
        <v>1350</v>
      </c>
    </row>
    <row r="2121" spans="1:6" s="9" customFormat="1" x14ac:dyDescent="0.25">
      <c r="C2121" s="5">
        <v>10</v>
      </c>
      <c r="D2121" s="9" t="s">
        <v>377</v>
      </c>
      <c r="E2121" s="10">
        <v>125</v>
      </c>
      <c r="F2121" s="10">
        <f t="shared" si="33"/>
        <v>1250</v>
      </c>
    </row>
    <row r="2122" spans="1:6" s="9" customFormat="1" x14ac:dyDescent="0.25">
      <c r="C2122" s="5"/>
      <c r="E2122" s="10"/>
      <c r="F2122" s="8">
        <f>SUM(F2120:F2121)</f>
        <v>2600</v>
      </c>
    </row>
    <row r="2123" spans="1:6" s="9" customFormat="1" x14ac:dyDescent="0.25">
      <c r="C2123" s="5"/>
      <c r="E2123" s="10"/>
      <c r="F2123" s="10"/>
    </row>
    <row r="2124" spans="1:6" s="9" customFormat="1" x14ac:dyDescent="0.25">
      <c r="A2124" s="9" t="s">
        <v>21</v>
      </c>
      <c r="B2124" s="4">
        <v>45747</v>
      </c>
      <c r="C2124" s="5">
        <v>10</v>
      </c>
      <c r="D2124" s="9" t="s">
        <v>378</v>
      </c>
      <c r="E2124" s="10">
        <v>100</v>
      </c>
      <c r="F2124" s="10">
        <f t="shared" si="33"/>
        <v>1000</v>
      </c>
    </row>
    <row r="2125" spans="1:6" s="9" customFormat="1" x14ac:dyDescent="0.25">
      <c r="C2125" s="5">
        <v>10</v>
      </c>
      <c r="D2125" s="9" t="s">
        <v>12</v>
      </c>
      <c r="E2125" s="10">
        <v>120</v>
      </c>
      <c r="F2125" s="10">
        <f t="shared" si="33"/>
        <v>1200</v>
      </c>
    </row>
    <row r="2126" spans="1:6" s="9" customFormat="1" x14ac:dyDescent="0.25">
      <c r="C2126" s="5">
        <v>10</v>
      </c>
      <c r="D2126" s="9" t="s">
        <v>13</v>
      </c>
      <c r="E2126" s="10">
        <v>135</v>
      </c>
      <c r="F2126" s="10">
        <f t="shared" si="33"/>
        <v>1350</v>
      </c>
    </row>
    <row r="2127" spans="1:6" s="9" customFormat="1" x14ac:dyDescent="0.25">
      <c r="C2127" s="5"/>
      <c r="E2127" s="10"/>
      <c r="F2127" s="8">
        <f>SUM(F2124:F2126)</f>
        <v>3550</v>
      </c>
    </row>
    <row r="2128" spans="1:6" s="9" customFormat="1" x14ac:dyDescent="0.25">
      <c r="C2128" s="5"/>
      <c r="E2128" s="10"/>
      <c r="F2128" s="10"/>
    </row>
    <row r="2129" spans="1:6" s="9" customFormat="1" x14ac:dyDescent="0.25">
      <c r="A2129" s="9" t="s">
        <v>18</v>
      </c>
      <c r="B2129" s="4">
        <v>45747</v>
      </c>
      <c r="C2129" s="5">
        <v>9</v>
      </c>
      <c r="D2129" s="9" t="s">
        <v>379</v>
      </c>
      <c r="E2129" s="10">
        <v>140</v>
      </c>
      <c r="F2129" s="10">
        <f t="shared" si="33"/>
        <v>1260</v>
      </c>
    </row>
    <row r="2130" spans="1:6" s="9" customFormat="1" x14ac:dyDescent="0.25">
      <c r="C2130" s="5"/>
      <c r="E2130" s="10"/>
      <c r="F2130" s="8">
        <f>SUM(F2129)</f>
        <v>1260</v>
      </c>
    </row>
    <row r="2131" spans="1:6" s="9" customFormat="1" x14ac:dyDescent="0.25">
      <c r="C2131" s="5"/>
      <c r="E2131" s="10"/>
      <c r="F2131" s="10"/>
    </row>
    <row r="2132" spans="1:6" s="9" customFormat="1" x14ac:dyDescent="0.25">
      <c r="A2132" s="9" t="s">
        <v>44</v>
      </c>
      <c r="B2132" s="4">
        <v>45747</v>
      </c>
      <c r="C2132" s="5">
        <v>11</v>
      </c>
      <c r="D2132" s="9" t="s">
        <v>380</v>
      </c>
      <c r="E2132" s="10">
        <v>140</v>
      </c>
      <c r="F2132" s="10">
        <f t="shared" ref="F2132:F2173" si="34">+C2132*E2132</f>
        <v>1540</v>
      </c>
    </row>
    <row r="2133" spans="1:6" s="9" customFormat="1" x14ac:dyDescent="0.25">
      <c r="C2133" s="5"/>
      <c r="E2133" s="10"/>
      <c r="F2133" s="8">
        <f>SUM(F2132)</f>
        <v>1540</v>
      </c>
    </row>
    <row r="2134" spans="1:6" s="9" customFormat="1" x14ac:dyDescent="0.25">
      <c r="C2134" s="5"/>
      <c r="E2134" s="10"/>
      <c r="F2134" s="10"/>
    </row>
    <row r="2135" spans="1:6" s="9" customFormat="1" x14ac:dyDescent="0.25">
      <c r="A2135" s="9" t="s">
        <v>381</v>
      </c>
      <c r="B2135" s="4">
        <v>45747</v>
      </c>
      <c r="C2135" s="5">
        <v>20</v>
      </c>
      <c r="D2135" s="9" t="s">
        <v>49</v>
      </c>
      <c r="E2135" s="10">
        <v>135</v>
      </c>
      <c r="F2135" s="10">
        <f t="shared" si="34"/>
        <v>2700</v>
      </c>
    </row>
    <row r="2136" spans="1:6" s="9" customFormat="1" x14ac:dyDescent="0.25">
      <c r="C2136" s="5">
        <v>10</v>
      </c>
      <c r="D2136" s="9" t="s">
        <v>14</v>
      </c>
      <c r="E2136" s="10">
        <v>125</v>
      </c>
      <c r="F2136" s="10">
        <f t="shared" si="34"/>
        <v>1250</v>
      </c>
    </row>
    <row r="2137" spans="1:6" s="9" customFormat="1" x14ac:dyDescent="0.25">
      <c r="C2137" s="5">
        <v>10</v>
      </c>
      <c r="D2137" s="9" t="s">
        <v>13</v>
      </c>
      <c r="E2137" s="10">
        <v>140</v>
      </c>
      <c r="F2137" s="10">
        <f t="shared" si="34"/>
        <v>1400</v>
      </c>
    </row>
    <row r="2138" spans="1:6" s="9" customFormat="1" x14ac:dyDescent="0.25">
      <c r="C2138" s="5"/>
      <c r="E2138" s="10"/>
      <c r="F2138" s="8">
        <f>SUM(F2135:F2137)</f>
        <v>5350</v>
      </c>
    </row>
    <row r="2139" spans="1:6" s="9" customFormat="1" x14ac:dyDescent="0.25">
      <c r="C2139" s="5"/>
      <c r="E2139" s="10"/>
      <c r="F2139" s="10"/>
    </row>
    <row r="2140" spans="1:6" s="9" customFormat="1" x14ac:dyDescent="0.25">
      <c r="A2140" s="9" t="s">
        <v>18</v>
      </c>
      <c r="B2140" s="4">
        <v>45747</v>
      </c>
      <c r="C2140" s="5">
        <v>10</v>
      </c>
      <c r="D2140" s="9" t="s">
        <v>14</v>
      </c>
      <c r="E2140" s="10">
        <v>125</v>
      </c>
      <c r="F2140" s="10">
        <f t="shared" si="34"/>
        <v>1250</v>
      </c>
    </row>
    <row r="2141" spans="1:6" s="9" customFormat="1" x14ac:dyDescent="0.25">
      <c r="C2141" s="5"/>
      <c r="E2141" s="10"/>
      <c r="F2141" s="8">
        <f>SUM(F2140)</f>
        <v>1250</v>
      </c>
    </row>
    <row r="2142" spans="1:6" s="9" customFormat="1" x14ac:dyDescent="0.25">
      <c r="C2142" s="5"/>
      <c r="E2142" s="10"/>
      <c r="F2142" s="10"/>
    </row>
    <row r="2143" spans="1:6" s="9" customFormat="1" x14ac:dyDescent="0.25">
      <c r="A2143" s="9" t="s">
        <v>41</v>
      </c>
      <c r="B2143" s="4">
        <v>45747</v>
      </c>
      <c r="C2143" s="5">
        <v>30</v>
      </c>
      <c r="D2143" s="9" t="s">
        <v>14</v>
      </c>
      <c r="E2143" s="10">
        <v>125</v>
      </c>
      <c r="F2143" s="10">
        <f t="shared" si="34"/>
        <v>3750</v>
      </c>
    </row>
    <row r="2144" spans="1:6" s="9" customFormat="1" x14ac:dyDescent="0.25">
      <c r="C2144" s="5"/>
      <c r="E2144" s="10"/>
      <c r="F2144" s="8">
        <f>SUM(F2143)</f>
        <v>3750</v>
      </c>
    </row>
    <row r="2145" spans="1:6" s="9" customFormat="1" x14ac:dyDescent="0.25">
      <c r="C2145" s="5"/>
      <c r="E2145" s="10"/>
      <c r="F2145" s="10"/>
    </row>
    <row r="2146" spans="1:6" s="9" customFormat="1" x14ac:dyDescent="0.25">
      <c r="A2146" s="9" t="s">
        <v>382</v>
      </c>
      <c r="B2146" s="4">
        <v>45747</v>
      </c>
      <c r="C2146" s="5">
        <v>10</v>
      </c>
      <c r="D2146" s="9" t="s">
        <v>14</v>
      </c>
      <c r="E2146" s="10">
        <v>125</v>
      </c>
      <c r="F2146" s="10">
        <f t="shared" si="34"/>
        <v>1250</v>
      </c>
    </row>
    <row r="2147" spans="1:6" s="9" customFormat="1" x14ac:dyDescent="0.25">
      <c r="B2147" s="4"/>
      <c r="C2147" s="5"/>
      <c r="E2147" s="10"/>
      <c r="F2147" s="8">
        <f>SUM(F2146)</f>
        <v>1250</v>
      </c>
    </row>
    <row r="2148" spans="1:6" s="9" customFormat="1" x14ac:dyDescent="0.25">
      <c r="B2148" s="4"/>
      <c r="C2148" s="5"/>
      <c r="E2148" s="10"/>
      <c r="F2148" s="10"/>
    </row>
    <row r="2149" spans="1:6" s="9" customFormat="1" x14ac:dyDescent="0.25">
      <c r="A2149" s="9" t="s">
        <v>383</v>
      </c>
      <c r="B2149" s="4">
        <v>45747</v>
      </c>
      <c r="C2149" s="5">
        <v>20</v>
      </c>
      <c r="D2149" s="9" t="s">
        <v>14</v>
      </c>
      <c r="E2149" s="10">
        <v>125</v>
      </c>
      <c r="F2149" s="10">
        <f t="shared" si="34"/>
        <v>2500</v>
      </c>
    </row>
    <row r="2150" spans="1:6" s="9" customFormat="1" x14ac:dyDescent="0.25">
      <c r="B2150" s="4"/>
      <c r="C2150" s="5"/>
      <c r="E2150" s="10"/>
      <c r="F2150" s="8">
        <f>SUM(F2149)</f>
        <v>2500</v>
      </c>
    </row>
    <row r="2151" spans="1:6" s="9" customFormat="1" x14ac:dyDescent="0.25">
      <c r="B2151" s="4"/>
      <c r="C2151" s="5"/>
      <c r="E2151" s="10"/>
      <c r="F2151" s="10"/>
    </row>
    <row r="2152" spans="1:6" s="9" customFormat="1" x14ac:dyDescent="0.25">
      <c r="A2152" s="9" t="s">
        <v>251</v>
      </c>
      <c r="B2152" s="4">
        <v>45747</v>
      </c>
      <c r="C2152" s="5">
        <v>30</v>
      </c>
      <c r="D2152" s="9" t="s">
        <v>12</v>
      </c>
      <c r="E2152" s="10">
        <v>130</v>
      </c>
      <c r="F2152" s="10">
        <f t="shared" si="34"/>
        <v>3900</v>
      </c>
    </row>
    <row r="2153" spans="1:6" s="9" customFormat="1" x14ac:dyDescent="0.25">
      <c r="B2153" s="4"/>
      <c r="C2153" s="5">
        <v>20</v>
      </c>
      <c r="D2153" s="9" t="s">
        <v>384</v>
      </c>
      <c r="E2153" s="10">
        <v>125</v>
      </c>
      <c r="F2153" s="10">
        <f t="shared" si="34"/>
        <v>2500</v>
      </c>
    </row>
    <row r="2154" spans="1:6" s="9" customFormat="1" x14ac:dyDescent="0.25">
      <c r="B2154" s="4"/>
      <c r="C2154" s="5"/>
      <c r="E2154" s="10"/>
      <c r="F2154" s="8">
        <f>SUM(F2152:F2153)</f>
        <v>6400</v>
      </c>
    </row>
    <row r="2155" spans="1:6" s="9" customFormat="1" x14ac:dyDescent="0.25">
      <c r="B2155" s="4"/>
      <c r="C2155" s="5"/>
      <c r="E2155" s="10"/>
      <c r="F2155" s="10"/>
    </row>
    <row r="2156" spans="1:6" s="9" customFormat="1" x14ac:dyDescent="0.25">
      <c r="A2156" s="9" t="s">
        <v>44</v>
      </c>
      <c r="B2156" s="4">
        <v>45747</v>
      </c>
      <c r="C2156" s="5">
        <v>70</v>
      </c>
      <c r="D2156" s="9" t="s">
        <v>14</v>
      </c>
      <c r="E2156" s="10">
        <v>125</v>
      </c>
      <c r="F2156" s="10">
        <f t="shared" si="34"/>
        <v>8750</v>
      </c>
    </row>
    <row r="2157" spans="1:6" s="9" customFormat="1" x14ac:dyDescent="0.25">
      <c r="B2157" s="4"/>
      <c r="C2157" s="5"/>
      <c r="E2157" s="10"/>
      <c r="F2157" s="8">
        <f>SUM(F2156)</f>
        <v>8750</v>
      </c>
    </row>
    <row r="2158" spans="1:6" s="9" customFormat="1" x14ac:dyDescent="0.25">
      <c r="B2158" s="4"/>
      <c r="C2158" s="5"/>
      <c r="E2158" s="10"/>
      <c r="F2158" s="10"/>
    </row>
    <row r="2159" spans="1:6" s="9" customFormat="1" x14ac:dyDescent="0.25">
      <c r="A2159" s="9" t="s">
        <v>385</v>
      </c>
      <c r="B2159" s="4">
        <v>45747</v>
      </c>
      <c r="C2159" s="5">
        <v>10</v>
      </c>
      <c r="D2159" s="9" t="s">
        <v>13</v>
      </c>
      <c r="E2159" s="10">
        <v>150</v>
      </c>
      <c r="F2159" s="10">
        <f t="shared" si="34"/>
        <v>1500</v>
      </c>
    </row>
    <row r="2160" spans="1:6" s="9" customFormat="1" x14ac:dyDescent="0.25">
      <c r="B2160" s="4"/>
      <c r="C2160" s="5"/>
      <c r="E2160" s="10"/>
      <c r="F2160" s="8">
        <f>SUM(F2159)</f>
        <v>1500</v>
      </c>
    </row>
    <row r="2161" spans="1:7" s="9" customFormat="1" x14ac:dyDescent="0.25">
      <c r="B2161" s="4"/>
      <c r="C2161" s="5"/>
      <c r="E2161" s="10"/>
      <c r="F2161" s="10"/>
    </row>
    <row r="2162" spans="1:7" s="9" customFormat="1" x14ac:dyDescent="0.25">
      <c r="A2162" s="9" t="s">
        <v>29</v>
      </c>
      <c r="B2162" s="4">
        <v>45747</v>
      </c>
      <c r="C2162" s="5">
        <v>8</v>
      </c>
      <c r="D2162" s="9" t="s">
        <v>12</v>
      </c>
      <c r="E2162" s="10">
        <v>140</v>
      </c>
      <c r="F2162" s="10">
        <f t="shared" si="34"/>
        <v>1120</v>
      </c>
    </row>
    <row r="2163" spans="1:7" s="9" customFormat="1" x14ac:dyDescent="0.25">
      <c r="B2163" s="4"/>
      <c r="C2163" s="5">
        <v>2</v>
      </c>
      <c r="D2163" s="9" t="s">
        <v>22</v>
      </c>
      <c r="E2163" s="10">
        <v>120</v>
      </c>
      <c r="F2163" s="10">
        <f t="shared" si="34"/>
        <v>240</v>
      </c>
    </row>
    <row r="2164" spans="1:7" s="9" customFormat="1" x14ac:dyDescent="0.25">
      <c r="B2164" s="4"/>
      <c r="C2164" s="11">
        <v>0.5</v>
      </c>
      <c r="D2164" s="9" t="s">
        <v>8</v>
      </c>
      <c r="E2164" s="10">
        <v>170</v>
      </c>
      <c r="F2164" s="10">
        <f t="shared" si="34"/>
        <v>85</v>
      </c>
    </row>
    <row r="2165" spans="1:7" s="9" customFormat="1" x14ac:dyDescent="0.25">
      <c r="B2165" s="4"/>
      <c r="C2165" s="5">
        <v>1</v>
      </c>
      <c r="D2165" s="9" t="s">
        <v>12</v>
      </c>
      <c r="E2165" s="10">
        <v>150</v>
      </c>
      <c r="F2165" s="10">
        <f t="shared" si="34"/>
        <v>150</v>
      </c>
    </row>
    <row r="2166" spans="1:7" s="9" customFormat="1" x14ac:dyDescent="0.25">
      <c r="B2166" s="4"/>
      <c r="C2166" s="5">
        <v>1</v>
      </c>
      <c r="D2166" s="9" t="s">
        <v>13</v>
      </c>
      <c r="E2166" s="10">
        <v>160</v>
      </c>
      <c r="F2166" s="10">
        <f t="shared" si="34"/>
        <v>160</v>
      </c>
    </row>
    <row r="2167" spans="1:7" s="9" customFormat="1" x14ac:dyDescent="0.25">
      <c r="B2167" s="4"/>
      <c r="C2167" s="5"/>
      <c r="E2167" s="10"/>
      <c r="F2167" s="8">
        <f>SUM(F2162:F2166)</f>
        <v>1755</v>
      </c>
    </row>
    <row r="2168" spans="1:7" s="9" customFormat="1" x14ac:dyDescent="0.25">
      <c r="B2168" s="4"/>
      <c r="C2168" s="5"/>
      <c r="E2168" s="10"/>
      <c r="F2168" s="10"/>
    </row>
    <row r="2169" spans="1:7" s="9" customFormat="1" x14ac:dyDescent="0.25">
      <c r="A2169" s="9" t="s">
        <v>7</v>
      </c>
      <c r="B2169" s="4">
        <v>45747</v>
      </c>
      <c r="C2169" s="11">
        <v>0.5</v>
      </c>
      <c r="D2169" s="9" t="s">
        <v>78</v>
      </c>
      <c r="E2169" s="10">
        <v>100</v>
      </c>
      <c r="F2169" s="10">
        <f t="shared" si="34"/>
        <v>50</v>
      </c>
    </row>
    <row r="2170" spans="1:7" s="9" customFormat="1" x14ac:dyDescent="0.25">
      <c r="B2170" s="4"/>
      <c r="C2170" s="5">
        <v>1</v>
      </c>
      <c r="D2170" s="9" t="s">
        <v>12</v>
      </c>
      <c r="E2170" s="10">
        <v>150</v>
      </c>
      <c r="F2170" s="10">
        <f t="shared" si="34"/>
        <v>150</v>
      </c>
    </row>
    <row r="2171" spans="1:7" s="9" customFormat="1" x14ac:dyDescent="0.25">
      <c r="B2171" s="4"/>
      <c r="C2171" s="5">
        <v>1</v>
      </c>
      <c r="D2171" s="9" t="s">
        <v>303</v>
      </c>
      <c r="E2171" s="10">
        <v>150</v>
      </c>
      <c r="F2171" s="10">
        <f t="shared" si="34"/>
        <v>150</v>
      </c>
    </row>
    <row r="2172" spans="1:7" s="9" customFormat="1" x14ac:dyDescent="0.25">
      <c r="B2172" s="4"/>
      <c r="C2172" s="5">
        <v>2</v>
      </c>
      <c r="D2172" s="9" t="s">
        <v>13</v>
      </c>
      <c r="E2172" s="10">
        <v>160</v>
      </c>
      <c r="F2172" s="10">
        <f t="shared" si="34"/>
        <v>320</v>
      </c>
    </row>
    <row r="2173" spans="1:7" s="9" customFormat="1" x14ac:dyDescent="0.25">
      <c r="B2173" s="4"/>
      <c r="C2173" s="5">
        <v>3</v>
      </c>
      <c r="D2173" s="9" t="s">
        <v>8</v>
      </c>
      <c r="E2173" s="10">
        <v>170</v>
      </c>
      <c r="F2173" s="10">
        <f t="shared" si="34"/>
        <v>510</v>
      </c>
    </row>
    <row r="2174" spans="1:7" s="9" customFormat="1" x14ac:dyDescent="0.25">
      <c r="B2174" s="4"/>
      <c r="C2174" s="5"/>
      <c r="E2174" s="10"/>
      <c r="F2174" s="8">
        <f>SUM(F2169:F2173)</f>
        <v>1180</v>
      </c>
    </row>
    <row r="2175" spans="1:7" s="9" customFormat="1" x14ac:dyDescent="0.25">
      <c r="B2175" s="4"/>
      <c r="C2175" s="5"/>
      <c r="E2175" s="10"/>
      <c r="F2175" s="10"/>
    </row>
    <row r="2176" spans="1:7" ht="15.75" x14ac:dyDescent="0.25">
      <c r="A2176" s="9"/>
      <c r="B2176" s="9"/>
      <c r="D2176" s="9"/>
      <c r="F2176" s="7" t="s">
        <v>294</v>
      </c>
      <c r="G2176" s="7">
        <f>+F4+F7+F10+F15+F19+F23+F27+F30+F33+F36+F39+F44+F48+F51+F54+F57+F60+F67+F72+F77+F83+F88+F91+F94+F97+F100+F103+F106+F109+F112+F115+F119+F122+F126+F132+F135+F140+F143+F146+F149+F152+F155+F158+F161+F165+F168+F171+F178+F182+F185+F190+F194+F197+F200+F203+F206+F212+F217+F223+F227+F230+F233+F241+F248+F251+F254+F257+F261+F265+F270+F273+F276+F279+F282+F285+F288+F293+F297+F300+F305+F309+F312+F315+F318+F321+F324+F328+F332+F335+F339+F342+F347+F350+F355+F359+F365+F368+F371+F374+F379+F382+F385+F389+F393+F397+F403+F408+F411+F416+F420+F423+F426+F429+F432+F436+F439+F442+F445+F448+F451+F454+F460+F464+F467+F470+F474+F481+F484+F490+F494++F497+F500+F503+F507+F510+F513+F516+F521+F524+F527+F531+F534+F537+F540+F545+F548+F554+F558+F561+F566+F570+F576+F581+F585+F589+F592+F595+F599+F602+F605+F609+F613+F616+F621+F624+F628+F631+F634+F637+F640+F643+F646+F652+F655+F658+F661+F664+F667+F670+F673+F677+F681+F684+F687+F692+F695+F698+F701+F705+F708+F711+F715+F718+F721+F726+F729+F733+F738+F741+F745+F748+F751+F757+F761+F764+F769+F777+F780+F783+F786+F789+F794+F797+F800+F803+F806+F809+F813+F816+F819+F823+F828+F831+F837+F840+F844+F849+F852+F861+F864+F870+F873+F876+F879+F885+F888+F891+F894+F897+F900+F903+F906+F910+F913+F916+F921+F924+F929+F932+F935+F938+F941+F944+F947+F951+F954+F957+F960+F963+F967+F972+F979+F982+F986+F993+F996+F999+F1002+F1005+F1008+F1014+F1018+F1022+F1025+F1030+F1033+F1036+F1040+F1043+F1047+F1050+F1053+F1057+F1063+F1068+F1072+F1075+F1082+F1085+F1088+F1091+F1097+F1100+F1103+F1106+F1109+F1112+F1119+F1123+F1126+F1134+F1137+F1140+F1145+F1148+F1151+F1154+F1157+F1160+F1163+F1166+F1171+F1175+F1178+F1182+F1185+F1188+F1200+F1204+F1209+F1217+F1221+F1225+F1230+F1233+F1236+F1240+F1243+F1249+F1253+F1256+F1262+F1266+F1271+F1279+F1282+F1285+F1288+F1291+F1294+F1297+F1300+F1303+F1306+F1312+F1316+F1319+F1326+F1329+F1332+F1335+F1338+F1341+F1345+F1349+F1352+F1355+F1360+F1364+F1367+F1372+F1376+F1380+F1383+F1386+F1390+F1395+F1400+F1403+F1406+F1411+F1417+F1420+F1423+F1427+F1433+F1436+F1439+F1442+F1445+F1448+F1451+F1454+F1457+F1460+F1463+F1467+F1470+F1476+F1479+F1482+F1487+F1491+F1494+F1497+F1501+F1504+F1507+F1510+F1514+F1518+F1522+F1530+F1533+F1538+F1541+F1544+F1547+F1555+F1558+F1561+F1565+F1569+F1572+F1578+F1583+F1588+F1591+F1594+F1597+F1600+F1603+F1606+F1609+F1612+F1619+F1622+F1630+F1633+F1636+F1639+F1642+F1645+F1648+F1651+F1654+F1657+F1662+F1665+F1668+F1672+F1675+F1680+F1686+F1693+F1697+F1700+F1704+F1707+F1710+F1714+F1719+F1722+F1725+F1732+F1739+F1743+F1746+F1749+F1752+F1755+F1758+F1762+F1765+F1768+F1772+F1780+F1783+F1786+F1789+F1792+F1795+F1798+F1801+F1804+F1807+F1810+F1813+F1816+F1820+F1825+F1831+F1836+F1839+F1844+F1854+F1857+F1862+F1865+F1869+F1872+F1877+F1880+F1883+F1887+F1892+F1895+F1898+F1901+F1904+F1907+F1910+F1913+F1916+F1920+F1927+F1930+F1933+F1936+F1939+F1942+F1945+F1948+F1951+F1954+F1957+F1960+F1964+F1967+F1971+F1974+F1977+F1985+F1989+F1995+F1998+F2001+F2004+F2009+F2012+F2016+F2022+F2025+F2030+F2034+F2037+F2044+F2051+F2057+F2065+F2069+F2074+F2077+F2082+F2086+F2089+F2092+F2095+F2099+F2102+F2105+F2108+F2115+F2118+F2122+F2127+F2130+F2133+F2138+F2141+F2144+F2147+F2150+F2154+F2157+F2160+F2167+F2174</f>
        <v>5469487.7999499999</v>
      </c>
    </row>
    <row r="2177" spans="7:7" x14ac:dyDescent="0.25">
      <c r="G2177" s="10">
        <v>5469487.7999999998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DD89-7DEC-4E4C-B823-F892A9BCF437}">
  <dimension ref="A1:G1983"/>
  <sheetViews>
    <sheetView topLeftCell="A1961" workbookViewId="0">
      <selection activeCell="G1984" sqref="G1984"/>
    </sheetView>
  </sheetViews>
  <sheetFormatPr baseColWidth="10" defaultColWidth="11.42578125" defaultRowHeight="15" x14ac:dyDescent="0.25"/>
  <cols>
    <col min="1" max="1" width="22" bestFit="1" customWidth="1"/>
    <col min="3" max="3" width="11.42578125" style="5"/>
    <col min="4" max="4" width="42.42578125" bestFit="1" customWidth="1"/>
    <col min="5" max="5" width="18.140625" style="10" bestFit="1" customWidth="1"/>
    <col min="6" max="6" width="19.5703125" style="10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195</v>
      </c>
      <c r="B3" s="4">
        <v>45748</v>
      </c>
      <c r="C3" s="5">
        <v>200</v>
      </c>
      <c r="D3" s="9" t="s">
        <v>13</v>
      </c>
      <c r="E3" s="10">
        <v>135</v>
      </c>
      <c r="F3" s="10">
        <f>+C3*E3</f>
        <v>27000</v>
      </c>
    </row>
    <row r="4" spans="1:6" x14ac:dyDescent="0.25">
      <c r="A4" s="9"/>
      <c r="B4" s="9"/>
      <c r="C4" s="5">
        <v>170</v>
      </c>
      <c r="D4" s="9" t="s">
        <v>12</v>
      </c>
      <c r="E4" s="10">
        <v>125</v>
      </c>
      <c r="F4" s="10">
        <f t="shared" ref="F4:F68" si="0">+C4*E4</f>
        <v>21250</v>
      </c>
    </row>
    <row r="5" spans="1:6" x14ac:dyDescent="0.25">
      <c r="A5" s="9"/>
      <c r="B5" s="9"/>
      <c r="C5" s="5">
        <v>100</v>
      </c>
      <c r="D5" s="9" t="s">
        <v>11</v>
      </c>
      <c r="E5" s="10">
        <v>120</v>
      </c>
      <c r="F5" s="10">
        <f t="shared" si="0"/>
        <v>12000</v>
      </c>
    </row>
    <row r="6" spans="1:6" x14ac:dyDescent="0.25">
      <c r="A6" s="9"/>
      <c r="B6" s="9"/>
      <c r="C6" s="5">
        <v>100</v>
      </c>
      <c r="D6" s="9" t="s">
        <v>22</v>
      </c>
      <c r="E6" s="10">
        <v>100</v>
      </c>
      <c r="F6" s="10">
        <f t="shared" si="0"/>
        <v>10000</v>
      </c>
    </row>
    <row r="7" spans="1:6" x14ac:dyDescent="0.25">
      <c r="A7" s="9"/>
      <c r="B7" s="9"/>
      <c r="C7" s="5">
        <v>60</v>
      </c>
      <c r="D7" s="9" t="s">
        <v>49</v>
      </c>
      <c r="E7" s="10">
        <v>145</v>
      </c>
      <c r="F7" s="10">
        <f t="shared" si="0"/>
        <v>8700</v>
      </c>
    </row>
    <row r="8" spans="1:6" x14ac:dyDescent="0.25">
      <c r="A8" s="9"/>
      <c r="B8" s="9"/>
      <c r="C8" s="5">
        <v>50</v>
      </c>
      <c r="D8" s="9" t="s">
        <v>8</v>
      </c>
      <c r="E8" s="10">
        <v>150</v>
      </c>
      <c r="F8" s="10">
        <f t="shared" si="0"/>
        <v>7500</v>
      </c>
    </row>
    <row r="9" spans="1:6" x14ac:dyDescent="0.25">
      <c r="A9" s="9"/>
      <c r="B9" s="9"/>
      <c r="C9" s="5">
        <v>5</v>
      </c>
      <c r="D9" s="9" t="s">
        <v>22</v>
      </c>
      <c r="E9" s="10">
        <v>0</v>
      </c>
      <c r="F9" s="10">
        <f t="shared" si="0"/>
        <v>0</v>
      </c>
    </row>
    <row r="10" spans="1:6" x14ac:dyDescent="0.25">
      <c r="A10" s="9"/>
      <c r="B10" s="9"/>
      <c r="D10" s="9"/>
      <c r="F10" s="8">
        <f>SUM(F3:F9)</f>
        <v>86450</v>
      </c>
    </row>
    <row r="11" spans="1:6" x14ac:dyDescent="0.25">
      <c r="A11" s="9"/>
      <c r="B11" s="9"/>
      <c r="D11" s="9"/>
    </row>
    <row r="12" spans="1:6" x14ac:dyDescent="0.25">
      <c r="A12" s="9" t="s">
        <v>245</v>
      </c>
      <c r="B12" s="4">
        <v>45748</v>
      </c>
      <c r="C12" s="5">
        <v>20</v>
      </c>
      <c r="D12" s="9" t="s">
        <v>14</v>
      </c>
      <c r="E12" s="10">
        <v>130</v>
      </c>
      <c r="F12" s="10">
        <f t="shared" si="0"/>
        <v>2600</v>
      </c>
    </row>
    <row r="13" spans="1:6" x14ac:dyDescent="0.25">
      <c r="A13" s="9"/>
      <c r="B13" s="9"/>
      <c r="C13" s="5">
        <v>20</v>
      </c>
      <c r="D13" s="9" t="s">
        <v>13</v>
      </c>
      <c r="E13" s="10">
        <v>140</v>
      </c>
      <c r="F13" s="10">
        <f t="shared" si="0"/>
        <v>2800</v>
      </c>
    </row>
    <row r="14" spans="1:6" s="9" customFormat="1" x14ac:dyDescent="0.25">
      <c r="C14" s="5">
        <v>3.1</v>
      </c>
      <c r="D14" s="9" t="s">
        <v>318</v>
      </c>
      <c r="E14" s="10">
        <v>0</v>
      </c>
      <c r="F14" s="10"/>
    </row>
    <row r="15" spans="1:6" x14ac:dyDescent="0.25">
      <c r="A15" s="9"/>
      <c r="B15" s="9"/>
      <c r="D15" s="9"/>
      <c r="F15" s="8">
        <f>SUM(F12:F13)</f>
        <v>5400</v>
      </c>
    </row>
    <row r="16" spans="1:6" x14ac:dyDescent="0.25">
      <c r="A16" s="9"/>
      <c r="B16" s="9"/>
      <c r="D16" s="9"/>
    </row>
    <row r="17" spans="1:6" x14ac:dyDescent="0.25">
      <c r="A17" s="9" t="s">
        <v>181</v>
      </c>
      <c r="B17" s="4">
        <v>45748</v>
      </c>
      <c r="C17" s="5">
        <v>2</v>
      </c>
      <c r="D17" s="9" t="s">
        <v>8</v>
      </c>
      <c r="E17" s="10">
        <v>170</v>
      </c>
      <c r="F17" s="10">
        <f t="shared" si="0"/>
        <v>340</v>
      </c>
    </row>
    <row r="18" spans="1:6" x14ac:dyDescent="0.25">
      <c r="A18" s="9"/>
      <c r="B18" s="9"/>
      <c r="C18" s="5">
        <v>1</v>
      </c>
      <c r="D18" s="9" t="s">
        <v>8</v>
      </c>
      <c r="E18" s="10">
        <v>140</v>
      </c>
      <c r="F18" s="10">
        <f t="shared" si="0"/>
        <v>140</v>
      </c>
    </row>
    <row r="19" spans="1:6" x14ac:dyDescent="0.25">
      <c r="A19" s="9"/>
      <c r="B19" s="9"/>
      <c r="D19" s="9"/>
      <c r="F19" s="8">
        <f>SUM(F17:F18)</f>
        <v>480</v>
      </c>
    </row>
    <row r="20" spans="1:6" x14ac:dyDescent="0.25">
      <c r="A20" s="9"/>
      <c r="B20" s="9"/>
      <c r="D20" s="9"/>
    </row>
    <row r="21" spans="1:6" x14ac:dyDescent="0.25">
      <c r="A21" s="9" t="s">
        <v>386</v>
      </c>
      <c r="B21" s="4">
        <v>45749</v>
      </c>
      <c r="C21" s="5">
        <v>14</v>
      </c>
      <c r="D21" s="9" t="s">
        <v>98</v>
      </c>
      <c r="E21" s="10">
        <v>100</v>
      </c>
      <c r="F21" s="10">
        <f t="shared" si="0"/>
        <v>1400</v>
      </c>
    </row>
    <row r="22" spans="1:6" x14ac:dyDescent="0.25">
      <c r="A22" s="9"/>
      <c r="B22" s="9"/>
      <c r="D22" s="9"/>
      <c r="F22" s="8">
        <f>SUM(F21)</f>
        <v>1400</v>
      </c>
    </row>
    <row r="23" spans="1:6" x14ac:dyDescent="0.25">
      <c r="A23" s="9"/>
      <c r="B23" s="9"/>
      <c r="D23" s="9"/>
    </row>
    <row r="24" spans="1:6" x14ac:dyDescent="0.25">
      <c r="A24" s="9" t="s">
        <v>270</v>
      </c>
      <c r="B24" s="4">
        <v>45749</v>
      </c>
      <c r="C24" s="5">
        <v>14</v>
      </c>
      <c r="D24" s="9" t="s">
        <v>98</v>
      </c>
      <c r="E24" s="10">
        <v>100</v>
      </c>
      <c r="F24" s="10">
        <f t="shared" si="0"/>
        <v>1400</v>
      </c>
    </row>
    <row r="25" spans="1:6" x14ac:dyDescent="0.25">
      <c r="A25" s="9"/>
      <c r="B25" s="9"/>
      <c r="D25" s="9"/>
      <c r="F25" s="8">
        <f>SUM(F24)</f>
        <v>1400</v>
      </c>
    </row>
    <row r="26" spans="1:6" x14ac:dyDescent="0.25">
      <c r="A26" s="9"/>
      <c r="B26" s="9"/>
      <c r="D26" s="9"/>
    </row>
    <row r="27" spans="1:6" x14ac:dyDescent="0.25">
      <c r="A27" s="9" t="s">
        <v>15</v>
      </c>
      <c r="B27" s="4">
        <v>45749</v>
      </c>
      <c r="C27" s="5">
        <v>44</v>
      </c>
      <c r="D27" s="9" t="s">
        <v>98</v>
      </c>
      <c r="E27" s="10">
        <v>85</v>
      </c>
      <c r="F27" s="10">
        <f t="shared" si="0"/>
        <v>3740</v>
      </c>
    </row>
    <row r="28" spans="1:6" x14ac:dyDescent="0.25">
      <c r="A28" s="9"/>
      <c r="B28" s="9"/>
      <c r="D28" s="9"/>
      <c r="F28" s="8">
        <f>SUM(F27)</f>
        <v>3740</v>
      </c>
    </row>
    <row r="29" spans="1:6" x14ac:dyDescent="0.25">
      <c r="A29" s="9"/>
      <c r="B29" s="9"/>
      <c r="D29" s="9"/>
    </row>
    <row r="30" spans="1:6" x14ac:dyDescent="0.25">
      <c r="A30" s="9" t="s">
        <v>58</v>
      </c>
      <c r="B30" s="4">
        <v>45749</v>
      </c>
      <c r="C30" s="5">
        <v>10</v>
      </c>
      <c r="D30" s="9" t="s">
        <v>13</v>
      </c>
      <c r="E30" s="10">
        <v>140</v>
      </c>
      <c r="F30" s="10">
        <f t="shared" si="0"/>
        <v>1400</v>
      </c>
    </row>
    <row r="31" spans="1:6" x14ac:dyDescent="0.25">
      <c r="A31" s="9"/>
      <c r="B31" s="9"/>
      <c r="D31" s="9"/>
      <c r="F31" s="8">
        <f>SUM(F30)</f>
        <v>1400</v>
      </c>
    </row>
    <row r="32" spans="1:6" x14ac:dyDescent="0.25">
      <c r="A32" s="9"/>
      <c r="B32" s="9"/>
      <c r="D32" s="9"/>
    </row>
    <row r="33" spans="1:6" x14ac:dyDescent="0.25">
      <c r="A33" s="9" t="s">
        <v>20</v>
      </c>
      <c r="B33" s="4">
        <v>45749</v>
      </c>
      <c r="C33" s="5">
        <v>10</v>
      </c>
      <c r="D33" s="9" t="s">
        <v>13</v>
      </c>
      <c r="E33" s="10">
        <v>135</v>
      </c>
      <c r="F33" s="10">
        <f t="shared" si="0"/>
        <v>1350</v>
      </c>
    </row>
    <row r="34" spans="1:6" x14ac:dyDescent="0.25">
      <c r="A34" s="9"/>
      <c r="B34" s="9"/>
      <c r="D34" s="9"/>
      <c r="F34" s="8">
        <f>SUM(F33)</f>
        <v>1350</v>
      </c>
    </row>
    <row r="35" spans="1:6" x14ac:dyDescent="0.25">
      <c r="A35" s="9"/>
      <c r="B35" s="9"/>
      <c r="D35" s="9"/>
    </row>
    <row r="36" spans="1:6" x14ac:dyDescent="0.25">
      <c r="A36" s="9" t="s">
        <v>17</v>
      </c>
      <c r="B36" s="4">
        <v>45749</v>
      </c>
      <c r="C36" s="5">
        <v>7</v>
      </c>
      <c r="D36" s="9" t="s">
        <v>8</v>
      </c>
      <c r="E36" s="10">
        <v>150</v>
      </c>
      <c r="F36" s="10">
        <f t="shared" si="0"/>
        <v>1050</v>
      </c>
    </row>
    <row r="37" spans="1:6" x14ac:dyDescent="0.25">
      <c r="A37" s="9"/>
      <c r="B37" s="9"/>
      <c r="D37" s="9"/>
      <c r="F37" s="8">
        <f>SUM(F36)</f>
        <v>1050</v>
      </c>
    </row>
    <row r="38" spans="1:6" x14ac:dyDescent="0.25">
      <c r="A38" s="9"/>
      <c r="B38" s="9"/>
      <c r="D38" s="9"/>
    </row>
    <row r="39" spans="1:6" x14ac:dyDescent="0.25">
      <c r="A39" s="9" t="s">
        <v>157</v>
      </c>
      <c r="B39" s="4">
        <v>45749</v>
      </c>
      <c r="C39" s="5">
        <v>10</v>
      </c>
      <c r="D39" s="9" t="s">
        <v>8</v>
      </c>
      <c r="E39" s="10">
        <v>150</v>
      </c>
      <c r="F39" s="10">
        <f t="shared" si="0"/>
        <v>1500</v>
      </c>
    </row>
    <row r="40" spans="1:6" x14ac:dyDescent="0.25">
      <c r="A40" s="9"/>
      <c r="B40" s="9"/>
      <c r="D40" s="9"/>
      <c r="F40" s="8">
        <f>SUM(F39)</f>
        <v>1500</v>
      </c>
    </row>
    <row r="41" spans="1:6" x14ac:dyDescent="0.25">
      <c r="A41" s="9"/>
      <c r="B41" s="9"/>
      <c r="D41" s="9"/>
    </row>
    <row r="42" spans="1:6" x14ac:dyDescent="0.25">
      <c r="A42" s="9" t="s">
        <v>21</v>
      </c>
      <c r="B42" s="4">
        <v>45749</v>
      </c>
      <c r="C42" s="5">
        <v>10</v>
      </c>
      <c r="D42" s="9" t="s">
        <v>8</v>
      </c>
      <c r="E42" s="10">
        <v>150</v>
      </c>
      <c r="F42" s="10">
        <f t="shared" si="0"/>
        <v>1500</v>
      </c>
    </row>
    <row r="43" spans="1:6" x14ac:dyDescent="0.25">
      <c r="A43" s="9"/>
      <c r="B43" s="9"/>
      <c r="C43" s="5">
        <v>20</v>
      </c>
      <c r="D43" s="9" t="s">
        <v>12</v>
      </c>
      <c r="E43" s="10">
        <v>120</v>
      </c>
      <c r="F43" s="10">
        <f t="shared" si="0"/>
        <v>2400</v>
      </c>
    </row>
    <row r="44" spans="1:6" x14ac:dyDescent="0.25">
      <c r="A44" s="9"/>
      <c r="B44" s="9"/>
      <c r="C44" s="5">
        <v>20</v>
      </c>
      <c r="D44" s="9" t="s">
        <v>22</v>
      </c>
      <c r="E44" s="10">
        <v>100</v>
      </c>
      <c r="F44" s="10">
        <f t="shared" si="0"/>
        <v>2000</v>
      </c>
    </row>
    <row r="45" spans="1:6" x14ac:dyDescent="0.25">
      <c r="A45" s="9"/>
      <c r="B45" s="9"/>
      <c r="C45" s="5">
        <v>20</v>
      </c>
      <c r="D45" s="9" t="s">
        <v>13</v>
      </c>
      <c r="E45" s="10">
        <v>135</v>
      </c>
      <c r="F45" s="10">
        <f t="shared" si="0"/>
        <v>2700</v>
      </c>
    </row>
    <row r="46" spans="1:6" x14ac:dyDescent="0.25">
      <c r="A46" s="9"/>
      <c r="B46" s="9"/>
      <c r="D46" s="9"/>
      <c r="F46" s="8">
        <f>SUM(F42:F45)</f>
        <v>8600</v>
      </c>
    </row>
    <row r="47" spans="1:6" x14ac:dyDescent="0.25">
      <c r="A47" s="9"/>
      <c r="B47" s="9"/>
      <c r="D47" s="9"/>
    </row>
    <row r="48" spans="1:6" x14ac:dyDescent="0.25">
      <c r="A48" s="9" t="s">
        <v>57</v>
      </c>
      <c r="B48" s="4">
        <v>45749</v>
      </c>
      <c r="C48" s="5">
        <v>10</v>
      </c>
      <c r="D48" s="9" t="s">
        <v>13</v>
      </c>
      <c r="E48" s="10">
        <v>135</v>
      </c>
      <c r="F48" s="10">
        <f t="shared" si="0"/>
        <v>1350</v>
      </c>
    </row>
    <row r="49" spans="1:6" x14ac:dyDescent="0.25">
      <c r="A49" s="9"/>
      <c r="B49" s="9"/>
      <c r="C49" s="5">
        <v>10</v>
      </c>
      <c r="D49" s="9" t="s">
        <v>387</v>
      </c>
      <c r="E49" s="10">
        <v>125</v>
      </c>
      <c r="F49" s="10">
        <f t="shared" si="0"/>
        <v>1250</v>
      </c>
    </row>
    <row r="50" spans="1:6" x14ac:dyDescent="0.25">
      <c r="A50" s="9"/>
      <c r="B50" s="9"/>
      <c r="D50" s="9"/>
      <c r="F50" s="8">
        <f>SUM(F48:F49)</f>
        <v>2600</v>
      </c>
    </row>
    <row r="51" spans="1:6" x14ac:dyDescent="0.25">
      <c r="A51" s="9"/>
      <c r="B51" s="9"/>
      <c r="D51" s="9"/>
    </row>
    <row r="52" spans="1:6" x14ac:dyDescent="0.25">
      <c r="A52" s="9" t="s">
        <v>40</v>
      </c>
      <c r="B52" s="4">
        <v>45749</v>
      </c>
      <c r="C52" s="5">
        <v>20</v>
      </c>
      <c r="D52" s="9" t="s">
        <v>286</v>
      </c>
      <c r="E52" s="10">
        <v>150</v>
      </c>
      <c r="F52" s="10">
        <f t="shared" si="0"/>
        <v>3000</v>
      </c>
    </row>
    <row r="53" spans="1:6" x14ac:dyDescent="0.25">
      <c r="A53" s="9"/>
      <c r="B53" s="9"/>
      <c r="C53" s="5">
        <v>10</v>
      </c>
      <c r="D53" s="9" t="s">
        <v>388</v>
      </c>
      <c r="E53" s="10">
        <v>125</v>
      </c>
      <c r="F53" s="10">
        <f t="shared" si="0"/>
        <v>1250</v>
      </c>
    </row>
    <row r="54" spans="1:6" x14ac:dyDescent="0.25">
      <c r="A54" s="9"/>
      <c r="B54" s="9"/>
      <c r="C54" s="5">
        <v>10</v>
      </c>
      <c r="D54" s="9" t="s">
        <v>11</v>
      </c>
      <c r="E54" s="10">
        <v>115</v>
      </c>
      <c r="F54" s="10">
        <f t="shared" si="0"/>
        <v>1150</v>
      </c>
    </row>
    <row r="55" spans="1:6" x14ac:dyDescent="0.25">
      <c r="A55" s="9"/>
      <c r="B55" s="9"/>
      <c r="C55" s="5">
        <v>10</v>
      </c>
      <c r="D55" s="9" t="s">
        <v>22</v>
      </c>
      <c r="E55" s="10">
        <v>100</v>
      </c>
      <c r="F55" s="10">
        <f t="shared" si="0"/>
        <v>1000</v>
      </c>
    </row>
    <row r="56" spans="1:6" x14ac:dyDescent="0.25">
      <c r="A56" s="9"/>
      <c r="B56" s="9"/>
      <c r="C56" s="5">
        <v>5</v>
      </c>
      <c r="D56" s="9" t="s">
        <v>12</v>
      </c>
      <c r="E56" s="10">
        <v>115</v>
      </c>
      <c r="F56" s="10">
        <f t="shared" si="0"/>
        <v>575</v>
      </c>
    </row>
    <row r="57" spans="1:6" x14ac:dyDescent="0.25">
      <c r="A57" s="9"/>
      <c r="B57" s="9"/>
      <c r="D57" s="9"/>
      <c r="F57" s="8">
        <f>SUM(F52:F56)</f>
        <v>6975</v>
      </c>
    </row>
    <row r="58" spans="1:6" x14ac:dyDescent="0.25">
      <c r="A58" s="9"/>
      <c r="B58" s="9"/>
      <c r="D58" s="9"/>
    </row>
    <row r="59" spans="1:6" x14ac:dyDescent="0.25">
      <c r="A59" s="9" t="s">
        <v>38</v>
      </c>
      <c r="B59" s="4">
        <v>45749</v>
      </c>
      <c r="C59" s="5">
        <v>10</v>
      </c>
      <c r="D59" s="9" t="s">
        <v>13</v>
      </c>
      <c r="E59" s="10">
        <v>140</v>
      </c>
      <c r="F59" s="10">
        <f t="shared" si="0"/>
        <v>1400</v>
      </c>
    </row>
    <row r="60" spans="1:6" x14ac:dyDescent="0.25">
      <c r="A60" s="9"/>
      <c r="B60" s="9"/>
      <c r="D60" s="9"/>
      <c r="F60" s="8">
        <f>SUM(F59)</f>
        <v>1400</v>
      </c>
    </row>
    <row r="61" spans="1:6" x14ac:dyDescent="0.25">
      <c r="A61" s="9"/>
      <c r="B61" s="9"/>
      <c r="D61" s="9"/>
    </row>
    <row r="62" spans="1:6" x14ac:dyDescent="0.25">
      <c r="A62" s="9" t="s">
        <v>389</v>
      </c>
      <c r="B62" s="4">
        <v>45749</v>
      </c>
      <c r="C62" s="5">
        <v>2</v>
      </c>
      <c r="D62" s="9" t="s">
        <v>22</v>
      </c>
      <c r="E62" s="10">
        <v>100</v>
      </c>
      <c r="F62" s="10">
        <f t="shared" si="0"/>
        <v>200</v>
      </c>
    </row>
    <row r="63" spans="1:6" x14ac:dyDescent="0.25">
      <c r="A63" s="9"/>
      <c r="B63" s="9"/>
      <c r="D63" s="9"/>
      <c r="F63" s="8">
        <f>SUM(F62)</f>
        <v>200</v>
      </c>
    </row>
    <row r="64" spans="1:6" x14ac:dyDescent="0.25">
      <c r="A64" s="9"/>
      <c r="B64" s="9"/>
      <c r="D64" s="9"/>
    </row>
    <row r="65" spans="1:6" x14ac:dyDescent="0.25">
      <c r="A65" s="9" t="s">
        <v>43</v>
      </c>
      <c r="B65" s="4">
        <v>45749</v>
      </c>
      <c r="C65" s="5">
        <v>20</v>
      </c>
      <c r="D65" s="9" t="s">
        <v>49</v>
      </c>
      <c r="E65" s="10">
        <v>135</v>
      </c>
      <c r="F65" s="10">
        <f t="shared" si="0"/>
        <v>2700</v>
      </c>
    </row>
    <row r="66" spans="1:6" x14ac:dyDescent="0.25">
      <c r="A66" s="9"/>
      <c r="B66" s="9"/>
      <c r="D66" s="9"/>
      <c r="F66" s="8">
        <f>SUM(F65)</f>
        <v>2700</v>
      </c>
    </row>
    <row r="67" spans="1:6" x14ac:dyDescent="0.25">
      <c r="A67" s="9"/>
      <c r="B67" s="9"/>
      <c r="D67" s="9"/>
    </row>
    <row r="68" spans="1:6" x14ac:dyDescent="0.25">
      <c r="A68" s="9" t="s">
        <v>18</v>
      </c>
      <c r="B68" s="4">
        <v>45749</v>
      </c>
      <c r="C68" s="5">
        <v>20</v>
      </c>
      <c r="D68" s="9" t="s">
        <v>14</v>
      </c>
      <c r="E68" s="10">
        <v>125</v>
      </c>
      <c r="F68" s="10">
        <f t="shared" si="0"/>
        <v>2500</v>
      </c>
    </row>
    <row r="69" spans="1:6" x14ac:dyDescent="0.25">
      <c r="A69" s="9"/>
      <c r="B69" s="9"/>
      <c r="C69" s="5">
        <v>10</v>
      </c>
      <c r="D69" s="9" t="s">
        <v>12</v>
      </c>
      <c r="E69" s="10">
        <v>130</v>
      </c>
      <c r="F69" s="10">
        <f t="shared" ref="F69:F131" si="1">+C69*E69</f>
        <v>1300</v>
      </c>
    </row>
    <row r="70" spans="1:6" x14ac:dyDescent="0.25">
      <c r="A70" s="9"/>
      <c r="B70" s="9"/>
      <c r="C70" s="5">
        <v>10</v>
      </c>
      <c r="D70" s="9" t="s">
        <v>13</v>
      </c>
      <c r="E70" s="10">
        <v>140</v>
      </c>
      <c r="F70" s="10">
        <f t="shared" si="1"/>
        <v>1400</v>
      </c>
    </row>
    <row r="71" spans="1:6" x14ac:dyDescent="0.25">
      <c r="A71" s="9"/>
      <c r="B71" s="9"/>
      <c r="D71" s="9"/>
      <c r="F71" s="8">
        <f>SUM(F68:F70)</f>
        <v>5200</v>
      </c>
    </row>
    <row r="72" spans="1:6" x14ac:dyDescent="0.25">
      <c r="A72" s="9"/>
      <c r="B72" s="9"/>
      <c r="D72" s="9"/>
    </row>
    <row r="73" spans="1:6" x14ac:dyDescent="0.25">
      <c r="A73" s="9" t="s">
        <v>41</v>
      </c>
      <c r="B73" s="4">
        <v>45749</v>
      </c>
      <c r="C73" s="5">
        <v>30</v>
      </c>
      <c r="D73" s="9" t="s">
        <v>14</v>
      </c>
      <c r="E73" s="10">
        <v>130</v>
      </c>
      <c r="F73" s="10">
        <f t="shared" si="1"/>
        <v>3900</v>
      </c>
    </row>
    <row r="74" spans="1:6" x14ac:dyDescent="0.25">
      <c r="A74" s="9"/>
      <c r="B74" s="9"/>
      <c r="D74" s="9"/>
      <c r="F74" s="8">
        <f>SUM(F73)</f>
        <v>3900</v>
      </c>
    </row>
    <row r="75" spans="1:6" x14ac:dyDescent="0.25">
      <c r="A75" s="9"/>
      <c r="B75" s="9"/>
      <c r="D75" s="9"/>
    </row>
    <row r="76" spans="1:6" x14ac:dyDescent="0.25">
      <c r="A76" s="9" t="s">
        <v>107</v>
      </c>
      <c r="B76" s="4">
        <v>45749</v>
      </c>
      <c r="C76" s="5">
        <v>48</v>
      </c>
      <c r="D76" s="9" t="s">
        <v>14</v>
      </c>
      <c r="E76" s="10">
        <v>125</v>
      </c>
      <c r="F76" s="10">
        <f t="shared" si="1"/>
        <v>6000</v>
      </c>
    </row>
    <row r="77" spans="1:6" x14ac:dyDescent="0.25">
      <c r="A77" s="9"/>
      <c r="B77" s="9"/>
      <c r="D77" s="9"/>
      <c r="F77" s="8">
        <f>SUM(F76)</f>
        <v>6000</v>
      </c>
    </row>
    <row r="78" spans="1:6" x14ac:dyDescent="0.25">
      <c r="A78" s="9"/>
      <c r="B78" s="9"/>
      <c r="D78" s="9"/>
    </row>
    <row r="79" spans="1:6" x14ac:dyDescent="0.25">
      <c r="A79" s="9" t="s">
        <v>383</v>
      </c>
      <c r="B79" s="4">
        <v>45749</v>
      </c>
      <c r="C79" s="5">
        <v>20</v>
      </c>
      <c r="D79" s="9" t="s">
        <v>11</v>
      </c>
      <c r="E79" s="10">
        <v>120</v>
      </c>
      <c r="F79" s="10">
        <f t="shared" si="1"/>
        <v>2400</v>
      </c>
    </row>
    <row r="80" spans="1:6" x14ac:dyDescent="0.25">
      <c r="A80" s="9"/>
      <c r="B80" s="9"/>
      <c r="D80" s="9"/>
      <c r="F80" s="8">
        <f>SUM(F79)</f>
        <v>2400</v>
      </c>
    </row>
    <row r="81" spans="1:6" x14ac:dyDescent="0.25">
      <c r="A81" s="9"/>
      <c r="B81" s="9"/>
      <c r="D81" s="9"/>
    </row>
    <row r="82" spans="1:6" x14ac:dyDescent="0.25">
      <c r="A82" s="9" t="s">
        <v>44</v>
      </c>
      <c r="B82" s="4">
        <v>45749</v>
      </c>
      <c r="C82" s="5">
        <v>30</v>
      </c>
      <c r="D82" s="9" t="s">
        <v>390</v>
      </c>
      <c r="E82" s="10">
        <v>125</v>
      </c>
      <c r="F82" s="10">
        <f t="shared" si="1"/>
        <v>3750</v>
      </c>
    </row>
    <row r="83" spans="1:6" x14ac:dyDescent="0.25">
      <c r="A83" s="9"/>
      <c r="B83" s="9"/>
      <c r="D83" s="9"/>
      <c r="F83" s="8">
        <f>SUM(F82)</f>
        <v>3750</v>
      </c>
    </row>
    <row r="84" spans="1:6" x14ac:dyDescent="0.25">
      <c r="A84" s="9"/>
      <c r="B84" s="9"/>
      <c r="D84" s="9"/>
    </row>
    <row r="85" spans="1:6" x14ac:dyDescent="0.25">
      <c r="A85" s="9" t="s">
        <v>45</v>
      </c>
      <c r="B85" s="4">
        <v>45749</v>
      </c>
      <c r="C85" s="5">
        <v>1</v>
      </c>
      <c r="D85" s="9" t="s">
        <v>14</v>
      </c>
      <c r="E85" s="10">
        <v>125</v>
      </c>
      <c r="F85" s="10">
        <f t="shared" si="1"/>
        <v>125</v>
      </c>
    </row>
    <row r="86" spans="1:6" x14ac:dyDescent="0.25">
      <c r="A86" s="9"/>
      <c r="B86" s="9"/>
      <c r="D86" s="9"/>
      <c r="F86" s="8">
        <f>SUM(F85)</f>
        <v>125</v>
      </c>
    </row>
    <row r="87" spans="1:6" x14ac:dyDescent="0.25">
      <c r="A87" s="9"/>
      <c r="B87" s="9"/>
      <c r="D87" s="9"/>
    </row>
    <row r="88" spans="1:6" x14ac:dyDescent="0.25">
      <c r="A88" s="9" t="s">
        <v>72</v>
      </c>
      <c r="B88" s="4">
        <v>45749</v>
      </c>
      <c r="C88" s="5">
        <v>230</v>
      </c>
      <c r="D88" s="9" t="s">
        <v>13</v>
      </c>
      <c r="E88" s="10">
        <v>130</v>
      </c>
      <c r="F88" s="10">
        <f t="shared" si="1"/>
        <v>29900</v>
      </c>
    </row>
    <row r="89" spans="1:6" x14ac:dyDescent="0.25">
      <c r="A89" s="9"/>
      <c r="B89" s="9"/>
      <c r="C89" s="5">
        <v>120</v>
      </c>
      <c r="D89" s="9" t="s">
        <v>12</v>
      </c>
      <c r="E89" s="10">
        <v>120</v>
      </c>
      <c r="F89" s="10">
        <f t="shared" si="1"/>
        <v>14400</v>
      </c>
    </row>
    <row r="90" spans="1:6" x14ac:dyDescent="0.25">
      <c r="A90" s="9"/>
      <c r="B90" s="9"/>
      <c r="C90" s="5">
        <v>70</v>
      </c>
      <c r="D90" s="9" t="s">
        <v>11</v>
      </c>
      <c r="E90" s="10">
        <v>120</v>
      </c>
      <c r="F90" s="10">
        <f t="shared" si="1"/>
        <v>8400</v>
      </c>
    </row>
    <row r="91" spans="1:6" x14ac:dyDescent="0.25">
      <c r="A91" s="9"/>
      <c r="B91" s="9"/>
      <c r="C91" s="5">
        <v>30</v>
      </c>
      <c r="D91" s="9" t="s">
        <v>13</v>
      </c>
      <c r="E91" s="10">
        <v>125</v>
      </c>
      <c r="F91" s="10">
        <f t="shared" si="1"/>
        <v>3750</v>
      </c>
    </row>
    <row r="92" spans="1:6" x14ac:dyDescent="0.25">
      <c r="A92" s="9"/>
      <c r="B92" s="9"/>
      <c r="D92" s="9"/>
      <c r="F92" s="8">
        <f>SUM(F88:F91)</f>
        <v>56450</v>
      </c>
    </row>
    <row r="93" spans="1:6" x14ac:dyDescent="0.25">
      <c r="A93" s="9"/>
      <c r="B93" s="9"/>
      <c r="D93" s="9"/>
    </row>
    <row r="94" spans="1:6" x14ac:dyDescent="0.25">
      <c r="A94" s="9" t="s">
        <v>245</v>
      </c>
      <c r="B94" s="4">
        <v>45749</v>
      </c>
      <c r="C94" s="5">
        <v>60</v>
      </c>
      <c r="D94" s="9" t="s">
        <v>13</v>
      </c>
      <c r="E94" s="10">
        <v>140</v>
      </c>
      <c r="F94" s="10">
        <f t="shared" si="1"/>
        <v>8400</v>
      </c>
    </row>
    <row r="95" spans="1:6" x14ac:dyDescent="0.25">
      <c r="A95" s="9"/>
      <c r="B95" s="9"/>
      <c r="C95" s="5">
        <v>2.04</v>
      </c>
      <c r="D95" s="9" t="s">
        <v>318</v>
      </c>
      <c r="F95" s="10">
        <f t="shared" si="1"/>
        <v>0</v>
      </c>
    </row>
    <row r="96" spans="1:6" x14ac:dyDescent="0.25">
      <c r="A96" s="9"/>
      <c r="B96" s="9"/>
      <c r="D96" s="9"/>
      <c r="F96" s="8">
        <f>SUM(F94:F95)</f>
        <v>8400</v>
      </c>
    </row>
    <row r="97" spans="1:6" x14ac:dyDescent="0.25">
      <c r="A97" s="9"/>
      <c r="B97" s="9"/>
      <c r="D97" s="9"/>
    </row>
    <row r="98" spans="1:6" x14ac:dyDescent="0.25">
      <c r="A98" s="9" t="s">
        <v>391</v>
      </c>
      <c r="B98" s="4">
        <v>45749</v>
      </c>
      <c r="C98" s="5">
        <v>40</v>
      </c>
      <c r="D98" s="9" t="s">
        <v>392</v>
      </c>
      <c r="E98" s="10">
        <v>140</v>
      </c>
      <c r="F98" s="10">
        <f t="shared" si="1"/>
        <v>5600</v>
      </c>
    </row>
    <row r="99" spans="1:6" x14ac:dyDescent="0.25">
      <c r="A99" s="9"/>
      <c r="B99" s="9"/>
      <c r="D99" s="9"/>
      <c r="F99" s="8">
        <f>SUM(F98)</f>
        <v>5600</v>
      </c>
    </row>
    <row r="100" spans="1:6" x14ac:dyDescent="0.25">
      <c r="A100" s="9"/>
      <c r="B100" s="9"/>
      <c r="D100" s="9"/>
    </row>
    <row r="101" spans="1:6" x14ac:dyDescent="0.25">
      <c r="A101" s="9" t="s">
        <v>391</v>
      </c>
      <c r="B101" s="4">
        <v>45749</v>
      </c>
      <c r="C101" s="5">
        <v>10</v>
      </c>
      <c r="D101" s="9" t="s">
        <v>13</v>
      </c>
      <c r="E101" s="10">
        <v>140</v>
      </c>
      <c r="F101" s="10">
        <f t="shared" si="1"/>
        <v>1400</v>
      </c>
    </row>
    <row r="102" spans="1:6" x14ac:dyDescent="0.25">
      <c r="A102" s="9"/>
      <c r="B102" s="9"/>
      <c r="D102" s="9"/>
      <c r="F102" s="8">
        <f>SUM(F101)</f>
        <v>1400</v>
      </c>
    </row>
    <row r="103" spans="1:6" x14ac:dyDescent="0.25">
      <c r="A103" s="9"/>
      <c r="B103" s="9"/>
      <c r="D103" s="9"/>
    </row>
    <row r="104" spans="1:6" x14ac:dyDescent="0.25">
      <c r="A104" s="9" t="s">
        <v>76</v>
      </c>
      <c r="B104" s="4">
        <v>45749</v>
      </c>
      <c r="C104" s="5">
        <v>500</v>
      </c>
      <c r="D104" s="9" t="s">
        <v>14</v>
      </c>
      <c r="E104" s="10">
        <v>120</v>
      </c>
      <c r="F104" s="10">
        <f t="shared" si="1"/>
        <v>60000</v>
      </c>
    </row>
    <row r="105" spans="1:6" x14ac:dyDescent="0.25">
      <c r="A105" s="9"/>
      <c r="B105" s="9"/>
      <c r="C105" s="5">
        <v>320</v>
      </c>
      <c r="D105" s="9" t="s">
        <v>393</v>
      </c>
      <c r="E105" s="10">
        <v>130</v>
      </c>
      <c r="F105" s="10">
        <f t="shared" si="1"/>
        <v>41600</v>
      </c>
    </row>
    <row r="106" spans="1:6" x14ac:dyDescent="0.25">
      <c r="A106" s="9"/>
      <c r="B106" s="9"/>
      <c r="D106" s="9"/>
      <c r="F106" s="8">
        <f>SUM(F104:F105)</f>
        <v>101600</v>
      </c>
    </row>
    <row r="107" spans="1:6" x14ac:dyDescent="0.25">
      <c r="A107" s="9"/>
      <c r="B107" s="9"/>
      <c r="D107" s="9"/>
    </row>
    <row r="108" spans="1:6" x14ac:dyDescent="0.25">
      <c r="A108" s="9" t="s">
        <v>7</v>
      </c>
      <c r="B108" s="4">
        <v>45749</v>
      </c>
      <c r="C108" s="5">
        <v>2</v>
      </c>
      <c r="D108" s="9" t="s">
        <v>8</v>
      </c>
      <c r="E108" s="10">
        <v>140</v>
      </c>
      <c r="F108" s="10">
        <f t="shared" si="1"/>
        <v>280</v>
      </c>
    </row>
    <row r="109" spans="1:6" x14ac:dyDescent="0.25">
      <c r="A109" s="9"/>
      <c r="B109" s="9"/>
      <c r="D109" s="9"/>
      <c r="F109" s="8">
        <f>SUM(F108)</f>
        <v>280</v>
      </c>
    </row>
    <row r="110" spans="1:6" x14ac:dyDescent="0.25">
      <c r="A110" s="9"/>
      <c r="B110" s="9"/>
      <c r="D110" s="9"/>
    </row>
    <row r="111" spans="1:6" x14ac:dyDescent="0.25">
      <c r="A111" s="9" t="s">
        <v>61</v>
      </c>
      <c r="B111" s="4">
        <v>45750</v>
      </c>
      <c r="C111" s="5">
        <v>50</v>
      </c>
      <c r="D111" s="9" t="s">
        <v>13</v>
      </c>
      <c r="E111" s="10">
        <v>140</v>
      </c>
      <c r="F111" s="10">
        <f t="shared" si="1"/>
        <v>7000</v>
      </c>
    </row>
    <row r="112" spans="1:6" s="9" customFormat="1" x14ac:dyDescent="0.25">
      <c r="C112" s="5">
        <v>2</v>
      </c>
      <c r="D112" s="9" t="s">
        <v>318</v>
      </c>
      <c r="E112" s="10">
        <v>0</v>
      </c>
      <c r="F112" s="10">
        <f t="shared" si="1"/>
        <v>0</v>
      </c>
    </row>
    <row r="113" spans="1:6" s="9" customFormat="1" x14ac:dyDescent="0.25">
      <c r="C113" s="5"/>
      <c r="E113" s="10"/>
      <c r="F113" s="8">
        <f>SUM(F111:F112)</f>
        <v>7000</v>
      </c>
    </row>
    <row r="114" spans="1:6" s="9" customFormat="1" x14ac:dyDescent="0.25">
      <c r="C114" s="5"/>
      <c r="E114" s="10"/>
      <c r="F114" s="10"/>
    </row>
    <row r="115" spans="1:6" s="9" customFormat="1" x14ac:dyDescent="0.25">
      <c r="A115" s="9" t="s">
        <v>60</v>
      </c>
      <c r="B115" s="4">
        <v>45750</v>
      </c>
      <c r="C115" s="5">
        <v>30</v>
      </c>
      <c r="D115" s="9" t="s">
        <v>13</v>
      </c>
      <c r="E115" s="10">
        <v>140</v>
      </c>
      <c r="F115" s="10">
        <f t="shared" si="1"/>
        <v>4200</v>
      </c>
    </row>
    <row r="116" spans="1:6" s="9" customFormat="1" x14ac:dyDescent="0.25">
      <c r="C116" s="5"/>
      <c r="E116" s="10"/>
      <c r="F116" s="8">
        <f>SUM(F115)</f>
        <v>4200</v>
      </c>
    </row>
    <row r="117" spans="1:6" s="9" customFormat="1" x14ac:dyDescent="0.25">
      <c r="C117" s="5"/>
      <c r="E117" s="10"/>
      <c r="F117" s="10"/>
    </row>
    <row r="118" spans="1:6" s="9" customFormat="1" x14ac:dyDescent="0.25">
      <c r="A118" s="9" t="s">
        <v>89</v>
      </c>
      <c r="B118" s="4">
        <v>45750</v>
      </c>
      <c r="C118" s="5">
        <v>30</v>
      </c>
      <c r="D118" s="9" t="s">
        <v>13</v>
      </c>
      <c r="E118" s="10">
        <v>130</v>
      </c>
      <c r="F118" s="10">
        <f t="shared" si="1"/>
        <v>3900</v>
      </c>
    </row>
    <row r="119" spans="1:6" s="9" customFormat="1" x14ac:dyDescent="0.25">
      <c r="C119" s="5">
        <v>70</v>
      </c>
      <c r="D119" s="9" t="s">
        <v>12</v>
      </c>
      <c r="E119" s="10">
        <v>95</v>
      </c>
      <c r="F119" s="10">
        <f t="shared" si="1"/>
        <v>6650</v>
      </c>
    </row>
    <row r="120" spans="1:6" s="9" customFormat="1" x14ac:dyDescent="0.25">
      <c r="C120" s="5">
        <v>20</v>
      </c>
      <c r="D120" s="9" t="s">
        <v>14</v>
      </c>
      <c r="E120" s="10">
        <v>125</v>
      </c>
      <c r="F120" s="10">
        <f t="shared" si="1"/>
        <v>2500</v>
      </c>
    </row>
    <row r="121" spans="1:6" s="9" customFormat="1" x14ac:dyDescent="0.25">
      <c r="C121" s="5"/>
      <c r="E121" s="10"/>
      <c r="F121" s="8">
        <f>SUM(F118:F120)</f>
        <v>13050</v>
      </c>
    </row>
    <row r="122" spans="1:6" s="9" customFormat="1" x14ac:dyDescent="0.25">
      <c r="C122" s="5"/>
      <c r="E122" s="10"/>
      <c r="F122" s="10"/>
    </row>
    <row r="123" spans="1:6" s="9" customFormat="1" x14ac:dyDescent="0.25">
      <c r="A123" s="9" t="s">
        <v>191</v>
      </c>
      <c r="B123" s="4">
        <v>45750</v>
      </c>
      <c r="C123" s="5">
        <v>200</v>
      </c>
      <c r="D123" s="9" t="s">
        <v>13</v>
      </c>
      <c r="E123" s="10">
        <v>130</v>
      </c>
      <c r="F123" s="10">
        <f t="shared" si="1"/>
        <v>26000</v>
      </c>
    </row>
    <row r="124" spans="1:6" s="9" customFormat="1" x14ac:dyDescent="0.25">
      <c r="C124" s="5">
        <v>150</v>
      </c>
      <c r="D124" s="9" t="s">
        <v>394</v>
      </c>
      <c r="E124" s="10">
        <v>122</v>
      </c>
      <c r="F124" s="10">
        <f t="shared" si="1"/>
        <v>18300</v>
      </c>
    </row>
    <row r="125" spans="1:6" s="9" customFormat="1" x14ac:dyDescent="0.25">
      <c r="C125" s="5">
        <v>150</v>
      </c>
      <c r="D125" s="9" t="s">
        <v>11</v>
      </c>
      <c r="E125" s="10">
        <v>115</v>
      </c>
      <c r="F125" s="10">
        <f t="shared" si="1"/>
        <v>17250</v>
      </c>
    </row>
    <row r="126" spans="1:6" s="9" customFormat="1" x14ac:dyDescent="0.25">
      <c r="C126" s="5"/>
      <c r="E126" s="10"/>
      <c r="F126" s="8">
        <f>SUM(F123:F125)</f>
        <v>61550</v>
      </c>
    </row>
    <row r="127" spans="1:6" s="9" customFormat="1" x14ac:dyDescent="0.25">
      <c r="C127" s="5"/>
      <c r="E127" s="10"/>
      <c r="F127" s="10"/>
    </row>
    <row r="128" spans="1:6" s="9" customFormat="1" x14ac:dyDescent="0.25">
      <c r="A128" s="9" t="s">
        <v>116</v>
      </c>
      <c r="B128" s="4">
        <v>45750</v>
      </c>
      <c r="C128" s="5">
        <v>675</v>
      </c>
      <c r="D128" s="9" t="s">
        <v>14</v>
      </c>
      <c r="E128" s="10"/>
      <c r="F128" s="10">
        <f t="shared" si="1"/>
        <v>0</v>
      </c>
    </row>
    <row r="129" spans="1:6" s="9" customFormat="1" x14ac:dyDescent="0.25">
      <c r="C129" s="5"/>
      <c r="E129" s="10"/>
      <c r="F129" s="8">
        <f>SUM(F128)</f>
        <v>0</v>
      </c>
    </row>
    <row r="130" spans="1:6" s="9" customFormat="1" x14ac:dyDescent="0.25">
      <c r="C130" s="5"/>
      <c r="E130" s="10"/>
      <c r="F130" s="10"/>
    </row>
    <row r="131" spans="1:6" s="9" customFormat="1" x14ac:dyDescent="0.25">
      <c r="A131" s="9" t="s">
        <v>7</v>
      </c>
      <c r="B131" s="4">
        <v>45750</v>
      </c>
      <c r="C131" s="5">
        <v>22</v>
      </c>
      <c r="D131" s="9" t="s">
        <v>98</v>
      </c>
      <c r="E131" s="10">
        <v>100</v>
      </c>
      <c r="F131" s="10">
        <f t="shared" si="1"/>
        <v>2200</v>
      </c>
    </row>
    <row r="132" spans="1:6" s="9" customFormat="1" x14ac:dyDescent="0.25">
      <c r="C132" s="5"/>
      <c r="E132" s="10"/>
      <c r="F132" s="8">
        <f>SUM(F131)</f>
        <v>2200</v>
      </c>
    </row>
    <row r="133" spans="1:6" s="9" customFormat="1" x14ac:dyDescent="0.25">
      <c r="C133" s="5"/>
      <c r="E133" s="10"/>
      <c r="F133" s="10"/>
    </row>
    <row r="134" spans="1:6" s="9" customFormat="1" x14ac:dyDescent="0.25">
      <c r="A134" s="9" t="s">
        <v>29</v>
      </c>
      <c r="B134" s="4">
        <v>45750</v>
      </c>
      <c r="C134" s="5">
        <v>1</v>
      </c>
      <c r="D134" s="9" t="s">
        <v>395</v>
      </c>
      <c r="E134" s="10">
        <v>170</v>
      </c>
      <c r="F134" s="10">
        <f t="shared" ref="F134:F195" si="2">+C134*E134</f>
        <v>170</v>
      </c>
    </row>
    <row r="135" spans="1:6" s="9" customFormat="1" x14ac:dyDescent="0.25">
      <c r="C135" s="5">
        <v>2</v>
      </c>
      <c r="D135" s="9" t="s">
        <v>396</v>
      </c>
      <c r="E135" s="10">
        <v>140</v>
      </c>
      <c r="F135" s="10">
        <f t="shared" si="2"/>
        <v>280</v>
      </c>
    </row>
    <row r="136" spans="1:6" s="9" customFormat="1" x14ac:dyDescent="0.25">
      <c r="C136" s="5"/>
      <c r="E136" s="10"/>
      <c r="F136" s="8">
        <f>SUM(F134:F135)</f>
        <v>450</v>
      </c>
    </row>
    <row r="137" spans="1:6" s="9" customFormat="1" x14ac:dyDescent="0.25">
      <c r="C137" s="5"/>
      <c r="E137" s="10"/>
      <c r="F137" s="10"/>
    </row>
    <row r="138" spans="1:6" s="9" customFormat="1" x14ac:dyDescent="0.25">
      <c r="A138" s="9" t="s">
        <v>181</v>
      </c>
      <c r="B138" s="4">
        <v>45750</v>
      </c>
      <c r="C138" s="5">
        <v>3</v>
      </c>
      <c r="D138" s="9" t="s">
        <v>397</v>
      </c>
      <c r="E138" s="10">
        <v>150</v>
      </c>
      <c r="F138" s="10">
        <f t="shared" si="2"/>
        <v>450</v>
      </c>
    </row>
    <row r="139" spans="1:6" s="9" customFormat="1" x14ac:dyDescent="0.25">
      <c r="C139" s="5">
        <v>1</v>
      </c>
      <c r="D139" s="9" t="s">
        <v>8</v>
      </c>
      <c r="E139" s="10">
        <v>150</v>
      </c>
      <c r="F139" s="10">
        <f t="shared" si="2"/>
        <v>150</v>
      </c>
    </row>
    <row r="140" spans="1:6" s="9" customFormat="1" x14ac:dyDescent="0.25">
      <c r="C140" s="5">
        <v>1</v>
      </c>
      <c r="D140" s="9" t="s">
        <v>8</v>
      </c>
      <c r="E140" s="10">
        <v>160</v>
      </c>
      <c r="F140" s="10">
        <f t="shared" si="2"/>
        <v>160</v>
      </c>
    </row>
    <row r="141" spans="1:6" s="9" customFormat="1" x14ac:dyDescent="0.25">
      <c r="C141" s="5">
        <v>2</v>
      </c>
      <c r="D141" s="9" t="s">
        <v>13</v>
      </c>
      <c r="E141" s="10">
        <v>150</v>
      </c>
      <c r="F141" s="10">
        <f t="shared" si="2"/>
        <v>300</v>
      </c>
    </row>
    <row r="142" spans="1:6" s="9" customFormat="1" x14ac:dyDescent="0.25">
      <c r="C142" s="5"/>
      <c r="E142" s="10"/>
      <c r="F142" s="8">
        <f>SUM(F138:F141)</f>
        <v>1060</v>
      </c>
    </row>
    <row r="143" spans="1:6" s="9" customFormat="1" x14ac:dyDescent="0.25">
      <c r="C143" s="5"/>
      <c r="E143" s="10"/>
      <c r="F143" s="10"/>
    </row>
    <row r="144" spans="1:6" s="9" customFormat="1" x14ac:dyDescent="0.25">
      <c r="A144" s="9" t="s">
        <v>66</v>
      </c>
      <c r="B144" s="4">
        <v>45751</v>
      </c>
      <c r="C144" s="5">
        <v>20</v>
      </c>
      <c r="D144" s="9" t="s">
        <v>395</v>
      </c>
      <c r="E144" s="10">
        <v>155</v>
      </c>
      <c r="F144" s="10">
        <f t="shared" si="2"/>
        <v>3100</v>
      </c>
    </row>
    <row r="145" spans="1:6" s="9" customFormat="1" x14ac:dyDescent="0.25">
      <c r="C145" s="5"/>
      <c r="E145" s="10"/>
      <c r="F145" s="8">
        <f>SUM(F144)</f>
        <v>3100</v>
      </c>
    </row>
    <row r="146" spans="1:6" s="9" customFormat="1" x14ac:dyDescent="0.25">
      <c r="C146" s="5"/>
      <c r="E146" s="10"/>
      <c r="F146" s="10"/>
    </row>
    <row r="147" spans="1:6" s="9" customFormat="1" x14ac:dyDescent="0.25">
      <c r="A147" s="9" t="s">
        <v>319</v>
      </c>
      <c r="B147" s="4">
        <v>45751</v>
      </c>
      <c r="C147" s="5">
        <v>6</v>
      </c>
      <c r="D147" s="9" t="s">
        <v>8</v>
      </c>
      <c r="E147" s="10">
        <v>160</v>
      </c>
      <c r="F147" s="10">
        <f t="shared" si="2"/>
        <v>960</v>
      </c>
    </row>
    <row r="148" spans="1:6" s="9" customFormat="1" x14ac:dyDescent="0.25">
      <c r="C148" s="5"/>
      <c r="E148" s="10"/>
      <c r="F148" s="8">
        <f>SUM(F147)</f>
        <v>960</v>
      </c>
    </row>
    <row r="149" spans="1:6" s="9" customFormat="1" x14ac:dyDescent="0.25">
      <c r="C149" s="5"/>
      <c r="E149" s="10"/>
      <c r="F149" s="10"/>
    </row>
    <row r="150" spans="1:6" s="9" customFormat="1" x14ac:dyDescent="0.25">
      <c r="A150" s="9" t="s">
        <v>398</v>
      </c>
      <c r="B150" s="4">
        <v>45751</v>
      </c>
      <c r="C150" s="5">
        <v>8</v>
      </c>
      <c r="D150" s="9" t="s">
        <v>275</v>
      </c>
      <c r="E150" s="10">
        <v>100</v>
      </c>
      <c r="F150" s="10">
        <f t="shared" si="2"/>
        <v>800</v>
      </c>
    </row>
    <row r="151" spans="1:6" s="9" customFormat="1" x14ac:dyDescent="0.25">
      <c r="C151" s="5">
        <v>2</v>
      </c>
      <c r="D151" s="9" t="s">
        <v>399</v>
      </c>
      <c r="E151" s="10"/>
      <c r="F151" s="10">
        <f t="shared" si="2"/>
        <v>0</v>
      </c>
    </row>
    <row r="152" spans="1:6" s="9" customFormat="1" x14ac:dyDescent="0.25">
      <c r="C152" s="5"/>
      <c r="E152" s="10"/>
      <c r="F152" s="8">
        <f>SUM(F150:F151)</f>
        <v>800</v>
      </c>
    </row>
    <row r="153" spans="1:6" s="9" customFormat="1" x14ac:dyDescent="0.25">
      <c r="C153" s="5"/>
      <c r="E153" s="10"/>
      <c r="F153" s="10"/>
    </row>
    <row r="154" spans="1:6" s="9" customFormat="1" x14ac:dyDescent="0.25">
      <c r="A154" s="9" t="s">
        <v>15</v>
      </c>
      <c r="B154" s="4">
        <v>45751</v>
      </c>
      <c r="C154" s="5">
        <v>29</v>
      </c>
      <c r="D154" s="9" t="s">
        <v>275</v>
      </c>
      <c r="E154" s="10">
        <v>85</v>
      </c>
      <c r="F154" s="10">
        <f t="shared" si="2"/>
        <v>2465</v>
      </c>
    </row>
    <row r="155" spans="1:6" s="9" customFormat="1" x14ac:dyDescent="0.25">
      <c r="C155" s="5"/>
      <c r="E155" s="10"/>
      <c r="F155" s="8">
        <f>SUM(F154)</f>
        <v>2465</v>
      </c>
    </row>
    <row r="156" spans="1:6" s="9" customFormat="1" x14ac:dyDescent="0.25">
      <c r="C156" s="5"/>
      <c r="E156" s="10"/>
      <c r="F156" s="10"/>
    </row>
    <row r="157" spans="1:6" s="9" customFormat="1" x14ac:dyDescent="0.25">
      <c r="A157" s="9" t="s">
        <v>157</v>
      </c>
      <c r="B157" s="4">
        <v>45751</v>
      </c>
      <c r="C157" s="5">
        <v>10</v>
      </c>
      <c r="D157" s="9" t="s">
        <v>8</v>
      </c>
      <c r="E157" s="10">
        <v>150</v>
      </c>
      <c r="F157" s="10">
        <f t="shared" si="2"/>
        <v>1500</v>
      </c>
    </row>
    <row r="158" spans="1:6" s="9" customFormat="1" x14ac:dyDescent="0.25">
      <c r="C158" s="5"/>
      <c r="E158" s="10"/>
      <c r="F158" s="8">
        <f>SUM(F157)</f>
        <v>1500</v>
      </c>
    </row>
    <row r="159" spans="1:6" s="9" customFormat="1" x14ac:dyDescent="0.25">
      <c r="C159" s="5"/>
      <c r="E159" s="10"/>
      <c r="F159" s="10"/>
    </row>
    <row r="160" spans="1:6" s="9" customFormat="1" x14ac:dyDescent="0.25">
      <c r="A160" s="9" t="s">
        <v>17</v>
      </c>
      <c r="B160" s="4">
        <v>45751</v>
      </c>
      <c r="C160" s="5">
        <v>10</v>
      </c>
      <c r="D160" s="9" t="s">
        <v>8</v>
      </c>
      <c r="E160" s="10">
        <v>150</v>
      </c>
      <c r="F160" s="10">
        <f t="shared" si="2"/>
        <v>1500</v>
      </c>
    </row>
    <row r="161" spans="1:6" s="9" customFormat="1" x14ac:dyDescent="0.25">
      <c r="C161" s="5">
        <v>10</v>
      </c>
      <c r="D161" s="9" t="s">
        <v>13</v>
      </c>
      <c r="E161" s="10">
        <v>140</v>
      </c>
      <c r="F161" s="10">
        <f t="shared" si="2"/>
        <v>1400</v>
      </c>
    </row>
    <row r="162" spans="1:6" s="9" customFormat="1" x14ac:dyDescent="0.25">
      <c r="C162" s="5"/>
      <c r="E162" s="10"/>
      <c r="F162" s="8">
        <f>SUM(F160:F161)</f>
        <v>2900</v>
      </c>
    </row>
    <row r="163" spans="1:6" s="9" customFormat="1" x14ac:dyDescent="0.25">
      <c r="C163" s="5"/>
      <c r="E163" s="10"/>
      <c r="F163" s="10"/>
    </row>
    <row r="164" spans="1:6" s="9" customFormat="1" x14ac:dyDescent="0.25">
      <c r="A164" s="9" t="s">
        <v>18</v>
      </c>
      <c r="B164" s="4">
        <v>45751</v>
      </c>
      <c r="C164" s="5">
        <v>8</v>
      </c>
      <c r="D164" s="9" t="s">
        <v>13</v>
      </c>
      <c r="E164" s="10">
        <v>140</v>
      </c>
      <c r="F164" s="10">
        <f t="shared" si="2"/>
        <v>1120</v>
      </c>
    </row>
    <row r="165" spans="1:6" s="9" customFormat="1" x14ac:dyDescent="0.25">
      <c r="C165" s="5"/>
      <c r="E165" s="10"/>
      <c r="F165" s="8">
        <f>SUM(F164)</f>
        <v>1120</v>
      </c>
    </row>
    <row r="166" spans="1:6" s="9" customFormat="1" x14ac:dyDescent="0.25">
      <c r="C166" s="5"/>
      <c r="E166" s="10"/>
      <c r="F166" s="10"/>
    </row>
    <row r="167" spans="1:6" s="9" customFormat="1" x14ac:dyDescent="0.25">
      <c r="A167" s="9" t="s">
        <v>20</v>
      </c>
      <c r="B167" s="4">
        <v>45751</v>
      </c>
      <c r="C167" s="5">
        <v>20</v>
      </c>
      <c r="D167" s="9" t="s">
        <v>13</v>
      </c>
      <c r="E167" s="10">
        <v>135</v>
      </c>
      <c r="F167" s="10">
        <f t="shared" si="2"/>
        <v>2700</v>
      </c>
    </row>
    <row r="168" spans="1:6" s="9" customFormat="1" x14ac:dyDescent="0.25">
      <c r="C168" s="5"/>
      <c r="E168" s="10"/>
      <c r="F168" s="8">
        <f>SUM(F167)</f>
        <v>2700</v>
      </c>
    </row>
    <row r="169" spans="1:6" s="9" customFormat="1" x14ac:dyDescent="0.25">
      <c r="C169" s="5"/>
      <c r="E169" s="10"/>
      <c r="F169" s="10"/>
    </row>
    <row r="170" spans="1:6" s="9" customFormat="1" x14ac:dyDescent="0.25">
      <c r="A170" s="9" t="s">
        <v>400</v>
      </c>
      <c r="B170" s="4">
        <v>45751</v>
      </c>
      <c r="C170" s="5">
        <v>5</v>
      </c>
      <c r="D170" s="9" t="s">
        <v>98</v>
      </c>
      <c r="E170" s="10">
        <v>100</v>
      </c>
      <c r="F170" s="10">
        <f t="shared" si="2"/>
        <v>500</v>
      </c>
    </row>
    <row r="171" spans="1:6" s="9" customFormat="1" x14ac:dyDescent="0.25">
      <c r="C171" s="5"/>
      <c r="E171" s="10"/>
      <c r="F171" s="8">
        <f>SUM(F170)</f>
        <v>500</v>
      </c>
    </row>
    <row r="172" spans="1:6" s="9" customFormat="1" x14ac:dyDescent="0.25">
      <c r="C172" s="5"/>
      <c r="E172" s="10"/>
      <c r="F172" s="10"/>
    </row>
    <row r="173" spans="1:6" s="9" customFormat="1" x14ac:dyDescent="0.25">
      <c r="A173" s="9" t="s">
        <v>37</v>
      </c>
      <c r="B173" s="4">
        <v>45751</v>
      </c>
      <c r="C173" s="5">
        <v>20</v>
      </c>
      <c r="D173" s="9" t="s">
        <v>12</v>
      </c>
      <c r="E173" s="10">
        <v>130</v>
      </c>
      <c r="F173" s="10">
        <f t="shared" si="2"/>
        <v>2600</v>
      </c>
    </row>
    <row r="174" spans="1:6" s="9" customFormat="1" x14ac:dyDescent="0.25">
      <c r="C174" s="5"/>
      <c r="E174" s="10"/>
      <c r="F174" s="8">
        <f>SUM(F173)</f>
        <v>2600</v>
      </c>
    </row>
    <row r="175" spans="1:6" s="9" customFormat="1" x14ac:dyDescent="0.25">
      <c r="C175" s="5"/>
      <c r="E175" s="10"/>
      <c r="F175" s="10"/>
    </row>
    <row r="176" spans="1:6" s="9" customFormat="1" x14ac:dyDescent="0.25">
      <c r="A176" s="9" t="s">
        <v>40</v>
      </c>
      <c r="B176" s="4">
        <v>45751</v>
      </c>
      <c r="C176" s="5">
        <v>10</v>
      </c>
      <c r="D176" s="9" t="s">
        <v>8</v>
      </c>
      <c r="E176" s="10">
        <v>150</v>
      </c>
      <c r="F176" s="10">
        <f t="shared" si="2"/>
        <v>1500</v>
      </c>
    </row>
    <row r="177" spans="1:6" s="9" customFormat="1" x14ac:dyDescent="0.25">
      <c r="C177" s="5">
        <v>20</v>
      </c>
      <c r="D177" s="9" t="s">
        <v>14</v>
      </c>
      <c r="E177" s="10">
        <v>125</v>
      </c>
      <c r="F177" s="10">
        <f t="shared" si="2"/>
        <v>2500</v>
      </c>
    </row>
    <row r="178" spans="1:6" s="9" customFormat="1" x14ac:dyDescent="0.25">
      <c r="C178" s="5">
        <v>10</v>
      </c>
      <c r="D178" s="9" t="s">
        <v>13</v>
      </c>
      <c r="E178" s="10">
        <v>1354</v>
      </c>
      <c r="F178" s="10">
        <f t="shared" si="2"/>
        <v>13540</v>
      </c>
    </row>
    <row r="179" spans="1:6" s="9" customFormat="1" x14ac:dyDescent="0.25">
      <c r="C179" s="5">
        <v>4</v>
      </c>
      <c r="D179" s="9" t="s">
        <v>12</v>
      </c>
      <c r="E179" s="10">
        <v>115</v>
      </c>
      <c r="F179" s="10">
        <f t="shared" si="2"/>
        <v>460</v>
      </c>
    </row>
    <row r="180" spans="1:6" s="9" customFormat="1" x14ac:dyDescent="0.25">
      <c r="C180" s="5"/>
      <c r="E180" s="10"/>
      <c r="F180" s="8">
        <f>SUM(F176:F179)</f>
        <v>18000</v>
      </c>
    </row>
    <row r="181" spans="1:6" s="9" customFormat="1" x14ac:dyDescent="0.25">
      <c r="C181" s="5"/>
      <c r="E181" s="10"/>
      <c r="F181" s="10"/>
    </row>
    <row r="182" spans="1:6" s="9" customFormat="1" x14ac:dyDescent="0.25">
      <c r="A182" s="9" t="s">
        <v>58</v>
      </c>
      <c r="B182" s="4">
        <v>45751</v>
      </c>
      <c r="C182" s="5">
        <v>11</v>
      </c>
      <c r="D182" s="9" t="s">
        <v>401</v>
      </c>
      <c r="E182" s="10">
        <v>140</v>
      </c>
      <c r="F182" s="10">
        <f t="shared" si="2"/>
        <v>1540</v>
      </c>
    </row>
    <row r="183" spans="1:6" s="9" customFormat="1" x14ac:dyDescent="0.25">
      <c r="C183" s="5"/>
      <c r="E183" s="10"/>
      <c r="F183" s="8">
        <f>SUM(F182)</f>
        <v>1540</v>
      </c>
    </row>
    <row r="184" spans="1:6" s="9" customFormat="1" x14ac:dyDescent="0.25">
      <c r="C184" s="5"/>
      <c r="E184" s="10"/>
      <c r="F184" s="10"/>
    </row>
    <row r="185" spans="1:6" s="9" customFormat="1" x14ac:dyDescent="0.25">
      <c r="A185" s="9" t="s">
        <v>402</v>
      </c>
      <c r="B185" s="4">
        <v>45751</v>
      </c>
      <c r="C185" s="5">
        <v>2</v>
      </c>
      <c r="D185" s="9" t="s">
        <v>13</v>
      </c>
      <c r="E185" s="10">
        <v>145</v>
      </c>
      <c r="F185" s="10">
        <f t="shared" si="2"/>
        <v>290</v>
      </c>
    </row>
    <row r="186" spans="1:6" s="9" customFormat="1" x14ac:dyDescent="0.25">
      <c r="C186" s="5"/>
      <c r="E186" s="10"/>
      <c r="F186" s="8">
        <f>SUM(F185)</f>
        <v>290</v>
      </c>
    </row>
    <row r="187" spans="1:6" s="9" customFormat="1" x14ac:dyDescent="0.25">
      <c r="C187" s="5"/>
      <c r="E187" s="10"/>
      <c r="F187" s="10"/>
    </row>
    <row r="188" spans="1:6" s="9" customFormat="1" x14ac:dyDescent="0.25">
      <c r="A188" s="9" t="s">
        <v>43</v>
      </c>
      <c r="B188" s="4">
        <v>45751</v>
      </c>
      <c r="C188" s="5">
        <v>30</v>
      </c>
      <c r="D188" s="9" t="s">
        <v>49</v>
      </c>
      <c r="E188" s="10">
        <v>135</v>
      </c>
      <c r="F188" s="10">
        <f t="shared" si="2"/>
        <v>4050</v>
      </c>
    </row>
    <row r="189" spans="1:6" s="9" customFormat="1" x14ac:dyDescent="0.25">
      <c r="C189" s="5">
        <v>10</v>
      </c>
      <c r="D189" s="9" t="s">
        <v>403</v>
      </c>
      <c r="E189" s="10">
        <v>140</v>
      </c>
      <c r="F189" s="10">
        <f t="shared" si="2"/>
        <v>1400</v>
      </c>
    </row>
    <row r="190" spans="1:6" s="9" customFormat="1" x14ac:dyDescent="0.25">
      <c r="C190" s="5"/>
      <c r="E190" s="10"/>
      <c r="F190" s="8">
        <f>SUM(F188:F189)</f>
        <v>5450</v>
      </c>
    </row>
    <row r="191" spans="1:6" s="9" customFormat="1" x14ac:dyDescent="0.25">
      <c r="C191" s="5"/>
      <c r="E191" s="10"/>
      <c r="F191" s="10"/>
    </row>
    <row r="192" spans="1:6" s="9" customFormat="1" x14ac:dyDescent="0.25">
      <c r="A192" s="9" t="s">
        <v>383</v>
      </c>
      <c r="B192" s="4">
        <v>45751</v>
      </c>
      <c r="C192" s="5">
        <v>20</v>
      </c>
      <c r="D192" s="9" t="s">
        <v>14</v>
      </c>
      <c r="E192" s="10">
        <v>125</v>
      </c>
      <c r="F192" s="10">
        <f t="shared" si="2"/>
        <v>2500</v>
      </c>
    </row>
    <row r="193" spans="1:6" s="9" customFormat="1" x14ac:dyDescent="0.25">
      <c r="C193" s="5"/>
      <c r="E193" s="10"/>
      <c r="F193" s="8">
        <f>SUM(F192)</f>
        <v>2500</v>
      </c>
    </row>
    <row r="194" spans="1:6" s="9" customFormat="1" x14ac:dyDescent="0.25">
      <c r="C194" s="5"/>
      <c r="E194" s="10"/>
      <c r="F194" s="10"/>
    </row>
    <row r="195" spans="1:6" s="9" customFormat="1" x14ac:dyDescent="0.25">
      <c r="A195" s="9" t="s">
        <v>404</v>
      </c>
      <c r="B195" s="4">
        <v>45751</v>
      </c>
      <c r="C195" s="5">
        <v>60</v>
      </c>
      <c r="D195" s="9" t="s">
        <v>12</v>
      </c>
      <c r="E195" s="10">
        <v>130</v>
      </c>
      <c r="F195" s="10">
        <f t="shared" si="2"/>
        <v>7800</v>
      </c>
    </row>
    <row r="196" spans="1:6" s="9" customFormat="1" x14ac:dyDescent="0.25">
      <c r="C196" s="5"/>
      <c r="E196" s="10"/>
      <c r="F196" s="8">
        <f>SUM(F195)</f>
        <v>7800</v>
      </c>
    </row>
    <row r="197" spans="1:6" s="9" customFormat="1" x14ac:dyDescent="0.25">
      <c r="C197" s="5"/>
      <c r="E197" s="10"/>
      <c r="F197" s="10"/>
    </row>
    <row r="198" spans="1:6" s="9" customFormat="1" x14ac:dyDescent="0.25">
      <c r="A198" s="9" t="s">
        <v>41</v>
      </c>
      <c r="B198" s="4">
        <v>45751</v>
      </c>
      <c r="C198" s="5">
        <v>28</v>
      </c>
      <c r="D198" s="9" t="s">
        <v>14</v>
      </c>
      <c r="E198" s="10">
        <v>130</v>
      </c>
      <c r="F198" s="10">
        <f t="shared" ref="F198:F260" si="3">+C198*E198</f>
        <v>3640</v>
      </c>
    </row>
    <row r="199" spans="1:6" s="9" customFormat="1" x14ac:dyDescent="0.25">
      <c r="C199" s="5"/>
      <c r="E199" s="10"/>
      <c r="F199" s="8">
        <f>SUM(F198)</f>
        <v>3640</v>
      </c>
    </row>
    <row r="200" spans="1:6" s="9" customFormat="1" x14ac:dyDescent="0.25">
      <c r="C200" s="5"/>
      <c r="E200" s="10"/>
      <c r="F200" s="10"/>
    </row>
    <row r="201" spans="1:6" s="9" customFormat="1" x14ac:dyDescent="0.25">
      <c r="A201" s="9" t="s">
        <v>47</v>
      </c>
      <c r="B201" s="4">
        <v>45751</v>
      </c>
      <c r="C201" s="5">
        <v>20</v>
      </c>
      <c r="D201" s="9" t="s">
        <v>14</v>
      </c>
      <c r="E201" s="10">
        <v>125</v>
      </c>
      <c r="F201" s="10">
        <f t="shared" si="3"/>
        <v>2500</v>
      </c>
    </row>
    <row r="202" spans="1:6" s="9" customFormat="1" x14ac:dyDescent="0.25">
      <c r="C202" s="5"/>
      <c r="E202" s="10"/>
      <c r="F202" s="8">
        <f>SUM(F201)</f>
        <v>2500</v>
      </c>
    </row>
    <row r="203" spans="1:6" s="9" customFormat="1" x14ac:dyDescent="0.25">
      <c r="C203" s="5"/>
      <c r="E203" s="10"/>
      <c r="F203" s="10"/>
    </row>
    <row r="204" spans="1:6" s="9" customFormat="1" x14ac:dyDescent="0.25">
      <c r="A204" s="9" t="s">
        <v>44</v>
      </c>
      <c r="B204" s="4">
        <v>45751</v>
      </c>
      <c r="C204" s="5">
        <v>51</v>
      </c>
      <c r="D204" s="9" t="s">
        <v>14</v>
      </c>
      <c r="E204" s="10">
        <v>125</v>
      </c>
      <c r="F204" s="10">
        <f t="shared" si="3"/>
        <v>6375</v>
      </c>
    </row>
    <row r="205" spans="1:6" s="9" customFormat="1" x14ac:dyDescent="0.25">
      <c r="C205" s="5"/>
      <c r="E205" s="10"/>
      <c r="F205" s="8">
        <f>SUM(F204)</f>
        <v>6375</v>
      </c>
    </row>
    <row r="206" spans="1:6" s="9" customFormat="1" x14ac:dyDescent="0.25">
      <c r="C206" s="5"/>
      <c r="E206" s="10"/>
      <c r="F206" s="10"/>
    </row>
    <row r="207" spans="1:6" s="9" customFormat="1" x14ac:dyDescent="0.25">
      <c r="A207" s="9" t="s">
        <v>18</v>
      </c>
      <c r="B207" s="4">
        <v>45751</v>
      </c>
      <c r="C207" s="5">
        <v>20</v>
      </c>
      <c r="D207" s="9" t="s">
        <v>121</v>
      </c>
      <c r="E207" s="10">
        <v>125</v>
      </c>
      <c r="F207" s="10">
        <f t="shared" si="3"/>
        <v>2500</v>
      </c>
    </row>
    <row r="208" spans="1:6" s="9" customFormat="1" x14ac:dyDescent="0.25">
      <c r="C208" s="5"/>
      <c r="E208" s="10"/>
      <c r="F208" s="8">
        <f>SUM(F207)</f>
        <v>2500</v>
      </c>
    </row>
    <row r="209" spans="1:6" s="9" customFormat="1" x14ac:dyDescent="0.25">
      <c r="C209" s="5"/>
      <c r="E209" s="10"/>
      <c r="F209" s="10"/>
    </row>
    <row r="210" spans="1:6" s="9" customFormat="1" x14ac:dyDescent="0.25">
      <c r="A210" s="9" t="s">
        <v>45</v>
      </c>
      <c r="B210" s="4">
        <v>45751</v>
      </c>
      <c r="C210" s="5">
        <v>1</v>
      </c>
      <c r="D210" s="9" t="s">
        <v>14</v>
      </c>
      <c r="E210" s="10">
        <v>125</v>
      </c>
      <c r="F210" s="10">
        <f t="shared" si="3"/>
        <v>125</v>
      </c>
    </row>
    <row r="211" spans="1:6" s="9" customFormat="1" x14ac:dyDescent="0.25">
      <c r="C211" s="5"/>
      <c r="E211" s="10"/>
      <c r="F211" s="8">
        <f>SUM(F210)</f>
        <v>125</v>
      </c>
    </row>
    <row r="212" spans="1:6" s="9" customFormat="1" x14ac:dyDescent="0.25">
      <c r="C212" s="5"/>
      <c r="E212" s="10"/>
      <c r="F212" s="10"/>
    </row>
    <row r="213" spans="1:6" s="9" customFormat="1" x14ac:dyDescent="0.25">
      <c r="A213" s="9" t="s">
        <v>88</v>
      </c>
      <c r="B213" s="4">
        <v>45751</v>
      </c>
      <c r="C213" s="5">
        <v>6</v>
      </c>
      <c r="D213" s="9" t="s">
        <v>13</v>
      </c>
      <c r="E213" s="10">
        <v>145</v>
      </c>
      <c r="F213" s="10">
        <f t="shared" si="3"/>
        <v>870</v>
      </c>
    </row>
    <row r="214" spans="1:6" s="9" customFormat="1" x14ac:dyDescent="0.25">
      <c r="C214" s="5">
        <v>10</v>
      </c>
      <c r="D214" s="9" t="s">
        <v>121</v>
      </c>
      <c r="E214" s="10">
        <v>135</v>
      </c>
      <c r="F214" s="10">
        <f t="shared" si="3"/>
        <v>1350</v>
      </c>
    </row>
    <row r="215" spans="1:6" s="9" customFormat="1" x14ac:dyDescent="0.25">
      <c r="C215" s="5"/>
      <c r="E215" s="10"/>
      <c r="F215" s="8">
        <f>SUM(F213:F214)</f>
        <v>2220</v>
      </c>
    </row>
    <row r="216" spans="1:6" s="9" customFormat="1" x14ac:dyDescent="0.25">
      <c r="C216" s="5"/>
      <c r="E216" s="10"/>
      <c r="F216" s="10"/>
    </row>
    <row r="217" spans="1:6" s="9" customFormat="1" x14ac:dyDescent="0.25">
      <c r="A217" s="9" t="s">
        <v>101</v>
      </c>
      <c r="B217" s="4">
        <v>45751</v>
      </c>
      <c r="C217" s="5">
        <v>2</v>
      </c>
      <c r="D217" s="9" t="s">
        <v>13</v>
      </c>
      <c r="E217" s="10">
        <v>160</v>
      </c>
      <c r="F217" s="10">
        <f t="shared" si="3"/>
        <v>320</v>
      </c>
    </row>
    <row r="218" spans="1:6" s="9" customFormat="1" x14ac:dyDescent="0.25">
      <c r="C218" s="5">
        <v>12</v>
      </c>
      <c r="D218" s="9" t="s">
        <v>8</v>
      </c>
      <c r="E218" s="10">
        <v>160</v>
      </c>
      <c r="F218" s="10">
        <f t="shared" si="3"/>
        <v>1920</v>
      </c>
    </row>
    <row r="219" spans="1:6" s="9" customFormat="1" x14ac:dyDescent="0.25">
      <c r="C219" s="5">
        <v>4</v>
      </c>
      <c r="D219" s="9" t="s">
        <v>8</v>
      </c>
      <c r="E219" s="10">
        <v>150</v>
      </c>
      <c r="F219" s="10">
        <f t="shared" si="3"/>
        <v>600</v>
      </c>
    </row>
    <row r="220" spans="1:6" s="9" customFormat="1" x14ac:dyDescent="0.25">
      <c r="C220" s="5"/>
      <c r="E220" s="10"/>
      <c r="F220" s="8">
        <f>SUM(F217:F219)</f>
        <v>2840</v>
      </c>
    </row>
    <row r="221" spans="1:6" s="9" customFormat="1" x14ac:dyDescent="0.25">
      <c r="C221" s="5"/>
      <c r="E221" s="10"/>
      <c r="F221" s="10"/>
    </row>
    <row r="222" spans="1:6" s="9" customFormat="1" x14ac:dyDescent="0.25">
      <c r="A222" s="9" t="s">
        <v>7</v>
      </c>
      <c r="B222" s="4">
        <v>45751</v>
      </c>
      <c r="C222" s="5">
        <v>1</v>
      </c>
      <c r="D222" s="9" t="s">
        <v>8</v>
      </c>
      <c r="E222" s="10">
        <v>170</v>
      </c>
      <c r="F222" s="10">
        <f t="shared" si="3"/>
        <v>170</v>
      </c>
    </row>
    <row r="223" spans="1:6" s="9" customFormat="1" x14ac:dyDescent="0.25">
      <c r="C223" s="5"/>
      <c r="E223" s="10"/>
      <c r="F223" s="8">
        <f>SUM(F222)</f>
        <v>170</v>
      </c>
    </row>
    <row r="224" spans="1:6" s="9" customFormat="1" x14ac:dyDescent="0.25">
      <c r="C224" s="5"/>
      <c r="E224" s="10"/>
      <c r="F224" s="10"/>
    </row>
    <row r="225" spans="1:6" s="9" customFormat="1" x14ac:dyDescent="0.25">
      <c r="A225" s="9" t="s">
        <v>58</v>
      </c>
      <c r="B225" s="4">
        <v>45752</v>
      </c>
      <c r="C225" s="5">
        <v>8</v>
      </c>
      <c r="D225" s="9" t="s">
        <v>242</v>
      </c>
      <c r="E225" s="10">
        <v>140</v>
      </c>
      <c r="F225" s="10">
        <f t="shared" si="3"/>
        <v>1120</v>
      </c>
    </row>
    <row r="226" spans="1:6" s="9" customFormat="1" x14ac:dyDescent="0.25">
      <c r="C226" s="5"/>
      <c r="E226" s="10"/>
      <c r="F226" s="8">
        <f>SUM(F225)</f>
        <v>1120</v>
      </c>
    </row>
    <row r="227" spans="1:6" s="9" customFormat="1" x14ac:dyDescent="0.25">
      <c r="C227" s="5"/>
      <c r="E227" s="10"/>
      <c r="F227" s="10"/>
    </row>
    <row r="228" spans="1:6" s="9" customFormat="1" x14ac:dyDescent="0.25">
      <c r="A228" s="9" t="s">
        <v>270</v>
      </c>
      <c r="B228" s="4">
        <v>45752</v>
      </c>
      <c r="C228" s="5">
        <v>6</v>
      </c>
      <c r="D228" s="9" t="s">
        <v>275</v>
      </c>
      <c r="E228" s="10">
        <v>100</v>
      </c>
      <c r="F228" s="10">
        <f t="shared" si="3"/>
        <v>600</v>
      </c>
    </row>
    <row r="229" spans="1:6" s="9" customFormat="1" x14ac:dyDescent="0.25">
      <c r="B229" s="4"/>
      <c r="C229" s="5"/>
      <c r="E229" s="10"/>
      <c r="F229" s="8">
        <f>SUM(F228)</f>
        <v>600</v>
      </c>
    </row>
    <row r="230" spans="1:6" s="9" customFormat="1" x14ac:dyDescent="0.25">
      <c r="C230" s="5"/>
      <c r="E230" s="10"/>
      <c r="F230" s="10"/>
    </row>
    <row r="231" spans="1:6" s="9" customFormat="1" x14ac:dyDescent="0.25">
      <c r="A231" s="9" t="s">
        <v>15</v>
      </c>
      <c r="B231" s="4">
        <v>45752</v>
      </c>
      <c r="C231" s="5">
        <v>31</v>
      </c>
      <c r="D231" s="9" t="s">
        <v>98</v>
      </c>
      <c r="E231" s="10">
        <v>85</v>
      </c>
      <c r="F231" s="10">
        <f t="shared" si="3"/>
        <v>2635</v>
      </c>
    </row>
    <row r="232" spans="1:6" s="9" customFormat="1" x14ac:dyDescent="0.25">
      <c r="C232" s="5"/>
      <c r="E232" s="10"/>
      <c r="F232" s="8">
        <f>SUM(F231)</f>
        <v>2635</v>
      </c>
    </row>
    <row r="233" spans="1:6" s="9" customFormat="1" x14ac:dyDescent="0.25">
      <c r="C233" s="5"/>
      <c r="E233" s="10"/>
      <c r="F233" s="10"/>
    </row>
    <row r="234" spans="1:6" s="9" customFormat="1" x14ac:dyDescent="0.25">
      <c r="A234" s="9" t="s">
        <v>400</v>
      </c>
      <c r="B234" s="4">
        <v>45387</v>
      </c>
      <c r="C234" s="5">
        <v>12</v>
      </c>
      <c r="D234" s="9" t="s">
        <v>98</v>
      </c>
      <c r="E234" s="10">
        <v>100</v>
      </c>
      <c r="F234" s="10">
        <f t="shared" si="3"/>
        <v>1200</v>
      </c>
    </row>
    <row r="235" spans="1:6" s="9" customFormat="1" x14ac:dyDescent="0.25">
      <c r="C235" s="5"/>
      <c r="E235" s="10"/>
      <c r="F235" s="8">
        <f>SUM(F234)</f>
        <v>1200</v>
      </c>
    </row>
    <row r="236" spans="1:6" s="9" customFormat="1" x14ac:dyDescent="0.25">
      <c r="C236" s="5"/>
      <c r="E236" s="10"/>
      <c r="F236" s="10"/>
    </row>
    <row r="237" spans="1:6" s="9" customFormat="1" x14ac:dyDescent="0.25">
      <c r="A237" s="9" t="s">
        <v>40</v>
      </c>
      <c r="B237" s="4">
        <v>45752</v>
      </c>
      <c r="C237" s="5">
        <v>10</v>
      </c>
      <c r="D237" s="9" t="s">
        <v>8</v>
      </c>
      <c r="E237" s="10">
        <v>150</v>
      </c>
      <c r="F237" s="10">
        <f t="shared" si="3"/>
        <v>1500</v>
      </c>
    </row>
    <row r="238" spans="1:6" s="9" customFormat="1" x14ac:dyDescent="0.25">
      <c r="C238" s="5">
        <v>5</v>
      </c>
      <c r="D238" s="9" t="s">
        <v>13</v>
      </c>
      <c r="E238" s="10">
        <v>135</v>
      </c>
      <c r="F238" s="10">
        <f t="shared" si="3"/>
        <v>675</v>
      </c>
    </row>
    <row r="239" spans="1:6" s="9" customFormat="1" x14ac:dyDescent="0.25">
      <c r="C239" s="5">
        <v>5</v>
      </c>
      <c r="D239" s="9" t="s">
        <v>14</v>
      </c>
      <c r="E239" s="10">
        <v>125</v>
      </c>
      <c r="F239" s="10">
        <f t="shared" si="3"/>
        <v>625</v>
      </c>
    </row>
    <row r="240" spans="1:6" s="9" customFormat="1" x14ac:dyDescent="0.25">
      <c r="C240" s="5">
        <v>10</v>
      </c>
      <c r="D240" s="9" t="s">
        <v>12</v>
      </c>
      <c r="E240" s="10">
        <v>115</v>
      </c>
      <c r="F240" s="10">
        <f t="shared" si="3"/>
        <v>1150</v>
      </c>
    </row>
    <row r="241" spans="1:6" s="9" customFormat="1" x14ac:dyDescent="0.25">
      <c r="C241" s="5">
        <v>10</v>
      </c>
      <c r="D241" s="9" t="s">
        <v>11</v>
      </c>
      <c r="E241" s="10">
        <v>115</v>
      </c>
      <c r="F241" s="10">
        <f t="shared" si="3"/>
        <v>1150</v>
      </c>
    </row>
    <row r="242" spans="1:6" s="9" customFormat="1" x14ac:dyDescent="0.25">
      <c r="C242" s="5"/>
      <c r="E242" s="10"/>
      <c r="F242" s="8">
        <f>SUM(F237:F241)</f>
        <v>5100</v>
      </c>
    </row>
    <row r="243" spans="1:6" s="9" customFormat="1" x14ac:dyDescent="0.25">
      <c r="C243" s="5"/>
      <c r="E243" s="10"/>
      <c r="F243" s="10"/>
    </row>
    <row r="244" spans="1:6" s="9" customFormat="1" x14ac:dyDescent="0.25">
      <c r="A244" s="9" t="s">
        <v>25</v>
      </c>
      <c r="B244" s="4">
        <v>45752</v>
      </c>
      <c r="C244" s="5">
        <v>20</v>
      </c>
      <c r="D244" s="9" t="s">
        <v>405</v>
      </c>
      <c r="E244" s="10">
        <v>100</v>
      </c>
      <c r="F244" s="10">
        <f t="shared" si="3"/>
        <v>2000</v>
      </c>
    </row>
    <row r="245" spans="1:6" s="9" customFormat="1" x14ac:dyDescent="0.25">
      <c r="C245" s="5"/>
      <c r="E245" s="10"/>
      <c r="F245" s="8">
        <f>SUM(F244)</f>
        <v>2000</v>
      </c>
    </row>
    <row r="246" spans="1:6" s="9" customFormat="1" x14ac:dyDescent="0.25">
      <c r="C246" s="5"/>
      <c r="E246" s="10"/>
      <c r="F246" s="10"/>
    </row>
    <row r="247" spans="1:6" s="9" customFormat="1" x14ac:dyDescent="0.25">
      <c r="A247" s="9" t="s">
        <v>406</v>
      </c>
      <c r="B247" s="4">
        <v>45752</v>
      </c>
      <c r="C247" s="5">
        <v>5</v>
      </c>
      <c r="D247" s="9" t="s">
        <v>49</v>
      </c>
      <c r="E247" s="10">
        <v>145</v>
      </c>
      <c r="F247" s="10">
        <f t="shared" si="3"/>
        <v>725</v>
      </c>
    </row>
    <row r="248" spans="1:6" s="9" customFormat="1" x14ac:dyDescent="0.25">
      <c r="C248" s="5">
        <v>15</v>
      </c>
      <c r="D248" s="9" t="s">
        <v>14</v>
      </c>
      <c r="E248" s="10">
        <v>140</v>
      </c>
      <c r="F248" s="10">
        <f t="shared" si="3"/>
        <v>2100</v>
      </c>
    </row>
    <row r="249" spans="1:6" s="9" customFormat="1" x14ac:dyDescent="0.25">
      <c r="C249" s="5"/>
      <c r="E249" s="10"/>
      <c r="F249" s="8">
        <f>SUM(F247:F248)</f>
        <v>2825</v>
      </c>
    </row>
    <row r="250" spans="1:6" s="9" customFormat="1" x14ac:dyDescent="0.25">
      <c r="C250" s="5"/>
      <c r="E250" s="10"/>
      <c r="F250" s="10"/>
    </row>
    <row r="251" spans="1:6" s="9" customFormat="1" x14ac:dyDescent="0.25">
      <c r="A251" s="9" t="s">
        <v>21</v>
      </c>
      <c r="B251" s="4">
        <v>45752</v>
      </c>
      <c r="C251" s="5">
        <v>10</v>
      </c>
      <c r="D251" s="9" t="s">
        <v>14</v>
      </c>
      <c r="E251" s="10">
        <v>125</v>
      </c>
      <c r="F251" s="10">
        <f t="shared" si="3"/>
        <v>1250</v>
      </c>
    </row>
    <row r="252" spans="1:6" s="9" customFormat="1" x14ac:dyDescent="0.25">
      <c r="C252" s="5">
        <v>20</v>
      </c>
      <c r="D252" s="9" t="s">
        <v>12</v>
      </c>
      <c r="E252" s="10">
        <v>120</v>
      </c>
      <c r="F252" s="10">
        <f t="shared" si="3"/>
        <v>2400</v>
      </c>
    </row>
    <row r="253" spans="1:6" s="9" customFormat="1" x14ac:dyDescent="0.25">
      <c r="C253" s="5">
        <v>20</v>
      </c>
      <c r="D253" s="9" t="s">
        <v>13</v>
      </c>
      <c r="E253" s="10">
        <v>135</v>
      </c>
      <c r="F253" s="10">
        <f t="shared" si="3"/>
        <v>2700</v>
      </c>
    </row>
    <row r="254" spans="1:6" s="9" customFormat="1" x14ac:dyDescent="0.25">
      <c r="C254" s="5">
        <v>10</v>
      </c>
      <c r="D254" s="9" t="s">
        <v>395</v>
      </c>
      <c r="E254" s="10">
        <v>150</v>
      </c>
      <c r="F254" s="10">
        <f t="shared" si="3"/>
        <v>1500</v>
      </c>
    </row>
    <row r="255" spans="1:6" s="9" customFormat="1" x14ac:dyDescent="0.25">
      <c r="C255" s="5"/>
      <c r="E255" s="10"/>
      <c r="F255" s="8">
        <f>SUM(F251:F254)</f>
        <v>7850</v>
      </c>
    </row>
    <row r="256" spans="1:6" s="9" customFormat="1" x14ac:dyDescent="0.25">
      <c r="C256" s="5"/>
      <c r="E256" s="10"/>
      <c r="F256" s="10"/>
    </row>
    <row r="257" spans="1:6" s="9" customFormat="1" x14ac:dyDescent="0.25">
      <c r="A257" s="9" t="s">
        <v>20</v>
      </c>
      <c r="B257" s="4">
        <v>45752</v>
      </c>
      <c r="C257" s="5">
        <v>10</v>
      </c>
      <c r="D257" s="9" t="s">
        <v>13</v>
      </c>
      <c r="E257" s="10">
        <v>135</v>
      </c>
      <c r="F257" s="10">
        <f t="shared" si="3"/>
        <v>1350</v>
      </c>
    </row>
    <row r="258" spans="1:6" s="9" customFormat="1" x14ac:dyDescent="0.25">
      <c r="C258" s="5"/>
      <c r="E258" s="10"/>
      <c r="F258" s="8">
        <f>SUM(F257)</f>
        <v>1350</v>
      </c>
    </row>
    <row r="259" spans="1:6" s="9" customFormat="1" x14ac:dyDescent="0.25">
      <c r="C259" s="5"/>
      <c r="E259" s="10"/>
      <c r="F259" s="10"/>
    </row>
    <row r="260" spans="1:6" s="9" customFormat="1" x14ac:dyDescent="0.25">
      <c r="A260" s="9" t="s">
        <v>157</v>
      </c>
      <c r="B260" s="4">
        <v>45752</v>
      </c>
      <c r="C260" s="5">
        <v>10</v>
      </c>
      <c r="D260" s="9" t="s">
        <v>8</v>
      </c>
      <c r="E260" s="10">
        <v>150</v>
      </c>
      <c r="F260" s="10">
        <f t="shared" si="3"/>
        <v>1500</v>
      </c>
    </row>
    <row r="261" spans="1:6" s="9" customFormat="1" x14ac:dyDescent="0.25">
      <c r="C261" s="5"/>
      <c r="E261" s="10"/>
      <c r="F261" s="8">
        <f>SUM(F260)</f>
        <v>1500</v>
      </c>
    </row>
    <row r="262" spans="1:6" s="9" customFormat="1" x14ac:dyDescent="0.25">
      <c r="C262" s="5"/>
      <c r="E262" s="10"/>
      <c r="F262" s="10"/>
    </row>
    <row r="263" spans="1:6" s="9" customFormat="1" x14ac:dyDescent="0.25">
      <c r="A263" s="9" t="s">
        <v>80</v>
      </c>
      <c r="B263" s="4">
        <v>45752</v>
      </c>
      <c r="C263" s="5">
        <v>10</v>
      </c>
      <c r="D263" s="9" t="s">
        <v>13</v>
      </c>
      <c r="E263" s="10">
        <v>140</v>
      </c>
      <c r="F263" s="10">
        <f t="shared" ref="F263:F324" si="4">+C263*E263</f>
        <v>1400</v>
      </c>
    </row>
    <row r="264" spans="1:6" s="9" customFormat="1" x14ac:dyDescent="0.25">
      <c r="C264" s="5"/>
      <c r="E264" s="10"/>
      <c r="F264" s="8">
        <f>SUM(F263)</f>
        <v>1400</v>
      </c>
    </row>
    <row r="265" spans="1:6" s="9" customFormat="1" x14ac:dyDescent="0.25">
      <c r="C265" s="5"/>
      <c r="E265" s="10"/>
      <c r="F265" s="10"/>
    </row>
    <row r="266" spans="1:6" s="9" customFormat="1" x14ac:dyDescent="0.25">
      <c r="A266" s="9" t="s">
        <v>371</v>
      </c>
      <c r="B266" s="4">
        <v>45752</v>
      </c>
      <c r="C266" s="5">
        <v>3</v>
      </c>
      <c r="D266" s="9" t="s">
        <v>98</v>
      </c>
      <c r="E266" s="10">
        <v>100</v>
      </c>
      <c r="F266" s="10">
        <f t="shared" si="4"/>
        <v>300</v>
      </c>
    </row>
    <row r="267" spans="1:6" s="9" customFormat="1" x14ac:dyDescent="0.25">
      <c r="C267" s="5">
        <v>6</v>
      </c>
      <c r="D267" s="9" t="s">
        <v>13</v>
      </c>
      <c r="E267" s="10">
        <v>140</v>
      </c>
      <c r="F267" s="10">
        <f t="shared" si="4"/>
        <v>840</v>
      </c>
    </row>
    <row r="268" spans="1:6" s="9" customFormat="1" x14ac:dyDescent="0.25">
      <c r="C268" s="5"/>
      <c r="E268" s="10"/>
      <c r="F268" s="8">
        <f>SUM(F266:F267)</f>
        <v>1140</v>
      </c>
    </row>
    <row r="269" spans="1:6" s="9" customFormat="1" x14ac:dyDescent="0.25">
      <c r="C269" s="5"/>
      <c r="E269" s="10"/>
      <c r="F269" s="10"/>
    </row>
    <row r="270" spans="1:6" s="9" customFormat="1" x14ac:dyDescent="0.25">
      <c r="A270" s="9" t="s">
        <v>407</v>
      </c>
      <c r="B270" s="4">
        <v>45752</v>
      </c>
      <c r="C270" s="5">
        <v>10</v>
      </c>
      <c r="D270" s="9" t="s">
        <v>49</v>
      </c>
      <c r="E270" s="10">
        <v>145</v>
      </c>
      <c r="F270" s="10">
        <f t="shared" si="4"/>
        <v>1450</v>
      </c>
    </row>
    <row r="271" spans="1:6" s="9" customFormat="1" x14ac:dyDescent="0.25">
      <c r="C271" s="5">
        <v>10</v>
      </c>
      <c r="D271" s="9" t="s">
        <v>14</v>
      </c>
      <c r="E271" s="10">
        <v>125</v>
      </c>
      <c r="F271" s="10">
        <f t="shared" si="4"/>
        <v>1250</v>
      </c>
    </row>
    <row r="272" spans="1:6" s="9" customFormat="1" x14ac:dyDescent="0.25">
      <c r="C272" s="5">
        <v>15</v>
      </c>
      <c r="D272" s="9" t="s">
        <v>13</v>
      </c>
      <c r="E272" s="10">
        <v>135</v>
      </c>
      <c r="F272" s="10">
        <f t="shared" si="4"/>
        <v>2025</v>
      </c>
    </row>
    <row r="273" spans="1:6" s="9" customFormat="1" x14ac:dyDescent="0.25">
      <c r="C273" s="5"/>
      <c r="E273" s="10"/>
      <c r="F273" s="8">
        <f>SUM(F270:F272)</f>
        <v>4725</v>
      </c>
    </row>
    <row r="274" spans="1:6" s="9" customFormat="1" x14ac:dyDescent="0.25">
      <c r="C274" s="5"/>
      <c r="E274" s="10"/>
      <c r="F274" s="10"/>
    </row>
    <row r="275" spans="1:6" s="9" customFormat="1" x14ac:dyDescent="0.25">
      <c r="A275" s="9" t="s">
        <v>65</v>
      </c>
      <c r="B275" s="4">
        <v>45752</v>
      </c>
      <c r="C275" s="5">
        <v>1760</v>
      </c>
      <c r="D275" s="9" t="s">
        <v>12</v>
      </c>
      <c r="E275" s="10">
        <v>117</v>
      </c>
      <c r="F275" s="10">
        <f t="shared" si="4"/>
        <v>205920</v>
      </c>
    </row>
    <row r="276" spans="1:6" s="9" customFormat="1" x14ac:dyDescent="0.25">
      <c r="C276" s="5">
        <v>280</v>
      </c>
      <c r="D276" s="9" t="s">
        <v>11</v>
      </c>
      <c r="E276" s="10">
        <v>117</v>
      </c>
      <c r="F276" s="10">
        <f t="shared" si="4"/>
        <v>32760</v>
      </c>
    </row>
    <row r="277" spans="1:6" s="9" customFormat="1" x14ac:dyDescent="0.25">
      <c r="C277" s="5">
        <v>70</v>
      </c>
      <c r="D277" s="9" t="s">
        <v>14</v>
      </c>
      <c r="E277" s="10">
        <v>125</v>
      </c>
      <c r="F277" s="10">
        <f t="shared" si="4"/>
        <v>8750</v>
      </c>
    </row>
    <row r="278" spans="1:6" s="9" customFormat="1" x14ac:dyDescent="0.25">
      <c r="C278" s="5">
        <v>400</v>
      </c>
      <c r="D278" s="9" t="s">
        <v>22</v>
      </c>
      <c r="E278" s="10">
        <v>95</v>
      </c>
      <c r="F278" s="10">
        <f t="shared" si="4"/>
        <v>38000</v>
      </c>
    </row>
    <row r="279" spans="1:6" s="9" customFormat="1" x14ac:dyDescent="0.25">
      <c r="C279" s="5">
        <v>300</v>
      </c>
      <c r="D279" s="9" t="s">
        <v>13</v>
      </c>
      <c r="E279" s="10">
        <v>125</v>
      </c>
      <c r="F279" s="10">
        <f t="shared" si="4"/>
        <v>37500</v>
      </c>
    </row>
    <row r="280" spans="1:6" s="9" customFormat="1" x14ac:dyDescent="0.25">
      <c r="C280" s="5"/>
      <c r="E280" s="10"/>
      <c r="F280" s="8" cm="1">
        <f t="array" ref="F280">SUM(+F275:F279)</f>
        <v>322930</v>
      </c>
    </row>
    <row r="281" spans="1:6" s="9" customFormat="1" x14ac:dyDescent="0.25">
      <c r="C281" s="5"/>
      <c r="E281" s="10"/>
      <c r="F281" s="10"/>
    </row>
    <row r="282" spans="1:6" s="9" customFormat="1" x14ac:dyDescent="0.25">
      <c r="A282" s="9" t="s">
        <v>176</v>
      </c>
      <c r="B282" s="4">
        <v>45752</v>
      </c>
      <c r="C282" s="5">
        <v>30</v>
      </c>
      <c r="D282" s="9" t="s">
        <v>8</v>
      </c>
      <c r="E282" s="10">
        <v>155</v>
      </c>
      <c r="F282" s="10">
        <f t="shared" si="4"/>
        <v>4650</v>
      </c>
    </row>
    <row r="283" spans="1:6" s="9" customFormat="1" x14ac:dyDescent="0.25">
      <c r="C283" s="5">
        <v>30</v>
      </c>
      <c r="D283" s="9" t="s">
        <v>13</v>
      </c>
      <c r="E283" s="10">
        <v>140</v>
      </c>
      <c r="F283" s="10">
        <f t="shared" si="4"/>
        <v>4200</v>
      </c>
    </row>
    <row r="284" spans="1:6" s="9" customFormat="1" x14ac:dyDescent="0.25">
      <c r="C284" s="5">
        <v>30</v>
      </c>
      <c r="D284" s="9" t="s">
        <v>408</v>
      </c>
      <c r="E284" s="10">
        <v>130</v>
      </c>
      <c r="F284" s="10">
        <f t="shared" si="4"/>
        <v>3900</v>
      </c>
    </row>
    <row r="285" spans="1:6" s="9" customFormat="1" x14ac:dyDescent="0.25">
      <c r="C285" s="5">
        <v>30</v>
      </c>
      <c r="D285" s="9" t="s">
        <v>49</v>
      </c>
      <c r="E285" s="10">
        <v>145</v>
      </c>
      <c r="F285" s="10">
        <f t="shared" si="4"/>
        <v>4350</v>
      </c>
    </row>
    <row r="286" spans="1:6" s="9" customFormat="1" x14ac:dyDescent="0.25">
      <c r="C286" s="5">
        <v>10</v>
      </c>
      <c r="D286" s="9" t="s">
        <v>14</v>
      </c>
      <c r="E286" s="10">
        <v>130</v>
      </c>
      <c r="F286" s="10">
        <f t="shared" si="4"/>
        <v>1300</v>
      </c>
    </row>
    <row r="287" spans="1:6" s="9" customFormat="1" x14ac:dyDescent="0.25">
      <c r="C287" s="5">
        <v>40</v>
      </c>
      <c r="D287" s="9" t="s">
        <v>409</v>
      </c>
      <c r="E287" s="10">
        <v>110</v>
      </c>
      <c r="F287" s="10">
        <f t="shared" si="4"/>
        <v>4400</v>
      </c>
    </row>
    <row r="288" spans="1:6" s="9" customFormat="1" x14ac:dyDescent="0.25">
      <c r="C288" s="5"/>
      <c r="E288" s="10"/>
      <c r="F288" s="8">
        <f>SUM(F282:F287)</f>
        <v>22800</v>
      </c>
    </row>
    <row r="289" spans="1:6" s="9" customFormat="1" x14ac:dyDescent="0.25">
      <c r="C289" s="5"/>
      <c r="E289" s="10"/>
      <c r="F289" s="10"/>
    </row>
    <row r="290" spans="1:6" s="9" customFormat="1" x14ac:dyDescent="0.25">
      <c r="A290" s="9" t="s">
        <v>60</v>
      </c>
      <c r="B290" s="4">
        <v>45752</v>
      </c>
      <c r="C290" s="5">
        <v>30</v>
      </c>
      <c r="D290" s="9" t="s">
        <v>13</v>
      </c>
      <c r="E290" s="10">
        <v>140</v>
      </c>
      <c r="F290" s="10">
        <f t="shared" si="4"/>
        <v>4200</v>
      </c>
    </row>
    <row r="291" spans="1:6" s="9" customFormat="1" x14ac:dyDescent="0.25">
      <c r="C291" s="5">
        <v>1</v>
      </c>
      <c r="D291" s="9" t="s">
        <v>318</v>
      </c>
      <c r="E291" s="10">
        <v>0</v>
      </c>
      <c r="F291" s="13">
        <f t="shared" si="4"/>
        <v>0</v>
      </c>
    </row>
    <row r="292" spans="1:6" s="9" customFormat="1" x14ac:dyDescent="0.25">
      <c r="C292" s="5"/>
      <c r="E292" s="10"/>
      <c r="F292" s="8">
        <f>SUM(F290:F291)</f>
        <v>4200</v>
      </c>
    </row>
    <row r="293" spans="1:6" s="9" customFormat="1" x14ac:dyDescent="0.25">
      <c r="C293" s="5"/>
      <c r="E293" s="10"/>
      <c r="F293" s="10"/>
    </row>
    <row r="294" spans="1:6" s="9" customFormat="1" x14ac:dyDescent="0.25">
      <c r="A294" s="9" t="s">
        <v>410</v>
      </c>
      <c r="B294" s="4">
        <v>45752</v>
      </c>
      <c r="C294" s="5">
        <v>40</v>
      </c>
      <c r="D294" s="9" t="s">
        <v>8</v>
      </c>
      <c r="E294" s="10">
        <v>160</v>
      </c>
      <c r="F294" s="10">
        <f t="shared" si="4"/>
        <v>6400</v>
      </c>
    </row>
    <row r="295" spans="1:6" s="9" customFormat="1" x14ac:dyDescent="0.25">
      <c r="C295" s="5">
        <v>20</v>
      </c>
      <c r="D295" s="9" t="s">
        <v>13</v>
      </c>
      <c r="E295" s="10">
        <v>140</v>
      </c>
      <c r="F295" s="10">
        <f t="shared" si="4"/>
        <v>2800</v>
      </c>
    </row>
    <row r="296" spans="1:6" s="9" customFormat="1" x14ac:dyDescent="0.25">
      <c r="C296" s="5"/>
      <c r="E296" s="10"/>
      <c r="F296" s="8">
        <f>SUM(F294:F295)</f>
        <v>9200</v>
      </c>
    </row>
    <row r="297" spans="1:6" s="9" customFormat="1" x14ac:dyDescent="0.25">
      <c r="C297" s="5"/>
      <c r="E297" s="10"/>
      <c r="F297" s="10"/>
    </row>
    <row r="298" spans="1:6" s="9" customFormat="1" x14ac:dyDescent="0.25">
      <c r="A298" s="9" t="s">
        <v>61</v>
      </c>
      <c r="B298" s="4">
        <v>45752</v>
      </c>
      <c r="C298" s="5">
        <v>50</v>
      </c>
      <c r="D298" s="9" t="s">
        <v>13</v>
      </c>
      <c r="E298" s="10">
        <v>140</v>
      </c>
      <c r="F298" s="10">
        <f t="shared" si="4"/>
        <v>7000</v>
      </c>
    </row>
    <row r="299" spans="1:6" s="9" customFormat="1" x14ac:dyDescent="0.25">
      <c r="C299" s="5">
        <v>2</v>
      </c>
      <c r="D299" s="9" t="s">
        <v>318</v>
      </c>
      <c r="E299" s="10">
        <v>0</v>
      </c>
      <c r="F299" s="10">
        <f t="shared" si="4"/>
        <v>0</v>
      </c>
    </row>
    <row r="300" spans="1:6" s="9" customFormat="1" x14ac:dyDescent="0.25">
      <c r="C300" s="5"/>
      <c r="E300" s="10"/>
      <c r="F300" s="8">
        <f>SUM(F298:F299)</f>
        <v>7000</v>
      </c>
    </row>
    <row r="301" spans="1:6" s="9" customFormat="1" x14ac:dyDescent="0.25">
      <c r="C301" s="5"/>
      <c r="E301" s="10"/>
      <c r="F301" s="10"/>
    </row>
    <row r="302" spans="1:6" s="9" customFormat="1" x14ac:dyDescent="0.25">
      <c r="A302" s="9" t="s">
        <v>127</v>
      </c>
      <c r="B302" s="4">
        <v>45752</v>
      </c>
      <c r="C302" s="5">
        <v>130</v>
      </c>
      <c r="D302" s="9" t="s">
        <v>13</v>
      </c>
      <c r="E302" s="10">
        <v>140</v>
      </c>
      <c r="F302" s="10">
        <f t="shared" si="4"/>
        <v>18200</v>
      </c>
    </row>
    <row r="303" spans="1:6" s="9" customFormat="1" x14ac:dyDescent="0.25">
      <c r="C303" s="5">
        <v>3</v>
      </c>
      <c r="D303" s="9" t="s">
        <v>318</v>
      </c>
      <c r="E303" s="10">
        <v>0</v>
      </c>
      <c r="F303" s="10">
        <f t="shared" si="4"/>
        <v>0</v>
      </c>
    </row>
    <row r="304" spans="1:6" s="9" customFormat="1" x14ac:dyDescent="0.25">
      <c r="C304" s="5"/>
      <c r="E304" s="10"/>
      <c r="F304" s="8">
        <f>SUM(F302:F303)</f>
        <v>18200</v>
      </c>
    </row>
    <row r="305" spans="1:6" s="9" customFormat="1" x14ac:dyDescent="0.25">
      <c r="C305" s="5"/>
      <c r="E305" s="10"/>
      <c r="F305" s="10"/>
    </row>
    <row r="306" spans="1:6" s="9" customFormat="1" x14ac:dyDescent="0.25">
      <c r="A306" s="9" t="s">
        <v>72</v>
      </c>
      <c r="B306" s="4">
        <v>45752</v>
      </c>
      <c r="C306" s="5">
        <v>230</v>
      </c>
      <c r="D306" s="9" t="s">
        <v>13</v>
      </c>
      <c r="E306" s="10">
        <v>130</v>
      </c>
      <c r="F306" s="10">
        <f t="shared" si="4"/>
        <v>29900</v>
      </c>
    </row>
    <row r="307" spans="1:6" s="9" customFormat="1" x14ac:dyDescent="0.25">
      <c r="C307" s="5">
        <v>200</v>
      </c>
      <c r="D307" s="9" t="s">
        <v>411</v>
      </c>
      <c r="E307" s="10">
        <v>120</v>
      </c>
      <c r="F307" s="10">
        <f t="shared" si="4"/>
        <v>24000</v>
      </c>
    </row>
    <row r="308" spans="1:6" s="9" customFormat="1" x14ac:dyDescent="0.25">
      <c r="C308" s="5">
        <v>80</v>
      </c>
      <c r="D308" s="9" t="s">
        <v>11</v>
      </c>
      <c r="E308" s="10">
        <v>120</v>
      </c>
      <c r="F308" s="10">
        <f t="shared" si="4"/>
        <v>9600</v>
      </c>
    </row>
    <row r="309" spans="1:6" s="9" customFormat="1" x14ac:dyDescent="0.25">
      <c r="C309" s="5">
        <v>40</v>
      </c>
      <c r="D309" s="9" t="s">
        <v>14</v>
      </c>
      <c r="E309" s="10">
        <v>125</v>
      </c>
      <c r="F309" s="10">
        <f t="shared" si="4"/>
        <v>5000</v>
      </c>
    </row>
    <row r="310" spans="1:6" s="9" customFormat="1" x14ac:dyDescent="0.25">
      <c r="C310" s="5"/>
      <c r="E310" s="10"/>
      <c r="F310" s="8">
        <f>SUM(F306:F309)</f>
        <v>68500</v>
      </c>
    </row>
    <row r="311" spans="1:6" s="9" customFormat="1" x14ac:dyDescent="0.25">
      <c r="C311" s="5"/>
      <c r="E311" s="10"/>
      <c r="F311" s="10"/>
    </row>
    <row r="312" spans="1:6" s="9" customFormat="1" x14ac:dyDescent="0.25">
      <c r="A312" s="9" t="s">
        <v>245</v>
      </c>
      <c r="B312" s="4">
        <v>45752</v>
      </c>
      <c r="C312" s="5">
        <v>130</v>
      </c>
      <c r="D312" s="9" t="s">
        <v>13</v>
      </c>
      <c r="E312" s="10">
        <v>140</v>
      </c>
      <c r="F312" s="10">
        <f t="shared" si="4"/>
        <v>18200</v>
      </c>
    </row>
    <row r="313" spans="1:6" s="9" customFormat="1" x14ac:dyDescent="0.25">
      <c r="C313" s="5">
        <v>20</v>
      </c>
      <c r="D313" s="9" t="s">
        <v>14</v>
      </c>
      <c r="E313" s="10">
        <v>130</v>
      </c>
      <c r="F313" s="10">
        <f t="shared" si="4"/>
        <v>2600</v>
      </c>
    </row>
    <row r="314" spans="1:6" s="9" customFormat="1" x14ac:dyDescent="0.25">
      <c r="C314" s="5">
        <v>4.2</v>
      </c>
      <c r="D314" s="9" t="s">
        <v>412</v>
      </c>
      <c r="E314" s="10">
        <v>0</v>
      </c>
      <c r="F314" s="10">
        <f t="shared" si="4"/>
        <v>0</v>
      </c>
    </row>
    <row r="315" spans="1:6" s="9" customFormat="1" x14ac:dyDescent="0.25">
      <c r="C315" s="5"/>
      <c r="E315" s="10"/>
      <c r="F315" s="8">
        <f>SUM(F312:F314)</f>
        <v>20800</v>
      </c>
    </row>
    <row r="316" spans="1:6" s="9" customFormat="1" x14ac:dyDescent="0.25">
      <c r="C316" s="5"/>
      <c r="E316" s="10"/>
      <c r="F316" s="10"/>
    </row>
    <row r="317" spans="1:6" s="9" customFormat="1" x14ac:dyDescent="0.25">
      <c r="A317" s="9" t="s">
        <v>413</v>
      </c>
      <c r="B317" s="4">
        <v>45387</v>
      </c>
      <c r="C317" s="5">
        <v>130</v>
      </c>
      <c r="D317" s="9" t="s">
        <v>12</v>
      </c>
      <c r="E317" s="10">
        <v>120</v>
      </c>
      <c r="F317" s="10">
        <f t="shared" si="4"/>
        <v>15600</v>
      </c>
    </row>
    <row r="318" spans="1:6" s="9" customFormat="1" x14ac:dyDescent="0.25">
      <c r="C318" s="5"/>
      <c r="E318" s="10"/>
      <c r="F318" s="8">
        <f>SUM(F317)</f>
        <v>15600</v>
      </c>
    </row>
    <row r="319" spans="1:6" s="9" customFormat="1" x14ac:dyDescent="0.25">
      <c r="C319" s="5"/>
      <c r="E319" s="10"/>
      <c r="F319" s="10"/>
    </row>
    <row r="320" spans="1:6" s="9" customFormat="1" x14ac:dyDescent="0.25">
      <c r="A320" s="9" t="s">
        <v>414</v>
      </c>
      <c r="B320" s="4">
        <v>45752</v>
      </c>
      <c r="C320" s="5">
        <v>2</v>
      </c>
      <c r="D320" s="9" t="s">
        <v>13</v>
      </c>
      <c r="E320" s="10">
        <v>160</v>
      </c>
      <c r="F320" s="10">
        <f t="shared" si="4"/>
        <v>320</v>
      </c>
    </row>
    <row r="321" spans="1:6" s="9" customFormat="1" x14ac:dyDescent="0.25">
      <c r="C321" s="5"/>
      <c r="E321" s="10"/>
      <c r="F321" s="8">
        <f>SUM(F320)</f>
        <v>320</v>
      </c>
    </row>
    <row r="322" spans="1:6" s="9" customFormat="1" x14ac:dyDescent="0.25">
      <c r="C322" s="5"/>
      <c r="E322" s="10"/>
      <c r="F322" s="10"/>
    </row>
    <row r="323" spans="1:6" s="9" customFormat="1" x14ac:dyDescent="0.25">
      <c r="A323" s="9" t="s">
        <v>181</v>
      </c>
      <c r="B323" s="4">
        <v>45752</v>
      </c>
      <c r="C323" s="5">
        <v>1</v>
      </c>
      <c r="D323" s="9" t="s">
        <v>154</v>
      </c>
      <c r="E323" s="10">
        <v>150</v>
      </c>
      <c r="F323" s="10">
        <f t="shared" si="4"/>
        <v>150</v>
      </c>
    </row>
    <row r="324" spans="1:6" s="9" customFormat="1" x14ac:dyDescent="0.25">
      <c r="C324" s="5">
        <v>3</v>
      </c>
      <c r="D324" s="9" t="s">
        <v>8</v>
      </c>
      <c r="E324" s="10">
        <v>170</v>
      </c>
      <c r="F324" s="10">
        <f t="shared" si="4"/>
        <v>510</v>
      </c>
    </row>
    <row r="325" spans="1:6" s="9" customFormat="1" x14ac:dyDescent="0.25">
      <c r="C325" s="5"/>
      <c r="E325" s="10"/>
      <c r="F325" s="8">
        <f>SUM(F323:F324)</f>
        <v>660</v>
      </c>
    </row>
    <row r="326" spans="1:6" s="9" customFormat="1" x14ac:dyDescent="0.25">
      <c r="C326" s="5"/>
      <c r="E326" s="10"/>
      <c r="F326" s="10"/>
    </row>
    <row r="327" spans="1:6" s="9" customFormat="1" x14ac:dyDescent="0.25">
      <c r="A327" s="9" t="s">
        <v>312</v>
      </c>
      <c r="B327" s="4">
        <v>45753</v>
      </c>
      <c r="C327" s="5">
        <v>51</v>
      </c>
      <c r="D327" s="9" t="s">
        <v>323</v>
      </c>
      <c r="E327" s="10">
        <v>140</v>
      </c>
      <c r="F327" s="10">
        <f t="shared" ref="F327:F388" si="5">+C327*E327</f>
        <v>7140</v>
      </c>
    </row>
    <row r="328" spans="1:6" s="9" customFormat="1" x14ac:dyDescent="0.25">
      <c r="C328" s="5">
        <v>5</v>
      </c>
      <c r="D328" s="9" t="s">
        <v>8</v>
      </c>
      <c r="E328" s="10">
        <v>150</v>
      </c>
      <c r="F328" s="10">
        <f t="shared" si="5"/>
        <v>750</v>
      </c>
    </row>
    <row r="329" spans="1:6" s="9" customFormat="1" x14ac:dyDescent="0.25">
      <c r="C329" s="5"/>
      <c r="E329" s="10"/>
      <c r="F329" s="8">
        <f>SUM(F327:F328)</f>
        <v>7890</v>
      </c>
    </row>
    <row r="330" spans="1:6" s="9" customFormat="1" x14ac:dyDescent="0.25">
      <c r="C330" s="5"/>
      <c r="E330" s="10"/>
      <c r="F330" s="10"/>
    </row>
    <row r="331" spans="1:6" s="9" customFormat="1" x14ac:dyDescent="0.25">
      <c r="A331" s="9" t="s">
        <v>7</v>
      </c>
      <c r="B331" s="4">
        <v>45753</v>
      </c>
      <c r="C331" s="5">
        <v>2</v>
      </c>
      <c r="D331" s="9" t="s">
        <v>415</v>
      </c>
      <c r="E331" s="10">
        <v>140</v>
      </c>
      <c r="F331" s="10">
        <f t="shared" si="5"/>
        <v>280</v>
      </c>
    </row>
    <row r="332" spans="1:6" s="9" customFormat="1" x14ac:dyDescent="0.25">
      <c r="C332" s="5">
        <v>1</v>
      </c>
      <c r="D332" s="9" t="s">
        <v>13</v>
      </c>
      <c r="E332" s="10">
        <v>160</v>
      </c>
      <c r="F332" s="10">
        <f t="shared" si="5"/>
        <v>160</v>
      </c>
    </row>
    <row r="333" spans="1:6" s="9" customFormat="1" x14ac:dyDescent="0.25">
      <c r="C333" s="5">
        <v>4</v>
      </c>
      <c r="D333" s="9" t="s">
        <v>13</v>
      </c>
      <c r="E333" s="10">
        <v>160</v>
      </c>
      <c r="F333" s="10">
        <f t="shared" si="5"/>
        <v>640</v>
      </c>
    </row>
    <row r="334" spans="1:6" s="9" customFormat="1" x14ac:dyDescent="0.25">
      <c r="C334" s="5"/>
      <c r="E334" s="10"/>
      <c r="F334" s="8">
        <f>SUM(F331:F333)</f>
        <v>1080</v>
      </c>
    </row>
    <row r="335" spans="1:6" s="9" customFormat="1" x14ac:dyDescent="0.25">
      <c r="C335" s="5"/>
      <c r="E335" s="10"/>
      <c r="F335" s="10"/>
    </row>
    <row r="336" spans="1:6" s="9" customFormat="1" x14ac:dyDescent="0.25">
      <c r="A336" s="9" t="s">
        <v>89</v>
      </c>
      <c r="B336" s="4">
        <v>45754</v>
      </c>
      <c r="C336" s="5">
        <v>30</v>
      </c>
      <c r="D336" s="9" t="s">
        <v>13</v>
      </c>
      <c r="E336" s="10">
        <v>130</v>
      </c>
      <c r="F336" s="10">
        <f t="shared" si="5"/>
        <v>3900</v>
      </c>
    </row>
    <row r="337" spans="1:6" s="9" customFormat="1" x14ac:dyDescent="0.25">
      <c r="C337" s="5">
        <v>6</v>
      </c>
      <c r="D337" s="9" t="s">
        <v>14</v>
      </c>
      <c r="E337" s="10">
        <v>125</v>
      </c>
      <c r="F337" s="10">
        <f t="shared" si="5"/>
        <v>750</v>
      </c>
    </row>
    <row r="338" spans="1:6" s="9" customFormat="1" x14ac:dyDescent="0.25">
      <c r="C338" s="5">
        <v>14</v>
      </c>
      <c r="D338" s="9" t="s">
        <v>416</v>
      </c>
      <c r="E338" s="10">
        <v>115</v>
      </c>
      <c r="F338" s="10">
        <f t="shared" si="5"/>
        <v>1610</v>
      </c>
    </row>
    <row r="339" spans="1:6" s="9" customFormat="1" x14ac:dyDescent="0.25">
      <c r="C339" s="5">
        <v>80</v>
      </c>
      <c r="D339" s="9" t="s">
        <v>417</v>
      </c>
      <c r="E339" s="10">
        <v>95</v>
      </c>
      <c r="F339" s="10">
        <f t="shared" si="5"/>
        <v>7600</v>
      </c>
    </row>
    <row r="340" spans="1:6" s="9" customFormat="1" x14ac:dyDescent="0.25">
      <c r="C340" s="5"/>
      <c r="E340" s="10"/>
      <c r="F340" s="8">
        <f>SUM(F336:F339)</f>
        <v>13860</v>
      </c>
    </row>
    <row r="341" spans="1:6" s="9" customFormat="1" x14ac:dyDescent="0.25">
      <c r="C341" s="5"/>
      <c r="E341" s="10"/>
      <c r="F341" s="10"/>
    </row>
    <row r="342" spans="1:6" s="9" customFormat="1" x14ac:dyDescent="0.25">
      <c r="A342" s="9" t="s">
        <v>418</v>
      </c>
      <c r="B342" s="4">
        <v>45754</v>
      </c>
      <c r="C342" s="5">
        <v>5</v>
      </c>
      <c r="D342" s="9" t="s">
        <v>13</v>
      </c>
      <c r="E342" s="10">
        <v>155</v>
      </c>
      <c r="F342" s="10">
        <f t="shared" si="5"/>
        <v>775</v>
      </c>
    </row>
    <row r="343" spans="1:6" s="9" customFormat="1" x14ac:dyDescent="0.25">
      <c r="C343" s="5"/>
      <c r="E343" s="10"/>
      <c r="F343" s="8">
        <f>SUM(F342)</f>
        <v>775</v>
      </c>
    </row>
    <row r="344" spans="1:6" s="9" customFormat="1" x14ac:dyDescent="0.25">
      <c r="C344" s="5"/>
      <c r="E344" s="10"/>
      <c r="F344" s="10"/>
    </row>
    <row r="345" spans="1:6" s="9" customFormat="1" x14ac:dyDescent="0.25">
      <c r="A345" s="9" t="s">
        <v>103</v>
      </c>
      <c r="B345" s="4">
        <v>45754</v>
      </c>
      <c r="C345" s="5">
        <v>5</v>
      </c>
      <c r="D345" s="9" t="s">
        <v>13</v>
      </c>
      <c r="E345" s="10">
        <v>150</v>
      </c>
      <c r="F345" s="10">
        <f t="shared" si="5"/>
        <v>750</v>
      </c>
    </row>
    <row r="346" spans="1:6" s="9" customFormat="1" x14ac:dyDescent="0.25">
      <c r="C346" s="5"/>
      <c r="E346" s="10"/>
      <c r="F346" s="8">
        <f>SUM(F345)</f>
        <v>750</v>
      </c>
    </row>
    <row r="347" spans="1:6" s="9" customFormat="1" x14ac:dyDescent="0.25">
      <c r="C347" s="5"/>
      <c r="E347" s="10"/>
      <c r="F347" s="10"/>
    </row>
    <row r="348" spans="1:6" s="9" customFormat="1" x14ac:dyDescent="0.25">
      <c r="A348" s="9" t="s">
        <v>419</v>
      </c>
      <c r="B348" s="4">
        <v>45754</v>
      </c>
      <c r="C348" s="5">
        <v>2</v>
      </c>
      <c r="D348" s="9" t="s">
        <v>8</v>
      </c>
      <c r="E348" s="10">
        <v>160</v>
      </c>
      <c r="F348" s="10">
        <f t="shared" si="5"/>
        <v>320</v>
      </c>
    </row>
    <row r="349" spans="1:6" s="9" customFormat="1" x14ac:dyDescent="0.25">
      <c r="C349" s="5">
        <v>2</v>
      </c>
      <c r="D349" s="9" t="s">
        <v>13</v>
      </c>
      <c r="E349" s="10">
        <v>140</v>
      </c>
      <c r="F349" s="10">
        <f t="shared" si="5"/>
        <v>280</v>
      </c>
    </row>
    <row r="350" spans="1:6" s="9" customFormat="1" x14ac:dyDescent="0.25">
      <c r="C350" s="5"/>
      <c r="E350" s="10"/>
      <c r="F350" s="8">
        <f>SUM(F348:F349)</f>
        <v>600</v>
      </c>
    </row>
    <row r="351" spans="1:6" s="9" customFormat="1" x14ac:dyDescent="0.25">
      <c r="C351" s="5"/>
      <c r="E351" s="10"/>
      <c r="F351" s="10"/>
    </row>
    <row r="352" spans="1:6" s="9" customFormat="1" x14ac:dyDescent="0.25">
      <c r="A352" s="9" t="s">
        <v>420</v>
      </c>
      <c r="B352" s="4">
        <v>45754</v>
      </c>
      <c r="C352" s="5">
        <v>5</v>
      </c>
      <c r="D352" s="9" t="s">
        <v>340</v>
      </c>
      <c r="E352" s="10">
        <v>170</v>
      </c>
      <c r="F352" s="10">
        <f t="shared" si="5"/>
        <v>850</v>
      </c>
    </row>
    <row r="353" spans="1:6" s="9" customFormat="1" x14ac:dyDescent="0.25">
      <c r="C353" s="5"/>
      <c r="E353" s="10"/>
      <c r="F353" s="8">
        <f>SUM(F352)</f>
        <v>850</v>
      </c>
    </row>
    <row r="354" spans="1:6" s="9" customFormat="1" x14ac:dyDescent="0.25">
      <c r="C354" s="5"/>
      <c r="E354" s="10"/>
      <c r="F354" s="10"/>
    </row>
    <row r="355" spans="1:6" s="9" customFormat="1" x14ac:dyDescent="0.25">
      <c r="A355" s="9" t="s">
        <v>421</v>
      </c>
      <c r="B355" s="4">
        <v>45754</v>
      </c>
      <c r="C355" s="5">
        <v>6</v>
      </c>
      <c r="D355" s="9" t="s">
        <v>422</v>
      </c>
      <c r="E355" s="10">
        <v>150</v>
      </c>
      <c r="F355" s="10">
        <f t="shared" si="5"/>
        <v>900</v>
      </c>
    </row>
    <row r="356" spans="1:6" s="9" customFormat="1" x14ac:dyDescent="0.25">
      <c r="C356" s="5"/>
      <c r="E356" s="10"/>
      <c r="F356" s="8">
        <f>SUM(F355)</f>
        <v>900</v>
      </c>
    </row>
    <row r="357" spans="1:6" s="9" customFormat="1" x14ac:dyDescent="0.25">
      <c r="C357" s="5"/>
      <c r="E357" s="10"/>
      <c r="F357" s="10"/>
    </row>
    <row r="358" spans="1:6" s="9" customFormat="1" x14ac:dyDescent="0.25">
      <c r="A358" s="9" t="s">
        <v>423</v>
      </c>
      <c r="B358" s="4">
        <v>45754</v>
      </c>
      <c r="C358" s="5">
        <v>6</v>
      </c>
      <c r="D358" s="9" t="s">
        <v>424</v>
      </c>
      <c r="E358" s="10">
        <v>100</v>
      </c>
      <c r="F358" s="10">
        <f t="shared" si="5"/>
        <v>600</v>
      </c>
    </row>
    <row r="359" spans="1:6" s="9" customFormat="1" x14ac:dyDescent="0.25">
      <c r="C359" s="5"/>
      <c r="E359" s="10"/>
      <c r="F359" s="8">
        <f>SUM(F358)</f>
        <v>600</v>
      </c>
    </row>
    <row r="360" spans="1:6" s="9" customFormat="1" x14ac:dyDescent="0.25">
      <c r="C360" s="5"/>
      <c r="E360" s="10"/>
      <c r="F360" s="10"/>
    </row>
    <row r="361" spans="1:6" s="9" customFormat="1" x14ac:dyDescent="0.25">
      <c r="A361" s="9" t="s">
        <v>88</v>
      </c>
      <c r="B361" s="4">
        <v>45754</v>
      </c>
      <c r="C361" s="5">
        <v>8</v>
      </c>
      <c r="D361" s="9" t="s">
        <v>425</v>
      </c>
      <c r="E361" s="10">
        <v>145</v>
      </c>
      <c r="F361" s="10">
        <f t="shared" si="5"/>
        <v>1160</v>
      </c>
    </row>
    <row r="362" spans="1:6" s="9" customFormat="1" x14ac:dyDescent="0.25">
      <c r="C362" s="5"/>
      <c r="E362" s="10"/>
      <c r="F362" s="8">
        <f>SUM(F361)</f>
        <v>1160</v>
      </c>
    </row>
    <row r="363" spans="1:6" s="9" customFormat="1" x14ac:dyDescent="0.25">
      <c r="C363" s="5"/>
      <c r="E363" s="10"/>
      <c r="F363" s="10"/>
    </row>
    <row r="364" spans="1:6" s="9" customFormat="1" x14ac:dyDescent="0.25">
      <c r="A364" s="9" t="s">
        <v>7</v>
      </c>
      <c r="B364" s="4">
        <v>45754</v>
      </c>
      <c r="C364" s="5">
        <v>10</v>
      </c>
      <c r="D364" s="9" t="s">
        <v>426</v>
      </c>
      <c r="E364" s="10">
        <v>103</v>
      </c>
      <c r="F364" s="10">
        <f t="shared" si="5"/>
        <v>1030</v>
      </c>
    </row>
    <row r="365" spans="1:6" s="9" customFormat="1" x14ac:dyDescent="0.25">
      <c r="C365" s="5"/>
      <c r="E365" s="10"/>
      <c r="F365" s="8">
        <f>SUM(F364)</f>
        <v>1030</v>
      </c>
    </row>
    <row r="366" spans="1:6" s="9" customFormat="1" x14ac:dyDescent="0.25">
      <c r="C366" s="5"/>
      <c r="E366" s="10"/>
      <c r="F366" s="10"/>
    </row>
    <row r="367" spans="1:6" s="9" customFormat="1" x14ac:dyDescent="0.25">
      <c r="A367" s="9" t="s">
        <v>270</v>
      </c>
      <c r="B367" s="4">
        <v>45754</v>
      </c>
      <c r="C367" s="5">
        <v>10</v>
      </c>
      <c r="D367" s="9" t="s">
        <v>275</v>
      </c>
      <c r="E367" s="10">
        <v>100</v>
      </c>
      <c r="F367" s="10">
        <f t="shared" si="5"/>
        <v>1000</v>
      </c>
    </row>
    <row r="368" spans="1:6" s="9" customFormat="1" x14ac:dyDescent="0.25">
      <c r="C368" s="5"/>
      <c r="E368" s="10"/>
      <c r="F368" s="8">
        <f>SUM(F367)</f>
        <v>1000</v>
      </c>
    </row>
    <row r="369" spans="1:6" s="9" customFormat="1" x14ac:dyDescent="0.25">
      <c r="C369" s="5"/>
      <c r="E369" s="10"/>
      <c r="F369" s="10"/>
    </row>
    <row r="370" spans="1:6" s="9" customFormat="1" x14ac:dyDescent="0.25">
      <c r="A370" s="9" t="s">
        <v>15</v>
      </c>
      <c r="B370" s="4">
        <v>45754</v>
      </c>
      <c r="C370" s="5">
        <v>60</v>
      </c>
      <c r="D370" s="9" t="s">
        <v>98</v>
      </c>
      <c r="E370" s="10">
        <v>85</v>
      </c>
      <c r="F370" s="10">
        <f t="shared" si="5"/>
        <v>5100</v>
      </c>
    </row>
    <row r="371" spans="1:6" s="9" customFormat="1" x14ac:dyDescent="0.25">
      <c r="C371" s="5"/>
      <c r="E371" s="10"/>
      <c r="F371" s="8">
        <f>SUM(F370)</f>
        <v>5100</v>
      </c>
    </row>
    <row r="372" spans="1:6" s="9" customFormat="1" x14ac:dyDescent="0.25">
      <c r="C372" s="5"/>
      <c r="E372" s="10"/>
      <c r="F372" s="10"/>
    </row>
    <row r="373" spans="1:6" s="9" customFormat="1" x14ac:dyDescent="0.25">
      <c r="A373" s="9" t="s">
        <v>386</v>
      </c>
      <c r="B373" s="4">
        <v>45754</v>
      </c>
      <c r="C373" s="5">
        <v>10</v>
      </c>
      <c r="D373" s="9" t="s">
        <v>98</v>
      </c>
      <c r="E373" s="10">
        <v>100</v>
      </c>
      <c r="F373" s="10">
        <f t="shared" si="5"/>
        <v>1000</v>
      </c>
    </row>
    <row r="374" spans="1:6" s="9" customFormat="1" x14ac:dyDescent="0.25">
      <c r="C374" s="5"/>
      <c r="E374" s="10"/>
      <c r="F374" s="8">
        <f>SUM(F373)</f>
        <v>1000</v>
      </c>
    </row>
    <row r="375" spans="1:6" s="9" customFormat="1" x14ac:dyDescent="0.25">
      <c r="C375" s="5"/>
      <c r="E375" s="10"/>
      <c r="F375" s="10"/>
    </row>
    <row r="376" spans="1:6" s="9" customFormat="1" x14ac:dyDescent="0.25">
      <c r="A376" s="9" t="s">
        <v>79</v>
      </c>
      <c r="B376" s="4">
        <v>45754</v>
      </c>
      <c r="C376" s="5">
        <v>25</v>
      </c>
      <c r="D376" s="9" t="s">
        <v>13</v>
      </c>
      <c r="E376" s="10">
        <v>140</v>
      </c>
      <c r="F376" s="10">
        <f t="shared" si="5"/>
        <v>3500</v>
      </c>
    </row>
    <row r="377" spans="1:6" s="9" customFormat="1" x14ac:dyDescent="0.25">
      <c r="C377" s="5"/>
      <c r="E377" s="10"/>
      <c r="F377" s="8">
        <f>SUM(F376)</f>
        <v>3500</v>
      </c>
    </row>
    <row r="378" spans="1:6" s="9" customFormat="1" x14ac:dyDescent="0.25">
      <c r="C378" s="5"/>
      <c r="E378" s="10"/>
      <c r="F378" s="10"/>
    </row>
    <row r="379" spans="1:6" s="9" customFormat="1" x14ac:dyDescent="0.25">
      <c r="A379" s="9" t="s">
        <v>427</v>
      </c>
      <c r="B379" s="4">
        <v>45754</v>
      </c>
      <c r="C379" s="5">
        <v>10</v>
      </c>
      <c r="D379" s="9" t="s">
        <v>13</v>
      </c>
      <c r="E379" s="10">
        <v>140</v>
      </c>
      <c r="F379" s="10">
        <f t="shared" si="5"/>
        <v>1400</v>
      </c>
    </row>
    <row r="380" spans="1:6" s="9" customFormat="1" x14ac:dyDescent="0.25">
      <c r="C380" s="5"/>
      <c r="E380" s="10"/>
      <c r="F380" s="8">
        <f>SUM(F379)</f>
        <v>1400</v>
      </c>
    </row>
    <row r="381" spans="1:6" s="9" customFormat="1" x14ac:dyDescent="0.25">
      <c r="C381" s="5"/>
      <c r="E381" s="10"/>
      <c r="F381" s="10"/>
    </row>
    <row r="382" spans="1:6" s="9" customFormat="1" x14ac:dyDescent="0.25">
      <c r="A382" s="9" t="s">
        <v>18</v>
      </c>
      <c r="B382" s="4">
        <v>45754</v>
      </c>
      <c r="C382" s="5">
        <v>8</v>
      </c>
      <c r="D382" s="9" t="s">
        <v>13</v>
      </c>
      <c r="E382" s="10">
        <v>140</v>
      </c>
      <c r="F382" s="10">
        <f t="shared" si="5"/>
        <v>1120</v>
      </c>
    </row>
    <row r="383" spans="1:6" s="9" customFormat="1" x14ac:dyDescent="0.25">
      <c r="C383" s="5"/>
      <c r="E383" s="10"/>
      <c r="F383" s="8">
        <f>SUM(F382)</f>
        <v>1120</v>
      </c>
    </row>
    <row r="384" spans="1:6" s="9" customFormat="1" x14ac:dyDescent="0.25">
      <c r="C384" s="5"/>
      <c r="E384" s="10"/>
      <c r="F384" s="10"/>
    </row>
    <row r="385" spans="1:6" s="9" customFormat="1" x14ac:dyDescent="0.25">
      <c r="A385" s="9" t="s">
        <v>20</v>
      </c>
      <c r="B385" s="4">
        <v>45754</v>
      </c>
      <c r="C385" s="5">
        <v>20</v>
      </c>
      <c r="D385" s="9" t="s">
        <v>13</v>
      </c>
      <c r="E385" s="10">
        <v>130</v>
      </c>
      <c r="F385" s="10">
        <f t="shared" si="5"/>
        <v>2600</v>
      </c>
    </row>
    <row r="386" spans="1:6" s="9" customFormat="1" x14ac:dyDescent="0.25">
      <c r="C386" s="5"/>
      <c r="E386" s="10"/>
      <c r="F386" s="8">
        <f>SUM(F385)</f>
        <v>2600</v>
      </c>
    </row>
    <row r="387" spans="1:6" s="9" customFormat="1" x14ac:dyDescent="0.25">
      <c r="C387" s="5"/>
      <c r="E387" s="10"/>
      <c r="F387" s="10"/>
    </row>
    <row r="388" spans="1:6" s="9" customFormat="1" x14ac:dyDescent="0.25">
      <c r="A388" s="9" t="s">
        <v>406</v>
      </c>
      <c r="B388" s="4">
        <v>45754</v>
      </c>
      <c r="C388" s="5">
        <v>10</v>
      </c>
      <c r="D388" s="9" t="s">
        <v>13</v>
      </c>
      <c r="E388" s="10">
        <v>140</v>
      </c>
      <c r="F388" s="10">
        <f t="shared" si="5"/>
        <v>1400</v>
      </c>
    </row>
    <row r="389" spans="1:6" s="9" customFormat="1" x14ac:dyDescent="0.25">
      <c r="C389" s="5"/>
      <c r="E389" s="10"/>
      <c r="F389" s="8">
        <f>SUM(F388)</f>
        <v>1400</v>
      </c>
    </row>
    <row r="390" spans="1:6" s="9" customFormat="1" x14ac:dyDescent="0.25">
      <c r="C390" s="5"/>
      <c r="E390" s="10"/>
      <c r="F390" s="10"/>
    </row>
    <row r="391" spans="1:6" s="9" customFormat="1" x14ac:dyDescent="0.25">
      <c r="A391" s="9" t="s">
        <v>21</v>
      </c>
      <c r="B391" s="4">
        <v>45754</v>
      </c>
      <c r="C391" s="5">
        <v>36</v>
      </c>
      <c r="D391" s="9" t="s">
        <v>22</v>
      </c>
      <c r="E391" s="10">
        <v>100</v>
      </c>
      <c r="F391" s="10">
        <f t="shared" ref="F391:F452" si="6">+C391*E391</f>
        <v>3600</v>
      </c>
    </row>
    <row r="392" spans="1:6" s="9" customFormat="1" x14ac:dyDescent="0.25">
      <c r="C392" s="5">
        <v>10</v>
      </c>
      <c r="D392" s="9" t="s">
        <v>14</v>
      </c>
      <c r="E392" s="10">
        <v>125</v>
      </c>
      <c r="F392" s="10">
        <f t="shared" si="6"/>
        <v>1250</v>
      </c>
    </row>
    <row r="393" spans="1:6" s="9" customFormat="1" x14ac:dyDescent="0.25">
      <c r="C393" s="5">
        <v>10</v>
      </c>
      <c r="D393" s="9" t="s">
        <v>12</v>
      </c>
      <c r="E393" s="10">
        <v>120</v>
      </c>
      <c r="F393" s="10">
        <f t="shared" si="6"/>
        <v>1200</v>
      </c>
    </row>
    <row r="394" spans="1:6" s="9" customFormat="1" x14ac:dyDescent="0.25">
      <c r="C394" s="5">
        <v>15</v>
      </c>
      <c r="D394" s="9" t="s">
        <v>13</v>
      </c>
      <c r="E394" s="10">
        <v>135</v>
      </c>
      <c r="F394" s="10">
        <f t="shared" si="6"/>
        <v>2025</v>
      </c>
    </row>
    <row r="395" spans="1:6" s="9" customFormat="1" x14ac:dyDescent="0.25">
      <c r="C395" s="5"/>
      <c r="E395" s="10"/>
      <c r="F395" s="8">
        <f>SUM(F391:F394)</f>
        <v>8075</v>
      </c>
    </row>
    <row r="396" spans="1:6" s="9" customFormat="1" x14ac:dyDescent="0.25">
      <c r="C396" s="5"/>
      <c r="E396" s="10"/>
      <c r="F396" s="10"/>
    </row>
    <row r="397" spans="1:6" s="9" customFormat="1" x14ac:dyDescent="0.25">
      <c r="A397" s="9" t="s">
        <v>428</v>
      </c>
      <c r="B397" s="4">
        <v>45754</v>
      </c>
      <c r="C397" s="5">
        <v>5</v>
      </c>
      <c r="D397" s="9" t="s">
        <v>13</v>
      </c>
      <c r="E397" s="10">
        <v>135</v>
      </c>
      <c r="F397" s="10">
        <f t="shared" si="6"/>
        <v>675</v>
      </c>
    </row>
    <row r="398" spans="1:6" s="9" customFormat="1" x14ac:dyDescent="0.25">
      <c r="C398" s="5"/>
      <c r="E398" s="10"/>
      <c r="F398" s="8">
        <f>SUM(F397)</f>
        <v>675</v>
      </c>
    </row>
    <row r="399" spans="1:6" s="9" customFormat="1" x14ac:dyDescent="0.25">
      <c r="C399" s="5"/>
      <c r="E399" s="10"/>
      <c r="F399" s="10"/>
    </row>
    <row r="400" spans="1:6" s="9" customFormat="1" x14ac:dyDescent="0.25">
      <c r="A400" s="9" t="s">
        <v>40</v>
      </c>
      <c r="B400" s="4">
        <v>45754</v>
      </c>
      <c r="C400" s="5">
        <v>22</v>
      </c>
      <c r="D400" s="9" t="s">
        <v>8</v>
      </c>
      <c r="E400" s="10">
        <v>150</v>
      </c>
      <c r="F400" s="10">
        <f t="shared" si="6"/>
        <v>3300</v>
      </c>
    </row>
    <row r="401" spans="1:6" s="9" customFormat="1" x14ac:dyDescent="0.25">
      <c r="C401" s="5">
        <v>20</v>
      </c>
      <c r="D401" s="9" t="s">
        <v>14</v>
      </c>
      <c r="E401" s="10">
        <v>125</v>
      </c>
      <c r="F401" s="10">
        <f t="shared" si="6"/>
        <v>2500</v>
      </c>
    </row>
    <row r="402" spans="1:6" s="9" customFormat="1" x14ac:dyDescent="0.25">
      <c r="C402" s="5">
        <v>15</v>
      </c>
      <c r="D402" s="9" t="s">
        <v>429</v>
      </c>
      <c r="E402" s="10">
        <v>115</v>
      </c>
      <c r="F402" s="10">
        <f t="shared" si="6"/>
        <v>1725</v>
      </c>
    </row>
    <row r="403" spans="1:6" s="9" customFormat="1" x14ac:dyDescent="0.25">
      <c r="C403" s="5">
        <v>15</v>
      </c>
      <c r="D403" s="9" t="s">
        <v>11</v>
      </c>
      <c r="E403" s="10">
        <v>115</v>
      </c>
      <c r="F403" s="10">
        <f t="shared" si="6"/>
        <v>1725</v>
      </c>
    </row>
    <row r="404" spans="1:6" s="9" customFormat="1" x14ac:dyDescent="0.25">
      <c r="C404" s="5"/>
      <c r="E404" s="10"/>
      <c r="F404" s="8">
        <f>SUM(F400:F403)</f>
        <v>9250</v>
      </c>
    </row>
    <row r="405" spans="1:6" s="9" customFormat="1" x14ac:dyDescent="0.25">
      <c r="C405" s="5"/>
      <c r="E405" s="10"/>
      <c r="F405" s="10"/>
    </row>
    <row r="406" spans="1:6" s="9" customFormat="1" x14ac:dyDescent="0.25">
      <c r="A406" s="9" t="s">
        <v>245</v>
      </c>
      <c r="B406" s="4">
        <v>45754</v>
      </c>
      <c r="C406" s="5">
        <v>60</v>
      </c>
      <c r="D406" s="9" t="s">
        <v>13</v>
      </c>
      <c r="E406" s="10">
        <v>140</v>
      </c>
      <c r="F406" s="10">
        <f t="shared" si="6"/>
        <v>8400</v>
      </c>
    </row>
    <row r="407" spans="1:6" s="9" customFormat="1" x14ac:dyDescent="0.25">
      <c r="C407" s="5">
        <v>10</v>
      </c>
      <c r="D407" s="9" t="s">
        <v>14</v>
      </c>
      <c r="E407" s="10">
        <v>130</v>
      </c>
      <c r="F407" s="10">
        <f t="shared" si="6"/>
        <v>1300</v>
      </c>
    </row>
    <row r="408" spans="1:6" s="9" customFormat="1" x14ac:dyDescent="0.25">
      <c r="C408" s="5"/>
      <c r="E408" s="10"/>
      <c r="F408" s="8">
        <f>SUM(F406:F407)</f>
        <v>9700</v>
      </c>
    </row>
    <row r="409" spans="1:6" s="9" customFormat="1" x14ac:dyDescent="0.25">
      <c r="C409" s="5"/>
      <c r="E409" s="10"/>
      <c r="F409" s="10"/>
    </row>
    <row r="410" spans="1:6" s="9" customFormat="1" x14ac:dyDescent="0.25">
      <c r="A410" s="9" t="s">
        <v>7</v>
      </c>
      <c r="B410" s="4">
        <v>45754</v>
      </c>
      <c r="C410" s="5">
        <v>4</v>
      </c>
      <c r="D410" s="9" t="s">
        <v>14</v>
      </c>
      <c r="E410" s="10">
        <v>125</v>
      </c>
      <c r="F410" s="10">
        <f t="shared" si="6"/>
        <v>500</v>
      </c>
    </row>
    <row r="411" spans="1:6" s="9" customFormat="1" x14ac:dyDescent="0.25">
      <c r="C411" s="5"/>
      <c r="E411" s="10"/>
      <c r="F411" s="8">
        <f>SUM(F410)</f>
        <v>500</v>
      </c>
    </row>
    <row r="412" spans="1:6" s="9" customFormat="1" x14ac:dyDescent="0.25">
      <c r="C412" s="5"/>
      <c r="E412" s="10"/>
      <c r="F412" s="10"/>
    </row>
    <row r="413" spans="1:6" s="9" customFormat="1" x14ac:dyDescent="0.25">
      <c r="A413" s="9" t="s">
        <v>44</v>
      </c>
      <c r="B413" s="4">
        <v>45754</v>
      </c>
      <c r="C413" s="5">
        <v>60</v>
      </c>
      <c r="D413" s="9" t="s">
        <v>14</v>
      </c>
      <c r="E413" s="10">
        <v>125</v>
      </c>
      <c r="F413" s="10">
        <f t="shared" si="6"/>
        <v>7500</v>
      </c>
    </row>
    <row r="414" spans="1:6" s="9" customFormat="1" x14ac:dyDescent="0.25">
      <c r="C414" s="5"/>
      <c r="E414" s="10"/>
      <c r="F414" s="8">
        <f>SUM(F413)</f>
        <v>7500</v>
      </c>
    </row>
    <row r="415" spans="1:6" s="9" customFormat="1" x14ac:dyDescent="0.25">
      <c r="C415" s="5"/>
      <c r="E415" s="10"/>
      <c r="F415" s="10"/>
    </row>
    <row r="416" spans="1:6" s="9" customFormat="1" x14ac:dyDescent="0.25">
      <c r="A416" s="9" t="s">
        <v>368</v>
      </c>
      <c r="B416" s="4">
        <v>45754</v>
      </c>
      <c r="C416" s="5">
        <v>10</v>
      </c>
      <c r="D416" s="9" t="s">
        <v>14</v>
      </c>
      <c r="E416" s="10">
        <v>125</v>
      </c>
      <c r="F416" s="10">
        <f t="shared" si="6"/>
        <v>1250</v>
      </c>
    </row>
    <row r="417" spans="1:6" s="9" customFormat="1" x14ac:dyDescent="0.25">
      <c r="C417" s="5"/>
      <c r="E417" s="10"/>
      <c r="F417" s="8">
        <f>SUM(F416)</f>
        <v>1250</v>
      </c>
    </row>
    <row r="418" spans="1:6" s="9" customFormat="1" x14ac:dyDescent="0.25">
      <c r="C418" s="5"/>
      <c r="E418" s="10"/>
      <c r="F418" s="10"/>
    </row>
    <row r="419" spans="1:6" s="9" customFormat="1" x14ac:dyDescent="0.25">
      <c r="A419" s="9" t="s">
        <v>46</v>
      </c>
      <c r="B419" s="4">
        <v>45754</v>
      </c>
      <c r="C419" s="5">
        <v>20</v>
      </c>
      <c r="D419" s="9" t="s">
        <v>14</v>
      </c>
      <c r="E419" s="10">
        <v>125</v>
      </c>
      <c r="F419" s="10">
        <f t="shared" si="6"/>
        <v>2500</v>
      </c>
    </row>
    <row r="420" spans="1:6" s="9" customFormat="1" x14ac:dyDescent="0.25">
      <c r="C420" s="5"/>
      <c r="E420" s="10"/>
      <c r="F420" s="8">
        <f>SUM(F419)</f>
        <v>2500</v>
      </c>
    </row>
    <row r="421" spans="1:6" s="9" customFormat="1" x14ac:dyDescent="0.25">
      <c r="C421" s="5"/>
      <c r="E421" s="10"/>
      <c r="F421" s="10"/>
    </row>
    <row r="422" spans="1:6" s="9" customFormat="1" x14ac:dyDescent="0.25">
      <c r="A422" s="9" t="s">
        <v>41</v>
      </c>
      <c r="B422" s="4">
        <v>45754</v>
      </c>
      <c r="C422" s="22">
        <v>30</v>
      </c>
      <c r="D422" s="9" t="s">
        <v>14</v>
      </c>
      <c r="E422" s="10">
        <v>130</v>
      </c>
      <c r="F422" s="10">
        <f t="shared" si="6"/>
        <v>3900</v>
      </c>
    </row>
    <row r="423" spans="1:6" s="9" customFormat="1" x14ac:dyDescent="0.25">
      <c r="C423" s="5"/>
      <c r="E423" s="10"/>
      <c r="F423" s="8">
        <f>SUM(F422)</f>
        <v>3900</v>
      </c>
    </row>
    <row r="424" spans="1:6" s="9" customFormat="1" x14ac:dyDescent="0.25">
      <c r="C424" s="5"/>
      <c r="E424" s="10"/>
      <c r="F424" s="10"/>
    </row>
    <row r="425" spans="1:6" s="9" customFormat="1" x14ac:dyDescent="0.25">
      <c r="A425" s="9" t="s">
        <v>251</v>
      </c>
      <c r="B425" s="4">
        <v>45754</v>
      </c>
      <c r="C425" s="5">
        <v>40</v>
      </c>
      <c r="D425" s="9" t="s">
        <v>12</v>
      </c>
      <c r="E425" s="10">
        <v>130</v>
      </c>
      <c r="F425" s="10">
        <f t="shared" si="6"/>
        <v>5200</v>
      </c>
    </row>
    <row r="426" spans="1:6" s="9" customFormat="1" x14ac:dyDescent="0.25">
      <c r="C426" s="5">
        <v>10</v>
      </c>
      <c r="D426" s="9" t="s">
        <v>14</v>
      </c>
      <c r="E426" s="10">
        <v>125</v>
      </c>
      <c r="F426" s="10">
        <f t="shared" si="6"/>
        <v>1250</v>
      </c>
    </row>
    <row r="427" spans="1:6" s="9" customFormat="1" x14ac:dyDescent="0.25">
      <c r="C427" s="5"/>
      <c r="E427" s="10"/>
      <c r="F427" s="8">
        <f>SUM(F425:F426)</f>
        <v>6450</v>
      </c>
    </row>
    <row r="428" spans="1:6" s="9" customFormat="1" x14ac:dyDescent="0.25">
      <c r="C428" s="5"/>
      <c r="E428" s="10"/>
      <c r="F428" s="10"/>
    </row>
    <row r="429" spans="1:6" s="9" customFormat="1" x14ac:dyDescent="0.25">
      <c r="A429" s="9" t="s">
        <v>43</v>
      </c>
      <c r="B429" s="4">
        <v>45754</v>
      </c>
      <c r="C429" s="5">
        <v>20</v>
      </c>
      <c r="D429" s="9" t="s">
        <v>49</v>
      </c>
      <c r="E429" s="10">
        <v>135</v>
      </c>
      <c r="F429" s="10">
        <f t="shared" si="6"/>
        <v>2700</v>
      </c>
    </row>
    <row r="430" spans="1:6" s="9" customFormat="1" x14ac:dyDescent="0.25">
      <c r="C430" s="5">
        <v>10</v>
      </c>
      <c r="D430" s="9" t="s">
        <v>14</v>
      </c>
      <c r="E430" s="10">
        <v>125</v>
      </c>
      <c r="F430" s="10">
        <f t="shared" si="6"/>
        <v>1250</v>
      </c>
    </row>
    <row r="431" spans="1:6" s="9" customFormat="1" x14ac:dyDescent="0.25">
      <c r="C431" s="5">
        <v>10</v>
      </c>
      <c r="D431" s="9" t="s">
        <v>430</v>
      </c>
      <c r="E431" s="10">
        <v>140</v>
      </c>
      <c r="F431" s="10">
        <f t="shared" si="6"/>
        <v>1400</v>
      </c>
    </row>
    <row r="432" spans="1:6" s="9" customFormat="1" x14ac:dyDescent="0.25">
      <c r="C432" s="5"/>
      <c r="E432" s="10"/>
      <c r="F432" s="8">
        <f>SUM(F429:F431)</f>
        <v>5350</v>
      </c>
    </row>
    <row r="433" spans="1:6" s="9" customFormat="1" x14ac:dyDescent="0.25">
      <c r="C433" s="5"/>
      <c r="E433" s="10"/>
      <c r="F433" s="10"/>
    </row>
    <row r="434" spans="1:6" s="9" customFormat="1" x14ac:dyDescent="0.25">
      <c r="A434" s="9" t="s">
        <v>431</v>
      </c>
      <c r="B434" s="4">
        <v>45754</v>
      </c>
      <c r="C434" s="5">
        <v>30</v>
      </c>
      <c r="D434" s="9" t="s">
        <v>14</v>
      </c>
      <c r="E434" s="10">
        <v>125</v>
      </c>
      <c r="F434" s="10">
        <f t="shared" si="6"/>
        <v>3750</v>
      </c>
    </row>
    <row r="435" spans="1:6" s="9" customFormat="1" x14ac:dyDescent="0.25">
      <c r="C435" s="5"/>
      <c r="E435" s="10"/>
      <c r="F435" s="8">
        <f>SUM(F434)</f>
        <v>3750</v>
      </c>
    </row>
    <row r="436" spans="1:6" s="9" customFormat="1" x14ac:dyDescent="0.25">
      <c r="C436" s="5"/>
      <c r="E436" s="10"/>
      <c r="F436" s="10"/>
    </row>
    <row r="437" spans="1:6" s="9" customFormat="1" x14ac:dyDescent="0.25">
      <c r="A437" s="9" t="s">
        <v>32</v>
      </c>
      <c r="B437" s="4">
        <v>45754</v>
      </c>
      <c r="C437" s="5">
        <v>30</v>
      </c>
      <c r="D437" s="9" t="s">
        <v>432</v>
      </c>
      <c r="E437" s="10">
        <v>140</v>
      </c>
      <c r="F437" s="10">
        <f t="shared" si="6"/>
        <v>4200</v>
      </c>
    </row>
    <row r="438" spans="1:6" s="9" customFormat="1" x14ac:dyDescent="0.25">
      <c r="C438" s="5">
        <v>5</v>
      </c>
      <c r="D438" s="9" t="s">
        <v>432</v>
      </c>
      <c r="E438" s="10">
        <v>140</v>
      </c>
      <c r="F438" s="10">
        <f t="shared" si="6"/>
        <v>700</v>
      </c>
    </row>
    <row r="439" spans="1:6" s="9" customFormat="1" x14ac:dyDescent="0.25">
      <c r="C439" s="5"/>
      <c r="E439" s="10"/>
      <c r="F439" s="8">
        <f>SUM(F437:F438)</f>
        <v>4900</v>
      </c>
    </row>
    <row r="440" spans="1:6" s="9" customFormat="1" x14ac:dyDescent="0.25">
      <c r="C440" s="5"/>
      <c r="E440" s="10"/>
      <c r="F440" s="10"/>
    </row>
    <row r="441" spans="1:6" s="9" customFormat="1" x14ac:dyDescent="0.25">
      <c r="A441" s="9" t="s">
        <v>101</v>
      </c>
      <c r="B441" s="4">
        <v>45754</v>
      </c>
      <c r="C441" s="5">
        <v>8</v>
      </c>
      <c r="D441" s="9" t="s">
        <v>12</v>
      </c>
      <c r="E441" s="10">
        <v>140</v>
      </c>
      <c r="F441" s="10">
        <f t="shared" si="6"/>
        <v>1120</v>
      </c>
    </row>
    <row r="442" spans="1:6" s="9" customFormat="1" x14ac:dyDescent="0.25">
      <c r="C442" s="5">
        <v>2</v>
      </c>
      <c r="D442" s="9" t="s">
        <v>22</v>
      </c>
      <c r="E442" s="10">
        <v>120</v>
      </c>
      <c r="F442" s="10">
        <f t="shared" si="6"/>
        <v>240</v>
      </c>
    </row>
    <row r="443" spans="1:6" s="9" customFormat="1" x14ac:dyDescent="0.25">
      <c r="C443" s="5">
        <v>1</v>
      </c>
      <c r="D443" s="9" t="s">
        <v>12</v>
      </c>
      <c r="E443" s="10">
        <v>150</v>
      </c>
      <c r="F443" s="10">
        <f t="shared" si="6"/>
        <v>150</v>
      </c>
    </row>
    <row r="444" spans="1:6" s="9" customFormat="1" x14ac:dyDescent="0.25">
      <c r="C444" s="5">
        <v>1</v>
      </c>
      <c r="D444" s="9" t="s">
        <v>12</v>
      </c>
      <c r="E444" s="10">
        <v>150</v>
      </c>
      <c r="F444" s="10">
        <f t="shared" si="6"/>
        <v>150</v>
      </c>
    </row>
    <row r="445" spans="1:6" s="9" customFormat="1" x14ac:dyDescent="0.25">
      <c r="C445" s="5">
        <v>1</v>
      </c>
      <c r="D445" s="9" t="s">
        <v>13</v>
      </c>
      <c r="E445" s="10">
        <v>120</v>
      </c>
      <c r="F445" s="10">
        <f t="shared" si="6"/>
        <v>120</v>
      </c>
    </row>
    <row r="446" spans="1:6" s="9" customFormat="1" x14ac:dyDescent="0.25">
      <c r="C446" s="5"/>
      <c r="E446" s="10"/>
      <c r="F446" s="8">
        <f>SUM(F441:F445)</f>
        <v>1780</v>
      </c>
    </row>
    <row r="447" spans="1:6" s="9" customFormat="1" x14ac:dyDescent="0.25">
      <c r="C447" s="5"/>
      <c r="E447" s="10"/>
      <c r="F447" s="10"/>
    </row>
    <row r="448" spans="1:6" s="9" customFormat="1" x14ac:dyDescent="0.25">
      <c r="A448" s="9" t="s">
        <v>7</v>
      </c>
      <c r="B448" s="4">
        <v>45754</v>
      </c>
      <c r="C448" s="5">
        <v>2</v>
      </c>
      <c r="D448" s="9" t="s">
        <v>91</v>
      </c>
      <c r="E448" s="10">
        <v>100</v>
      </c>
      <c r="F448" s="10">
        <f t="shared" si="6"/>
        <v>200</v>
      </c>
    </row>
    <row r="449" spans="1:6" s="9" customFormat="1" x14ac:dyDescent="0.25">
      <c r="C449" s="5">
        <v>3</v>
      </c>
      <c r="D449" s="9" t="s">
        <v>13</v>
      </c>
      <c r="E449" s="10">
        <v>140</v>
      </c>
      <c r="F449" s="10">
        <f t="shared" si="6"/>
        <v>420</v>
      </c>
    </row>
    <row r="450" spans="1:6" s="9" customFormat="1" x14ac:dyDescent="0.25">
      <c r="C450" s="5"/>
      <c r="E450" s="10"/>
      <c r="F450" s="8">
        <f>SUM(F448:F449)</f>
        <v>620</v>
      </c>
    </row>
    <row r="451" spans="1:6" s="9" customFormat="1" x14ac:dyDescent="0.25">
      <c r="C451" s="5"/>
      <c r="E451" s="10"/>
      <c r="F451" s="10"/>
    </row>
    <row r="452" spans="1:6" s="9" customFormat="1" x14ac:dyDescent="0.25">
      <c r="A452" s="9" t="s">
        <v>59</v>
      </c>
      <c r="B452" s="4">
        <v>45755</v>
      </c>
      <c r="C452" s="5">
        <v>30</v>
      </c>
      <c r="D452" s="9" t="s">
        <v>13</v>
      </c>
      <c r="E452" s="10">
        <v>140</v>
      </c>
      <c r="F452" s="10">
        <f t="shared" si="6"/>
        <v>4200</v>
      </c>
    </row>
    <row r="453" spans="1:6" s="9" customFormat="1" x14ac:dyDescent="0.25">
      <c r="C453" s="5">
        <v>1</v>
      </c>
      <c r="D453" s="9" t="s">
        <v>318</v>
      </c>
      <c r="E453" s="10">
        <v>0</v>
      </c>
      <c r="F453" s="10">
        <f t="shared" ref="F453:F514" si="7">+C453*E453</f>
        <v>0</v>
      </c>
    </row>
    <row r="454" spans="1:6" s="9" customFormat="1" x14ac:dyDescent="0.25">
      <c r="C454" s="5"/>
      <c r="E454" s="10"/>
      <c r="F454" s="8">
        <f>SUM(F452:F453)</f>
        <v>4200</v>
      </c>
    </row>
    <row r="455" spans="1:6" s="9" customFormat="1" x14ac:dyDescent="0.25">
      <c r="C455" s="5"/>
      <c r="E455" s="10"/>
      <c r="F455" s="10"/>
    </row>
    <row r="456" spans="1:6" s="9" customFormat="1" x14ac:dyDescent="0.25">
      <c r="A456" s="9" t="s">
        <v>61</v>
      </c>
      <c r="B456" s="4">
        <v>45755</v>
      </c>
      <c r="C456" s="5">
        <v>50</v>
      </c>
      <c r="D456" s="9" t="s">
        <v>13</v>
      </c>
      <c r="E456" s="10">
        <v>140</v>
      </c>
      <c r="F456" s="10">
        <f t="shared" si="7"/>
        <v>7000</v>
      </c>
    </row>
    <row r="457" spans="1:6" s="9" customFormat="1" x14ac:dyDescent="0.25">
      <c r="C457" s="5">
        <v>2</v>
      </c>
      <c r="D457" s="9" t="s">
        <v>135</v>
      </c>
      <c r="E457" s="10">
        <v>0</v>
      </c>
      <c r="F457" s="10">
        <f t="shared" si="7"/>
        <v>0</v>
      </c>
    </row>
    <row r="458" spans="1:6" s="9" customFormat="1" x14ac:dyDescent="0.25">
      <c r="C458" s="5"/>
      <c r="E458" s="10"/>
      <c r="F458" s="8">
        <f>SUM(F456:F457)</f>
        <v>7000</v>
      </c>
    </row>
    <row r="459" spans="1:6" s="9" customFormat="1" x14ac:dyDescent="0.25">
      <c r="C459" s="5"/>
      <c r="E459" s="10"/>
      <c r="F459" s="10"/>
    </row>
    <row r="460" spans="1:6" s="9" customFormat="1" x14ac:dyDescent="0.25">
      <c r="A460" s="9" t="s">
        <v>111</v>
      </c>
      <c r="B460" s="4">
        <v>45755</v>
      </c>
      <c r="C460" s="5">
        <v>20</v>
      </c>
      <c r="D460" s="9" t="s">
        <v>13</v>
      </c>
      <c r="E460" s="10">
        <v>140</v>
      </c>
      <c r="F460" s="10">
        <f t="shared" si="7"/>
        <v>2800</v>
      </c>
    </row>
    <row r="461" spans="1:6" s="9" customFormat="1" x14ac:dyDescent="0.25">
      <c r="C461" s="5">
        <v>0.2</v>
      </c>
      <c r="D461" s="9" t="s">
        <v>433</v>
      </c>
      <c r="E461" s="10">
        <v>0</v>
      </c>
      <c r="F461" s="10">
        <f t="shared" si="7"/>
        <v>0</v>
      </c>
    </row>
    <row r="462" spans="1:6" s="9" customFormat="1" x14ac:dyDescent="0.25">
      <c r="C462" s="5"/>
      <c r="E462" s="10"/>
      <c r="F462" s="8">
        <f>SUM(F460:F461)</f>
        <v>2800</v>
      </c>
    </row>
    <row r="463" spans="1:6" s="9" customFormat="1" x14ac:dyDescent="0.25">
      <c r="C463" s="5"/>
      <c r="E463" s="10"/>
      <c r="F463" s="10"/>
    </row>
    <row r="464" spans="1:6" s="9" customFormat="1" x14ac:dyDescent="0.25">
      <c r="A464" s="9" t="s">
        <v>434</v>
      </c>
      <c r="B464" s="4">
        <v>45755</v>
      </c>
      <c r="C464" s="5">
        <v>5</v>
      </c>
      <c r="D464" s="9" t="s">
        <v>12</v>
      </c>
      <c r="E464" s="10">
        <v>135</v>
      </c>
      <c r="F464" s="10">
        <f t="shared" si="7"/>
        <v>675</v>
      </c>
    </row>
    <row r="465" spans="1:6" s="9" customFormat="1" x14ac:dyDescent="0.25">
      <c r="C465" s="5"/>
      <c r="E465" s="10"/>
      <c r="F465" s="8">
        <f>SUM(F464)</f>
        <v>675</v>
      </c>
    </row>
    <row r="466" spans="1:6" s="9" customFormat="1" x14ac:dyDescent="0.25">
      <c r="C466" s="5"/>
      <c r="E466" s="10"/>
      <c r="F466" s="10"/>
    </row>
    <row r="467" spans="1:6" s="9" customFormat="1" x14ac:dyDescent="0.25">
      <c r="A467" s="9" t="s">
        <v>140</v>
      </c>
      <c r="B467" s="4">
        <v>45755</v>
      </c>
      <c r="C467" s="5">
        <v>150</v>
      </c>
      <c r="D467" s="9" t="s">
        <v>13</v>
      </c>
      <c r="E467" s="10">
        <v>135</v>
      </c>
      <c r="F467" s="10">
        <f t="shared" si="7"/>
        <v>20250</v>
      </c>
    </row>
    <row r="468" spans="1:6" s="9" customFormat="1" x14ac:dyDescent="0.25">
      <c r="C468" s="5">
        <v>70</v>
      </c>
      <c r="D468" s="9" t="s">
        <v>49</v>
      </c>
      <c r="E468" s="10">
        <v>145</v>
      </c>
      <c r="F468" s="10">
        <f t="shared" si="7"/>
        <v>10150</v>
      </c>
    </row>
    <row r="469" spans="1:6" s="9" customFormat="1" x14ac:dyDescent="0.25">
      <c r="C469" s="5">
        <v>200</v>
      </c>
      <c r="D469" s="9" t="s">
        <v>12</v>
      </c>
      <c r="E469" s="10">
        <v>125</v>
      </c>
      <c r="F469" s="10">
        <f t="shared" si="7"/>
        <v>25000</v>
      </c>
    </row>
    <row r="470" spans="1:6" s="9" customFormat="1" x14ac:dyDescent="0.25">
      <c r="C470" s="5">
        <v>120</v>
      </c>
      <c r="D470" s="9" t="s">
        <v>11</v>
      </c>
      <c r="E470" s="10">
        <v>120</v>
      </c>
      <c r="F470" s="10">
        <f t="shared" si="7"/>
        <v>14400</v>
      </c>
    </row>
    <row r="471" spans="1:6" s="9" customFormat="1" x14ac:dyDescent="0.25">
      <c r="C471" s="5">
        <v>80</v>
      </c>
      <c r="D471" s="9" t="s">
        <v>8</v>
      </c>
      <c r="E471" s="10">
        <v>150</v>
      </c>
      <c r="F471" s="10">
        <f t="shared" si="7"/>
        <v>12000</v>
      </c>
    </row>
    <row r="472" spans="1:6" s="9" customFormat="1" x14ac:dyDescent="0.25">
      <c r="C472" s="5">
        <v>50</v>
      </c>
      <c r="D472" s="9" t="s">
        <v>435</v>
      </c>
      <c r="E472" s="10">
        <v>100</v>
      </c>
      <c r="F472" s="10">
        <f t="shared" si="7"/>
        <v>5000</v>
      </c>
    </row>
    <row r="473" spans="1:6" s="9" customFormat="1" x14ac:dyDescent="0.25">
      <c r="C473" s="5"/>
      <c r="E473" s="10"/>
      <c r="F473" s="8">
        <f>SUM(F467:F472)</f>
        <v>86800</v>
      </c>
    </row>
    <row r="474" spans="1:6" s="9" customFormat="1" x14ac:dyDescent="0.25">
      <c r="C474" s="5"/>
      <c r="E474" s="10"/>
      <c r="F474" s="10"/>
    </row>
    <row r="475" spans="1:6" s="9" customFormat="1" x14ac:dyDescent="0.25">
      <c r="A475" s="9" t="s">
        <v>44</v>
      </c>
      <c r="B475" s="4">
        <v>45755</v>
      </c>
      <c r="C475" s="5">
        <v>10</v>
      </c>
      <c r="D475" s="9" t="s">
        <v>13</v>
      </c>
      <c r="E475" s="10">
        <v>140</v>
      </c>
      <c r="F475" s="10">
        <f t="shared" si="7"/>
        <v>1400</v>
      </c>
    </row>
    <row r="476" spans="1:6" s="9" customFormat="1" x14ac:dyDescent="0.25">
      <c r="C476" s="5"/>
      <c r="E476" s="10"/>
      <c r="F476" s="8">
        <f>SUM(F475)</f>
        <v>1400</v>
      </c>
    </row>
    <row r="477" spans="1:6" s="9" customFormat="1" x14ac:dyDescent="0.25">
      <c r="C477" s="5"/>
      <c r="E477" s="10"/>
      <c r="F477" s="10"/>
    </row>
    <row r="478" spans="1:6" s="9" customFormat="1" x14ac:dyDescent="0.25">
      <c r="A478" s="9" t="s">
        <v>365</v>
      </c>
      <c r="B478" s="4">
        <v>45755</v>
      </c>
      <c r="C478" s="5">
        <v>10</v>
      </c>
      <c r="D478" s="9" t="s">
        <v>13</v>
      </c>
      <c r="E478" s="10">
        <v>140</v>
      </c>
      <c r="F478" s="10">
        <f t="shared" si="7"/>
        <v>1400</v>
      </c>
    </row>
    <row r="479" spans="1:6" s="9" customFormat="1" x14ac:dyDescent="0.25">
      <c r="C479" s="5"/>
      <c r="E479" s="10"/>
      <c r="F479" s="8">
        <f>SUM(F478)</f>
        <v>1400</v>
      </c>
    </row>
    <row r="480" spans="1:6" s="9" customFormat="1" x14ac:dyDescent="0.25">
      <c r="C480" s="5"/>
      <c r="E480" s="10"/>
      <c r="F480" s="10"/>
    </row>
    <row r="481" spans="1:6" s="9" customFormat="1" x14ac:dyDescent="0.25">
      <c r="A481" s="9" t="s">
        <v>317</v>
      </c>
      <c r="B481" s="4">
        <v>45755</v>
      </c>
      <c r="C481" s="5">
        <v>5</v>
      </c>
      <c r="D481" s="9" t="s">
        <v>13</v>
      </c>
      <c r="E481" s="10">
        <v>145</v>
      </c>
      <c r="F481" s="10">
        <f t="shared" si="7"/>
        <v>725</v>
      </c>
    </row>
    <row r="482" spans="1:6" s="9" customFormat="1" x14ac:dyDescent="0.25">
      <c r="C482" s="5"/>
      <c r="E482" s="10"/>
      <c r="F482" s="8">
        <f>SUM(F481)</f>
        <v>725</v>
      </c>
    </row>
    <row r="483" spans="1:6" s="9" customFormat="1" x14ac:dyDescent="0.25">
      <c r="C483" s="5"/>
      <c r="E483" s="10"/>
      <c r="F483" s="10"/>
    </row>
    <row r="484" spans="1:6" s="9" customFormat="1" x14ac:dyDescent="0.25">
      <c r="A484" s="9" t="s">
        <v>116</v>
      </c>
      <c r="B484" s="4">
        <v>45755</v>
      </c>
      <c r="C484" s="5">
        <v>500</v>
      </c>
      <c r="D484" s="9" t="s">
        <v>14</v>
      </c>
      <c r="E484" s="10"/>
      <c r="F484" s="10">
        <f t="shared" si="7"/>
        <v>0</v>
      </c>
    </row>
    <row r="485" spans="1:6" s="9" customFormat="1" x14ac:dyDescent="0.25">
      <c r="C485" s="5">
        <v>78</v>
      </c>
      <c r="D485" s="9" t="s">
        <v>98</v>
      </c>
      <c r="E485" s="10"/>
      <c r="F485" s="10">
        <f t="shared" si="7"/>
        <v>0</v>
      </c>
    </row>
    <row r="486" spans="1:6" s="9" customFormat="1" x14ac:dyDescent="0.25">
      <c r="C486" s="5"/>
      <c r="E486" s="10"/>
      <c r="F486" s="8">
        <f>SUM(F484:F485)</f>
        <v>0</v>
      </c>
    </row>
    <row r="487" spans="1:6" s="9" customFormat="1" x14ac:dyDescent="0.25">
      <c r="C487" s="5"/>
      <c r="E487" s="10"/>
      <c r="F487" s="10"/>
    </row>
    <row r="488" spans="1:6" s="9" customFormat="1" x14ac:dyDescent="0.25">
      <c r="A488" s="9" t="s">
        <v>51</v>
      </c>
      <c r="B488" s="4">
        <v>45755</v>
      </c>
      <c r="C488" s="5">
        <v>200</v>
      </c>
      <c r="D488" s="9" t="s">
        <v>14</v>
      </c>
      <c r="E488" s="10"/>
      <c r="F488" s="10">
        <f t="shared" si="7"/>
        <v>0</v>
      </c>
    </row>
    <row r="489" spans="1:6" s="9" customFormat="1" x14ac:dyDescent="0.25">
      <c r="C489" s="5"/>
      <c r="E489" s="10"/>
      <c r="F489" s="8">
        <f>SUM(F488)</f>
        <v>0</v>
      </c>
    </row>
    <row r="490" spans="1:6" s="9" customFormat="1" x14ac:dyDescent="0.25">
      <c r="C490" s="5"/>
      <c r="E490" s="10"/>
      <c r="F490" s="10"/>
    </row>
    <row r="491" spans="1:6" s="9" customFormat="1" x14ac:dyDescent="0.25">
      <c r="A491" s="9" t="s">
        <v>76</v>
      </c>
      <c r="B491" s="4">
        <v>45755</v>
      </c>
      <c r="C491" s="5">
        <v>141</v>
      </c>
      <c r="D491" s="9" t="s">
        <v>436</v>
      </c>
      <c r="E491" s="10"/>
      <c r="F491" s="10">
        <f t="shared" si="7"/>
        <v>0</v>
      </c>
    </row>
    <row r="492" spans="1:6" s="9" customFormat="1" x14ac:dyDescent="0.25">
      <c r="C492" s="5">
        <v>559</v>
      </c>
      <c r="D492" s="9" t="s">
        <v>437</v>
      </c>
      <c r="E492" s="10"/>
      <c r="F492" s="10">
        <f t="shared" si="7"/>
        <v>0</v>
      </c>
    </row>
    <row r="493" spans="1:6" s="9" customFormat="1" x14ac:dyDescent="0.25">
      <c r="C493" s="5">
        <v>32</v>
      </c>
      <c r="D493" s="9" t="s">
        <v>49</v>
      </c>
      <c r="E493" s="10"/>
      <c r="F493" s="10">
        <f t="shared" si="7"/>
        <v>0</v>
      </c>
    </row>
    <row r="494" spans="1:6" s="9" customFormat="1" x14ac:dyDescent="0.25">
      <c r="C494" s="5"/>
      <c r="E494" s="10"/>
      <c r="F494" s="8">
        <f>SUM(F491:F493)</f>
        <v>0</v>
      </c>
    </row>
    <row r="495" spans="1:6" s="9" customFormat="1" x14ac:dyDescent="0.25">
      <c r="C495" s="5"/>
      <c r="E495" s="10"/>
      <c r="F495" s="10"/>
    </row>
    <row r="496" spans="1:6" s="9" customFormat="1" x14ac:dyDescent="0.25">
      <c r="A496" s="9" t="s">
        <v>29</v>
      </c>
      <c r="B496" s="4">
        <v>45755</v>
      </c>
      <c r="C496" s="11">
        <v>0.5</v>
      </c>
      <c r="D496" s="9" t="s">
        <v>8</v>
      </c>
      <c r="E496" s="10">
        <v>170</v>
      </c>
      <c r="F496" s="10">
        <f t="shared" si="7"/>
        <v>85</v>
      </c>
    </row>
    <row r="497" spans="1:6" s="9" customFormat="1" x14ac:dyDescent="0.25">
      <c r="C497" s="5">
        <v>9</v>
      </c>
      <c r="D497" s="9" t="s">
        <v>438</v>
      </c>
      <c r="E497" s="10">
        <v>3.3333330000000001</v>
      </c>
      <c r="F497" s="10">
        <f t="shared" si="7"/>
        <v>29.999997</v>
      </c>
    </row>
    <row r="498" spans="1:6" s="9" customFormat="1" x14ac:dyDescent="0.25">
      <c r="C498" s="5">
        <v>3</v>
      </c>
      <c r="D498" s="9" t="s">
        <v>13</v>
      </c>
      <c r="E498" s="10">
        <v>140</v>
      </c>
      <c r="F498" s="10">
        <f t="shared" si="7"/>
        <v>420</v>
      </c>
    </row>
    <row r="499" spans="1:6" s="9" customFormat="1" x14ac:dyDescent="0.25">
      <c r="C499" s="5">
        <v>2</v>
      </c>
      <c r="D499" s="9" t="s">
        <v>13</v>
      </c>
      <c r="E499" s="10">
        <v>160</v>
      </c>
      <c r="F499" s="10">
        <f t="shared" si="7"/>
        <v>320</v>
      </c>
    </row>
    <row r="500" spans="1:6" s="9" customFormat="1" x14ac:dyDescent="0.25">
      <c r="C500" s="5"/>
      <c r="E500" s="10"/>
      <c r="F500" s="8">
        <f>SUM(F496:F499)</f>
        <v>854.99999700000001</v>
      </c>
    </row>
    <row r="501" spans="1:6" s="9" customFormat="1" x14ac:dyDescent="0.25">
      <c r="C501" s="5"/>
      <c r="E501" s="10"/>
      <c r="F501" s="10"/>
    </row>
    <row r="502" spans="1:6" s="9" customFormat="1" x14ac:dyDescent="0.25">
      <c r="A502" s="9" t="s">
        <v>7</v>
      </c>
      <c r="B502" s="4">
        <v>45755</v>
      </c>
      <c r="C502" s="5">
        <v>8</v>
      </c>
      <c r="D502" s="9" t="s">
        <v>12</v>
      </c>
      <c r="E502" s="10">
        <v>150</v>
      </c>
      <c r="F502" s="10">
        <f t="shared" si="7"/>
        <v>1200</v>
      </c>
    </row>
    <row r="503" spans="1:6" s="9" customFormat="1" x14ac:dyDescent="0.25">
      <c r="C503" s="5">
        <v>10</v>
      </c>
      <c r="D503" s="9" t="s">
        <v>13</v>
      </c>
      <c r="E503" s="10">
        <v>140</v>
      </c>
      <c r="F503" s="10">
        <f t="shared" si="7"/>
        <v>1400</v>
      </c>
    </row>
    <row r="504" spans="1:6" s="9" customFormat="1" x14ac:dyDescent="0.25">
      <c r="C504" s="5">
        <v>2</v>
      </c>
      <c r="D504" s="9" t="s">
        <v>13</v>
      </c>
      <c r="E504" s="10">
        <v>140</v>
      </c>
      <c r="F504" s="10">
        <f t="shared" si="7"/>
        <v>280</v>
      </c>
    </row>
    <row r="505" spans="1:6" s="9" customFormat="1" x14ac:dyDescent="0.25">
      <c r="C505" s="5">
        <v>2</v>
      </c>
      <c r="D505" s="9" t="s">
        <v>13</v>
      </c>
      <c r="E505" s="10">
        <v>140</v>
      </c>
      <c r="F505" s="10">
        <f t="shared" si="7"/>
        <v>280</v>
      </c>
    </row>
    <row r="506" spans="1:6" s="9" customFormat="1" x14ac:dyDescent="0.25">
      <c r="C506" s="5"/>
      <c r="E506" s="10"/>
      <c r="F506" s="8">
        <f>SUM(F502:F505)</f>
        <v>3160</v>
      </c>
    </row>
    <row r="507" spans="1:6" s="9" customFormat="1" x14ac:dyDescent="0.25">
      <c r="C507" s="5"/>
      <c r="E507" s="10"/>
      <c r="F507" s="10"/>
    </row>
    <row r="508" spans="1:6" s="9" customFormat="1" x14ac:dyDescent="0.25">
      <c r="A508" s="9" t="s">
        <v>174</v>
      </c>
      <c r="B508" s="4">
        <v>45756</v>
      </c>
      <c r="C508" s="5">
        <v>60</v>
      </c>
      <c r="D508" s="9" t="s">
        <v>12</v>
      </c>
      <c r="E508" s="10">
        <v>140</v>
      </c>
      <c r="F508" s="10">
        <f t="shared" si="7"/>
        <v>8400</v>
      </c>
    </row>
    <row r="509" spans="1:6" s="9" customFormat="1" x14ac:dyDescent="0.25">
      <c r="C509" s="5">
        <v>60</v>
      </c>
      <c r="D509" s="9" t="s">
        <v>22</v>
      </c>
      <c r="E509" s="10">
        <v>120</v>
      </c>
      <c r="F509" s="10">
        <f t="shared" si="7"/>
        <v>7200</v>
      </c>
    </row>
    <row r="510" spans="1:6" s="9" customFormat="1" x14ac:dyDescent="0.25">
      <c r="C510" s="5"/>
      <c r="E510" s="10"/>
      <c r="F510" s="8">
        <f>SUM(F508:F509)</f>
        <v>15600</v>
      </c>
    </row>
    <row r="511" spans="1:6" s="9" customFormat="1" x14ac:dyDescent="0.25">
      <c r="C511" s="5"/>
      <c r="E511" s="10"/>
      <c r="F511" s="10"/>
    </row>
    <row r="512" spans="1:6" s="9" customFormat="1" x14ac:dyDescent="0.25">
      <c r="A512" s="9" t="s">
        <v>245</v>
      </c>
      <c r="B512" s="4">
        <v>45756</v>
      </c>
      <c r="C512" s="5">
        <v>70</v>
      </c>
      <c r="D512" s="9" t="s">
        <v>13</v>
      </c>
      <c r="E512" s="10">
        <v>140</v>
      </c>
      <c r="F512" s="10">
        <f t="shared" si="7"/>
        <v>9800</v>
      </c>
    </row>
    <row r="513" spans="1:6" s="9" customFormat="1" x14ac:dyDescent="0.25">
      <c r="C513" s="5">
        <v>40</v>
      </c>
      <c r="D513" s="9" t="s">
        <v>14</v>
      </c>
      <c r="E513" s="10">
        <v>130</v>
      </c>
      <c r="F513" s="10">
        <f t="shared" si="7"/>
        <v>5200</v>
      </c>
    </row>
    <row r="514" spans="1:6" s="9" customFormat="1" x14ac:dyDescent="0.25">
      <c r="C514" s="11">
        <v>2.5</v>
      </c>
      <c r="D514" s="9" t="s">
        <v>318</v>
      </c>
      <c r="E514" s="10">
        <v>0</v>
      </c>
      <c r="F514" s="10">
        <f t="shared" si="7"/>
        <v>0</v>
      </c>
    </row>
    <row r="515" spans="1:6" s="9" customFormat="1" x14ac:dyDescent="0.25">
      <c r="C515" s="5"/>
      <c r="E515" s="10"/>
      <c r="F515" s="8">
        <f>SUM(F512:F514)</f>
        <v>15000</v>
      </c>
    </row>
    <row r="516" spans="1:6" s="9" customFormat="1" x14ac:dyDescent="0.25">
      <c r="C516" s="5"/>
      <c r="E516" s="10"/>
      <c r="F516" s="10"/>
    </row>
    <row r="517" spans="1:6" s="9" customFormat="1" x14ac:dyDescent="0.25">
      <c r="A517" s="9" t="s">
        <v>72</v>
      </c>
      <c r="B517" s="4">
        <v>45756</v>
      </c>
      <c r="C517" s="5">
        <v>220</v>
      </c>
      <c r="D517" s="9" t="s">
        <v>13</v>
      </c>
      <c r="E517" s="10">
        <v>130</v>
      </c>
      <c r="F517" s="10">
        <f t="shared" ref="F517:F580" si="8">+C517*E517</f>
        <v>28600</v>
      </c>
    </row>
    <row r="518" spans="1:6" s="9" customFormat="1" x14ac:dyDescent="0.25">
      <c r="C518" s="5">
        <v>130</v>
      </c>
      <c r="D518" s="9" t="s">
        <v>12</v>
      </c>
      <c r="E518" s="10">
        <v>120</v>
      </c>
      <c r="F518" s="10">
        <f t="shared" si="8"/>
        <v>15600</v>
      </c>
    </row>
    <row r="519" spans="1:6" s="9" customFormat="1" x14ac:dyDescent="0.25">
      <c r="C519" s="5">
        <v>70</v>
      </c>
      <c r="D519" s="9" t="s">
        <v>11</v>
      </c>
      <c r="E519" s="10">
        <v>120</v>
      </c>
      <c r="F519" s="10">
        <f t="shared" si="8"/>
        <v>8400</v>
      </c>
    </row>
    <row r="520" spans="1:6" s="9" customFormat="1" x14ac:dyDescent="0.25">
      <c r="C520" s="5">
        <v>30</v>
      </c>
      <c r="D520" s="9" t="s">
        <v>14</v>
      </c>
      <c r="E520" s="10">
        <v>125</v>
      </c>
      <c r="F520" s="10">
        <f t="shared" si="8"/>
        <v>3750</v>
      </c>
    </row>
    <row r="521" spans="1:6" s="9" customFormat="1" x14ac:dyDescent="0.25">
      <c r="C521" s="5"/>
      <c r="E521" s="10"/>
      <c r="F521" s="8">
        <f>SUM(F517:F520)</f>
        <v>56350</v>
      </c>
    </row>
    <row r="522" spans="1:6" s="9" customFormat="1" x14ac:dyDescent="0.25">
      <c r="C522" s="5"/>
      <c r="E522" s="10"/>
      <c r="F522" s="10"/>
    </row>
    <row r="523" spans="1:6" s="9" customFormat="1" x14ac:dyDescent="0.25">
      <c r="A523" s="9" t="s">
        <v>87</v>
      </c>
      <c r="B523" s="4">
        <v>45756</v>
      </c>
      <c r="C523" s="5">
        <v>3</v>
      </c>
      <c r="D523" s="9" t="s">
        <v>14</v>
      </c>
      <c r="E523" s="10">
        <v>140</v>
      </c>
      <c r="F523" s="10">
        <f t="shared" si="8"/>
        <v>420</v>
      </c>
    </row>
    <row r="524" spans="1:6" s="9" customFormat="1" x14ac:dyDescent="0.25">
      <c r="C524" s="5">
        <v>3</v>
      </c>
      <c r="D524" s="9" t="s">
        <v>22</v>
      </c>
      <c r="E524" s="10">
        <v>120</v>
      </c>
      <c r="F524" s="10">
        <f t="shared" si="8"/>
        <v>360</v>
      </c>
    </row>
    <row r="525" spans="1:6" s="9" customFormat="1" x14ac:dyDescent="0.25">
      <c r="C525" s="5"/>
      <c r="E525" s="10"/>
      <c r="F525" s="8">
        <f>SUM(F523:F524)</f>
        <v>780</v>
      </c>
    </row>
    <row r="526" spans="1:6" s="9" customFormat="1" x14ac:dyDescent="0.25">
      <c r="C526" s="5"/>
      <c r="E526" s="10"/>
      <c r="F526" s="10"/>
    </row>
    <row r="527" spans="1:6" s="9" customFormat="1" x14ac:dyDescent="0.25">
      <c r="A527" s="9" t="s">
        <v>313</v>
      </c>
      <c r="B527" s="4">
        <v>45756</v>
      </c>
      <c r="C527" s="5">
        <v>5</v>
      </c>
      <c r="D527" s="9" t="s">
        <v>12</v>
      </c>
      <c r="E527" s="10">
        <v>135</v>
      </c>
      <c r="F527" s="10">
        <f t="shared" si="8"/>
        <v>675</v>
      </c>
    </row>
    <row r="528" spans="1:6" s="9" customFormat="1" x14ac:dyDescent="0.25">
      <c r="C528" s="5"/>
      <c r="E528" s="10"/>
      <c r="F528" s="8">
        <f>SUM(F527)</f>
        <v>675</v>
      </c>
    </row>
    <row r="529" spans="1:6" s="9" customFormat="1" x14ac:dyDescent="0.25">
      <c r="C529" s="5"/>
      <c r="E529" s="10"/>
      <c r="F529" s="10"/>
    </row>
    <row r="530" spans="1:6" s="9" customFormat="1" x14ac:dyDescent="0.25">
      <c r="A530" s="9" t="s">
        <v>334</v>
      </c>
      <c r="B530" s="4">
        <v>45756</v>
      </c>
      <c r="C530" s="5">
        <v>10</v>
      </c>
      <c r="D530" s="9" t="s">
        <v>98</v>
      </c>
      <c r="E530" s="10">
        <v>100</v>
      </c>
      <c r="F530" s="10">
        <f t="shared" si="8"/>
        <v>1000</v>
      </c>
    </row>
    <row r="531" spans="1:6" s="9" customFormat="1" x14ac:dyDescent="0.25">
      <c r="C531" s="5"/>
      <c r="E531" s="10"/>
      <c r="F531" s="8">
        <f>SUM(F530)</f>
        <v>1000</v>
      </c>
    </row>
    <row r="532" spans="1:6" s="9" customFormat="1" x14ac:dyDescent="0.25">
      <c r="C532" s="5"/>
      <c r="E532" s="10"/>
      <c r="F532" s="10"/>
    </row>
    <row r="533" spans="1:6" s="9" customFormat="1" x14ac:dyDescent="0.25">
      <c r="A533" s="9" t="s">
        <v>15</v>
      </c>
      <c r="B533" s="4">
        <v>45756</v>
      </c>
      <c r="C533" s="5">
        <v>60</v>
      </c>
      <c r="D533" s="9" t="s">
        <v>98</v>
      </c>
      <c r="E533" s="10">
        <v>85</v>
      </c>
      <c r="F533" s="10">
        <f t="shared" si="8"/>
        <v>5100</v>
      </c>
    </row>
    <row r="534" spans="1:6" s="9" customFormat="1" x14ac:dyDescent="0.25">
      <c r="C534" s="5"/>
      <c r="E534" s="10"/>
      <c r="F534" s="8">
        <f>SUM(F533)</f>
        <v>5100</v>
      </c>
    </row>
    <row r="535" spans="1:6" s="9" customFormat="1" x14ac:dyDescent="0.25">
      <c r="C535" s="5"/>
      <c r="E535" s="10"/>
      <c r="F535" s="10"/>
    </row>
    <row r="536" spans="1:6" s="9" customFormat="1" x14ac:dyDescent="0.25">
      <c r="A536" s="9" t="s">
        <v>439</v>
      </c>
      <c r="B536" s="4">
        <v>45756</v>
      </c>
      <c r="C536" s="5">
        <v>12</v>
      </c>
      <c r="D536" s="9" t="s">
        <v>440</v>
      </c>
      <c r="E536" s="10">
        <v>100</v>
      </c>
      <c r="F536" s="10">
        <f t="shared" si="8"/>
        <v>1200</v>
      </c>
    </row>
    <row r="537" spans="1:6" s="9" customFormat="1" x14ac:dyDescent="0.25">
      <c r="C537" s="5"/>
      <c r="E537" s="10"/>
      <c r="F537" s="8">
        <f>SUM(F536)</f>
        <v>1200</v>
      </c>
    </row>
    <row r="538" spans="1:6" x14ac:dyDescent="0.25">
      <c r="A538" s="9"/>
      <c r="B538" s="9"/>
      <c r="D538" s="9"/>
    </row>
    <row r="539" spans="1:6" x14ac:dyDescent="0.25">
      <c r="A539" s="9" t="s">
        <v>58</v>
      </c>
      <c r="B539" s="4">
        <v>45756</v>
      </c>
      <c r="C539" s="5">
        <v>12</v>
      </c>
      <c r="D539" s="9" t="s">
        <v>13</v>
      </c>
      <c r="E539" s="10">
        <v>140</v>
      </c>
      <c r="F539" s="10">
        <f t="shared" si="8"/>
        <v>1680</v>
      </c>
    </row>
    <row r="540" spans="1:6" s="9" customFormat="1" x14ac:dyDescent="0.25">
      <c r="C540" s="5"/>
      <c r="E540" s="10"/>
      <c r="F540" s="8">
        <f>SUM(F539)</f>
        <v>1680</v>
      </c>
    </row>
    <row r="541" spans="1:6" s="9" customFormat="1" x14ac:dyDescent="0.25">
      <c r="C541" s="5"/>
      <c r="E541" s="10"/>
      <c r="F541" s="10"/>
    </row>
    <row r="542" spans="1:6" s="9" customFormat="1" x14ac:dyDescent="0.25">
      <c r="A542" s="9" t="s">
        <v>366</v>
      </c>
      <c r="B542" s="4">
        <v>45756</v>
      </c>
      <c r="C542" s="5">
        <v>9</v>
      </c>
      <c r="D542" s="9" t="s">
        <v>8</v>
      </c>
      <c r="E542" s="10">
        <v>150</v>
      </c>
      <c r="F542" s="10">
        <f t="shared" si="8"/>
        <v>1350</v>
      </c>
    </row>
    <row r="543" spans="1:6" s="9" customFormat="1" x14ac:dyDescent="0.25">
      <c r="C543" s="5">
        <v>10</v>
      </c>
      <c r="D543" s="9" t="s">
        <v>13</v>
      </c>
      <c r="E543" s="10">
        <v>140</v>
      </c>
      <c r="F543" s="10">
        <f t="shared" si="8"/>
        <v>1400</v>
      </c>
    </row>
    <row r="544" spans="1:6" s="9" customFormat="1" x14ac:dyDescent="0.25">
      <c r="C544" s="5"/>
      <c r="E544" s="10"/>
      <c r="F544" s="8">
        <f>SUM(F542:F543)</f>
        <v>2750</v>
      </c>
    </row>
    <row r="545" spans="1:6" s="9" customFormat="1" x14ac:dyDescent="0.25">
      <c r="C545" s="5"/>
      <c r="E545" s="10"/>
      <c r="F545" s="10"/>
    </row>
    <row r="546" spans="1:6" s="9" customFormat="1" x14ac:dyDescent="0.25">
      <c r="A546" s="9" t="s">
        <v>157</v>
      </c>
      <c r="B546" s="4">
        <v>45756</v>
      </c>
      <c r="C546" s="5">
        <v>10</v>
      </c>
      <c r="D546" s="9" t="s">
        <v>13</v>
      </c>
      <c r="E546" s="10">
        <v>140</v>
      </c>
      <c r="F546" s="10">
        <f t="shared" si="8"/>
        <v>1400</v>
      </c>
    </row>
    <row r="547" spans="1:6" s="9" customFormat="1" x14ac:dyDescent="0.25">
      <c r="C547" s="5"/>
      <c r="E547" s="10"/>
      <c r="F547" s="8">
        <f>SUM(F546)</f>
        <v>1400</v>
      </c>
    </row>
    <row r="548" spans="1:6" s="9" customFormat="1" x14ac:dyDescent="0.25">
      <c r="C548" s="5"/>
      <c r="E548" s="10"/>
      <c r="F548" s="10"/>
    </row>
    <row r="549" spans="1:6" s="9" customFormat="1" x14ac:dyDescent="0.25">
      <c r="A549" s="9" t="s">
        <v>406</v>
      </c>
      <c r="B549" s="4">
        <v>45756</v>
      </c>
      <c r="C549" s="5">
        <v>10</v>
      </c>
      <c r="D549" s="9" t="s">
        <v>13</v>
      </c>
      <c r="E549" s="10">
        <v>140</v>
      </c>
      <c r="F549" s="10">
        <f t="shared" si="8"/>
        <v>1400</v>
      </c>
    </row>
    <row r="550" spans="1:6" s="9" customFormat="1" x14ac:dyDescent="0.25">
      <c r="C550" s="5"/>
      <c r="E550" s="10"/>
      <c r="F550" s="8">
        <f>SUM(F549)</f>
        <v>1400</v>
      </c>
    </row>
    <row r="551" spans="1:6" s="9" customFormat="1" x14ac:dyDescent="0.25">
      <c r="C551" s="5"/>
      <c r="E551" s="10"/>
      <c r="F551" s="10"/>
    </row>
    <row r="552" spans="1:6" s="9" customFormat="1" x14ac:dyDescent="0.25">
      <c r="A552" s="9" t="s">
        <v>40</v>
      </c>
      <c r="B552" s="4">
        <v>45756</v>
      </c>
      <c r="C552" s="5">
        <v>20</v>
      </c>
      <c r="D552" s="9" t="s">
        <v>8</v>
      </c>
      <c r="E552" s="10">
        <v>150</v>
      </c>
      <c r="F552" s="10">
        <f t="shared" si="8"/>
        <v>3000</v>
      </c>
    </row>
    <row r="553" spans="1:6" s="9" customFormat="1" x14ac:dyDescent="0.25">
      <c r="C553" s="5">
        <v>10</v>
      </c>
      <c r="D553" s="9" t="s">
        <v>12</v>
      </c>
      <c r="E553" s="10">
        <v>15</v>
      </c>
      <c r="F553" s="10">
        <f t="shared" si="8"/>
        <v>150</v>
      </c>
    </row>
    <row r="554" spans="1:6" s="9" customFormat="1" x14ac:dyDescent="0.25">
      <c r="C554" s="5">
        <v>10</v>
      </c>
      <c r="D554" s="9" t="s">
        <v>11</v>
      </c>
      <c r="E554" s="10">
        <v>15</v>
      </c>
      <c r="F554" s="10">
        <f t="shared" si="8"/>
        <v>150</v>
      </c>
    </row>
    <row r="555" spans="1:6" s="9" customFormat="1" x14ac:dyDescent="0.25">
      <c r="C555" s="5">
        <v>15</v>
      </c>
      <c r="D555" s="9" t="s">
        <v>14</v>
      </c>
      <c r="E555" s="10">
        <v>125</v>
      </c>
      <c r="F555" s="10">
        <f t="shared" si="8"/>
        <v>1875</v>
      </c>
    </row>
    <row r="556" spans="1:6" s="9" customFormat="1" x14ac:dyDescent="0.25">
      <c r="C556" s="5"/>
      <c r="E556" s="10"/>
      <c r="F556" s="8">
        <f>SUM(F552:F555)</f>
        <v>5175</v>
      </c>
    </row>
    <row r="557" spans="1:6" s="9" customFormat="1" x14ac:dyDescent="0.25">
      <c r="C557" s="5"/>
      <c r="E557" s="10"/>
      <c r="F557" s="10"/>
    </row>
    <row r="558" spans="1:6" s="9" customFormat="1" x14ac:dyDescent="0.25">
      <c r="A558" s="9" t="s">
        <v>80</v>
      </c>
      <c r="B558" s="4">
        <v>45756</v>
      </c>
      <c r="C558" s="5">
        <v>10</v>
      </c>
      <c r="D558" s="9" t="s">
        <v>13</v>
      </c>
      <c r="E558" s="10">
        <v>140</v>
      </c>
      <c r="F558" s="10">
        <f t="shared" si="8"/>
        <v>1400</v>
      </c>
    </row>
    <row r="559" spans="1:6" s="9" customFormat="1" x14ac:dyDescent="0.25">
      <c r="C559" s="5"/>
      <c r="E559" s="10"/>
      <c r="F559" s="8">
        <f>SUM(F558)</f>
        <v>1400</v>
      </c>
    </row>
    <row r="560" spans="1:6" s="9" customFormat="1" x14ac:dyDescent="0.25">
      <c r="C560" s="5"/>
      <c r="E560" s="10"/>
      <c r="F560" s="10"/>
    </row>
    <row r="561" spans="1:6" s="9" customFormat="1" x14ac:dyDescent="0.25">
      <c r="A561" s="9" t="s">
        <v>46</v>
      </c>
      <c r="B561" s="4">
        <v>45756</v>
      </c>
      <c r="C561" s="5">
        <v>20</v>
      </c>
      <c r="D561" s="9" t="s">
        <v>14</v>
      </c>
      <c r="E561" s="10">
        <v>125</v>
      </c>
      <c r="F561" s="10">
        <f t="shared" si="8"/>
        <v>2500</v>
      </c>
    </row>
    <row r="562" spans="1:6" s="9" customFormat="1" x14ac:dyDescent="0.25">
      <c r="C562" s="5"/>
      <c r="E562" s="10"/>
      <c r="F562" s="8">
        <f>SUM(F561)</f>
        <v>2500</v>
      </c>
    </row>
    <row r="563" spans="1:6" s="9" customFormat="1" x14ac:dyDescent="0.25">
      <c r="C563" s="5"/>
      <c r="E563" s="10"/>
      <c r="F563" s="10"/>
    </row>
    <row r="564" spans="1:6" s="9" customFormat="1" x14ac:dyDescent="0.25">
      <c r="A564" s="9" t="s">
        <v>41</v>
      </c>
      <c r="B564" s="4">
        <v>45756</v>
      </c>
      <c r="C564" s="5">
        <v>30</v>
      </c>
      <c r="D564" s="9" t="s">
        <v>14</v>
      </c>
      <c r="E564" s="10">
        <v>130</v>
      </c>
      <c r="F564" s="10">
        <f t="shared" si="8"/>
        <v>3900</v>
      </c>
    </row>
    <row r="565" spans="1:6" s="9" customFormat="1" x14ac:dyDescent="0.25">
      <c r="C565" s="5">
        <v>2</v>
      </c>
      <c r="D565" s="9" t="s">
        <v>441</v>
      </c>
      <c r="E565" s="10">
        <v>0</v>
      </c>
      <c r="F565" s="10">
        <f t="shared" si="8"/>
        <v>0</v>
      </c>
    </row>
    <row r="566" spans="1:6" s="9" customFormat="1" x14ac:dyDescent="0.25">
      <c r="C566" s="5"/>
      <c r="E566" s="10"/>
      <c r="F566" s="8">
        <f>SUM(F564:F565)</f>
        <v>3900</v>
      </c>
    </row>
    <row r="567" spans="1:6" s="9" customFormat="1" x14ac:dyDescent="0.25">
      <c r="C567" s="5"/>
      <c r="E567" s="10"/>
      <c r="F567" s="10"/>
    </row>
    <row r="568" spans="1:6" s="9" customFormat="1" x14ac:dyDescent="0.25">
      <c r="A568" s="9" t="s">
        <v>107</v>
      </c>
      <c r="B568" s="4">
        <v>45756</v>
      </c>
      <c r="C568" s="5">
        <v>48</v>
      </c>
      <c r="D568" s="9" t="s">
        <v>14</v>
      </c>
      <c r="E568" s="10">
        <v>130</v>
      </c>
      <c r="F568" s="10">
        <f t="shared" si="8"/>
        <v>6240</v>
      </c>
    </row>
    <row r="569" spans="1:6" s="9" customFormat="1" x14ac:dyDescent="0.25">
      <c r="C569" s="5"/>
      <c r="E569" s="10"/>
      <c r="F569" s="8">
        <f>SUM(F568)</f>
        <v>6240</v>
      </c>
    </row>
    <row r="570" spans="1:6" s="9" customFormat="1" x14ac:dyDescent="0.25">
      <c r="C570" s="5"/>
      <c r="E570" s="10"/>
      <c r="F570" s="10"/>
    </row>
    <row r="571" spans="1:6" s="9" customFormat="1" x14ac:dyDescent="0.25">
      <c r="A571" s="9" t="s">
        <v>7</v>
      </c>
      <c r="B571" s="4">
        <v>45756</v>
      </c>
      <c r="C571" s="5">
        <v>1</v>
      </c>
      <c r="D571" s="9" t="s">
        <v>14</v>
      </c>
      <c r="E571" s="10">
        <v>125</v>
      </c>
      <c r="F571" s="10">
        <f t="shared" si="8"/>
        <v>125</v>
      </c>
    </row>
    <row r="572" spans="1:6" s="9" customFormat="1" x14ac:dyDescent="0.25">
      <c r="C572" s="5"/>
      <c r="E572" s="10"/>
      <c r="F572" s="8">
        <f>SUM(F571)</f>
        <v>125</v>
      </c>
    </row>
    <row r="573" spans="1:6" s="9" customFormat="1" x14ac:dyDescent="0.25">
      <c r="C573" s="5"/>
      <c r="E573" s="10"/>
      <c r="F573" s="10"/>
    </row>
    <row r="574" spans="1:6" s="9" customFormat="1" x14ac:dyDescent="0.25">
      <c r="A574" s="9" t="s">
        <v>181</v>
      </c>
      <c r="B574" s="4">
        <v>45756</v>
      </c>
      <c r="C574" s="5">
        <v>5</v>
      </c>
      <c r="D574" s="9" t="s">
        <v>8</v>
      </c>
      <c r="E574" s="10">
        <v>150</v>
      </c>
      <c r="F574" s="10">
        <f t="shared" si="8"/>
        <v>750</v>
      </c>
    </row>
    <row r="575" spans="1:6" s="9" customFormat="1" x14ac:dyDescent="0.25">
      <c r="C575" s="5"/>
      <c r="E575" s="10"/>
      <c r="F575" s="8">
        <f>SUM(F574)</f>
        <v>750</v>
      </c>
    </row>
    <row r="576" spans="1:6" s="9" customFormat="1" x14ac:dyDescent="0.25">
      <c r="C576" s="5"/>
      <c r="E576" s="10"/>
      <c r="F576" s="10"/>
    </row>
    <row r="577" spans="1:6" s="9" customFormat="1" x14ac:dyDescent="0.25">
      <c r="A577" s="9" t="s">
        <v>181</v>
      </c>
      <c r="B577" s="4">
        <v>45757</v>
      </c>
      <c r="C577" s="5">
        <v>650</v>
      </c>
      <c r="D577" s="9" t="s">
        <v>22</v>
      </c>
      <c r="E577" s="10">
        <v>90</v>
      </c>
      <c r="F577" s="10">
        <f t="shared" si="8"/>
        <v>58500</v>
      </c>
    </row>
    <row r="578" spans="1:6" s="9" customFormat="1" x14ac:dyDescent="0.25">
      <c r="C578" s="5">
        <v>50</v>
      </c>
      <c r="D578" s="9" t="s">
        <v>13</v>
      </c>
      <c r="E578" s="10">
        <v>130</v>
      </c>
      <c r="F578" s="10">
        <f t="shared" si="8"/>
        <v>6500</v>
      </c>
    </row>
    <row r="579" spans="1:6" s="9" customFormat="1" x14ac:dyDescent="0.25">
      <c r="C579" s="5">
        <v>300</v>
      </c>
      <c r="D579" s="9" t="s">
        <v>12</v>
      </c>
      <c r="E579" s="10">
        <v>115</v>
      </c>
      <c r="F579" s="10">
        <f t="shared" si="8"/>
        <v>34500</v>
      </c>
    </row>
    <row r="580" spans="1:6" s="9" customFormat="1" x14ac:dyDescent="0.25">
      <c r="C580" s="5">
        <v>150</v>
      </c>
      <c r="D580" s="9" t="s">
        <v>50</v>
      </c>
      <c r="E580" s="10">
        <v>85</v>
      </c>
      <c r="F580" s="10">
        <f t="shared" si="8"/>
        <v>12750</v>
      </c>
    </row>
    <row r="581" spans="1:6" s="9" customFormat="1" x14ac:dyDescent="0.25">
      <c r="C581" s="5"/>
      <c r="E581" s="10"/>
      <c r="F581" s="8">
        <f>SUM(F577:F580)</f>
        <v>112250</v>
      </c>
    </row>
    <row r="582" spans="1:6" s="9" customFormat="1" x14ac:dyDescent="0.25">
      <c r="C582" s="5"/>
      <c r="E582" s="10"/>
      <c r="F582" s="10"/>
    </row>
    <row r="583" spans="1:6" s="9" customFormat="1" x14ac:dyDescent="0.25">
      <c r="A583" s="9" t="s">
        <v>442</v>
      </c>
      <c r="B583" s="4">
        <v>45757</v>
      </c>
      <c r="C583" s="5">
        <v>15</v>
      </c>
      <c r="D583" s="9" t="s">
        <v>304</v>
      </c>
      <c r="E583" s="10">
        <v>140</v>
      </c>
      <c r="F583" s="10">
        <f t="shared" ref="F583:F644" si="9">+C583*E583</f>
        <v>2100</v>
      </c>
    </row>
    <row r="584" spans="1:6" s="9" customFormat="1" x14ac:dyDescent="0.25">
      <c r="C584" s="5">
        <v>5</v>
      </c>
      <c r="D584" s="9" t="s">
        <v>22</v>
      </c>
      <c r="E584" s="10">
        <v>100</v>
      </c>
      <c r="F584" s="10">
        <f t="shared" si="9"/>
        <v>500</v>
      </c>
    </row>
    <row r="585" spans="1:6" s="9" customFormat="1" x14ac:dyDescent="0.25">
      <c r="C585" s="5"/>
      <c r="E585" s="10"/>
      <c r="F585" s="8">
        <f>SUM(F583:F584)</f>
        <v>2600</v>
      </c>
    </row>
    <row r="586" spans="1:6" s="9" customFormat="1" x14ac:dyDescent="0.25">
      <c r="C586" s="5"/>
      <c r="E586" s="10"/>
      <c r="F586" s="10"/>
    </row>
    <row r="587" spans="1:6" s="9" customFormat="1" x14ac:dyDescent="0.25">
      <c r="A587" s="9" t="s">
        <v>255</v>
      </c>
      <c r="B587" s="4">
        <v>45757</v>
      </c>
      <c r="C587" s="5">
        <v>120</v>
      </c>
      <c r="D587" s="9" t="s">
        <v>8</v>
      </c>
      <c r="E587" s="10">
        <v>160</v>
      </c>
      <c r="F587" s="10">
        <f t="shared" si="9"/>
        <v>19200</v>
      </c>
    </row>
    <row r="588" spans="1:6" s="9" customFormat="1" x14ac:dyDescent="0.25">
      <c r="C588" s="5"/>
      <c r="E588" s="10"/>
      <c r="F588" s="8">
        <f>SUM(F587)</f>
        <v>19200</v>
      </c>
    </row>
    <row r="589" spans="1:6" s="9" customFormat="1" x14ac:dyDescent="0.25">
      <c r="C589" s="5"/>
      <c r="E589" s="10"/>
      <c r="F589" s="10"/>
    </row>
    <row r="590" spans="1:6" s="9" customFormat="1" x14ac:dyDescent="0.25">
      <c r="A590" s="9" t="s">
        <v>60</v>
      </c>
      <c r="B590" s="4">
        <v>45757</v>
      </c>
      <c r="C590" s="5">
        <v>30</v>
      </c>
      <c r="D590" s="9" t="s">
        <v>13</v>
      </c>
      <c r="E590" s="10">
        <v>140</v>
      </c>
      <c r="F590" s="10">
        <f t="shared" si="9"/>
        <v>4200</v>
      </c>
    </row>
    <row r="591" spans="1:6" s="9" customFormat="1" x14ac:dyDescent="0.25">
      <c r="C591" s="5">
        <v>1</v>
      </c>
      <c r="D591" s="9" t="s">
        <v>318</v>
      </c>
      <c r="E591" s="10">
        <v>0</v>
      </c>
      <c r="F591" s="10">
        <f t="shared" si="9"/>
        <v>0</v>
      </c>
    </row>
    <row r="592" spans="1:6" s="9" customFormat="1" x14ac:dyDescent="0.25">
      <c r="C592" s="5"/>
      <c r="E592" s="10"/>
      <c r="F592" s="8">
        <f>SUM(F590:F591)</f>
        <v>4200</v>
      </c>
    </row>
    <row r="593" spans="1:6" s="9" customFormat="1" x14ac:dyDescent="0.25">
      <c r="C593" s="5"/>
      <c r="E593" s="10"/>
      <c r="F593" s="10"/>
    </row>
    <row r="594" spans="1:6" s="9" customFormat="1" x14ac:dyDescent="0.25">
      <c r="A594" s="9" t="s">
        <v>181</v>
      </c>
      <c r="B594" s="4">
        <v>45757</v>
      </c>
      <c r="C594" s="5">
        <v>6</v>
      </c>
      <c r="D594" s="9" t="s">
        <v>12</v>
      </c>
      <c r="E594" s="10">
        <v>130</v>
      </c>
      <c r="F594" s="10">
        <f t="shared" si="9"/>
        <v>780</v>
      </c>
    </row>
    <row r="595" spans="1:6" s="9" customFormat="1" x14ac:dyDescent="0.25">
      <c r="C595" s="5"/>
      <c r="E595" s="10"/>
      <c r="F595" s="8">
        <f>SUM(F594)</f>
        <v>780</v>
      </c>
    </row>
    <row r="596" spans="1:6" s="9" customFormat="1" x14ac:dyDescent="0.25">
      <c r="C596" s="5"/>
      <c r="E596" s="10"/>
      <c r="F596" s="10"/>
    </row>
    <row r="597" spans="1:6" s="9" customFormat="1" x14ac:dyDescent="0.25">
      <c r="A597" s="9" t="s">
        <v>89</v>
      </c>
      <c r="B597" s="4">
        <v>45757</v>
      </c>
      <c r="C597" s="5">
        <v>30</v>
      </c>
      <c r="D597" s="9" t="s">
        <v>13</v>
      </c>
      <c r="E597" s="10">
        <v>130</v>
      </c>
      <c r="F597" s="10">
        <f t="shared" si="9"/>
        <v>3900</v>
      </c>
    </row>
    <row r="598" spans="1:6" s="9" customFormat="1" x14ac:dyDescent="0.25">
      <c r="C598" s="5">
        <v>100</v>
      </c>
      <c r="D598" s="9" t="s">
        <v>12</v>
      </c>
      <c r="E598" s="10">
        <v>95</v>
      </c>
      <c r="F598" s="10">
        <f t="shared" si="9"/>
        <v>9500</v>
      </c>
    </row>
    <row r="599" spans="1:6" s="9" customFormat="1" x14ac:dyDescent="0.25">
      <c r="C599" s="5">
        <v>20</v>
      </c>
      <c r="D599" s="9" t="s">
        <v>11</v>
      </c>
      <c r="E599" s="10">
        <v>115</v>
      </c>
      <c r="F599" s="10">
        <f t="shared" si="9"/>
        <v>2300</v>
      </c>
    </row>
    <row r="600" spans="1:6" s="9" customFormat="1" x14ac:dyDescent="0.25">
      <c r="C600" s="5"/>
      <c r="E600" s="10"/>
      <c r="F600" s="8">
        <f>SUM(F597:F599)</f>
        <v>15700</v>
      </c>
    </row>
    <row r="601" spans="1:6" s="9" customFormat="1" x14ac:dyDescent="0.25">
      <c r="C601" s="5"/>
      <c r="E601" s="10"/>
      <c r="F601" s="10"/>
    </row>
    <row r="602" spans="1:6" s="9" customFormat="1" x14ac:dyDescent="0.25">
      <c r="A602" s="9" t="s">
        <v>51</v>
      </c>
      <c r="B602" s="4">
        <v>45757</v>
      </c>
      <c r="C602" s="5">
        <v>150</v>
      </c>
      <c r="D602" s="9" t="s">
        <v>14</v>
      </c>
      <c r="E602" s="10">
        <v>120</v>
      </c>
      <c r="F602" s="10">
        <f t="shared" si="9"/>
        <v>18000</v>
      </c>
    </row>
    <row r="603" spans="1:6" s="9" customFormat="1" x14ac:dyDescent="0.25">
      <c r="C603" s="5">
        <v>40</v>
      </c>
      <c r="D603" s="9" t="s">
        <v>22</v>
      </c>
      <c r="E603" s="10">
        <v>80</v>
      </c>
      <c r="F603" s="10">
        <f t="shared" si="9"/>
        <v>3200</v>
      </c>
    </row>
    <row r="604" spans="1:6" s="9" customFormat="1" x14ac:dyDescent="0.25">
      <c r="C604" s="5"/>
      <c r="E604" s="10"/>
      <c r="F604" s="8">
        <f>SUM(F602:F603)</f>
        <v>21200</v>
      </c>
    </row>
    <row r="605" spans="1:6" s="9" customFormat="1" x14ac:dyDescent="0.25">
      <c r="C605" s="5"/>
      <c r="E605" s="10"/>
      <c r="F605" s="10"/>
    </row>
    <row r="606" spans="1:6" s="9" customFormat="1" x14ac:dyDescent="0.25">
      <c r="A606" s="9" t="s">
        <v>245</v>
      </c>
      <c r="B606" s="4">
        <v>45757</v>
      </c>
      <c r="C606" s="5">
        <v>60</v>
      </c>
      <c r="D606" s="9" t="s">
        <v>13</v>
      </c>
      <c r="E606" s="10">
        <v>140</v>
      </c>
      <c r="F606" s="10">
        <f t="shared" si="9"/>
        <v>8400</v>
      </c>
    </row>
    <row r="607" spans="1:6" s="9" customFormat="1" x14ac:dyDescent="0.25">
      <c r="C607" s="5">
        <v>2.1</v>
      </c>
      <c r="D607" s="9" t="s">
        <v>443</v>
      </c>
      <c r="E607" s="10">
        <v>0</v>
      </c>
      <c r="F607" s="10">
        <f t="shared" si="9"/>
        <v>0</v>
      </c>
    </row>
    <row r="608" spans="1:6" s="9" customFormat="1" x14ac:dyDescent="0.25">
      <c r="C608" s="5"/>
      <c r="E608" s="10"/>
      <c r="F608" s="8">
        <f>SUM(F606:F607)</f>
        <v>8400</v>
      </c>
    </row>
    <row r="609" spans="1:6" s="9" customFormat="1" x14ac:dyDescent="0.25">
      <c r="C609" s="5"/>
      <c r="E609" s="10"/>
      <c r="F609" s="10"/>
    </row>
    <row r="610" spans="1:6" s="9" customFormat="1" x14ac:dyDescent="0.25">
      <c r="A610" s="9" t="s">
        <v>444</v>
      </c>
      <c r="B610" s="4">
        <v>45757</v>
      </c>
      <c r="C610" s="5">
        <v>100</v>
      </c>
      <c r="D610" s="9" t="s">
        <v>12</v>
      </c>
      <c r="E610" s="10">
        <v>120</v>
      </c>
      <c r="F610" s="10">
        <f t="shared" si="9"/>
        <v>12000</v>
      </c>
    </row>
    <row r="611" spans="1:6" s="9" customFormat="1" x14ac:dyDescent="0.25">
      <c r="C611" s="5">
        <v>50</v>
      </c>
      <c r="D611" s="9" t="s">
        <v>13</v>
      </c>
      <c r="E611" s="10">
        <v>130</v>
      </c>
      <c r="F611" s="10">
        <f t="shared" si="9"/>
        <v>6500</v>
      </c>
    </row>
    <row r="612" spans="1:6" s="9" customFormat="1" x14ac:dyDescent="0.25">
      <c r="C612" s="5"/>
      <c r="E612" s="10"/>
      <c r="F612" s="8">
        <f>SUM(F610:F611)</f>
        <v>18500</v>
      </c>
    </row>
    <row r="613" spans="1:6" s="9" customFormat="1" x14ac:dyDescent="0.25">
      <c r="C613" s="5"/>
      <c r="E613" s="10"/>
      <c r="F613" s="10"/>
    </row>
    <row r="614" spans="1:6" s="9" customFormat="1" x14ac:dyDescent="0.25">
      <c r="A614" s="9" t="s">
        <v>101</v>
      </c>
      <c r="B614" s="4">
        <v>45757</v>
      </c>
      <c r="C614" s="5">
        <v>2</v>
      </c>
      <c r="D614" s="9" t="s">
        <v>49</v>
      </c>
      <c r="E614" s="10">
        <v>170</v>
      </c>
      <c r="F614" s="10">
        <f t="shared" si="9"/>
        <v>340</v>
      </c>
    </row>
    <row r="615" spans="1:6" s="9" customFormat="1" x14ac:dyDescent="0.25">
      <c r="C615" s="5">
        <v>1</v>
      </c>
      <c r="D615" s="9" t="s">
        <v>49</v>
      </c>
      <c r="E615" s="10">
        <v>170</v>
      </c>
      <c r="F615" s="10">
        <f t="shared" si="9"/>
        <v>170</v>
      </c>
    </row>
    <row r="616" spans="1:6" s="9" customFormat="1" x14ac:dyDescent="0.25">
      <c r="C616" s="11">
        <v>0.5</v>
      </c>
      <c r="D616" s="9" t="s">
        <v>286</v>
      </c>
      <c r="E616" s="10">
        <v>170</v>
      </c>
      <c r="F616" s="10">
        <f t="shared" si="9"/>
        <v>85</v>
      </c>
    </row>
    <row r="617" spans="1:6" s="9" customFormat="1" x14ac:dyDescent="0.25">
      <c r="C617" s="5">
        <v>3</v>
      </c>
      <c r="D617" s="9" t="s">
        <v>13</v>
      </c>
      <c r="E617" s="10">
        <v>160</v>
      </c>
      <c r="F617" s="10">
        <f t="shared" si="9"/>
        <v>480</v>
      </c>
    </row>
    <row r="618" spans="1:6" s="9" customFormat="1" x14ac:dyDescent="0.25">
      <c r="C618" s="5"/>
      <c r="E618" s="10"/>
      <c r="F618" s="8">
        <f>SUM(F614:F617)</f>
        <v>1075</v>
      </c>
    </row>
    <row r="619" spans="1:6" s="9" customFormat="1" x14ac:dyDescent="0.25">
      <c r="C619" s="5"/>
      <c r="E619" s="10"/>
      <c r="F619" s="10"/>
    </row>
    <row r="620" spans="1:6" s="9" customFormat="1" x14ac:dyDescent="0.25">
      <c r="A620" s="9" t="s">
        <v>7</v>
      </c>
      <c r="B620" s="4">
        <v>45757</v>
      </c>
      <c r="C620" s="5">
        <v>1</v>
      </c>
      <c r="D620" s="9" t="s">
        <v>8</v>
      </c>
      <c r="E620" s="10">
        <v>170</v>
      </c>
      <c r="F620" s="10">
        <f t="shared" si="9"/>
        <v>170</v>
      </c>
    </row>
    <row r="621" spans="1:6" s="9" customFormat="1" x14ac:dyDescent="0.25">
      <c r="C621" s="5"/>
      <c r="E621" s="10"/>
      <c r="F621" s="8">
        <f>SUM(F620)</f>
        <v>170</v>
      </c>
    </row>
    <row r="622" spans="1:6" s="9" customFormat="1" x14ac:dyDescent="0.25">
      <c r="C622" s="5"/>
      <c r="E622" s="10"/>
      <c r="F622" s="10"/>
    </row>
    <row r="623" spans="1:6" s="9" customFormat="1" x14ac:dyDescent="0.25">
      <c r="A623" s="9" t="s">
        <v>445</v>
      </c>
      <c r="B623" s="4">
        <v>45758</v>
      </c>
      <c r="C623" s="5">
        <v>5</v>
      </c>
      <c r="D623" s="9" t="s">
        <v>12</v>
      </c>
      <c r="E623" s="10">
        <v>130</v>
      </c>
      <c r="F623" s="10">
        <f t="shared" si="9"/>
        <v>650</v>
      </c>
    </row>
    <row r="624" spans="1:6" s="9" customFormat="1" x14ac:dyDescent="0.25">
      <c r="C624" s="5"/>
      <c r="E624" s="10"/>
      <c r="F624" s="8">
        <f>SUM(F623)</f>
        <v>650</v>
      </c>
    </row>
    <row r="625" spans="1:6" s="9" customFormat="1" x14ac:dyDescent="0.25">
      <c r="C625" s="5"/>
      <c r="E625" s="10"/>
      <c r="F625" s="10"/>
    </row>
    <row r="626" spans="1:6" s="9" customFormat="1" x14ac:dyDescent="0.25">
      <c r="A626" s="9" t="s">
        <v>386</v>
      </c>
      <c r="B626" s="4">
        <v>45758</v>
      </c>
      <c r="C626" s="5">
        <v>15</v>
      </c>
      <c r="D626" s="9" t="s">
        <v>275</v>
      </c>
      <c r="E626" s="10">
        <v>100</v>
      </c>
      <c r="F626" s="10">
        <f t="shared" si="9"/>
        <v>1500</v>
      </c>
    </row>
    <row r="627" spans="1:6" s="9" customFormat="1" x14ac:dyDescent="0.25">
      <c r="C627" s="5"/>
      <c r="E627" s="10"/>
      <c r="F627" s="8">
        <f>SUM(F626)</f>
        <v>1500</v>
      </c>
    </row>
    <row r="628" spans="1:6" s="9" customFormat="1" x14ac:dyDescent="0.25">
      <c r="C628" s="5"/>
      <c r="E628" s="10"/>
      <c r="F628" s="10"/>
    </row>
    <row r="629" spans="1:6" s="9" customFormat="1" x14ac:dyDescent="0.25">
      <c r="A629" s="9" t="s">
        <v>334</v>
      </c>
      <c r="B629" s="4">
        <v>45758</v>
      </c>
      <c r="C629" s="5">
        <v>10</v>
      </c>
      <c r="D629" s="9" t="s">
        <v>98</v>
      </c>
      <c r="E629" s="10">
        <v>100</v>
      </c>
      <c r="F629" s="10">
        <f t="shared" si="9"/>
        <v>1000</v>
      </c>
    </row>
    <row r="630" spans="1:6" s="9" customFormat="1" x14ac:dyDescent="0.25">
      <c r="C630" s="5"/>
      <c r="E630" s="10"/>
      <c r="F630" s="8">
        <f>SUM(F629)</f>
        <v>1000</v>
      </c>
    </row>
    <row r="631" spans="1:6" s="9" customFormat="1" x14ac:dyDescent="0.25">
      <c r="C631" s="5"/>
      <c r="E631" s="10"/>
      <c r="F631" s="10"/>
    </row>
    <row r="632" spans="1:6" s="9" customFormat="1" x14ac:dyDescent="0.25">
      <c r="A632" s="9" t="s">
        <v>15</v>
      </c>
      <c r="B632" s="4">
        <v>45758</v>
      </c>
      <c r="C632" s="5">
        <v>63</v>
      </c>
      <c r="D632" s="9" t="s">
        <v>98</v>
      </c>
      <c r="E632" s="10">
        <v>85</v>
      </c>
      <c r="F632" s="10">
        <f t="shared" si="9"/>
        <v>5355</v>
      </c>
    </row>
    <row r="633" spans="1:6" s="9" customFormat="1" x14ac:dyDescent="0.25">
      <c r="C633" s="5"/>
      <c r="E633" s="10"/>
      <c r="F633" s="8">
        <f>SUM(F632)</f>
        <v>5355</v>
      </c>
    </row>
    <row r="634" spans="1:6" s="9" customFormat="1" x14ac:dyDescent="0.25">
      <c r="C634" s="5"/>
      <c r="E634" s="10"/>
      <c r="F634" s="10"/>
    </row>
    <row r="635" spans="1:6" s="9" customFormat="1" x14ac:dyDescent="0.25">
      <c r="A635" s="9" t="s">
        <v>21</v>
      </c>
      <c r="B635" s="4">
        <v>45758</v>
      </c>
      <c r="C635" s="5">
        <v>10</v>
      </c>
      <c r="D635" s="9" t="s">
        <v>8</v>
      </c>
      <c r="E635" s="10">
        <v>150</v>
      </c>
      <c r="F635" s="10">
        <f t="shared" si="9"/>
        <v>1500</v>
      </c>
    </row>
    <row r="636" spans="1:6" s="9" customFormat="1" x14ac:dyDescent="0.25">
      <c r="C636" s="5">
        <v>10</v>
      </c>
      <c r="D636" s="9" t="s">
        <v>11</v>
      </c>
      <c r="E636" s="10">
        <v>115</v>
      </c>
      <c r="F636" s="10">
        <f t="shared" si="9"/>
        <v>1150</v>
      </c>
    </row>
    <row r="637" spans="1:6" s="9" customFormat="1" x14ac:dyDescent="0.25">
      <c r="C637" s="5">
        <v>10</v>
      </c>
      <c r="D637" s="9" t="s">
        <v>12</v>
      </c>
      <c r="E637" s="10">
        <v>120</v>
      </c>
      <c r="F637" s="10">
        <f t="shared" si="9"/>
        <v>1200</v>
      </c>
    </row>
    <row r="638" spans="1:6" s="9" customFormat="1" x14ac:dyDescent="0.25">
      <c r="C638" s="5">
        <v>10</v>
      </c>
      <c r="D638" s="9" t="s">
        <v>22</v>
      </c>
      <c r="E638" s="10">
        <v>100</v>
      </c>
      <c r="F638" s="10">
        <f t="shared" si="9"/>
        <v>1000</v>
      </c>
    </row>
    <row r="639" spans="1:6" s="9" customFormat="1" x14ac:dyDescent="0.25">
      <c r="C639" s="5">
        <v>10</v>
      </c>
      <c r="D639" s="9" t="s">
        <v>13</v>
      </c>
      <c r="E639" s="10">
        <v>135</v>
      </c>
      <c r="F639" s="10">
        <f t="shared" si="9"/>
        <v>1350</v>
      </c>
    </row>
    <row r="640" spans="1:6" s="9" customFormat="1" x14ac:dyDescent="0.25">
      <c r="C640" s="5"/>
      <c r="E640" s="10"/>
      <c r="F640" s="8">
        <f>SUM(F635:F639)</f>
        <v>6200</v>
      </c>
    </row>
    <row r="641" spans="1:6" s="9" customFormat="1" x14ac:dyDescent="0.25">
      <c r="C641" s="5"/>
      <c r="E641" s="10"/>
      <c r="F641" s="10"/>
    </row>
    <row r="642" spans="1:6" s="9" customFormat="1" x14ac:dyDescent="0.25">
      <c r="A642" s="9" t="s">
        <v>446</v>
      </c>
      <c r="B642" s="4">
        <v>45758</v>
      </c>
      <c r="C642" s="5">
        <v>10</v>
      </c>
      <c r="D642" s="9" t="s">
        <v>8</v>
      </c>
      <c r="E642" s="10">
        <v>150</v>
      </c>
      <c r="F642" s="10">
        <f t="shared" si="9"/>
        <v>1500</v>
      </c>
    </row>
    <row r="643" spans="1:6" s="9" customFormat="1" x14ac:dyDescent="0.25">
      <c r="C643" s="5">
        <v>20</v>
      </c>
      <c r="D643" s="9" t="s">
        <v>13</v>
      </c>
      <c r="E643" s="10">
        <v>130</v>
      </c>
      <c r="F643" s="10">
        <f t="shared" si="9"/>
        <v>2600</v>
      </c>
    </row>
    <row r="644" spans="1:6" s="9" customFormat="1" x14ac:dyDescent="0.25">
      <c r="C644" s="5">
        <v>10</v>
      </c>
      <c r="D644" s="9" t="s">
        <v>14</v>
      </c>
      <c r="E644" s="10">
        <v>125</v>
      </c>
      <c r="F644" s="10">
        <f t="shared" si="9"/>
        <v>1250</v>
      </c>
    </row>
    <row r="645" spans="1:6" s="9" customFormat="1" x14ac:dyDescent="0.25">
      <c r="C645" s="5"/>
      <c r="E645" s="10"/>
      <c r="F645" s="8">
        <f>SUM(F642:F644)</f>
        <v>5350</v>
      </c>
    </row>
    <row r="646" spans="1:6" s="9" customFormat="1" x14ac:dyDescent="0.25">
      <c r="C646" s="5"/>
      <c r="E646" s="10"/>
      <c r="F646" s="10"/>
    </row>
    <row r="647" spans="1:6" s="9" customFormat="1" x14ac:dyDescent="0.25">
      <c r="A647" s="9" t="s">
        <v>58</v>
      </c>
      <c r="B647" s="4">
        <v>45758</v>
      </c>
      <c r="C647" s="5">
        <v>11</v>
      </c>
      <c r="D647" s="9" t="s">
        <v>13</v>
      </c>
      <c r="E647" s="10">
        <v>140</v>
      </c>
      <c r="F647" s="10">
        <f t="shared" ref="F647:F653" si="10">+C647*E647</f>
        <v>1540</v>
      </c>
    </row>
    <row r="648" spans="1:6" s="9" customFormat="1" x14ac:dyDescent="0.25">
      <c r="C648" s="5"/>
      <c r="E648" s="10"/>
      <c r="F648" s="8">
        <f>SUM(F647)</f>
        <v>1540</v>
      </c>
    </row>
    <row r="649" spans="1:6" s="9" customFormat="1" x14ac:dyDescent="0.25">
      <c r="C649" s="5"/>
      <c r="E649" s="10"/>
      <c r="F649" s="10"/>
    </row>
    <row r="650" spans="1:6" s="9" customFormat="1" x14ac:dyDescent="0.25">
      <c r="A650" s="9" t="s">
        <v>181</v>
      </c>
      <c r="B650" s="4">
        <v>45758</v>
      </c>
      <c r="C650" s="5">
        <v>1</v>
      </c>
      <c r="D650" s="9" t="s">
        <v>13</v>
      </c>
      <c r="E650" s="10">
        <v>145</v>
      </c>
      <c r="F650" s="10">
        <f t="shared" si="10"/>
        <v>145</v>
      </c>
    </row>
    <row r="651" spans="1:6" s="9" customFormat="1" x14ac:dyDescent="0.25">
      <c r="C651" s="5"/>
      <c r="E651" s="10"/>
      <c r="F651" s="8">
        <f>SUM(F650)</f>
        <v>145</v>
      </c>
    </row>
    <row r="652" spans="1:6" s="9" customFormat="1" x14ac:dyDescent="0.25">
      <c r="C652" s="5"/>
      <c r="E652" s="10"/>
      <c r="F652" s="10"/>
    </row>
    <row r="653" spans="1:6" s="9" customFormat="1" x14ac:dyDescent="0.25">
      <c r="A653" s="9" t="s">
        <v>18</v>
      </c>
      <c r="B653" s="4">
        <v>45758</v>
      </c>
      <c r="C653" s="5">
        <v>30</v>
      </c>
      <c r="D653" s="9" t="s">
        <v>14</v>
      </c>
      <c r="E653" s="10">
        <v>125</v>
      </c>
      <c r="F653" s="10">
        <f t="shared" si="10"/>
        <v>3750</v>
      </c>
    </row>
    <row r="654" spans="1:6" s="9" customFormat="1" x14ac:dyDescent="0.25">
      <c r="C654" s="5"/>
      <c r="E654" s="10"/>
      <c r="F654" s="8">
        <f>SUM(F653)</f>
        <v>3750</v>
      </c>
    </row>
    <row r="655" spans="1:6" s="9" customFormat="1" x14ac:dyDescent="0.25">
      <c r="C655" s="5"/>
      <c r="E655" s="10"/>
      <c r="F655" s="10"/>
    </row>
    <row r="656" spans="1:6" s="9" customFormat="1" x14ac:dyDescent="0.25">
      <c r="A656" s="9" t="s">
        <v>106</v>
      </c>
      <c r="B656" s="4">
        <v>45758</v>
      </c>
      <c r="C656" s="5">
        <v>50</v>
      </c>
      <c r="D656" s="9" t="s">
        <v>12</v>
      </c>
      <c r="E656" s="10">
        <v>130</v>
      </c>
      <c r="F656" s="10">
        <f t="shared" ref="F656:F668" si="11">+C656*E656</f>
        <v>6500</v>
      </c>
    </row>
    <row r="657" spans="1:6" s="9" customFormat="1" x14ac:dyDescent="0.25">
      <c r="C657" s="5"/>
      <c r="E657" s="10"/>
      <c r="F657" s="8">
        <f>SUM(F656)</f>
        <v>6500</v>
      </c>
    </row>
    <row r="658" spans="1:6" s="9" customFormat="1" x14ac:dyDescent="0.25">
      <c r="C658" s="5"/>
      <c r="E658" s="10"/>
      <c r="F658" s="10"/>
    </row>
    <row r="659" spans="1:6" s="9" customFormat="1" x14ac:dyDescent="0.25">
      <c r="A659" s="9" t="s">
        <v>85</v>
      </c>
      <c r="B659" s="4">
        <v>45758</v>
      </c>
      <c r="C659" s="5">
        <v>100</v>
      </c>
      <c r="D659" s="9" t="s">
        <v>14</v>
      </c>
      <c r="E659" s="10">
        <v>125</v>
      </c>
      <c r="F659" s="10">
        <f t="shared" si="11"/>
        <v>12500</v>
      </c>
    </row>
    <row r="660" spans="1:6" s="9" customFormat="1" x14ac:dyDescent="0.25">
      <c r="C660" s="5"/>
      <c r="E660" s="10"/>
      <c r="F660" s="8">
        <f>SUM(F659)</f>
        <v>12500</v>
      </c>
    </row>
    <row r="661" spans="1:6" s="9" customFormat="1" x14ac:dyDescent="0.25">
      <c r="C661" s="5"/>
      <c r="E661" s="10"/>
      <c r="F661" s="10"/>
    </row>
    <row r="662" spans="1:6" s="9" customFormat="1" x14ac:dyDescent="0.25">
      <c r="A662" s="9" t="s">
        <v>41</v>
      </c>
      <c r="B662" s="4">
        <v>45758</v>
      </c>
      <c r="C662" s="5">
        <v>25</v>
      </c>
      <c r="D662" s="9" t="s">
        <v>14</v>
      </c>
      <c r="E662" s="10">
        <v>125</v>
      </c>
      <c r="F662" s="10">
        <f t="shared" si="11"/>
        <v>3125</v>
      </c>
    </row>
    <row r="663" spans="1:6" s="9" customFormat="1" x14ac:dyDescent="0.25">
      <c r="C663" s="5"/>
      <c r="E663" s="10"/>
      <c r="F663" s="8">
        <f>SUM(F662)</f>
        <v>3125</v>
      </c>
    </row>
    <row r="664" spans="1:6" s="9" customFormat="1" x14ac:dyDescent="0.25">
      <c r="C664" s="5"/>
      <c r="E664" s="10"/>
      <c r="F664" s="10"/>
    </row>
    <row r="665" spans="1:6" s="9" customFormat="1" x14ac:dyDescent="0.25">
      <c r="A665" s="9" t="s">
        <v>138</v>
      </c>
      <c r="B665" s="4">
        <v>45758</v>
      </c>
      <c r="C665" s="5">
        <v>20</v>
      </c>
      <c r="D665" s="9" t="s">
        <v>447</v>
      </c>
      <c r="E665" s="10">
        <v>125</v>
      </c>
      <c r="F665" s="10">
        <f t="shared" si="11"/>
        <v>2500</v>
      </c>
    </row>
    <row r="666" spans="1:6" s="9" customFormat="1" x14ac:dyDescent="0.25">
      <c r="C666" s="5"/>
      <c r="E666" s="10"/>
      <c r="F666" s="8">
        <f>SUM(F665)</f>
        <v>2500</v>
      </c>
    </row>
    <row r="667" spans="1:6" s="9" customFormat="1" x14ac:dyDescent="0.25">
      <c r="C667" s="5"/>
      <c r="E667" s="10"/>
      <c r="F667" s="10"/>
    </row>
    <row r="668" spans="1:6" s="9" customFormat="1" x14ac:dyDescent="0.25">
      <c r="A668" s="9" t="s">
        <v>145</v>
      </c>
      <c r="B668" s="4">
        <v>45758</v>
      </c>
      <c r="C668" s="5">
        <v>40</v>
      </c>
      <c r="D668" s="9" t="s">
        <v>14</v>
      </c>
      <c r="E668" s="10">
        <v>120</v>
      </c>
      <c r="F668" s="10">
        <f t="shared" si="11"/>
        <v>4800</v>
      </c>
    </row>
    <row r="669" spans="1:6" s="9" customFormat="1" x14ac:dyDescent="0.25">
      <c r="C669" s="5"/>
      <c r="E669" s="10"/>
      <c r="F669" s="8">
        <f>SUM(F668)</f>
        <v>4800</v>
      </c>
    </row>
    <row r="670" spans="1:6" s="9" customFormat="1" x14ac:dyDescent="0.25">
      <c r="C670" s="5"/>
      <c r="E670" s="10"/>
      <c r="F670" s="10"/>
    </row>
    <row r="671" spans="1:6" s="9" customFormat="1" x14ac:dyDescent="0.25">
      <c r="A671" s="9" t="s">
        <v>181</v>
      </c>
      <c r="B671" s="4">
        <v>45758</v>
      </c>
      <c r="C671" s="5">
        <v>2</v>
      </c>
      <c r="D671" s="9" t="s">
        <v>14</v>
      </c>
      <c r="E671" s="10">
        <v>125</v>
      </c>
      <c r="F671" s="10">
        <f t="shared" ref="F671:F732" si="12">+C671*E671</f>
        <v>250</v>
      </c>
    </row>
    <row r="672" spans="1:6" s="9" customFormat="1" x14ac:dyDescent="0.25">
      <c r="C672" s="5"/>
      <c r="E672" s="10"/>
      <c r="F672" s="8">
        <f>SUM(F671)</f>
        <v>250</v>
      </c>
    </row>
    <row r="673" spans="1:6" s="9" customFormat="1" x14ac:dyDescent="0.25">
      <c r="C673" s="5"/>
      <c r="E673" s="10"/>
      <c r="F673" s="10"/>
    </row>
    <row r="674" spans="1:6" s="9" customFormat="1" x14ac:dyDescent="0.25">
      <c r="A674" s="9" t="s">
        <v>448</v>
      </c>
      <c r="B674" s="4">
        <v>45758</v>
      </c>
      <c r="C674" s="5">
        <v>3</v>
      </c>
      <c r="D674" s="9" t="s">
        <v>13</v>
      </c>
      <c r="E674" s="10">
        <v>140</v>
      </c>
      <c r="F674" s="10">
        <f t="shared" si="12"/>
        <v>420</v>
      </c>
    </row>
    <row r="675" spans="1:6" s="9" customFormat="1" x14ac:dyDescent="0.25">
      <c r="C675" s="5"/>
      <c r="E675" s="10"/>
      <c r="F675" s="8">
        <f>SUM(F674)</f>
        <v>420</v>
      </c>
    </row>
    <row r="676" spans="1:6" s="9" customFormat="1" x14ac:dyDescent="0.25">
      <c r="C676" s="5"/>
      <c r="E676" s="10"/>
      <c r="F676" s="10"/>
    </row>
    <row r="677" spans="1:6" s="9" customFormat="1" x14ac:dyDescent="0.25">
      <c r="A677" s="9" t="s">
        <v>112</v>
      </c>
      <c r="B677" s="4">
        <v>45758</v>
      </c>
      <c r="C677" s="5">
        <v>100</v>
      </c>
      <c r="D677" s="9" t="s">
        <v>22</v>
      </c>
      <c r="E677" s="10">
        <v>85</v>
      </c>
      <c r="F677" s="10">
        <f t="shared" si="12"/>
        <v>8500</v>
      </c>
    </row>
    <row r="678" spans="1:6" s="9" customFormat="1" x14ac:dyDescent="0.25">
      <c r="C678" s="5"/>
      <c r="E678" s="10"/>
      <c r="F678" s="8">
        <f>SUM(F677)</f>
        <v>8500</v>
      </c>
    </row>
    <row r="679" spans="1:6" s="9" customFormat="1" x14ac:dyDescent="0.25">
      <c r="C679" s="5"/>
      <c r="E679" s="10"/>
      <c r="F679" s="10"/>
    </row>
    <row r="680" spans="1:6" s="9" customFormat="1" x14ac:dyDescent="0.25">
      <c r="A680" s="9" t="s">
        <v>184</v>
      </c>
      <c r="B680" s="4">
        <v>45758</v>
      </c>
      <c r="C680" s="5">
        <v>5</v>
      </c>
      <c r="D680" s="9" t="s">
        <v>13</v>
      </c>
      <c r="E680" s="10">
        <v>150</v>
      </c>
      <c r="F680" s="10">
        <f t="shared" si="12"/>
        <v>750</v>
      </c>
    </row>
    <row r="681" spans="1:6" s="9" customFormat="1" x14ac:dyDescent="0.25">
      <c r="C681" s="5"/>
      <c r="E681" s="10"/>
      <c r="F681" s="8">
        <f>SUM(F680)</f>
        <v>750</v>
      </c>
    </row>
    <row r="682" spans="1:6" s="9" customFormat="1" x14ac:dyDescent="0.25">
      <c r="C682" s="5"/>
      <c r="E682" s="10"/>
      <c r="F682" s="10"/>
    </row>
    <row r="683" spans="1:6" s="9" customFormat="1" x14ac:dyDescent="0.25">
      <c r="A683" s="9" t="s">
        <v>66</v>
      </c>
      <c r="B683" s="4">
        <v>45758</v>
      </c>
      <c r="C683" s="5">
        <v>20</v>
      </c>
      <c r="D683" s="9" t="s">
        <v>8</v>
      </c>
      <c r="E683" s="10">
        <v>155</v>
      </c>
      <c r="F683" s="10">
        <f t="shared" si="12"/>
        <v>3100</v>
      </c>
    </row>
    <row r="684" spans="1:6" s="9" customFormat="1" x14ac:dyDescent="0.25">
      <c r="C684" s="5"/>
      <c r="E684" s="10"/>
      <c r="F684" s="8">
        <f>SUM(F683)</f>
        <v>3100</v>
      </c>
    </row>
    <row r="685" spans="1:6" s="9" customFormat="1" x14ac:dyDescent="0.25">
      <c r="C685" s="5"/>
      <c r="E685" s="10"/>
      <c r="F685" s="10"/>
    </row>
    <row r="686" spans="1:6" s="9" customFormat="1" x14ac:dyDescent="0.25">
      <c r="A686" s="9" t="s">
        <v>90</v>
      </c>
      <c r="B686" s="4">
        <v>45758</v>
      </c>
      <c r="C686" s="5">
        <v>30</v>
      </c>
      <c r="D686" s="9" t="s">
        <v>12</v>
      </c>
      <c r="E686" s="10">
        <v>130</v>
      </c>
      <c r="F686" s="10">
        <f t="shared" si="12"/>
        <v>3900</v>
      </c>
    </row>
    <row r="687" spans="1:6" s="9" customFormat="1" x14ac:dyDescent="0.25">
      <c r="C687" s="5"/>
      <c r="E687" s="10"/>
      <c r="F687" s="8">
        <f>SUM(F686)</f>
        <v>3900</v>
      </c>
    </row>
    <row r="688" spans="1:6" s="9" customFormat="1" x14ac:dyDescent="0.25">
      <c r="C688" s="5"/>
      <c r="E688" s="10"/>
      <c r="F688" s="10"/>
    </row>
    <row r="689" spans="1:6" s="9" customFormat="1" x14ac:dyDescent="0.25">
      <c r="A689" s="9" t="s">
        <v>245</v>
      </c>
      <c r="B689" s="4">
        <v>45758</v>
      </c>
      <c r="C689" s="5">
        <v>50</v>
      </c>
      <c r="D689" s="9" t="s">
        <v>13</v>
      </c>
      <c r="E689" s="10">
        <v>140</v>
      </c>
      <c r="F689" s="10">
        <f t="shared" si="12"/>
        <v>7000</v>
      </c>
    </row>
    <row r="690" spans="1:6" s="9" customFormat="1" x14ac:dyDescent="0.25">
      <c r="C690" s="5">
        <v>10</v>
      </c>
      <c r="D690" s="9" t="s">
        <v>14</v>
      </c>
      <c r="E690" s="10">
        <v>130</v>
      </c>
      <c r="F690" s="10">
        <f t="shared" si="12"/>
        <v>1300</v>
      </c>
    </row>
    <row r="691" spans="1:6" s="9" customFormat="1" x14ac:dyDescent="0.25">
      <c r="C691" s="5"/>
      <c r="E691" s="10"/>
      <c r="F691" s="8">
        <f>SUM(F689:F690)</f>
        <v>8300</v>
      </c>
    </row>
    <row r="692" spans="1:6" s="9" customFormat="1" x14ac:dyDescent="0.25">
      <c r="C692" s="5"/>
      <c r="E692" s="10"/>
      <c r="F692" s="10"/>
    </row>
    <row r="693" spans="1:6" s="9" customFormat="1" x14ac:dyDescent="0.25">
      <c r="A693" s="9" t="s">
        <v>101</v>
      </c>
      <c r="B693" s="4">
        <v>45758</v>
      </c>
      <c r="C693" s="5">
        <v>2</v>
      </c>
      <c r="D693" s="9" t="s">
        <v>14</v>
      </c>
      <c r="E693" s="10">
        <v>160</v>
      </c>
      <c r="F693" s="10">
        <f t="shared" si="12"/>
        <v>320</v>
      </c>
    </row>
    <row r="694" spans="1:6" s="9" customFormat="1" x14ac:dyDescent="0.25">
      <c r="C694" s="5">
        <v>1</v>
      </c>
      <c r="D694" s="9" t="s">
        <v>49</v>
      </c>
      <c r="E694" s="10">
        <v>170</v>
      </c>
      <c r="F694" s="10">
        <f t="shared" si="12"/>
        <v>170</v>
      </c>
    </row>
    <row r="695" spans="1:6" s="9" customFormat="1" x14ac:dyDescent="0.25">
      <c r="C695" s="5"/>
      <c r="E695" s="10"/>
      <c r="F695" s="8">
        <f>SUM(F693:F694)</f>
        <v>490</v>
      </c>
    </row>
    <row r="696" spans="1:6" s="9" customFormat="1" x14ac:dyDescent="0.25">
      <c r="C696" s="5"/>
      <c r="E696" s="10"/>
      <c r="F696" s="10"/>
    </row>
    <row r="697" spans="1:6" s="9" customFormat="1" x14ac:dyDescent="0.25">
      <c r="A697" s="9" t="s">
        <v>7</v>
      </c>
      <c r="B697" s="4">
        <v>45758</v>
      </c>
      <c r="C697" s="5">
        <v>2</v>
      </c>
      <c r="D697" s="9" t="s">
        <v>13</v>
      </c>
      <c r="E697" s="10">
        <v>140</v>
      </c>
      <c r="F697" s="10">
        <f t="shared" si="12"/>
        <v>280</v>
      </c>
    </row>
    <row r="698" spans="1:6" s="9" customFormat="1" x14ac:dyDescent="0.25">
      <c r="C698" s="5">
        <v>3</v>
      </c>
      <c r="D698" s="9" t="s">
        <v>8</v>
      </c>
      <c r="E698" s="10">
        <v>170</v>
      </c>
      <c r="F698" s="10">
        <f t="shared" si="12"/>
        <v>510</v>
      </c>
    </row>
    <row r="699" spans="1:6" s="9" customFormat="1" x14ac:dyDescent="0.25">
      <c r="C699" s="5">
        <v>1</v>
      </c>
      <c r="D699" s="9" t="s">
        <v>78</v>
      </c>
      <c r="E699" s="10">
        <v>100</v>
      </c>
      <c r="F699" s="10">
        <f t="shared" si="12"/>
        <v>100</v>
      </c>
    </row>
    <row r="700" spans="1:6" s="9" customFormat="1" x14ac:dyDescent="0.25">
      <c r="C700" s="5">
        <v>1</v>
      </c>
      <c r="D700" s="9" t="s">
        <v>13</v>
      </c>
      <c r="E700" s="10">
        <v>160</v>
      </c>
      <c r="F700" s="10">
        <f t="shared" si="12"/>
        <v>160</v>
      </c>
    </row>
    <row r="701" spans="1:6" s="9" customFormat="1" x14ac:dyDescent="0.25">
      <c r="C701" s="5"/>
      <c r="E701" s="10"/>
      <c r="F701" s="8">
        <f>SUM(F697:F700)</f>
        <v>1050</v>
      </c>
    </row>
    <row r="702" spans="1:6" s="9" customFormat="1" x14ac:dyDescent="0.25">
      <c r="C702" s="5"/>
      <c r="E702" s="10"/>
      <c r="F702" s="10"/>
    </row>
    <row r="703" spans="1:6" s="9" customFormat="1" x14ac:dyDescent="0.25">
      <c r="A703" s="9" t="s">
        <v>386</v>
      </c>
      <c r="B703" s="4">
        <v>45759</v>
      </c>
      <c r="C703" s="5">
        <v>10</v>
      </c>
      <c r="D703" s="9" t="s">
        <v>98</v>
      </c>
      <c r="E703" s="10">
        <v>100</v>
      </c>
      <c r="F703" s="10">
        <f t="shared" si="12"/>
        <v>1000</v>
      </c>
    </row>
    <row r="704" spans="1:6" s="9" customFormat="1" x14ac:dyDescent="0.25">
      <c r="C704" s="5"/>
      <c r="E704" s="10"/>
      <c r="F704" s="8">
        <f>SUM(F703)</f>
        <v>1000</v>
      </c>
    </row>
    <row r="705" spans="1:6" s="9" customFormat="1" x14ac:dyDescent="0.25">
      <c r="C705" s="5"/>
      <c r="E705" s="10"/>
      <c r="F705" s="10"/>
    </row>
    <row r="706" spans="1:6" s="9" customFormat="1" x14ac:dyDescent="0.25">
      <c r="A706" s="9" t="s">
        <v>334</v>
      </c>
      <c r="B706" s="4">
        <v>45759</v>
      </c>
      <c r="C706" s="5">
        <v>5</v>
      </c>
      <c r="D706" s="9" t="s">
        <v>98</v>
      </c>
      <c r="E706" s="10">
        <v>100</v>
      </c>
      <c r="F706" s="10">
        <f t="shared" si="12"/>
        <v>500</v>
      </c>
    </row>
    <row r="707" spans="1:6" s="9" customFormat="1" x14ac:dyDescent="0.25">
      <c r="C707" s="5"/>
      <c r="E707" s="10"/>
      <c r="F707" s="8">
        <f>SUM(F706)</f>
        <v>500</v>
      </c>
    </row>
    <row r="708" spans="1:6" s="9" customFormat="1" x14ac:dyDescent="0.25">
      <c r="C708" s="5"/>
      <c r="E708" s="10"/>
      <c r="F708" s="10"/>
    </row>
    <row r="709" spans="1:6" s="9" customFormat="1" x14ac:dyDescent="0.25">
      <c r="A709" s="9" t="s">
        <v>366</v>
      </c>
      <c r="B709" s="4">
        <v>45759</v>
      </c>
      <c r="C709" s="5">
        <v>10</v>
      </c>
      <c r="D709" s="9" t="s">
        <v>13</v>
      </c>
      <c r="E709" s="10">
        <v>140</v>
      </c>
      <c r="F709" s="10">
        <f t="shared" si="12"/>
        <v>1400</v>
      </c>
    </row>
    <row r="710" spans="1:6" s="9" customFormat="1" x14ac:dyDescent="0.25">
      <c r="C710" s="5"/>
      <c r="E710" s="10"/>
      <c r="F710" s="8">
        <f>SUM(F709)</f>
        <v>1400</v>
      </c>
    </row>
    <row r="711" spans="1:6" s="9" customFormat="1" x14ac:dyDescent="0.25">
      <c r="C711" s="5"/>
      <c r="E711" s="10"/>
      <c r="F711" s="10"/>
    </row>
    <row r="712" spans="1:6" s="9" customFormat="1" x14ac:dyDescent="0.25">
      <c r="A712" s="9" t="s">
        <v>20</v>
      </c>
      <c r="B712" s="4">
        <v>45759</v>
      </c>
      <c r="C712" s="5">
        <v>20</v>
      </c>
      <c r="D712" s="9" t="s">
        <v>449</v>
      </c>
      <c r="E712" s="10">
        <v>135</v>
      </c>
      <c r="F712" s="10">
        <f t="shared" si="12"/>
        <v>2700</v>
      </c>
    </row>
    <row r="713" spans="1:6" s="9" customFormat="1" x14ac:dyDescent="0.25">
      <c r="C713" s="5"/>
      <c r="E713" s="10"/>
      <c r="F713" s="8">
        <f>SUM(F712)</f>
        <v>2700</v>
      </c>
    </row>
    <row r="714" spans="1:6" s="9" customFormat="1" x14ac:dyDescent="0.25">
      <c r="C714" s="5"/>
      <c r="E714" s="10"/>
      <c r="F714" s="10"/>
    </row>
    <row r="715" spans="1:6" s="9" customFormat="1" x14ac:dyDescent="0.25">
      <c r="A715" s="9" t="s">
        <v>21</v>
      </c>
      <c r="B715" s="4">
        <v>45759</v>
      </c>
      <c r="C715" s="5">
        <v>30</v>
      </c>
      <c r="D715" s="9" t="s">
        <v>13</v>
      </c>
      <c r="E715" s="10">
        <v>135</v>
      </c>
      <c r="F715" s="10">
        <f t="shared" si="12"/>
        <v>4050</v>
      </c>
    </row>
    <row r="716" spans="1:6" s="9" customFormat="1" x14ac:dyDescent="0.25">
      <c r="C716" s="5">
        <v>30</v>
      </c>
      <c r="D716" s="9" t="s">
        <v>12</v>
      </c>
      <c r="E716" s="10">
        <v>120</v>
      </c>
      <c r="F716" s="10">
        <f t="shared" si="12"/>
        <v>3600</v>
      </c>
    </row>
    <row r="717" spans="1:6" s="9" customFormat="1" x14ac:dyDescent="0.25">
      <c r="C717" s="5">
        <v>10</v>
      </c>
      <c r="D717" s="9" t="s">
        <v>22</v>
      </c>
      <c r="E717" s="10">
        <v>100</v>
      </c>
      <c r="F717" s="10">
        <f t="shared" si="12"/>
        <v>1000</v>
      </c>
    </row>
    <row r="718" spans="1:6" s="9" customFormat="1" x14ac:dyDescent="0.25">
      <c r="C718" s="5"/>
      <c r="E718" s="10"/>
      <c r="F718" s="8">
        <f>SUM(F715:F717)</f>
        <v>8650</v>
      </c>
    </row>
    <row r="719" spans="1:6" s="9" customFormat="1" x14ac:dyDescent="0.25">
      <c r="C719" s="5"/>
      <c r="E719" s="10"/>
      <c r="F719" s="10"/>
    </row>
    <row r="720" spans="1:6" s="9" customFormat="1" x14ac:dyDescent="0.25">
      <c r="A720" s="9" t="s">
        <v>57</v>
      </c>
      <c r="B720" s="4">
        <v>45759</v>
      </c>
      <c r="C720" s="5">
        <v>15</v>
      </c>
      <c r="D720" s="9" t="s">
        <v>13</v>
      </c>
      <c r="E720" s="10">
        <v>135</v>
      </c>
      <c r="F720" s="10">
        <f t="shared" si="12"/>
        <v>2025</v>
      </c>
    </row>
    <row r="721" spans="1:6" s="9" customFormat="1" x14ac:dyDescent="0.25">
      <c r="C721" s="5">
        <v>10</v>
      </c>
      <c r="D721" s="9" t="s">
        <v>14</v>
      </c>
      <c r="E721" s="10">
        <v>125</v>
      </c>
      <c r="F721" s="10">
        <f t="shared" si="12"/>
        <v>1250</v>
      </c>
    </row>
    <row r="722" spans="1:6" s="9" customFormat="1" x14ac:dyDescent="0.25">
      <c r="C722" s="5"/>
      <c r="E722" s="10"/>
      <c r="F722" s="8">
        <f>SUM(F720:F721)</f>
        <v>3275</v>
      </c>
    </row>
    <row r="723" spans="1:6" s="9" customFormat="1" x14ac:dyDescent="0.25">
      <c r="C723" s="5"/>
      <c r="E723" s="10"/>
      <c r="F723" s="10"/>
    </row>
    <row r="724" spans="1:6" s="9" customFormat="1" x14ac:dyDescent="0.25">
      <c r="A724" s="9" t="s">
        <v>40</v>
      </c>
      <c r="B724" s="4">
        <v>45759</v>
      </c>
      <c r="C724" s="5">
        <v>10</v>
      </c>
      <c r="D724" s="9" t="s">
        <v>12</v>
      </c>
      <c r="E724" s="10">
        <v>115</v>
      </c>
      <c r="F724" s="10">
        <f t="shared" si="12"/>
        <v>1150</v>
      </c>
    </row>
    <row r="725" spans="1:6" s="9" customFormat="1" x14ac:dyDescent="0.25">
      <c r="C725" s="5">
        <v>10</v>
      </c>
      <c r="D725" s="9" t="s">
        <v>11</v>
      </c>
      <c r="E725" s="10">
        <v>115</v>
      </c>
      <c r="F725" s="10">
        <f t="shared" si="12"/>
        <v>1150</v>
      </c>
    </row>
    <row r="726" spans="1:6" s="9" customFormat="1" x14ac:dyDescent="0.25">
      <c r="C726" s="5">
        <v>6</v>
      </c>
      <c r="D726" s="9" t="s">
        <v>13</v>
      </c>
      <c r="E726" s="10">
        <v>130</v>
      </c>
      <c r="F726" s="10">
        <f t="shared" si="12"/>
        <v>780</v>
      </c>
    </row>
    <row r="727" spans="1:6" s="9" customFormat="1" x14ac:dyDescent="0.25">
      <c r="C727" s="5"/>
      <c r="E727" s="10"/>
      <c r="F727" s="8">
        <f>SUM(F724:F726)</f>
        <v>3080</v>
      </c>
    </row>
    <row r="728" spans="1:6" s="9" customFormat="1" x14ac:dyDescent="0.25">
      <c r="C728" s="5"/>
      <c r="E728" s="10"/>
      <c r="F728" s="10"/>
    </row>
    <row r="729" spans="1:6" s="9" customFormat="1" x14ac:dyDescent="0.25">
      <c r="A729" s="9" t="s">
        <v>58</v>
      </c>
      <c r="B729" s="4">
        <v>45759</v>
      </c>
      <c r="C729" s="5">
        <v>15</v>
      </c>
      <c r="D729" s="9" t="s">
        <v>13</v>
      </c>
      <c r="E729" s="10">
        <v>140</v>
      </c>
      <c r="F729" s="10">
        <f t="shared" si="12"/>
        <v>2100</v>
      </c>
    </row>
    <row r="730" spans="1:6" s="9" customFormat="1" x14ac:dyDescent="0.25">
      <c r="C730" s="5"/>
      <c r="E730" s="10"/>
      <c r="F730" s="8">
        <f>SUM(F729)</f>
        <v>2100</v>
      </c>
    </row>
    <row r="731" spans="1:6" s="9" customFormat="1" x14ac:dyDescent="0.25">
      <c r="C731" s="5"/>
      <c r="E731" s="10"/>
      <c r="F731" s="10"/>
    </row>
    <row r="732" spans="1:6" s="9" customFormat="1" x14ac:dyDescent="0.25">
      <c r="A732" s="9" t="s">
        <v>18</v>
      </c>
      <c r="B732" s="4">
        <v>45759</v>
      </c>
      <c r="C732" s="5">
        <v>6</v>
      </c>
      <c r="D732" s="9" t="s">
        <v>13</v>
      </c>
      <c r="E732" s="10">
        <v>140</v>
      </c>
      <c r="F732" s="10">
        <f t="shared" si="12"/>
        <v>840</v>
      </c>
    </row>
    <row r="733" spans="1:6" s="9" customFormat="1" x14ac:dyDescent="0.25">
      <c r="C733" s="5"/>
      <c r="E733" s="10"/>
      <c r="F733" s="8">
        <f>SUM(F732)</f>
        <v>840</v>
      </c>
    </row>
    <row r="734" spans="1:6" s="9" customFormat="1" x14ac:dyDescent="0.25">
      <c r="C734" s="5"/>
      <c r="E734" s="10"/>
      <c r="F734" s="10"/>
    </row>
    <row r="735" spans="1:6" s="9" customFormat="1" x14ac:dyDescent="0.25">
      <c r="A735" s="9" t="s">
        <v>65</v>
      </c>
      <c r="B735" s="4">
        <v>45759</v>
      </c>
      <c r="C735" s="5">
        <v>1200</v>
      </c>
      <c r="D735" s="9" t="s">
        <v>12</v>
      </c>
      <c r="E735" s="10">
        <v>115</v>
      </c>
      <c r="F735" s="10">
        <f t="shared" ref="F735:F794" si="13">+C735*E735</f>
        <v>138000</v>
      </c>
    </row>
    <row r="736" spans="1:6" s="9" customFormat="1" x14ac:dyDescent="0.25">
      <c r="C736" s="5">
        <v>100</v>
      </c>
      <c r="D736" s="9" t="s">
        <v>13</v>
      </c>
      <c r="E736" s="10">
        <v>125</v>
      </c>
      <c r="F736" s="10">
        <f t="shared" si="13"/>
        <v>12500</v>
      </c>
    </row>
    <row r="737" spans="1:6" s="9" customFormat="1" x14ac:dyDescent="0.25">
      <c r="C737" s="5">
        <v>360</v>
      </c>
      <c r="D737" s="9" t="s">
        <v>11</v>
      </c>
      <c r="E737" s="10">
        <v>100</v>
      </c>
      <c r="F737" s="10">
        <f t="shared" si="13"/>
        <v>36000</v>
      </c>
    </row>
    <row r="738" spans="1:6" s="9" customFormat="1" x14ac:dyDescent="0.25">
      <c r="C738" s="5"/>
      <c r="E738" s="10"/>
      <c r="F738" s="8">
        <f>SUM(F735:F737)</f>
        <v>186500</v>
      </c>
    </row>
    <row r="739" spans="1:6" s="9" customFormat="1" x14ac:dyDescent="0.25">
      <c r="C739" s="5"/>
      <c r="E739" s="10"/>
      <c r="F739" s="10"/>
    </row>
    <row r="740" spans="1:6" s="9" customFormat="1" x14ac:dyDescent="0.25">
      <c r="A740" s="9" t="s">
        <v>61</v>
      </c>
      <c r="B740" s="4">
        <v>45759</v>
      </c>
      <c r="C740" s="5">
        <v>100</v>
      </c>
      <c r="D740" s="9" t="s">
        <v>13</v>
      </c>
      <c r="E740" s="10">
        <v>140</v>
      </c>
      <c r="F740" s="10">
        <f t="shared" si="13"/>
        <v>14000</v>
      </c>
    </row>
    <row r="741" spans="1:6" s="9" customFormat="1" x14ac:dyDescent="0.25">
      <c r="C741" s="5">
        <v>7.05</v>
      </c>
      <c r="D741" s="9" t="s">
        <v>318</v>
      </c>
      <c r="E741" s="10">
        <v>0</v>
      </c>
      <c r="F741" s="10">
        <f t="shared" si="13"/>
        <v>0</v>
      </c>
    </row>
    <row r="742" spans="1:6" s="9" customFormat="1" x14ac:dyDescent="0.25">
      <c r="C742" s="5"/>
      <c r="E742" s="10"/>
      <c r="F742" s="8">
        <f>SUM(F740:F741)</f>
        <v>14000</v>
      </c>
    </row>
    <row r="743" spans="1:6" s="9" customFormat="1" x14ac:dyDescent="0.25">
      <c r="C743" s="5"/>
      <c r="E743" s="10"/>
      <c r="F743" s="10"/>
    </row>
    <row r="744" spans="1:6" s="9" customFormat="1" x14ac:dyDescent="0.25">
      <c r="A744" s="9" t="s">
        <v>60</v>
      </c>
      <c r="B744" s="4">
        <v>45759</v>
      </c>
      <c r="C744" s="5">
        <v>30</v>
      </c>
      <c r="D744" s="9" t="s">
        <v>13</v>
      </c>
      <c r="E744" s="10">
        <v>140</v>
      </c>
      <c r="F744" s="10">
        <f t="shared" si="13"/>
        <v>4200</v>
      </c>
    </row>
    <row r="745" spans="1:6" s="9" customFormat="1" x14ac:dyDescent="0.25">
      <c r="C745" s="5">
        <v>1</v>
      </c>
      <c r="D745" s="9" t="s">
        <v>318</v>
      </c>
      <c r="E745" s="10">
        <v>0</v>
      </c>
      <c r="F745" s="10">
        <f t="shared" si="13"/>
        <v>0</v>
      </c>
    </row>
    <row r="746" spans="1:6" s="9" customFormat="1" x14ac:dyDescent="0.25">
      <c r="C746" s="5"/>
      <c r="E746" s="10"/>
      <c r="F746" s="8">
        <f>SUM(F744:F745)</f>
        <v>4200</v>
      </c>
    </row>
    <row r="747" spans="1:6" s="9" customFormat="1" x14ac:dyDescent="0.25">
      <c r="C747" s="5"/>
      <c r="E747" s="10"/>
      <c r="F747" s="10"/>
    </row>
    <row r="748" spans="1:6" s="9" customFormat="1" x14ac:dyDescent="0.25">
      <c r="A748" s="9" t="s">
        <v>127</v>
      </c>
      <c r="B748" s="4">
        <v>45759</v>
      </c>
      <c r="C748" s="5">
        <v>30</v>
      </c>
      <c r="D748" s="9" t="s">
        <v>13</v>
      </c>
      <c r="E748" s="10">
        <v>140</v>
      </c>
      <c r="F748" s="10">
        <f t="shared" si="13"/>
        <v>4200</v>
      </c>
    </row>
    <row r="749" spans="1:6" s="9" customFormat="1" x14ac:dyDescent="0.25">
      <c r="C749" s="5">
        <v>1.04</v>
      </c>
      <c r="D749" s="9" t="s">
        <v>13</v>
      </c>
      <c r="E749" s="10">
        <v>0</v>
      </c>
      <c r="F749" s="10">
        <f t="shared" si="13"/>
        <v>0</v>
      </c>
    </row>
    <row r="750" spans="1:6" s="9" customFormat="1" x14ac:dyDescent="0.25">
      <c r="C750" s="5"/>
      <c r="E750" s="10"/>
      <c r="F750" s="8">
        <f>SUM(F748:F749)</f>
        <v>4200</v>
      </c>
    </row>
    <row r="751" spans="1:6" s="9" customFormat="1" x14ac:dyDescent="0.25">
      <c r="C751" s="5"/>
      <c r="E751" s="10"/>
      <c r="F751" s="10"/>
    </row>
    <row r="752" spans="1:6" s="9" customFormat="1" x14ac:dyDescent="0.25">
      <c r="A752" s="9" t="s">
        <v>365</v>
      </c>
      <c r="B752" s="4">
        <v>45759</v>
      </c>
      <c r="C752" s="5">
        <v>15</v>
      </c>
      <c r="D752" s="9" t="s">
        <v>13</v>
      </c>
      <c r="E752" s="10">
        <v>140</v>
      </c>
      <c r="F752" s="10">
        <f t="shared" si="13"/>
        <v>2100</v>
      </c>
    </row>
    <row r="753" spans="1:6" s="9" customFormat="1" x14ac:dyDescent="0.25">
      <c r="C753" s="5"/>
      <c r="E753" s="10"/>
      <c r="F753" s="8">
        <f>SUM(F752)</f>
        <v>2100</v>
      </c>
    </row>
    <row r="754" spans="1:6" s="9" customFormat="1" x14ac:dyDescent="0.25">
      <c r="C754" s="5"/>
      <c r="E754" s="10"/>
      <c r="F754" s="10"/>
    </row>
    <row r="755" spans="1:6" s="9" customFormat="1" x14ac:dyDescent="0.25">
      <c r="A755" s="9" t="s">
        <v>245</v>
      </c>
      <c r="B755" s="4">
        <v>45759</v>
      </c>
      <c r="C755" s="5">
        <v>140</v>
      </c>
      <c r="D755" s="9" t="s">
        <v>13</v>
      </c>
      <c r="E755" s="10">
        <v>140</v>
      </c>
      <c r="F755" s="10">
        <f t="shared" si="13"/>
        <v>19600</v>
      </c>
    </row>
    <row r="756" spans="1:6" s="9" customFormat="1" x14ac:dyDescent="0.25">
      <c r="C756" s="5">
        <v>20</v>
      </c>
      <c r="D756" s="9" t="s">
        <v>14</v>
      </c>
      <c r="E756" s="10">
        <v>130</v>
      </c>
      <c r="F756" s="10">
        <f t="shared" si="13"/>
        <v>2600</v>
      </c>
    </row>
    <row r="757" spans="1:6" s="9" customFormat="1" x14ac:dyDescent="0.25">
      <c r="C757" s="5"/>
      <c r="E757" s="10"/>
      <c r="F757" s="8">
        <f>SUM(F755:F756)</f>
        <v>22200</v>
      </c>
    </row>
    <row r="758" spans="1:6" s="9" customFormat="1" x14ac:dyDescent="0.25">
      <c r="C758" s="5"/>
      <c r="E758" s="10"/>
      <c r="F758" s="10"/>
    </row>
    <row r="759" spans="1:6" s="9" customFormat="1" x14ac:dyDescent="0.25">
      <c r="A759" s="9" t="s">
        <v>72</v>
      </c>
      <c r="B759" s="4">
        <v>45759</v>
      </c>
      <c r="C759" s="5">
        <v>350</v>
      </c>
      <c r="D759" s="9" t="s">
        <v>13</v>
      </c>
      <c r="E759" s="10">
        <v>130</v>
      </c>
      <c r="F759" s="10">
        <f t="shared" si="13"/>
        <v>45500</v>
      </c>
    </row>
    <row r="760" spans="1:6" s="9" customFormat="1" x14ac:dyDescent="0.25">
      <c r="C760" s="5">
        <v>300</v>
      </c>
      <c r="D760" s="9" t="s">
        <v>12</v>
      </c>
      <c r="E760" s="10">
        <v>120</v>
      </c>
      <c r="F760" s="10">
        <f t="shared" si="13"/>
        <v>36000</v>
      </c>
    </row>
    <row r="761" spans="1:6" s="9" customFormat="1" x14ac:dyDescent="0.25">
      <c r="C761" s="5">
        <v>150</v>
      </c>
      <c r="D761" s="9" t="s">
        <v>11</v>
      </c>
      <c r="E761" s="10">
        <v>115</v>
      </c>
      <c r="F761" s="10">
        <f t="shared" si="13"/>
        <v>17250</v>
      </c>
    </row>
    <row r="762" spans="1:6" s="9" customFormat="1" x14ac:dyDescent="0.25">
      <c r="C762" s="5">
        <v>50</v>
      </c>
      <c r="D762" s="9" t="s">
        <v>450</v>
      </c>
      <c r="E762" s="10">
        <v>125</v>
      </c>
      <c r="F762" s="10">
        <f t="shared" si="13"/>
        <v>6250</v>
      </c>
    </row>
    <row r="763" spans="1:6" s="9" customFormat="1" x14ac:dyDescent="0.25">
      <c r="C763" s="5"/>
      <c r="E763" s="10"/>
      <c r="F763" s="8">
        <f>SUM(F759:F762)</f>
        <v>105000</v>
      </c>
    </row>
    <row r="764" spans="1:6" s="9" customFormat="1" x14ac:dyDescent="0.25">
      <c r="C764" s="5"/>
      <c r="E764" s="10"/>
      <c r="F764" s="10"/>
    </row>
    <row r="765" spans="1:6" s="9" customFormat="1" x14ac:dyDescent="0.25">
      <c r="A765" s="9" t="s">
        <v>95</v>
      </c>
      <c r="B765" s="4">
        <v>45759</v>
      </c>
      <c r="C765" s="5">
        <v>20</v>
      </c>
      <c r="D765" s="9" t="s">
        <v>451</v>
      </c>
      <c r="E765" s="10">
        <v>145</v>
      </c>
      <c r="F765" s="10">
        <f t="shared" si="13"/>
        <v>2900</v>
      </c>
    </row>
    <row r="766" spans="1:6" s="9" customFormat="1" x14ac:dyDescent="0.25">
      <c r="C766" s="5"/>
      <c r="E766" s="10"/>
      <c r="F766" s="8">
        <f>SUM(F765)</f>
        <v>2900</v>
      </c>
    </row>
    <row r="767" spans="1:6" s="9" customFormat="1" x14ac:dyDescent="0.25">
      <c r="C767" s="5"/>
      <c r="E767" s="10"/>
      <c r="F767" s="10"/>
    </row>
    <row r="768" spans="1:6" s="9" customFormat="1" x14ac:dyDescent="0.25">
      <c r="A768" s="9" t="s">
        <v>101</v>
      </c>
      <c r="B768" s="4">
        <v>45759</v>
      </c>
      <c r="C768" s="5">
        <v>6</v>
      </c>
      <c r="D768" s="9" t="s">
        <v>78</v>
      </c>
      <c r="E768" s="10">
        <v>100</v>
      </c>
      <c r="F768" s="10">
        <f t="shared" si="13"/>
        <v>600</v>
      </c>
    </row>
    <row r="769" spans="1:6" s="9" customFormat="1" x14ac:dyDescent="0.25">
      <c r="C769" s="5"/>
      <c r="E769" s="10"/>
      <c r="F769" s="8">
        <f>SUM(F768)</f>
        <v>600</v>
      </c>
    </row>
    <row r="770" spans="1:6" s="9" customFormat="1" x14ac:dyDescent="0.25">
      <c r="C770" s="5"/>
      <c r="E770" s="10"/>
      <c r="F770" s="10"/>
    </row>
    <row r="771" spans="1:6" s="9" customFormat="1" x14ac:dyDescent="0.25">
      <c r="A771" s="9" t="s">
        <v>181</v>
      </c>
      <c r="B771" s="4">
        <v>45759</v>
      </c>
      <c r="C771" s="5">
        <v>2</v>
      </c>
      <c r="D771" s="9" t="s">
        <v>14</v>
      </c>
      <c r="E771" s="10">
        <v>140</v>
      </c>
      <c r="F771" s="10">
        <f t="shared" si="13"/>
        <v>280</v>
      </c>
    </row>
    <row r="772" spans="1:6" s="9" customFormat="1" x14ac:dyDescent="0.25">
      <c r="C772" s="5">
        <v>2</v>
      </c>
      <c r="D772" s="9" t="s">
        <v>8</v>
      </c>
      <c r="E772" s="10">
        <v>170</v>
      </c>
      <c r="F772" s="10">
        <f t="shared" si="13"/>
        <v>340</v>
      </c>
    </row>
    <row r="773" spans="1:6" s="9" customFormat="1" x14ac:dyDescent="0.25">
      <c r="C773" s="5">
        <v>10</v>
      </c>
      <c r="D773" s="9" t="s">
        <v>168</v>
      </c>
      <c r="E773" s="10">
        <v>135</v>
      </c>
      <c r="F773" s="10">
        <f t="shared" si="13"/>
        <v>1350</v>
      </c>
    </row>
    <row r="774" spans="1:6" s="9" customFormat="1" x14ac:dyDescent="0.25">
      <c r="C774" s="5">
        <v>1</v>
      </c>
      <c r="D774" s="9" t="s">
        <v>13</v>
      </c>
      <c r="E774" s="10">
        <v>160</v>
      </c>
      <c r="F774" s="10">
        <f t="shared" si="13"/>
        <v>160</v>
      </c>
    </row>
    <row r="775" spans="1:6" s="9" customFormat="1" x14ac:dyDescent="0.25">
      <c r="C775" s="5">
        <v>2</v>
      </c>
      <c r="D775" s="9" t="s">
        <v>452</v>
      </c>
      <c r="E775" s="10">
        <v>120</v>
      </c>
      <c r="F775" s="10">
        <f t="shared" si="13"/>
        <v>240</v>
      </c>
    </row>
    <row r="776" spans="1:6" s="9" customFormat="1" x14ac:dyDescent="0.25">
      <c r="C776" s="5">
        <v>1</v>
      </c>
      <c r="D776" s="9" t="s">
        <v>139</v>
      </c>
      <c r="E776" s="10">
        <v>140</v>
      </c>
      <c r="F776" s="10">
        <f t="shared" si="13"/>
        <v>140</v>
      </c>
    </row>
    <row r="777" spans="1:6" s="9" customFormat="1" x14ac:dyDescent="0.25">
      <c r="C777" s="5"/>
      <c r="E777" s="10"/>
      <c r="F777" s="8">
        <f>SUM(F771:F776)</f>
        <v>2510</v>
      </c>
    </row>
    <row r="778" spans="1:6" s="9" customFormat="1" x14ac:dyDescent="0.25">
      <c r="C778" s="5"/>
      <c r="E778" s="10"/>
      <c r="F778" s="10"/>
    </row>
    <row r="779" spans="1:6" s="9" customFormat="1" x14ac:dyDescent="0.25">
      <c r="A779" s="9" t="s">
        <v>386</v>
      </c>
      <c r="B779" s="4">
        <v>45761</v>
      </c>
      <c r="C779" s="5">
        <v>12</v>
      </c>
      <c r="D779" s="9" t="s">
        <v>98</v>
      </c>
      <c r="E779" s="10">
        <v>100</v>
      </c>
      <c r="F779" s="10">
        <f t="shared" si="13"/>
        <v>1200</v>
      </c>
    </row>
    <row r="780" spans="1:6" s="9" customFormat="1" x14ac:dyDescent="0.25">
      <c r="C780" s="5"/>
      <c r="E780" s="10"/>
      <c r="F780" s="8">
        <f>SUM(F779)</f>
        <v>1200</v>
      </c>
    </row>
    <row r="781" spans="1:6" s="9" customFormat="1" x14ac:dyDescent="0.25">
      <c r="C781" s="5"/>
      <c r="E781" s="10"/>
      <c r="F781" s="10"/>
    </row>
    <row r="782" spans="1:6" s="9" customFormat="1" x14ac:dyDescent="0.25">
      <c r="A782" s="9" t="s">
        <v>334</v>
      </c>
      <c r="B782" s="4">
        <v>45761</v>
      </c>
      <c r="C782" s="5">
        <v>6</v>
      </c>
      <c r="D782" s="9" t="s">
        <v>98</v>
      </c>
      <c r="E782" s="10">
        <v>100</v>
      </c>
      <c r="F782" s="10">
        <f t="shared" si="13"/>
        <v>600</v>
      </c>
    </row>
    <row r="783" spans="1:6" s="9" customFormat="1" x14ac:dyDescent="0.25">
      <c r="C783" s="5"/>
      <c r="E783" s="10"/>
      <c r="F783" s="8">
        <f>SUM(F782)</f>
        <v>600</v>
      </c>
    </row>
    <row r="784" spans="1:6" s="9" customFormat="1" x14ac:dyDescent="0.25">
      <c r="C784" s="5"/>
      <c r="E784" s="10"/>
      <c r="F784" s="10"/>
    </row>
    <row r="785" spans="1:6" s="9" customFormat="1" x14ac:dyDescent="0.25">
      <c r="A785" s="9" t="s">
        <v>15</v>
      </c>
      <c r="B785" s="4">
        <v>45761</v>
      </c>
      <c r="C785" s="5">
        <v>66</v>
      </c>
      <c r="D785" s="9" t="s">
        <v>98</v>
      </c>
      <c r="E785" s="10">
        <v>85</v>
      </c>
      <c r="F785" s="10">
        <f t="shared" si="13"/>
        <v>5610</v>
      </c>
    </row>
    <row r="786" spans="1:6" s="9" customFormat="1" x14ac:dyDescent="0.25">
      <c r="C786" s="5"/>
      <c r="E786" s="10"/>
      <c r="F786" s="8">
        <f>SUM(F785)</f>
        <v>5610</v>
      </c>
    </row>
    <row r="787" spans="1:6" s="9" customFormat="1" x14ac:dyDescent="0.25">
      <c r="C787" s="5"/>
      <c r="E787" s="10"/>
      <c r="F787" s="10"/>
    </row>
    <row r="788" spans="1:6" s="9" customFormat="1" x14ac:dyDescent="0.25">
      <c r="A788" s="9" t="s">
        <v>79</v>
      </c>
      <c r="B788" s="4">
        <v>45761</v>
      </c>
      <c r="C788" s="5">
        <v>22</v>
      </c>
      <c r="D788" s="9" t="s">
        <v>13</v>
      </c>
      <c r="E788" s="10">
        <v>140</v>
      </c>
      <c r="F788" s="10">
        <f t="shared" si="13"/>
        <v>3080</v>
      </c>
    </row>
    <row r="789" spans="1:6" s="9" customFormat="1" x14ac:dyDescent="0.25">
      <c r="C789" s="5"/>
      <c r="E789" s="10"/>
      <c r="F789" s="8">
        <f>SUM(F788)</f>
        <v>3080</v>
      </c>
    </row>
    <row r="790" spans="1:6" s="9" customFormat="1" x14ac:dyDescent="0.25">
      <c r="C790" s="5"/>
      <c r="E790" s="10"/>
      <c r="F790" s="10"/>
    </row>
    <row r="791" spans="1:6" s="9" customFormat="1" x14ac:dyDescent="0.25">
      <c r="A791" s="9" t="s">
        <v>427</v>
      </c>
      <c r="B791" s="4">
        <v>45761</v>
      </c>
      <c r="C791" s="5">
        <v>10</v>
      </c>
      <c r="D791" s="9" t="s">
        <v>13</v>
      </c>
      <c r="E791" s="10">
        <v>140</v>
      </c>
      <c r="F791" s="10">
        <f t="shared" si="13"/>
        <v>1400</v>
      </c>
    </row>
    <row r="792" spans="1:6" s="9" customFormat="1" x14ac:dyDescent="0.25">
      <c r="C792" s="5"/>
      <c r="E792" s="10"/>
      <c r="F792" s="8">
        <f>SUM(F791)</f>
        <v>1400</v>
      </c>
    </row>
    <row r="793" spans="1:6" s="9" customFormat="1" x14ac:dyDescent="0.25">
      <c r="C793" s="5"/>
      <c r="E793" s="10"/>
      <c r="F793" s="10"/>
    </row>
    <row r="794" spans="1:6" s="9" customFormat="1" x14ac:dyDescent="0.25">
      <c r="A794" s="9" t="s">
        <v>17</v>
      </c>
      <c r="B794" s="4">
        <v>45761</v>
      </c>
      <c r="C794" s="5">
        <v>10</v>
      </c>
      <c r="D794" s="9" t="s">
        <v>8</v>
      </c>
      <c r="E794" s="10">
        <v>155</v>
      </c>
      <c r="F794" s="10">
        <f t="shared" si="13"/>
        <v>1550</v>
      </c>
    </row>
    <row r="795" spans="1:6" s="9" customFormat="1" x14ac:dyDescent="0.25">
      <c r="C795" s="5"/>
      <c r="E795" s="10"/>
      <c r="F795" s="8">
        <f>SUM(F794)</f>
        <v>1550</v>
      </c>
    </row>
    <row r="796" spans="1:6" s="9" customFormat="1" x14ac:dyDescent="0.25">
      <c r="C796" s="5"/>
      <c r="E796" s="10"/>
      <c r="F796" s="10"/>
    </row>
    <row r="797" spans="1:6" s="9" customFormat="1" x14ac:dyDescent="0.25">
      <c r="A797" s="9" t="s">
        <v>20</v>
      </c>
      <c r="B797" s="4">
        <v>45761</v>
      </c>
      <c r="C797" s="5">
        <v>20</v>
      </c>
      <c r="D797" s="9" t="s">
        <v>13</v>
      </c>
      <c r="E797" s="10">
        <v>135</v>
      </c>
      <c r="F797" s="10">
        <f t="shared" ref="F797:F859" si="14">+C797*E797</f>
        <v>2700</v>
      </c>
    </row>
    <row r="798" spans="1:6" s="9" customFormat="1" x14ac:dyDescent="0.25">
      <c r="C798" s="5"/>
      <c r="E798" s="10"/>
      <c r="F798" s="8">
        <f>SUM(F797)</f>
        <v>2700</v>
      </c>
    </row>
    <row r="799" spans="1:6" s="9" customFormat="1" x14ac:dyDescent="0.25">
      <c r="C799" s="5"/>
      <c r="E799" s="10"/>
      <c r="F799" s="10"/>
    </row>
    <row r="800" spans="1:6" s="9" customFormat="1" x14ac:dyDescent="0.25">
      <c r="A800" s="9" t="s">
        <v>21</v>
      </c>
      <c r="B800" s="4">
        <v>45761</v>
      </c>
      <c r="C800" s="5">
        <v>10</v>
      </c>
      <c r="D800" s="9" t="s">
        <v>8</v>
      </c>
      <c r="E800" s="10">
        <v>155</v>
      </c>
      <c r="F800" s="10">
        <f t="shared" si="14"/>
        <v>1550</v>
      </c>
    </row>
    <row r="801" spans="1:6" s="9" customFormat="1" x14ac:dyDescent="0.25">
      <c r="C801" s="5">
        <v>10</v>
      </c>
      <c r="D801" s="9" t="s">
        <v>12</v>
      </c>
      <c r="E801" s="10">
        <v>120</v>
      </c>
      <c r="F801" s="10">
        <f t="shared" si="14"/>
        <v>1200</v>
      </c>
    </row>
    <row r="802" spans="1:6" s="9" customFormat="1" x14ac:dyDescent="0.25">
      <c r="C802" s="5">
        <v>20</v>
      </c>
      <c r="D802" s="9" t="s">
        <v>22</v>
      </c>
      <c r="E802" s="10">
        <v>100</v>
      </c>
      <c r="F802" s="10">
        <f t="shared" si="14"/>
        <v>2000</v>
      </c>
    </row>
    <row r="803" spans="1:6" s="9" customFormat="1" x14ac:dyDescent="0.25">
      <c r="C803" s="5">
        <v>10</v>
      </c>
      <c r="D803" s="9" t="s">
        <v>13</v>
      </c>
      <c r="E803" s="10">
        <v>135</v>
      </c>
      <c r="F803" s="10">
        <f t="shared" si="14"/>
        <v>1350</v>
      </c>
    </row>
    <row r="804" spans="1:6" s="9" customFormat="1" x14ac:dyDescent="0.25">
      <c r="C804" s="5"/>
      <c r="E804" s="10"/>
      <c r="F804" s="8">
        <f>SUM(F800:F803)</f>
        <v>6100</v>
      </c>
    </row>
    <row r="805" spans="1:6" s="9" customFormat="1" x14ac:dyDescent="0.25">
      <c r="C805" s="5"/>
      <c r="E805" s="10"/>
      <c r="F805" s="10"/>
    </row>
    <row r="806" spans="1:6" s="9" customFormat="1" x14ac:dyDescent="0.25">
      <c r="A806" s="9" t="s">
        <v>57</v>
      </c>
      <c r="B806" s="4">
        <v>45761</v>
      </c>
      <c r="C806" s="5">
        <v>10</v>
      </c>
      <c r="D806" s="9" t="s">
        <v>13</v>
      </c>
      <c r="E806" s="10">
        <v>135</v>
      </c>
      <c r="F806" s="10">
        <f t="shared" si="14"/>
        <v>1350</v>
      </c>
    </row>
    <row r="807" spans="1:6" s="9" customFormat="1" x14ac:dyDescent="0.25">
      <c r="C807" s="5"/>
      <c r="E807" s="10"/>
      <c r="F807" s="8">
        <f>SUM(F806)</f>
        <v>1350</v>
      </c>
    </row>
    <row r="808" spans="1:6" s="9" customFormat="1" x14ac:dyDescent="0.25">
      <c r="C808" s="5"/>
      <c r="E808" s="10"/>
      <c r="F808" s="10"/>
    </row>
    <row r="809" spans="1:6" s="9" customFormat="1" x14ac:dyDescent="0.25">
      <c r="A809" s="9" t="s">
        <v>453</v>
      </c>
      <c r="B809" s="4">
        <v>45761</v>
      </c>
      <c r="C809" s="5">
        <v>10</v>
      </c>
      <c r="D809" s="9" t="s">
        <v>13</v>
      </c>
      <c r="E809" s="10">
        <v>140</v>
      </c>
      <c r="F809" s="10">
        <f t="shared" si="14"/>
        <v>1400</v>
      </c>
    </row>
    <row r="810" spans="1:6" s="9" customFormat="1" x14ac:dyDescent="0.25">
      <c r="C810" s="5"/>
      <c r="E810" s="10"/>
      <c r="F810" s="8">
        <f>SUM(F809)</f>
        <v>1400</v>
      </c>
    </row>
    <row r="811" spans="1:6" s="9" customFormat="1" x14ac:dyDescent="0.25">
      <c r="C811" s="5"/>
      <c r="E811" s="10"/>
      <c r="F811" s="10"/>
    </row>
    <row r="812" spans="1:6" s="9" customFormat="1" x14ac:dyDescent="0.25">
      <c r="A812" s="9" t="s">
        <v>40</v>
      </c>
      <c r="B812" s="4">
        <v>45761</v>
      </c>
      <c r="C812" s="5">
        <v>20</v>
      </c>
      <c r="D812" s="9" t="s">
        <v>14</v>
      </c>
      <c r="E812" s="10">
        <v>125</v>
      </c>
      <c r="F812" s="10">
        <f t="shared" si="14"/>
        <v>2500</v>
      </c>
    </row>
    <row r="813" spans="1:6" s="9" customFormat="1" x14ac:dyDescent="0.25">
      <c r="C813" s="5">
        <v>15</v>
      </c>
      <c r="D813" s="9" t="s">
        <v>13</v>
      </c>
      <c r="E813" s="10">
        <v>130</v>
      </c>
      <c r="F813" s="10">
        <f t="shared" si="14"/>
        <v>1950</v>
      </c>
    </row>
    <row r="814" spans="1:6" s="9" customFormat="1" x14ac:dyDescent="0.25">
      <c r="C814" s="5">
        <v>15</v>
      </c>
      <c r="D814" s="9" t="s">
        <v>12</v>
      </c>
      <c r="E814" s="10">
        <v>115</v>
      </c>
      <c r="F814" s="10">
        <f t="shared" si="14"/>
        <v>1725</v>
      </c>
    </row>
    <row r="815" spans="1:6" s="9" customFormat="1" x14ac:dyDescent="0.25">
      <c r="C815" s="5">
        <v>13</v>
      </c>
      <c r="D815" s="9" t="s">
        <v>11</v>
      </c>
      <c r="E815" s="10">
        <v>115</v>
      </c>
      <c r="F815" s="10">
        <f t="shared" si="14"/>
        <v>1495</v>
      </c>
    </row>
    <row r="816" spans="1:6" s="9" customFormat="1" x14ac:dyDescent="0.25">
      <c r="C816" s="5"/>
      <c r="E816" s="10"/>
      <c r="F816" s="8">
        <f>SUM(F812:F815)</f>
        <v>7670</v>
      </c>
    </row>
    <row r="817" spans="1:6" s="9" customFormat="1" x14ac:dyDescent="0.25">
      <c r="C817" s="5"/>
      <c r="E817" s="10"/>
      <c r="F817" s="10"/>
    </row>
    <row r="818" spans="1:6" s="9" customFormat="1" x14ac:dyDescent="0.25">
      <c r="A818" s="9" t="s">
        <v>245</v>
      </c>
      <c r="B818" s="4">
        <v>45852</v>
      </c>
      <c r="C818" s="5">
        <v>20</v>
      </c>
      <c r="D818" s="9" t="s">
        <v>377</v>
      </c>
      <c r="E818" s="10">
        <v>130</v>
      </c>
      <c r="F818" s="10">
        <f t="shared" si="14"/>
        <v>2600</v>
      </c>
    </row>
    <row r="819" spans="1:6" s="9" customFormat="1" x14ac:dyDescent="0.25">
      <c r="C819" s="5">
        <v>30</v>
      </c>
      <c r="D819" s="9" t="s">
        <v>13</v>
      </c>
      <c r="E819" s="10">
        <v>140</v>
      </c>
      <c r="F819" s="10">
        <f t="shared" si="14"/>
        <v>4200</v>
      </c>
    </row>
    <row r="820" spans="1:6" s="9" customFormat="1" x14ac:dyDescent="0.25">
      <c r="C820" s="5"/>
      <c r="E820" s="10"/>
      <c r="F820" s="8">
        <f>SUM(F818:F819)</f>
        <v>6800</v>
      </c>
    </row>
    <row r="821" spans="1:6" s="9" customFormat="1" x14ac:dyDescent="0.25">
      <c r="C821" s="5"/>
      <c r="E821" s="10"/>
      <c r="F821" s="10"/>
    </row>
    <row r="822" spans="1:6" s="9" customFormat="1" x14ac:dyDescent="0.25">
      <c r="A822" s="9" t="s">
        <v>181</v>
      </c>
      <c r="B822" s="4">
        <v>45761</v>
      </c>
      <c r="C822" s="5">
        <v>10</v>
      </c>
      <c r="D822" s="9" t="s">
        <v>22</v>
      </c>
      <c r="E822" s="10">
        <v>103</v>
      </c>
      <c r="F822" s="10">
        <f t="shared" si="14"/>
        <v>1030</v>
      </c>
    </row>
    <row r="823" spans="1:6" s="9" customFormat="1" x14ac:dyDescent="0.25">
      <c r="C823" s="5">
        <v>3</v>
      </c>
      <c r="D823" s="9" t="s">
        <v>13</v>
      </c>
      <c r="E823" s="10">
        <v>140</v>
      </c>
      <c r="F823" s="10">
        <f t="shared" si="14"/>
        <v>420</v>
      </c>
    </row>
    <row r="824" spans="1:6" s="9" customFormat="1" x14ac:dyDescent="0.25">
      <c r="C824" s="5">
        <v>3</v>
      </c>
      <c r="D824" s="9" t="s">
        <v>13</v>
      </c>
      <c r="E824" s="10">
        <v>145</v>
      </c>
      <c r="F824" s="10">
        <f t="shared" si="14"/>
        <v>435</v>
      </c>
    </row>
    <row r="825" spans="1:6" s="9" customFormat="1" x14ac:dyDescent="0.25">
      <c r="C825" s="5"/>
      <c r="E825" s="10"/>
      <c r="F825" s="8">
        <f>SUM(F822:F824)</f>
        <v>1885</v>
      </c>
    </row>
    <row r="826" spans="1:6" s="9" customFormat="1" x14ac:dyDescent="0.25">
      <c r="C826" s="5"/>
      <c r="E826" s="10"/>
      <c r="F826" s="10"/>
    </row>
    <row r="827" spans="1:6" s="9" customFormat="1" x14ac:dyDescent="0.25">
      <c r="A827" s="9" t="s">
        <v>18</v>
      </c>
      <c r="B827" s="4">
        <v>45761</v>
      </c>
      <c r="C827" s="5">
        <v>5</v>
      </c>
      <c r="D827" s="9" t="s">
        <v>13</v>
      </c>
      <c r="E827" s="10">
        <v>140</v>
      </c>
      <c r="F827" s="10">
        <f t="shared" si="14"/>
        <v>700</v>
      </c>
    </row>
    <row r="828" spans="1:6" s="9" customFormat="1" x14ac:dyDescent="0.25">
      <c r="C828" s="5"/>
      <c r="E828" s="10"/>
      <c r="F828" s="8">
        <f>SUM(F827)</f>
        <v>700</v>
      </c>
    </row>
    <row r="829" spans="1:6" s="9" customFormat="1" x14ac:dyDescent="0.25">
      <c r="C829" s="5"/>
      <c r="E829" s="10"/>
      <c r="F829" s="10"/>
    </row>
    <row r="830" spans="1:6" s="9" customFormat="1" x14ac:dyDescent="0.25">
      <c r="A830" s="9" t="s">
        <v>454</v>
      </c>
      <c r="B830" s="4">
        <v>45761</v>
      </c>
      <c r="C830" s="5">
        <v>6</v>
      </c>
      <c r="D830" s="9" t="s">
        <v>12</v>
      </c>
      <c r="E830" s="10">
        <v>130</v>
      </c>
      <c r="F830" s="10">
        <f t="shared" si="14"/>
        <v>780</v>
      </c>
    </row>
    <row r="831" spans="1:6" s="9" customFormat="1" x14ac:dyDescent="0.25">
      <c r="C831" s="5"/>
      <c r="E831" s="10"/>
      <c r="F831" s="8">
        <f>SUM(F830)</f>
        <v>780</v>
      </c>
    </row>
    <row r="832" spans="1:6" s="9" customFormat="1" x14ac:dyDescent="0.25">
      <c r="C832" s="5"/>
      <c r="E832" s="10"/>
      <c r="F832" s="10"/>
    </row>
    <row r="833" spans="1:6" s="9" customFormat="1" x14ac:dyDescent="0.25">
      <c r="A833" s="9" t="s">
        <v>369</v>
      </c>
      <c r="B833" s="4">
        <v>45761</v>
      </c>
      <c r="C833" s="5">
        <v>20</v>
      </c>
      <c r="D833" s="9" t="s">
        <v>14</v>
      </c>
      <c r="E833" s="10">
        <v>125</v>
      </c>
      <c r="F833" s="10">
        <f t="shared" si="14"/>
        <v>2500</v>
      </c>
    </row>
    <row r="834" spans="1:6" s="9" customFormat="1" x14ac:dyDescent="0.25">
      <c r="C834" s="5"/>
      <c r="E834" s="10"/>
      <c r="F834" s="8">
        <f>SUM(F833)</f>
        <v>2500</v>
      </c>
    </row>
    <row r="835" spans="1:6" s="9" customFormat="1" x14ac:dyDescent="0.25">
      <c r="C835" s="5"/>
      <c r="E835" s="10"/>
      <c r="F835" s="10"/>
    </row>
    <row r="836" spans="1:6" s="9" customFormat="1" x14ac:dyDescent="0.25">
      <c r="A836" s="9" t="s">
        <v>18</v>
      </c>
      <c r="B836" s="4">
        <v>45761</v>
      </c>
      <c r="C836" s="5">
        <v>30</v>
      </c>
      <c r="D836" s="9" t="s">
        <v>14</v>
      </c>
      <c r="E836" s="10">
        <v>125</v>
      </c>
      <c r="F836" s="10">
        <f t="shared" si="14"/>
        <v>3750</v>
      </c>
    </row>
    <row r="837" spans="1:6" s="9" customFormat="1" x14ac:dyDescent="0.25">
      <c r="C837" s="5">
        <v>10</v>
      </c>
      <c r="D837" s="9" t="s">
        <v>13</v>
      </c>
      <c r="E837" s="10">
        <v>140</v>
      </c>
      <c r="F837" s="10">
        <f t="shared" si="14"/>
        <v>1400</v>
      </c>
    </row>
    <row r="838" spans="1:6" s="9" customFormat="1" x14ac:dyDescent="0.25">
      <c r="C838" s="5"/>
      <c r="E838" s="10"/>
      <c r="F838" s="8">
        <f>SUM(F836:F837)</f>
        <v>5150</v>
      </c>
    </row>
    <row r="839" spans="1:6" s="9" customFormat="1" x14ac:dyDescent="0.25">
      <c r="C839" s="5"/>
      <c r="E839" s="10"/>
      <c r="F839" s="10"/>
    </row>
    <row r="840" spans="1:6" s="9" customFormat="1" x14ac:dyDescent="0.25">
      <c r="A840" s="9" t="s">
        <v>41</v>
      </c>
      <c r="B840" s="4">
        <v>45761</v>
      </c>
      <c r="C840" s="5">
        <v>35</v>
      </c>
      <c r="D840" s="9" t="s">
        <v>14</v>
      </c>
      <c r="E840" s="10">
        <v>130</v>
      </c>
      <c r="F840" s="10">
        <f t="shared" si="14"/>
        <v>4550</v>
      </c>
    </row>
    <row r="841" spans="1:6" s="9" customFormat="1" x14ac:dyDescent="0.25">
      <c r="C841" s="5"/>
      <c r="E841" s="10"/>
      <c r="F841" s="8">
        <f>SUM(F840)</f>
        <v>4550</v>
      </c>
    </row>
    <row r="842" spans="1:6" s="9" customFormat="1" x14ac:dyDescent="0.25">
      <c r="C842" s="5"/>
      <c r="E842" s="10"/>
      <c r="F842" s="10"/>
    </row>
    <row r="843" spans="1:6" s="9" customFormat="1" x14ac:dyDescent="0.25">
      <c r="A843" s="9" t="s">
        <v>455</v>
      </c>
      <c r="B843" s="4">
        <v>45761</v>
      </c>
      <c r="C843" s="5">
        <v>100</v>
      </c>
      <c r="D843" s="9" t="s">
        <v>11</v>
      </c>
      <c r="E843" s="10">
        <v>100</v>
      </c>
      <c r="F843" s="10">
        <f t="shared" si="14"/>
        <v>10000</v>
      </c>
    </row>
    <row r="844" spans="1:6" s="9" customFormat="1" x14ac:dyDescent="0.25">
      <c r="C844" s="5"/>
      <c r="E844" s="10"/>
      <c r="F844" s="8">
        <f>SUM(F843)</f>
        <v>10000</v>
      </c>
    </row>
    <row r="845" spans="1:6" s="9" customFormat="1" x14ac:dyDescent="0.25">
      <c r="C845" s="5"/>
      <c r="E845" s="10"/>
      <c r="F845" s="10"/>
    </row>
    <row r="846" spans="1:6" s="9" customFormat="1" x14ac:dyDescent="0.25">
      <c r="A846" s="9" t="s">
        <v>46</v>
      </c>
      <c r="B846" s="4">
        <v>45761</v>
      </c>
      <c r="C846" s="5">
        <v>30</v>
      </c>
      <c r="D846" s="9" t="s">
        <v>14</v>
      </c>
      <c r="E846" s="10">
        <v>125</v>
      </c>
      <c r="F846" s="10">
        <f t="shared" si="14"/>
        <v>3750</v>
      </c>
    </row>
    <row r="847" spans="1:6" s="9" customFormat="1" x14ac:dyDescent="0.25">
      <c r="C847" s="5"/>
      <c r="E847" s="10"/>
      <c r="F847" s="8">
        <f>SUM(F846)</f>
        <v>3750</v>
      </c>
    </row>
    <row r="848" spans="1:6" s="9" customFormat="1" x14ac:dyDescent="0.25">
      <c r="C848" s="5"/>
      <c r="E848" s="10"/>
      <c r="F848" s="10"/>
    </row>
    <row r="849" spans="1:6" s="9" customFormat="1" x14ac:dyDescent="0.25">
      <c r="A849" s="9" t="s">
        <v>145</v>
      </c>
      <c r="B849" s="4">
        <v>45761</v>
      </c>
      <c r="C849" s="5">
        <v>40</v>
      </c>
      <c r="D849" s="9" t="s">
        <v>14</v>
      </c>
      <c r="E849" s="10">
        <v>120</v>
      </c>
      <c r="F849" s="10">
        <f t="shared" si="14"/>
        <v>4800</v>
      </c>
    </row>
    <row r="850" spans="1:6" s="9" customFormat="1" x14ac:dyDescent="0.25">
      <c r="C850" s="5"/>
      <c r="E850" s="10"/>
      <c r="F850" s="8">
        <f>SUM(F849)</f>
        <v>4800</v>
      </c>
    </row>
    <row r="851" spans="1:6" s="9" customFormat="1" x14ac:dyDescent="0.25">
      <c r="C851" s="5"/>
      <c r="E851" s="10"/>
      <c r="F851" s="10"/>
    </row>
    <row r="852" spans="1:6" s="9" customFormat="1" x14ac:dyDescent="0.25">
      <c r="A852" s="9" t="s">
        <v>85</v>
      </c>
      <c r="B852" s="4">
        <v>45761</v>
      </c>
      <c r="C852" s="5">
        <v>30</v>
      </c>
      <c r="D852" s="9" t="s">
        <v>14</v>
      </c>
      <c r="E852" s="10">
        <v>125</v>
      </c>
      <c r="F852" s="10">
        <f t="shared" si="14"/>
        <v>3750</v>
      </c>
    </row>
    <row r="853" spans="1:6" s="9" customFormat="1" x14ac:dyDescent="0.25">
      <c r="C853" s="5"/>
      <c r="E853" s="10"/>
      <c r="F853" s="8">
        <f>SUM(F852)</f>
        <v>3750</v>
      </c>
    </row>
    <row r="854" spans="1:6" s="9" customFormat="1" x14ac:dyDescent="0.25">
      <c r="C854" s="5"/>
      <c r="E854" s="10"/>
      <c r="F854" s="10"/>
    </row>
    <row r="855" spans="1:6" s="9" customFormat="1" x14ac:dyDescent="0.25">
      <c r="A855" s="9" t="s">
        <v>7</v>
      </c>
      <c r="B855" s="4">
        <v>45761</v>
      </c>
      <c r="C855" s="5">
        <v>2</v>
      </c>
      <c r="D855" s="9" t="s">
        <v>14</v>
      </c>
      <c r="E855" s="10">
        <v>125</v>
      </c>
      <c r="F855" s="10">
        <f t="shared" si="14"/>
        <v>250</v>
      </c>
    </row>
    <row r="856" spans="1:6" s="9" customFormat="1" x14ac:dyDescent="0.25">
      <c r="C856" s="5"/>
      <c r="E856" s="10"/>
      <c r="F856" s="8">
        <f>SUM(F855)</f>
        <v>250</v>
      </c>
    </row>
    <row r="857" spans="1:6" s="9" customFormat="1" x14ac:dyDescent="0.25">
      <c r="C857" s="5"/>
      <c r="E857" s="10"/>
      <c r="F857" s="10"/>
    </row>
    <row r="858" spans="1:6" s="9" customFormat="1" x14ac:dyDescent="0.25">
      <c r="A858" s="9" t="s">
        <v>456</v>
      </c>
      <c r="B858" s="4">
        <v>45761</v>
      </c>
      <c r="C858" s="5">
        <v>6</v>
      </c>
      <c r="D858" s="9" t="s">
        <v>14</v>
      </c>
      <c r="E858" s="10">
        <v>140</v>
      </c>
      <c r="F858" s="10">
        <f t="shared" si="14"/>
        <v>840</v>
      </c>
    </row>
    <row r="859" spans="1:6" s="9" customFormat="1" x14ac:dyDescent="0.25">
      <c r="C859" s="5">
        <v>6</v>
      </c>
      <c r="D859" s="9" t="s">
        <v>22</v>
      </c>
      <c r="E859" s="10">
        <v>120</v>
      </c>
      <c r="F859" s="10">
        <f t="shared" si="14"/>
        <v>720</v>
      </c>
    </row>
    <row r="860" spans="1:6" s="9" customFormat="1" x14ac:dyDescent="0.25">
      <c r="C860" s="5"/>
      <c r="E860" s="10"/>
      <c r="F860" s="8">
        <f>SUM(F858:F859)</f>
        <v>1560</v>
      </c>
    </row>
    <row r="861" spans="1:6" s="9" customFormat="1" x14ac:dyDescent="0.25">
      <c r="C861" s="5"/>
      <c r="E861" s="10"/>
      <c r="F861" s="10"/>
    </row>
    <row r="862" spans="1:6" s="9" customFormat="1" x14ac:dyDescent="0.25">
      <c r="A862" s="9" t="s">
        <v>457</v>
      </c>
      <c r="B862" s="4">
        <v>45761</v>
      </c>
      <c r="C862" s="5">
        <v>30</v>
      </c>
      <c r="D862" s="9" t="s">
        <v>13</v>
      </c>
      <c r="E862" s="10">
        <v>135</v>
      </c>
      <c r="F862" s="10">
        <f t="shared" ref="F862:F924" si="15">+C862*E862</f>
        <v>4050</v>
      </c>
    </row>
    <row r="863" spans="1:6" s="9" customFormat="1" x14ac:dyDescent="0.25">
      <c r="C863" s="5"/>
      <c r="E863" s="10"/>
      <c r="F863" s="8">
        <f>SUM(F862)</f>
        <v>4050</v>
      </c>
    </row>
    <row r="864" spans="1:6" s="9" customFormat="1" x14ac:dyDescent="0.25">
      <c r="C864" s="5"/>
      <c r="E864" s="10"/>
      <c r="F864" s="10"/>
    </row>
    <row r="865" spans="1:6" s="9" customFormat="1" x14ac:dyDescent="0.25">
      <c r="A865" s="9" t="s">
        <v>103</v>
      </c>
      <c r="B865" s="4">
        <v>45761</v>
      </c>
      <c r="C865" s="5">
        <v>3</v>
      </c>
      <c r="D865" s="9" t="s">
        <v>13</v>
      </c>
      <c r="E865" s="10">
        <v>150</v>
      </c>
      <c r="F865" s="10">
        <f t="shared" si="15"/>
        <v>450</v>
      </c>
    </row>
    <row r="866" spans="1:6" s="9" customFormat="1" x14ac:dyDescent="0.25">
      <c r="C866" s="5"/>
      <c r="E866" s="10"/>
      <c r="F866" s="8">
        <f>SUM(F865)</f>
        <v>450</v>
      </c>
    </row>
    <row r="867" spans="1:6" s="9" customFormat="1" x14ac:dyDescent="0.25">
      <c r="C867" s="5"/>
      <c r="E867" s="10"/>
      <c r="F867" s="10"/>
    </row>
    <row r="868" spans="1:6" s="9" customFormat="1" x14ac:dyDescent="0.25">
      <c r="A868" s="9" t="s">
        <v>89</v>
      </c>
      <c r="B868" s="4">
        <v>45761</v>
      </c>
      <c r="C868" s="5">
        <v>20</v>
      </c>
      <c r="D868" s="9" t="s">
        <v>13</v>
      </c>
      <c r="E868" s="10">
        <v>130</v>
      </c>
      <c r="F868" s="10">
        <f t="shared" si="15"/>
        <v>2600</v>
      </c>
    </row>
    <row r="869" spans="1:6" s="9" customFormat="1" x14ac:dyDescent="0.25">
      <c r="C869" s="5">
        <v>20</v>
      </c>
      <c r="D869" s="9" t="s">
        <v>12</v>
      </c>
      <c r="E869" s="10">
        <v>115</v>
      </c>
      <c r="F869" s="10">
        <f t="shared" si="15"/>
        <v>2300</v>
      </c>
    </row>
    <row r="870" spans="1:6" s="9" customFormat="1" x14ac:dyDescent="0.25">
      <c r="C870" s="5">
        <v>15</v>
      </c>
      <c r="D870" s="9" t="s">
        <v>11</v>
      </c>
      <c r="E870" s="10">
        <v>115</v>
      </c>
      <c r="F870" s="10">
        <f t="shared" si="15"/>
        <v>1725</v>
      </c>
    </row>
    <row r="871" spans="1:6" s="9" customFormat="1" x14ac:dyDescent="0.25">
      <c r="C871" s="5"/>
      <c r="E871" s="10"/>
      <c r="F871" s="8">
        <f>SUM(F868:F870)</f>
        <v>6625</v>
      </c>
    </row>
    <row r="872" spans="1:6" s="9" customFormat="1" x14ac:dyDescent="0.25">
      <c r="C872" s="5"/>
      <c r="E872" s="10"/>
      <c r="F872" s="10"/>
    </row>
    <row r="873" spans="1:6" s="9" customFormat="1" x14ac:dyDescent="0.25">
      <c r="A873" s="9" t="s">
        <v>29</v>
      </c>
      <c r="B873" s="4">
        <v>45761</v>
      </c>
      <c r="C873" s="5">
        <v>2</v>
      </c>
      <c r="D873" s="9" t="s">
        <v>458</v>
      </c>
      <c r="E873" s="10">
        <v>150</v>
      </c>
      <c r="F873" s="10">
        <f t="shared" si="15"/>
        <v>300</v>
      </c>
    </row>
    <row r="874" spans="1:6" s="9" customFormat="1" x14ac:dyDescent="0.25">
      <c r="C874" s="5"/>
      <c r="E874" s="10"/>
      <c r="F874" s="8">
        <f>SUM(F873)</f>
        <v>300</v>
      </c>
    </row>
    <row r="875" spans="1:6" s="9" customFormat="1" x14ac:dyDescent="0.25">
      <c r="C875" s="5"/>
      <c r="E875" s="10"/>
      <c r="F875" s="10"/>
    </row>
    <row r="876" spans="1:6" s="9" customFormat="1" x14ac:dyDescent="0.25">
      <c r="A876" s="9" t="s">
        <v>7</v>
      </c>
      <c r="B876" s="4">
        <v>45761</v>
      </c>
      <c r="C876" s="5">
        <v>5</v>
      </c>
      <c r="D876" s="9" t="s">
        <v>8</v>
      </c>
      <c r="E876" s="10">
        <v>160</v>
      </c>
      <c r="F876" s="10">
        <f t="shared" si="15"/>
        <v>800</v>
      </c>
    </row>
    <row r="877" spans="1:6" s="9" customFormat="1" x14ac:dyDescent="0.25">
      <c r="C877" s="5">
        <v>1</v>
      </c>
      <c r="D877" s="9" t="s">
        <v>13</v>
      </c>
      <c r="E877" s="10">
        <v>140</v>
      </c>
      <c r="F877" s="10">
        <f t="shared" si="15"/>
        <v>140</v>
      </c>
    </row>
    <row r="878" spans="1:6" s="9" customFormat="1" x14ac:dyDescent="0.25">
      <c r="C878" s="5">
        <v>10</v>
      </c>
      <c r="D878" s="9" t="s">
        <v>13</v>
      </c>
      <c r="E878" s="10">
        <v>140</v>
      </c>
      <c r="F878" s="10">
        <f t="shared" si="15"/>
        <v>1400</v>
      </c>
    </row>
    <row r="879" spans="1:6" s="9" customFormat="1" x14ac:dyDescent="0.25">
      <c r="C879" s="5"/>
      <c r="E879" s="10"/>
      <c r="F879" s="8">
        <f>SUM(F876:F878)</f>
        <v>2340</v>
      </c>
    </row>
    <row r="880" spans="1:6" s="9" customFormat="1" x14ac:dyDescent="0.25">
      <c r="C880" s="5"/>
      <c r="E880" s="10"/>
      <c r="F880" s="10"/>
    </row>
    <row r="881" spans="1:6" s="9" customFormat="1" x14ac:dyDescent="0.25">
      <c r="A881" s="9" t="s">
        <v>195</v>
      </c>
      <c r="B881" s="4">
        <v>45762</v>
      </c>
      <c r="C881" s="5">
        <v>210</v>
      </c>
      <c r="D881" s="9" t="s">
        <v>12</v>
      </c>
      <c r="E881" s="10">
        <v>120</v>
      </c>
      <c r="F881" s="10">
        <f t="shared" si="15"/>
        <v>25200</v>
      </c>
    </row>
    <row r="882" spans="1:6" s="9" customFormat="1" x14ac:dyDescent="0.25">
      <c r="C882" s="5">
        <v>200</v>
      </c>
      <c r="D882" s="9" t="s">
        <v>11</v>
      </c>
      <c r="E882" s="10">
        <v>115</v>
      </c>
      <c r="F882" s="10">
        <f t="shared" si="15"/>
        <v>23000</v>
      </c>
    </row>
    <row r="883" spans="1:6" s="9" customFormat="1" x14ac:dyDescent="0.25">
      <c r="C883" s="5">
        <v>170</v>
      </c>
      <c r="D883" s="9" t="s">
        <v>13</v>
      </c>
      <c r="E883" s="10">
        <v>130</v>
      </c>
      <c r="F883" s="10">
        <f t="shared" si="15"/>
        <v>22100</v>
      </c>
    </row>
    <row r="884" spans="1:6" s="9" customFormat="1" x14ac:dyDescent="0.25">
      <c r="C884" s="5">
        <v>30</v>
      </c>
      <c r="D884" s="9" t="s">
        <v>8</v>
      </c>
      <c r="E884" s="10">
        <v>155</v>
      </c>
      <c r="F884" s="10">
        <f t="shared" si="15"/>
        <v>4650</v>
      </c>
    </row>
    <row r="885" spans="1:6" s="9" customFormat="1" x14ac:dyDescent="0.25">
      <c r="C885" s="5">
        <v>50</v>
      </c>
      <c r="D885" s="9" t="s">
        <v>22</v>
      </c>
      <c r="E885" s="10">
        <v>100</v>
      </c>
      <c r="F885" s="10">
        <f t="shared" si="15"/>
        <v>5000</v>
      </c>
    </row>
    <row r="886" spans="1:6" s="9" customFormat="1" x14ac:dyDescent="0.25">
      <c r="C886" s="5">
        <v>5</v>
      </c>
      <c r="D886" s="9" t="s">
        <v>22</v>
      </c>
      <c r="E886" s="10">
        <v>0</v>
      </c>
      <c r="F886" s="10">
        <f t="shared" si="15"/>
        <v>0</v>
      </c>
    </row>
    <row r="887" spans="1:6" s="9" customFormat="1" x14ac:dyDescent="0.25">
      <c r="C887" s="5"/>
      <c r="E887" s="10"/>
      <c r="F887" s="8">
        <f>SUM(F881:F886)</f>
        <v>79950</v>
      </c>
    </row>
    <row r="888" spans="1:6" s="9" customFormat="1" x14ac:dyDescent="0.25">
      <c r="C888" s="5"/>
      <c r="E888" s="10"/>
      <c r="F888" s="10"/>
    </row>
    <row r="889" spans="1:6" s="9" customFormat="1" x14ac:dyDescent="0.25">
      <c r="A889" s="9" t="s">
        <v>404</v>
      </c>
      <c r="B889" s="4">
        <v>45762</v>
      </c>
      <c r="C889" s="5">
        <v>50</v>
      </c>
      <c r="D889" s="9" t="s">
        <v>12</v>
      </c>
      <c r="E889" s="10">
        <v>120</v>
      </c>
      <c r="F889" s="10">
        <f t="shared" si="15"/>
        <v>6000</v>
      </c>
    </row>
    <row r="890" spans="1:6" s="9" customFormat="1" x14ac:dyDescent="0.25">
      <c r="C890" s="5"/>
      <c r="E890" s="10"/>
      <c r="F890" s="8">
        <f>SUM(F889)</f>
        <v>6000</v>
      </c>
    </row>
    <row r="891" spans="1:6" s="9" customFormat="1" x14ac:dyDescent="0.25">
      <c r="C891" s="5"/>
      <c r="E891" s="10"/>
      <c r="F891" s="10"/>
    </row>
    <row r="892" spans="1:6" s="9" customFormat="1" x14ac:dyDescent="0.25">
      <c r="A892" s="9" t="s">
        <v>111</v>
      </c>
      <c r="B892" s="4">
        <v>45762</v>
      </c>
      <c r="C892" s="5">
        <v>20</v>
      </c>
      <c r="D892" s="9" t="s">
        <v>13</v>
      </c>
      <c r="E892" s="10">
        <v>140</v>
      </c>
      <c r="F892" s="10">
        <f t="shared" si="15"/>
        <v>2800</v>
      </c>
    </row>
    <row r="893" spans="1:6" s="9" customFormat="1" x14ac:dyDescent="0.25">
      <c r="C893" s="5">
        <v>0.22</v>
      </c>
      <c r="D893" s="9" t="s">
        <v>459</v>
      </c>
      <c r="E893" s="10">
        <v>0</v>
      </c>
      <c r="F893" s="10">
        <f t="shared" si="15"/>
        <v>0</v>
      </c>
    </row>
    <row r="894" spans="1:6" s="9" customFormat="1" x14ac:dyDescent="0.25">
      <c r="C894" s="5"/>
      <c r="E894" s="10"/>
      <c r="F894" s="8">
        <f>SUM(F892:F893)</f>
        <v>2800</v>
      </c>
    </row>
    <row r="895" spans="1:6" s="9" customFormat="1" x14ac:dyDescent="0.25">
      <c r="C895" s="5"/>
      <c r="E895" s="10"/>
      <c r="F895" s="10"/>
    </row>
    <row r="896" spans="1:6" s="9" customFormat="1" x14ac:dyDescent="0.25">
      <c r="A896" s="9" t="s">
        <v>61</v>
      </c>
      <c r="B896" s="4">
        <v>45762</v>
      </c>
      <c r="C896" s="5">
        <v>50</v>
      </c>
      <c r="D896" s="9" t="s">
        <v>13</v>
      </c>
      <c r="E896" s="10">
        <v>140</v>
      </c>
      <c r="F896" s="10">
        <f t="shared" si="15"/>
        <v>7000</v>
      </c>
    </row>
    <row r="897" spans="1:6" s="9" customFormat="1" x14ac:dyDescent="0.25">
      <c r="C897" s="5">
        <v>3.17</v>
      </c>
      <c r="D897" s="9" t="s">
        <v>318</v>
      </c>
      <c r="E897" s="10">
        <v>0</v>
      </c>
      <c r="F897" s="10">
        <f t="shared" si="15"/>
        <v>0</v>
      </c>
    </row>
    <row r="898" spans="1:6" s="9" customFormat="1" x14ac:dyDescent="0.25">
      <c r="C898" s="5"/>
      <c r="E898" s="10"/>
      <c r="F898" s="8">
        <f>SUM(F896:F897)</f>
        <v>7000</v>
      </c>
    </row>
    <row r="899" spans="1:6" s="9" customFormat="1" x14ac:dyDescent="0.25">
      <c r="C899" s="5"/>
      <c r="E899" s="10"/>
      <c r="F899" s="10"/>
    </row>
    <row r="900" spans="1:6" s="9" customFormat="1" x14ac:dyDescent="0.25">
      <c r="A900" s="9" t="s">
        <v>62</v>
      </c>
      <c r="B900" s="4">
        <v>45762</v>
      </c>
      <c r="C900" s="5">
        <v>60</v>
      </c>
      <c r="D900" s="9" t="s">
        <v>8</v>
      </c>
      <c r="E900" s="10">
        <v>160</v>
      </c>
      <c r="F900" s="10">
        <f t="shared" si="15"/>
        <v>9600</v>
      </c>
    </row>
    <row r="901" spans="1:6" s="9" customFormat="1" x14ac:dyDescent="0.25">
      <c r="C901" s="5">
        <v>30</v>
      </c>
      <c r="D901" s="9" t="s">
        <v>12</v>
      </c>
      <c r="E901" s="10">
        <v>120</v>
      </c>
      <c r="F901" s="10">
        <f t="shared" si="15"/>
        <v>3600</v>
      </c>
    </row>
    <row r="902" spans="1:6" s="9" customFormat="1" x14ac:dyDescent="0.25">
      <c r="C902" s="5">
        <v>20</v>
      </c>
      <c r="D902" s="9" t="s">
        <v>449</v>
      </c>
      <c r="E902" s="10">
        <v>140</v>
      </c>
      <c r="F902" s="10">
        <f t="shared" si="15"/>
        <v>2800</v>
      </c>
    </row>
    <row r="903" spans="1:6" s="9" customFormat="1" x14ac:dyDescent="0.25">
      <c r="C903" s="5"/>
      <c r="E903" s="10"/>
      <c r="F903" s="8">
        <f>SUM(F900:F902)</f>
        <v>16000</v>
      </c>
    </row>
    <row r="904" spans="1:6" s="9" customFormat="1" x14ac:dyDescent="0.25">
      <c r="C904" s="5"/>
      <c r="E904" s="10"/>
      <c r="F904" s="10"/>
    </row>
    <row r="905" spans="1:6" s="9" customFormat="1" x14ac:dyDescent="0.25">
      <c r="A905" s="9" t="s">
        <v>26</v>
      </c>
      <c r="B905" s="4">
        <v>45762</v>
      </c>
      <c r="C905" s="5">
        <v>120</v>
      </c>
      <c r="D905" s="9" t="s">
        <v>13</v>
      </c>
      <c r="E905" s="10">
        <v>140</v>
      </c>
      <c r="F905" s="10">
        <f t="shared" si="15"/>
        <v>16800</v>
      </c>
    </row>
    <row r="906" spans="1:6" s="9" customFormat="1" x14ac:dyDescent="0.25">
      <c r="C906" s="5">
        <v>20</v>
      </c>
      <c r="D906" s="9" t="s">
        <v>14</v>
      </c>
      <c r="E906" s="10">
        <v>130</v>
      </c>
      <c r="F906" s="10">
        <f t="shared" si="15"/>
        <v>2600</v>
      </c>
    </row>
    <row r="907" spans="1:6" s="9" customFormat="1" x14ac:dyDescent="0.25">
      <c r="C907" s="5">
        <v>4.08</v>
      </c>
      <c r="D907" s="9" t="s">
        <v>462</v>
      </c>
      <c r="E907" s="10">
        <v>0</v>
      </c>
      <c r="F907" s="10">
        <f t="shared" si="15"/>
        <v>0</v>
      </c>
    </row>
    <row r="908" spans="1:6" s="9" customFormat="1" x14ac:dyDescent="0.25">
      <c r="C908" s="5"/>
      <c r="E908" s="10"/>
      <c r="F908" s="8">
        <f>SUM(F905:F907)</f>
        <v>19400</v>
      </c>
    </row>
    <row r="909" spans="1:6" s="9" customFormat="1" x14ac:dyDescent="0.25">
      <c r="C909" s="5"/>
      <c r="E909" s="10"/>
      <c r="F909" s="10"/>
    </row>
    <row r="910" spans="1:6" s="9" customFormat="1" x14ac:dyDescent="0.25">
      <c r="A910" s="9" t="s">
        <v>102</v>
      </c>
      <c r="B910" s="4">
        <v>45762</v>
      </c>
      <c r="C910" s="5">
        <v>5</v>
      </c>
      <c r="D910" s="9" t="s">
        <v>13</v>
      </c>
      <c r="E910" s="10">
        <v>155</v>
      </c>
      <c r="F910" s="10">
        <f t="shared" si="15"/>
        <v>775</v>
      </c>
    </row>
    <row r="911" spans="1:6" s="9" customFormat="1" x14ac:dyDescent="0.25">
      <c r="C911" s="5"/>
      <c r="E911" s="10"/>
      <c r="F911" s="8">
        <f>SUM(F910)</f>
        <v>775</v>
      </c>
    </row>
    <row r="912" spans="1:6" s="9" customFormat="1" x14ac:dyDescent="0.25">
      <c r="C912" s="5"/>
      <c r="E912" s="10"/>
      <c r="F912" s="10"/>
    </row>
    <row r="913" spans="1:6" s="9" customFormat="1" x14ac:dyDescent="0.25">
      <c r="A913" s="9" t="s">
        <v>434</v>
      </c>
      <c r="B913" s="4">
        <v>45762</v>
      </c>
      <c r="C913" s="5">
        <v>5</v>
      </c>
      <c r="D913" s="9" t="s">
        <v>12</v>
      </c>
      <c r="E913" s="10">
        <v>140</v>
      </c>
      <c r="F913" s="10">
        <f t="shared" si="15"/>
        <v>700</v>
      </c>
    </row>
    <row r="914" spans="1:6" s="9" customFormat="1" x14ac:dyDescent="0.25">
      <c r="C914" s="5"/>
      <c r="E914" s="10"/>
      <c r="F914" s="8">
        <f>SUM(F913)</f>
        <v>700</v>
      </c>
    </row>
    <row r="915" spans="1:6" s="9" customFormat="1" x14ac:dyDescent="0.25">
      <c r="C915" s="5"/>
      <c r="E915" s="10"/>
      <c r="F915" s="10"/>
    </row>
    <row r="916" spans="1:6" s="9" customFormat="1" x14ac:dyDescent="0.25">
      <c r="A916" s="9" t="s">
        <v>151</v>
      </c>
      <c r="B916" s="4">
        <v>45762</v>
      </c>
      <c r="C916" s="5">
        <v>60</v>
      </c>
      <c r="D916" s="9" t="s">
        <v>22</v>
      </c>
      <c r="E916" s="10">
        <v>85</v>
      </c>
      <c r="F916" s="10">
        <f t="shared" si="15"/>
        <v>5100</v>
      </c>
    </row>
    <row r="917" spans="1:6" s="9" customFormat="1" x14ac:dyDescent="0.25">
      <c r="C917" s="5">
        <v>20</v>
      </c>
      <c r="D917" s="9" t="s">
        <v>13</v>
      </c>
      <c r="E917" s="10">
        <v>120</v>
      </c>
      <c r="F917" s="10">
        <f t="shared" si="15"/>
        <v>2400</v>
      </c>
    </row>
    <row r="918" spans="1:6" s="9" customFormat="1" x14ac:dyDescent="0.25">
      <c r="C918" s="5">
        <v>30</v>
      </c>
      <c r="D918" s="9" t="s">
        <v>12</v>
      </c>
      <c r="E918" s="10">
        <v>110</v>
      </c>
      <c r="F918" s="10">
        <f t="shared" si="15"/>
        <v>3300</v>
      </c>
    </row>
    <row r="919" spans="1:6" s="9" customFormat="1" x14ac:dyDescent="0.25">
      <c r="C919" s="5"/>
      <c r="E919" s="10"/>
      <c r="F919" s="8">
        <f>SUM(F916:F918)</f>
        <v>10800</v>
      </c>
    </row>
    <row r="920" spans="1:6" s="9" customFormat="1" x14ac:dyDescent="0.25">
      <c r="C920" s="5"/>
      <c r="E920" s="10"/>
      <c r="F920" s="10"/>
    </row>
    <row r="921" spans="1:6" s="9" customFormat="1" x14ac:dyDescent="0.25">
      <c r="A921" s="9" t="s">
        <v>40</v>
      </c>
      <c r="B921" s="4">
        <v>45762</v>
      </c>
      <c r="C921" s="5">
        <v>10</v>
      </c>
      <c r="D921" s="9" t="s">
        <v>11</v>
      </c>
      <c r="E921" s="10">
        <v>115</v>
      </c>
      <c r="F921" s="10">
        <f t="shared" si="15"/>
        <v>1150</v>
      </c>
    </row>
    <row r="922" spans="1:6" s="9" customFormat="1" x14ac:dyDescent="0.25">
      <c r="C922" s="5">
        <v>10</v>
      </c>
      <c r="D922" s="9" t="s">
        <v>14</v>
      </c>
      <c r="E922" s="10">
        <v>125</v>
      </c>
      <c r="F922" s="10">
        <f t="shared" si="15"/>
        <v>1250</v>
      </c>
    </row>
    <row r="923" spans="1:6" s="9" customFormat="1" x14ac:dyDescent="0.25">
      <c r="C923" s="5">
        <v>5</v>
      </c>
      <c r="D923" s="9" t="s">
        <v>463</v>
      </c>
      <c r="E923" s="10">
        <v>130</v>
      </c>
      <c r="F923" s="10">
        <f t="shared" si="15"/>
        <v>650</v>
      </c>
    </row>
    <row r="924" spans="1:6" s="9" customFormat="1" x14ac:dyDescent="0.25">
      <c r="C924" s="5">
        <v>12</v>
      </c>
      <c r="E924" s="10">
        <v>115</v>
      </c>
      <c r="F924" s="10">
        <f t="shared" si="15"/>
        <v>1380</v>
      </c>
    </row>
    <row r="925" spans="1:6" s="9" customFormat="1" x14ac:dyDescent="0.25">
      <c r="C925" s="5"/>
      <c r="E925" s="10"/>
      <c r="F925" s="8">
        <f>SUM(F921:F924)</f>
        <v>4430</v>
      </c>
    </row>
    <row r="926" spans="1:6" s="9" customFormat="1" x14ac:dyDescent="0.25">
      <c r="C926" s="5"/>
      <c r="E926" s="10"/>
      <c r="F926" s="10"/>
    </row>
    <row r="927" spans="1:6" s="9" customFormat="1" x14ac:dyDescent="0.25">
      <c r="A927" s="9" t="s">
        <v>270</v>
      </c>
      <c r="B927" s="4">
        <v>45762</v>
      </c>
      <c r="C927" s="5">
        <v>6</v>
      </c>
      <c r="D927" s="9" t="s">
        <v>98</v>
      </c>
      <c r="E927" s="10">
        <v>100</v>
      </c>
      <c r="F927" s="10">
        <f t="shared" ref="F927:F987" si="16">+C927*E927</f>
        <v>600</v>
      </c>
    </row>
    <row r="928" spans="1:6" s="9" customFormat="1" x14ac:dyDescent="0.25">
      <c r="C928" s="5">
        <v>1</v>
      </c>
      <c r="D928" s="9" t="s">
        <v>464</v>
      </c>
      <c r="E928" s="10">
        <v>85</v>
      </c>
      <c r="F928" s="10">
        <f t="shared" si="16"/>
        <v>85</v>
      </c>
    </row>
    <row r="929" spans="1:6" s="9" customFormat="1" x14ac:dyDescent="0.25">
      <c r="C929" s="5"/>
      <c r="E929" s="10"/>
      <c r="F929" s="8">
        <f>SUM(F927:F928)</f>
        <v>685</v>
      </c>
    </row>
    <row r="930" spans="1:6" s="9" customFormat="1" x14ac:dyDescent="0.25">
      <c r="C930" s="5"/>
      <c r="E930" s="10"/>
      <c r="F930" s="10"/>
    </row>
    <row r="931" spans="1:6" s="9" customFormat="1" x14ac:dyDescent="0.25">
      <c r="A931" s="9" t="s">
        <v>259</v>
      </c>
      <c r="B931" s="4">
        <v>45762</v>
      </c>
      <c r="C931" s="5">
        <v>500</v>
      </c>
      <c r="D931" s="9" t="s">
        <v>14</v>
      </c>
      <c r="E931" s="10">
        <v>110</v>
      </c>
      <c r="F931" s="10">
        <f t="shared" si="16"/>
        <v>55000</v>
      </c>
    </row>
    <row r="932" spans="1:6" s="9" customFormat="1" x14ac:dyDescent="0.25">
      <c r="C932" s="5">
        <v>500</v>
      </c>
      <c r="D932" s="9" t="s">
        <v>11</v>
      </c>
      <c r="E932" s="10">
        <v>80</v>
      </c>
      <c r="F932" s="10">
        <f t="shared" si="16"/>
        <v>40000</v>
      </c>
    </row>
    <row r="933" spans="1:6" s="9" customFormat="1" x14ac:dyDescent="0.25">
      <c r="C933" s="5"/>
      <c r="E933" s="10"/>
      <c r="F933" s="8">
        <f>SUM(F931:F932)</f>
        <v>95000</v>
      </c>
    </row>
    <row r="934" spans="1:6" s="9" customFormat="1" x14ac:dyDescent="0.25">
      <c r="C934" s="5"/>
      <c r="E934" s="10"/>
      <c r="F934" s="10"/>
    </row>
    <row r="935" spans="1:6" s="9" customFormat="1" x14ac:dyDescent="0.25">
      <c r="A935" s="9" t="s">
        <v>150</v>
      </c>
      <c r="B935" s="4">
        <v>45762</v>
      </c>
      <c r="C935" s="5">
        <v>50</v>
      </c>
      <c r="D935" s="9" t="s">
        <v>50</v>
      </c>
      <c r="E935" s="10"/>
      <c r="F935" s="10">
        <f t="shared" si="16"/>
        <v>0</v>
      </c>
    </row>
    <row r="936" spans="1:6" s="9" customFormat="1" x14ac:dyDescent="0.25">
      <c r="C936" s="5">
        <v>43</v>
      </c>
      <c r="D936" s="9" t="s">
        <v>49</v>
      </c>
      <c r="E936" s="10"/>
      <c r="F936" s="10">
        <f t="shared" si="16"/>
        <v>0</v>
      </c>
    </row>
    <row r="937" spans="1:6" s="9" customFormat="1" x14ac:dyDescent="0.25">
      <c r="C937" s="5">
        <v>190</v>
      </c>
      <c r="D937" s="9" t="s">
        <v>14</v>
      </c>
      <c r="E937" s="10"/>
      <c r="F937" s="10">
        <f t="shared" si="16"/>
        <v>0</v>
      </c>
    </row>
    <row r="938" spans="1:6" s="9" customFormat="1" x14ac:dyDescent="0.25">
      <c r="C938" s="5"/>
      <c r="E938" s="10"/>
      <c r="F938" s="8">
        <f>SUM(F935:F937)</f>
        <v>0</v>
      </c>
    </row>
    <row r="939" spans="1:6" s="9" customFormat="1" x14ac:dyDescent="0.25">
      <c r="C939" s="5"/>
      <c r="E939" s="10"/>
      <c r="F939" s="10"/>
    </row>
    <row r="940" spans="1:6" s="9" customFormat="1" x14ac:dyDescent="0.25">
      <c r="A940" s="9" t="s">
        <v>28</v>
      </c>
      <c r="B940" s="4">
        <v>45762</v>
      </c>
      <c r="C940" s="5">
        <v>200</v>
      </c>
      <c r="D940" s="9" t="s">
        <v>14</v>
      </c>
      <c r="E940" s="10">
        <v>0</v>
      </c>
      <c r="F940" s="10">
        <f t="shared" si="16"/>
        <v>0</v>
      </c>
    </row>
    <row r="941" spans="1:6" s="9" customFormat="1" x14ac:dyDescent="0.25">
      <c r="C941" s="5"/>
      <c r="E941" s="10"/>
      <c r="F941" s="8">
        <f>SUM(F940)</f>
        <v>0</v>
      </c>
    </row>
    <row r="942" spans="1:6" s="9" customFormat="1" x14ac:dyDescent="0.25">
      <c r="C942" s="5"/>
      <c r="E942" s="10"/>
      <c r="F942" s="10"/>
    </row>
    <row r="943" spans="1:6" s="9" customFormat="1" x14ac:dyDescent="0.25">
      <c r="A943" s="9" t="s">
        <v>259</v>
      </c>
      <c r="B943" s="4">
        <v>45762</v>
      </c>
      <c r="C943" s="5">
        <v>50</v>
      </c>
      <c r="D943" s="9" t="s">
        <v>98</v>
      </c>
      <c r="E943" s="10"/>
      <c r="F943" s="10">
        <f t="shared" si="16"/>
        <v>0</v>
      </c>
    </row>
    <row r="944" spans="1:6" s="9" customFormat="1" x14ac:dyDescent="0.25">
      <c r="A944" s="4"/>
      <c r="C944" s="5"/>
      <c r="E944" s="10"/>
      <c r="F944" s="8">
        <f>SUM(F943)</f>
        <v>0</v>
      </c>
    </row>
    <row r="945" spans="1:6" s="9" customFormat="1" x14ac:dyDescent="0.25">
      <c r="C945" s="5"/>
      <c r="E945" s="10"/>
      <c r="F945" s="10"/>
    </row>
    <row r="946" spans="1:6" s="9" customFormat="1" x14ac:dyDescent="0.25">
      <c r="A946" s="9" t="s">
        <v>29</v>
      </c>
      <c r="B946" s="4">
        <v>45762</v>
      </c>
      <c r="C946" s="5">
        <v>1</v>
      </c>
      <c r="D946" s="9" t="s">
        <v>13</v>
      </c>
      <c r="E946" s="10">
        <v>160</v>
      </c>
      <c r="F946" s="10">
        <f t="shared" si="16"/>
        <v>160</v>
      </c>
    </row>
    <row r="947" spans="1:6" s="9" customFormat="1" x14ac:dyDescent="0.25">
      <c r="C947" s="5"/>
      <c r="E947" s="10"/>
      <c r="F947" s="8">
        <f>SUM(F946)</f>
        <v>160</v>
      </c>
    </row>
    <row r="948" spans="1:6" s="9" customFormat="1" x14ac:dyDescent="0.25">
      <c r="C948" s="5"/>
      <c r="E948" s="10"/>
      <c r="F948" s="10"/>
    </row>
    <row r="949" spans="1:6" s="9" customFormat="1" x14ac:dyDescent="0.25">
      <c r="A949" s="9" t="s">
        <v>7</v>
      </c>
      <c r="B949" s="4">
        <v>45762</v>
      </c>
      <c r="C949" s="5">
        <v>2</v>
      </c>
      <c r="D949" s="9" t="s">
        <v>465</v>
      </c>
      <c r="E949" s="10">
        <v>140</v>
      </c>
      <c r="F949" s="10">
        <f t="shared" si="16"/>
        <v>280</v>
      </c>
    </row>
    <row r="950" spans="1:6" s="9" customFormat="1" x14ac:dyDescent="0.25">
      <c r="C950" s="5">
        <v>1</v>
      </c>
      <c r="D950" s="9" t="s">
        <v>466</v>
      </c>
      <c r="E950" s="10">
        <v>150</v>
      </c>
      <c r="F950" s="10">
        <f t="shared" si="16"/>
        <v>150</v>
      </c>
    </row>
    <row r="951" spans="1:6" s="9" customFormat="1" x14ac:dyDescent="0.25">
      <c r="C951" s="5">
        <v>2</v>
      </c>
      <c r="D951" s="9" t="s">
        <v>8</v>
      </c>
      <c r="E951" s="10">
        <v>170</v>
      </c>
      <c r="F951" s="10">
        <f t="shared" si="16"/>
        <v>340</v>
      </c>
    </row>
    <row r="952" spans="1:6" s="9" customFormat="1" x14ac:dyDescent="0.25">
      <c r="C952" s="5">
        <v>2</v>
      </c>
      <c r="D952" s="9" t="s">
        <v>13</v>
      </c>
      <c r="E952" s="10">
        <v>160</v>
      </c>
      <c r="F952" s="10">
        <f t="shared" si="16"/>
        <v>320</v>
      </c>
    </row>
    <row r="953" spans="1:6" s="9" customFormat="1" x14ac:dyDescent="0.25">
      <c r="C953" s="5">
        <v>13</v>
      </c>
      <c r="D953" s="9" t="s">
        <v>168</v>
      </c>
      <c r="E953" s="10">
        <v>135</v>
      </c>
      <c r="F953" s="10">
        <f t="shared" si="16"/>
        <v>1755</v>
      </c>
    </row>
    <row r="954" spans="1:6" s="9" customFormat="1" x14ac:dyDescent="0.25">
      <c r="C954" s="5">
        <v>1</v>
      </c>
      <c r="D954" s="9" t="s">
        <v>8</v>
      </c>
      <c r="E954" s="10">
        <v>170</v>
      </c>
      <c r="F954" s="10">
        <f t="shared" si="16"/>
        <v>170</v>
      </c>
    </row>
    <row r="955" spans="1:6" s="9" customFormat="1" x14ac:dyDescent="0.25">
      <c r="C955" s="5"/>
      <c r="E955" s="10"/>
      <c r="F955" s="8">
        <f>SUM(F949:F954)</f>
        <v>3015</v>
      </c>
    </row>
    <row r="956" spans="1:6" s="9" customFormat="1" x14ac:dyDescent="0.25">
      <c r="C956" s="5"/>
      <c r="E956" s="10"/>
      <c r="F956" s="10"/>
    </row>
    <row r="957" spans="1:6" s="9" customFormat="1" x14ac:dyDescent="0.25">
      <c r="A957" s="9" t="s">
        <v>467</v>
      </c>
      <c r="B957" s="4">
        <v>45763</v>
      </c>
      <c r="C957" s="5">
        <v>800</v>
      </c>
      <c r="D957" s="9" t="s">
        <v>22</v>
      </c>
      <c r="E957" s="10">
        <v>90</v>
      </c>
      <c r="F957" s="10">
        <f t="shared" si="16"/>
        <v>72000</v>
      </c>
    </row>
    <row r="958" spans="1:6" s="9" customFormat="1" x14ac:dyDescent="0.25">
      <c r="C958" s="5">
        <v>100</v>
      </c>
      <c r="D958" s="9" t="s">
        <v>22</v>
      </c>
      <c r="E958" s="10">
        <v>85</v>
      </c>
      <c r="F958" s="10">
        <f t="shared" si="16"/>
        <v>8500</v>
      </c>
    </row>
    <row r="959" spans="1:6" s="9" customFormat="1" x14ac:dyDescent="0.25">
      <c r="C959" s="5">
        <v>199</v>
      </c>
      <c r="D959" s="9" t="s">
        <v>12</v>
      </c>
      <c r="E959" s="10">
        <v>115</v>
      </c>
      <c r="F959" s="10">
        <f t="shared" si="16"/>
        <v>22885</v>
      </c>
    </row>
    <row r="960" spans="1:6" s="9" customFormat="1" x14ac:dyDescent="0.25">
      <c r="C960" s="5"/>
      <c r="E960" s="10"/>
      <c r="F960" s="8">
        <f>SUM(F957:F959)</f>
        <v>103385</v>
      </c>
    </row>
    <row r="961" spans="1:6" s="9" customFormat="1" x14ac:dyDescent="0.25">
      <c r="C961" s="5"/>
      <c r="E961" s="10"/>
      <c r="F961" s="10"/>
    </row>
    <row r="962" spans="1:6" s="9" customFormat="1" x14ac:dyDescent="0.25">
      <c r="A962" s="9" t="s">
        <v>468</v>
      </c>
      <c r="B962" s="4">
        <v>45763</v>
      </c>
      <c r="C962" s="5">
        <v>3</v>
      </c>
      <c r="D962" s="9" t="s">
        <v>14</v>
      </c>
      <c r="E962" s="10">
        <v>140</v>
      </c>
      <c r="F962" s="10">
        <f t="shared" si="16"/>
        <v>420</v>
      </c>
    </row>
    <row r="963" spans="1:6" s="9" customFormat="1" x14ac:dyDescent="0.25">
      <c r="C963" s="5">
        <v>3</v>
      </c>
      <c r="D963" s="9" t="s">
        <v>22</v>
      </c>
      <c r="E963" s="10">
        <v>120</v>
      </c>
      <c r="F963" s="10">
        <f t="shared" si="16"/>
        <v>360</v>
      </c>
    </row>
    <row r="964" spans="1:6" s="9" customFormat="1" x14ac:dyDescent="0.25">
      <c r="C964" s="5"/>
      <c r="E964" s="10"/>
      <c r="F964" s="8">
        <f>SUM(F962:F963)</f>
        <v>780</v>
      </c>
    </row>
    <row r="965" spans="1:6" s="9" customFormat="1" x14ac:dyDescent="0.25">
      <c r="C965" s="5"/>
      <c r="E965" s="10"/>
      <c r="F965" s="10"/>
    </row>
    <row r="966" spans="1:6" s="9" customFormat="1" x14ac:dyDescent="0.25">
      <c r="A966" s="9" t="s">
        <v>469</v>
      </c>
      <c r="B966" s="4">
        <v>45763</v>
      </c>
      <c r="C966" s="5">
        <v>10</v>
      </c>
      <c r="D966" s="9" t="s">
        <v>8</v>
      </c>
      <c r="E966" s="10">
        <v>160</v>
      </c>
      <c r="F966" s="10">
        <f t="shared" si="16"/>
        <v>1600</v>
      </c>
    </row>
    <row r="967" spans="1:6" s="9" customFormat="1" x14ac:dyDescent="0.25">
      <c r="C967" s="5"/>
      <c r="E967" s="10"/>
      <c r="F967" s="8">
        <f>SUM(F966)</f>
        <v>1600</v>
      </c>
    </row>
    <row r="968" spans="1:6" s="9" customFormat="1" x14ac:dyDescent="0.25">
      <c r="C968" s="5"/>
      <c r="E968" s="10"/>
      <c r="F968" s="10"/>
    </row>
    <row r="969" spans="1:6" s="9" customFormat="1" x14ac:dyDescent="0.25">
      <c r="A969" s="9" t="s">
        <v>80</v>
      </c>
      <c r="B969" s="4">
        <v>45763</v>
      </c>
      <c r="C969" s="5">
        <v>10</v>
      </c>
      <c r="D969" s="9" t="s">
        <v>13</v>
      </c>
      <c r="E969" s="10">
        <v>140</v>
      </c>
      <c r="F969" s="10">
        <f t="shared" si="16"/>
        <v>1400</v>
      </c>
    </row>
    <row r="970" spans="1:6" s="9" customFormat="1" x14ac:dyDescent="0.25">
      <c r="C970" s="5"/>
      <c r="E970" s="10"/>
      <c r="F970" s="8">
        <f>SUM(F969)</f>
        <v>1400</v>
      </c>
    </row>
    <row r="971" spans="1:6" s="9" customFormat="1" x14ac:dyDescent="0.25">
      <c r="C971" s="5"/>
      <c r="E971" s="10"/>
      <c r="F971" s="10"/>
    </row>
    <row r="972" spans="1:6" s="9" customFormat="1" x14ac:dyDescent="0.25">
      <c r="A972" s="9" t="s">
        <v>371</v>
      </c>
      <c r="B972" s="4">
        <v>45763</v>
      </c>
      <c r="C972" s="5">
        <v>9</v>
      </c>
      <c r="D972" s="9" t="s">
        <v>13</v>
      </c>
      <c r="E972" s="10">
        <v>140</v>
      </c>
      <c r="F972" s="10">
        <f t="shared" si="16"/>
        <v>1260</v>
      </c>
    </row>
    <row r="973" spans="1:6" s="9" customFormat="1" x14ac:dyDescent="0.25">
      <c r="C973" s="5"/>
      <c r="E973" s="10"/>
      <c r="F973" s="8">
        <f>SUM(F972)</f>
        <v>1260</v>
      </c>
    </row>
    <row r="974" spans="1:6" s="9" customFormat="1" x14ac:dyDescent="0.25">
      <c r="C974" s="5"/>
      <c r="E974" s="10"/>
      <c r="F974" s="10"/>
    </row>
    <row r="975" spans="1:6" s="9" customFormat="1" x14ac:dyDescent="0.25">
      <c r="A975" s="9" t="s">
        <v>445</v>
      </c>
      <c r="B975" s="4">
        <v>45763</v>
      </c>
      <c r="C975" s="5">
        <v>6</v>
      </c>
      <c r="D975" s="9" t="s">
        <v>12</v>
      </c>
      <c r="E975" s="10">
        <v>130</v>
      </c>
      <c r="F975" s="10">
        <f t="shared" si="16"/>
        <v>780</v>
      </c>
    </row>
    <row r="976" spans="1:6" s="9" customFormat="1" x14ac:dyDescent="0.25">
      <c r="C976" s="5"/>
      <c r="E976" s="10"/>
      <c r="F976" s="8">
        <f>SUM(F975)</f>
        <v>780</v>
      </c>
    </row>
    <row r="977" spans="1:6" s="9" customFormat="1" x14ac:dyDescent="0.25">
      <c r="C977" s="5"/>
      <c r="E977" s="10"/>
      <c r="F977" s="10"/>
    </row>
    <row r="978" spans="1:6" s="9" customFormat="1" x14ac:dyDescent="0.25">
      <c r="A978" s="9" t="s">
        <v>260</v>
      </c>
      <c r="B978" s="4">
        <v>45763</v>
      </c>
      <c r="C978" s="5">
        <v>10</v>
      </c>
      <c r="D978" s="9" t="s">
        <v>13</v>
      </c>
      <c r="E978" s="10">
        <v>140</v>
      </c>
      <c r="F978" s="10">
        <f t="shared" si="16"/>
        <v>1400</v>
      </c>
    </row>
    <row r="979" spans="1:6" s="9" customFormat="1" x14ac:dyDescent="0.25">
      <c r="C979" s="5"/>
      <c r="E979" s="10"/>
      <c r="F979" s="8">
        <f>SUM(F978)</f>
        <v>1400</v>
      </c>
    </row>
    <row r="980" spans="1:6" s="9" customFormat="1" x14ac:dyDescent="0.25">
      <c r="C980" s="5"/>
      <c r="E980" s="10"/>
      <c r="F980" s="10"/>
    </row>
    <row r="981" spans="1:6" s="9" customFormat="1" x14ac:dyDescent="0.25">
      <c r="A981" s="9" t="s">
        <v>58</v>
      </c>
      <c r="B981" s="4">
        <v>45763</v>
      </c>
      <c r="C981" s="5">
        <v>15</v>
      </c>
      <c r="D981" s="9" t="s">
        <v>13</v>
      </c>
      <c r="E981" s="10">
        <v>140</v>
      </c>
      <c r="F981" s="10">
        <f t="shared" si="16"/>
        <v>2100</v>
      </c>
    </row>
    <row r="982" spans="1:6" s="9" customFormat="1" x14ac:dyDescent="0.25">
      <c r="C982" s="5"/>
      <c r="E982" s="10"/>
      <c r="F982" s="8">
        <f>SUM(F981)</f>
        <v>2100</v>
      </c>
    </row>
    <row r="983" spans="1:6" s="9" customFormat="1" x14ac:dyDescent="0.25">
      <c r="C983" s="5"/>
      <c r="E983" s="10"/>
      <c r="F983" s="10"/>
    </row>
    <row r="984" spans="1:6" s="9" customFormat="1" x14ac:dyDescent="0.25">
      <c r="A984" s="9" t="s">
        <v>386</v>
      </c>
      <c r="B984" s="4">
        <v>45763</v>
      </c>
      <c r="C984" s="5">
        <v>11</v>
      </c>
      <c r="D984" s="9" t="s">
        <v>98</v>
      </c>
      <c r="E984" s="10">
        <v>100</v>
      </c>
      <c r="F984" s="10">
        <f t="shared" si="16"/>
        <v>1100</v>
      </c>
    </row>
    <row r="985" spans="1:6" s="9" customFormat="1" x14ac:dyDescent="0.25">
      <c r="C985" s="5"/>
      <c r="E985" s="10"/>
      <c r="F985" s="8">
        <f>SUM(F984)</f>
        <v>1100</v>
      </c>
    </row>
    <row r="986" spans="1:6" s="9" customFormat="1" x14ac:dyDescent="0.25">
      <c r="C986" s="5"/>
      <c r="E986" s="10"/>
      <c r="F986" s="10"/>
    </row>
    <row r="987" spans="1:6" s="9" customFormat="1" x14ac:dyDescent="0.25">
      <c r="A987" s="9" t="s">
        <v>20</v>
      </c>
      <c r="B987" s="4">
        <v>45763</v>
      </c>
      <c r="C987" s="5">
        <v>20</v>
      </c>
      <c r="D987" s="9" t="s">
        <v>13</v>
      </c>
      <c r="E987" s="10">
        <v>135</v>
      </c>
      <c r="F987" s="10">
        <f t="shared" si="16"/>
        <v>2700</v>
      </c>
    </row>
    <row r="988" spans="1:6" s="9" customFormat="1" x14ac:dyDescent="0.25">
      <c r="C988" s="5"/>
      <c r="E988" s="10"/>
      <c r="F988" s="8">
        <f>SUM(F987)</f>
        <v>2700</v>
      </c>
    </row>
    <row r="989" spans="1:6" s="9" customFormat="1" x14ac:dyDescent="0.25">
      <c r="C989" s="5"/>
      <c r="E989" s="10"/>
      <c r="F989" s="10"/>
    </row>
    <row r="990" spans="1:6" s="9" customFormat="1" x14ac:dyDescent="0.25">
      <c r="A990" s="9" t="s">
        <v>17</v>
      </c>
      <c r="B990" s="4">
        <v>45763</v>
      </c>
      <c r="C990" s="5">
        <v>10</v>
      </c>
      <c r="D990" s="9" t="s">
        <v>12</v>
      </c>
      <c r="E990" s="10">
        <v>125</v>
      </c>
      <c r="F990" s="10">
        <f t="shared" ref="F990:F1051" si="17">+C990*E990</f>
        <v>1250</v>
      </c>
    </row>
    <row r="991" spans="1:6" s="9" customFormat="1" x14ac:dyDescent="0.25">
      <c r="C991" s="5"/>
      <c r="E991" s="10"/>
      <c r="F991" s="8">
        <f>SUM(F990)</f>
        <v>1250</v>
      </c>
    </row>
    <row r="992" spans="1:6" s="9" customFormat="1" x14ac:dyDescent="0.25">
      <c r="C992" s="5"/>
      <c r="E992" s="10"/>
      <c r="F992" s="10"/>
    </row>
    <row r="993" spans="1:6" s="9" customFormat="1" x14ac:dyDescent="0.25">
      <c r="A993" s="9" t="s">
        <v>21</v>
      </c>
      <c r="B993" s="4">
        <v>45763</v>
      </c>
      <c r="C993" s="5">
        <v>10</v>
      </c>
      <c r="D993" s="9" t="s">
        <v>8</v>
      </c>
      <c r="E993" s="10">
        <v>155</v>
      </c>
      <c r="F993" s="10">
        <f t="shared" si="17"/>
        <v>1550</v>
      </c>
    </row>
    <row r="994" spans="1:6" s="9" customFormat="1" x14ac:dyDescent="0.25">
      <c r="C994" s="5">
        <v>30</v>
      </c>
      <c r="D994" s="9" t="s">
        <v>12</v>
      </c>
      <c r="E994" s="10">
        <v>120</v>
      </c>
      <c r="F994" s="10">
        <f t="shared" si="17"/>
        <v>3600</v>
      </c>
    </row>
    <row r="995" spans="1:6" s="9" customFormat="1" x14ac:dyDescent="0.25">
      <c r="C995" s="5">
        <v>30</v>
      </c>
      <c r="D995" s="9" t="s">
        <v>13</v>
      </c>
      <c r="E995" s="10">
        <v>135</v>
      </c>
      <c r="F995" s="10">
        <f t="shared" si="17"/>
        <v>4050</v>
      </c>
    </row>
    <row r="996" spans="1:6" s="9" customFormat="1" x14ac:dyDescent="0.25">
      <c r="C996" s="5">
        <v>40</v>
      </c>
      <c r="D996" s="9" t="s">
        <v>22</v>
      </c>
      <c r="E996" s="10">
        <v>100</v>
      </c>
      <c r="F996" s="10">
        <f t="shared" si="17"/>
        <v>4000</v>
      </c>
    </row>
    <row r="997" spans="1:6" s="9" customFormat="1" x14ac:dyDescent="0.25">
      <c r="C997" s="5"/>
      <c r="E997" s="10"/>
      <c r="F997" s="8">
        <f>SUM(F993:F996)</f>
        <v>13200</v>
      </c>
    </row>
    <row r="998" spans="1:6" s="9" customFormat="1" x14ac:dyDescent="0.25">
      <c r="C998" s="5"/>
      <c r="E998" s="10"/>
      <c r="F998" s="10"/>
    </row>
    <row r="999" spans="1:6" s="9" customFormat="1" x14ac:dyDescent="0.25">
      <c r="A999" s="9" t="s">
        <v>470</v>
      </c>
      <c r="B999" s="4">
        <v>45763</v>
      </c>
      <c r="C999" s="5">
        <v>25</v>
      </c>
      <c r="D999" s="9" t="s">
        <v>13</v>
      </c>
      <c r="E999" s="10">
        <v>135</v>
      </c>
      <c r="F999" s="10">
        <f t="shared" si="17"/>
        <v>3375</v>
      </c>
    </row>
    <row r="1000" spans="1:6" s="9" customFormat="1" x14ac:dyDescent="0.25">
      <c r="C1000" s="5">
        <v>15</v>
      </c>
      <c r="D1000" s="9" t="s">
        <v>14</v>
      </c>
      <c r="E1000" s="10">
        <v>120</v>
      </c>
      <c r="F1000" s="10">
        <f t="shared" si="17"/>
        <v>1800</v>
      </c>
    </row>
    <row r="1001" spans="1:6" s="9" customFormat="1" x14ac:dyDescent="0.25">
      <c r="C1001" s="5"/>
      <c r="E1001" s="10"/>
      <c r="F1001" s="8">
        <f>SUM(F999:F1000)</f>
        <v>5175</v>
      </c>
    </row>
    <row r="1002" spans="1:6" s="9" customFormat="1" x14ac:dyDescent="0.25">
      <c r="C1002" s="5"/>
      <c r="E1002" s="10"/>
      <c r="F1002" s="10"/>
    </row>
    <row r="1003" spans="1:6" s="9" customFormat="1" x14ac:dyDescent="0.25">
      <c r="A1003" s="9" t="s">
        <v>471</v>
      </c>
      <c r="B1003" s="4">
        <v>45763</v>
      </c>
      <c r="C1003" s="5">
        <v>10</v>
      </c>
      <c r="D1003" s="9" t="s">
        <v>12</v>
      </c>
      <c r="E1003" s="10">
        <v>120</v>
      </c>
      <c r="F1003" s="10">
        <f t="shared" si="17"/>
        <v>1200</v>
      </c>
    </row>
    <row r="1004" spans="1:6" s="9" customFormat="1" x14ac:dyDescent="0.25">
      <c r="C1004" s="5">
        <v>10</v>
      </c>
      <c r="D1004" s="9" t="s">
        <v>14</v>
      </c>
      <c r="E1004" s="10">
        <v>125</v>
      </c>
      <c r="F1004" s="10">
        <f t="shared" si="17"/>
        <v>1250</v>
      </c>
    </row>
    <row r="1005" spans="1:6" s="9" customFormat="1" x14ac:dyDescent="0.25">
      <c r="C1005" s="5"/>
      <c r="E1005" s="10"/>
      <c r="F1005" s="8">
        <f>SUM(F1003:F1004)</f>
        <v>2450</v>
      </c>
    </row>
    <row r="1006" spans="1:6" s="9" customFormat="1" x14ac:dyDescent="0.25">
      <c r="C1006" s="5"/>
      <c r="E1006" s="10"/>
      <c r="F1006" s="10"/>
    </row>
    <row r="1007" spans="1:6" s="9" customFormat="1" x14ac:dyDescent="0.25">
      <c r="A1007" s="9" t="s">
        <v>37</v>
      </c>
      <c r="B1007" s="4">
        <v>45763</v>
      </c>
      <c r="C1007" s="5">
        <v>20</v>
      </c>
      <c r="D1007" s="9" t="s">
        <v>12</v>
      </c>
      <c r="E1007" s="10">
        <v>130</v>
      </c>
      <c r="F1007" s="10">
        <f t="shared" si="17"/>
        <v>2600</v>
      </c>
    </row>
    <row r="1008" spans="1:6" s="9" customFormat="1" x14ac:dyDescent="0.25">
      <c r="C1008" s="5"/>
      <c r="E1008" s="10"/>
      <c r="F1008" s="8">
        <f>SUM(F1007)</f>
        <v>2600</v>
      </c>
    </row>
    <row r="1009" spans="1:6" s="9" customFormat="1" x14ac:dyDescent="0.25">
      <c r="C1009" s="5"/>
      <c r="E1009" s="10"/>
      <c r="F1009" s="10"/>
    </row>
    <row r="1010" spans="1:6" s="9" customFormat="1" x14ac:dyDescent="0.25">
      <c r="A1010" s="9" t="s">
        <v>43</v>
      </c>
      <c r="B1010" s="4">
        <v>45763</v>
      </c>
      <c r="C1010" s="5">
        <v>20</v>
      </c>
      <c r="D1010" s="9" t="s">
        <v>49</v>
      </c>
      <c r="E1010" s="10">
        <v>135</v>
      </c>
      <c r="F1010" s="10">
        <f t="shared" si="17"/>
        <v>2700</v>
      </c>
    </row>
    <row r="1011" spans="1:6" s="9" customFormat="1" x14ac:dyDescent="0.25">
      <c r="C1011" s="5"/>
      <c r="E1011" s="10"/>
      <c r="F1011" s="8">
        <f>SUM(F1010)</f>
        <v>2700</v>
      </c>
    </row>
    <row r="1012" spans="1:6" s="9" customFormat="1" x14ac:dyDescent="0.25">
      <c r="C1012" s="5"/>
      <c r="E1012" s="10"/>
      <c r="F1012" s="10"/>
    </row>
    <row r="1013" spans="1:6" s="9" customFormat="1" x14ac:dyDescent="0.25">
      <c r="A1013" s="9" t="s">
        <v>18</v>
      </c>
      <c r="B1013" s="4">
        <v>45763</v>
      </c>
      <c r="C1013" s="5">
        <v>30</v>
      </c>
      <c r="D1013" s="9" t="s">
        <v>14</v>
      </c>
      <c r="E1013" s="10">
        <v>125</v>
      </c>
      <c r="F1013" s="10">
        <f t="shared" si="17"/>
        <v>3750</v>
      </c>
    </row>
    <row r="1014" spans="1:6" s="9" customFormat="1" x14ac:dyDescent="0.25">
      <c r="C1014" s="5"/>
      <c r="E1014" s="10"/>
      <c r="F1014" s="8">
        <f>SUM(F1013)</f>
        <v>3750</v>
      </c>
    </row>
    <row r="1015" spans="1:6" s="9" customFormat="1" x14ac:dyDescent="0.25">
      <c r="C1015" s="5"/>
      <c r="E1015" s="10"/>
      <c r="F1015" s="10"/>
    </row>
    <row r="1016" spans="1:6" s="9" customFormat="1" x14ac:dyDescent="0.25">
      <c r="A1016" s="9" t="s">
        <v>382</v>
      </c>
      <c r="B1016" s="4">
        <v>45763</v>
      </c>
      <c r="C1016" s="5">
        <v>5</v>
      </c>
      <c r="D1016" s="9" t="s">
        <v>14</v>
      </c>
      <c r="E1016" s="10">
        <v>125</v>
      </c>
      <c r="F1016" s="10">
        <f t="shared" si="17"/>
        <v>625</v>
      </c>
    </row>
    <row r="1017" spans="1:6" s="9" customFormat="1" x14ac:dyDescent="0.25">
      <c r="C1017" s="5"/>
      <c r="E1017" s="10"/>
      <c r="F1017" s="8">
        <f>SUM(F1016)</f>
        <v>625</v>
      </c>
    </row>
    <row r="1018" spans="1:6" s="9" customFormat="1" x14ac:dyDescent="0.25">
      <c r="C1018" s="5"/>
      <c r="E1018" s="10"/>
      <c r="F1018" s="10"/>
    </row>
    <row r="1019" spans="1:6" s="9" customFormat="1" x14ac:dyDescent="0.25">
      <c r="A1019" s="9" t="s">
        <v>455</v>
      </c>
      <c r="B1019" s="4">
        <v>45763</v>
      </c>
      <c r="C1019" s="5">
        <v>80</v>
      </c>
      <c r="D1019" s="9" t="s">
        <v>14</v>
      </c>
      <c r="E1019" s="10">
        <v>107</v>
      </c>
      <c r="F1019" s="10">
        <f t="shared" si="17"/>
        <v>8560</v>
      </c>
    </row>
    <row r="1020" spans="1:6" s="9" customFormat="1" x14ac:dyDescent="0.25">
      <c r="C1020" s="5"/>
      <c r="E1020" s="10"/>
      <c r="F1020" s="8">
        <f>SUM(F1019)</f>
        <v>8560</v>
      </c>
    </row>
    <row r="1021" spans="1:6" s="9" customFormat="1" x14ac:dyDescent="0.25">
      <c r="C1021" s="5"/>
      <c r="E1021" s="10"/>
      <c r="F1021" s="10"/>
    </row>
    <row r="1022" spans="1:6" s="9" customFormat="1" x14ac:dyDescent="0.25">
      <c r="A1022" s="9" t="s">
        <v>41</v>
      </c>
      <c r="B1022" s="4">
        <v>45763</v>
      </c>
      <c r="C1022" s="22">
        <v>15</v>
      </c>
      <c r="D1022" s="9" t="s">
        <v>14</v>
      </c>
      <c r="E1022" s="10">
        <v>130</v>
      </c>
      <c r="F1022" s="10">
        <f t="shared" si="17"/>
        <v>1950</v>
      </c>
    </row>
    <row r="1023" spans="1:6" s="9" customFormat="1" x14ac:dyDescent="0.25">
      <c r="C1023" s="5"/>
      <c r="E1023" s="10"/>
      <c r="F1023" s="8">
        <f>SUM(F1022)</f>
        <v>1950</v>
      </c>
    </row>
    <row r="1024" spans="1:6" s="9" customFormat="1" x14ac:dyDescent="0.25">
      <c r="C1024" s="5"/>
      <c r="E1024" s="10"/>
      <c r="F1024" s="10"/>
    </row>
    <row r="1025" spans="1:6" s="9" customFormat="1" x14ac:dyDescent="0.25">
      <c r="A1025" s="9" t="s">
        <v>47</v>
      </c>
      <c r="B1025" s="4">
        <v>45763</v>
      </c>
      <c r="C1025" s="5">
        <v>30</v>
      </c>
      <c r="D1025" s="9" t="s">
        <v>14</v>
      </c>
      <c r="E1025" s="10">
        <v>125</v>
      </c>
      <c r="F1025" s="10">
        <f t="shared" si="17"/>
        <v>3750</v>
      </c>
    </row>
    <row r="1026" spans="1:6" s="9" customFormat="1" x14ac:dyDescent="0.25">
      <c r="C1026" s="5"/>
      <c r="E1026" s="10"/>
      <c r="F1026" s="8">
        <f>SUM(F1025)</f>
        <v>3750</v>
      </c>
    </row>
    <row r="1027" spans="1:6" s="9" customFormat="1" x14ac:dyDescent="0.25">
      <c r="C1027" s="5"/>
      <c r="E1027" s="10"/>
      <c r="F1027" s="10"/>
    </row>
    <row r="1028" spans="1:6" s="9" customFormat="1" x14ac:dyDescent="0.25">
      <c r="A1028" s="9" t="s">
        <v>145</v>
      </c>
      <c r="B1028" s="4">
        <v>45763</v>
      </c>
      <c r="C1028" s="5">
        <v>50</v>
      </c>
      <c r="D1028" s="9" t="s">
        <v>14</v>
      </c>
      <c r="E1028" s="10">
        <v>120</v>
      </c>
      <c r="F1028" s="10">
        <f t="shared" si="17"/>
        <v>6000</v>
      </c>
    </row>
    <row r="1029" spans="1:6" s="9" customFormat="1" x14ac:dyDescent="0.25">
      <c r="C1029" s="5"/>
      <c r="E1029" s="10"/>
      <c r="F1029" s="8">
        <f>SUM(F1028)</f>
        <v>6000</v>
      </c>
    </row>
    <row r="1030" spans="1:6" s="9" customFormat="1" x14ac:dyDescent="0.25">
      <c r="C1030" s="5"/>
      <c r="E1030" s="10"/>
      <c r="F1030" s="10"/>
    </row>
    <row r="1031" spans="1:6" s="9" customFormat="1" x14ac:dyDescent="0.25">
      <c r="A1031" s="9" t="s">
        <v>44</v>
      </c>
      <c r="B1031" s="4">
        <v>45763</v>
      </c>
      <c r="C1031" s="5">
        <v>40</v>
      </c>
      <c r="D1031" s="9" t="s">
        <v>14</v>
      </c>
      <c r="E1031" s="10">
        <v>125</v>
      </c>
      <c r="F1031" s="10">
        <f t="shared" si="17"/>
        <v>5000</v>
      </c>
    </row>
    <row r="1032" spans="1:6" s="9" customFormat="1" x14ac:dyDescent="0.25">
      <c r="C1032" s="5"/>
      <c r="E1032" s="10"/>
      <c r="F1032" s="8">
        <f>SUM(F1031)</f>
        <v>5000</v>
      </c>
    </row>
    <row r="1033" spans="1:6" s="9" customFormat="1" x14ac:dyDescent="0.25">
      <c r="C1033" s="5"/>
      <c r="E1033" s="10"/>
      <c r="F1033" s="10"/>
    </row>
    <row r="1034" spans="1:6" s="9" customFormat="1" x14ac:dyDescent="0.25">
      <c r="A1034" s="9" t="s">
        <v>138</v>
      </c>
      <c r="B1034" s="4">
        <v>45763</v>
      </c>
      <c r="C1034" s="5">
        <v>30</v>
      </c>
      <c r="D1034" s="9" t="s">
        <v>14</v>
      </c>
      <c r="E1034" s="10">
        <v>125</v>
      </c>
      <c r="F1034" s="10">
        <f t="shared" si="17"/>
        <v>3750</v>
      </c>
    </row>
    <row r="1035" spans="1:6" s="9" customFormat="1" x14ac:dyDescent="0.25">
      <c r="C1035" s="5"/>
      <c r="E1035" s="10"/>
      <c r="F1035" s="8">
        <f>SUM(F1034)</f>
        <v>3750</v>
      </c>
    </row>
    <row r="1036" spans="1:6" s="9" customFormat="1" x14ac:dyDescent="0.25">
      <c r="C1036" s="5"/>
      <c r="E1036" s="10"/>
      <c r="F1036" s="10"/>
    </row>
    <row r="1037" spans="1:6" s="9" customFormat="1" x14ac:dyDescent="0.25">
      <c r="A1037" s="9" t="s">
        <v>183</v>
      </c>
      <c r="B1037" s="4">
        <v>45763</v>
      </c>
      <c r="C1037" s="5">
        <v>7</v>
      </c>
      <c r="D1037" s="9" t="s">
        <v>14</v>
      </c>
      <c r="E1037" s="10">
        <v>125</v>
      </c>
      <c r="F1037" s="10">
        <f t="shared" si="17"/>
        <v>875</v>
      </c>
    </row>
    <row r="1038" spans="1:6" s="9" customFormat="1" x14ac:dyDescent="0.25">
      <c r="C1038" s="5"/>
      <c r="E1038" s="10"/>
      <c r="F1038" s="8">
        <f>SUM(F1037)</f>
        <v>875</v>
      </c>
    </row>
    <row r="1039" spans="1:6" s="9" customFormat="1" x14ac:dyDescent="0.25">
      <c r="C1039" s="5"/>
      <c r="E1039" s="10"/>
      <c r="F1039" s="10"/>
    </row>
    <row r="1040" spans="1:6" s="9" customFormat="1" x14ac:dyDescent="0.25">
      <c r="A1040" s="9" t="s">
        <v>112</v>
      </c>
      <c r="B1040" s="4">
        <v>45763</v>
      </c>
      <c r="C1040" s="5">
        <v>100</v>
      </c>
      <c r="D1040" s="9" t="s">
        <v>472</v>
      </c>
      <c r="E1040" s="10">
        <v>120</v>
      </c>
      <c r="F1040" s="10">
        <f t="shared" si="17"/>
        <v>12000</v>
      </c>
    </row>
    <row r="1041" spans="1:6" s="9" customFormat="1" x14ac:dyDescent="0.25">
      <c r="C1041" s="5">
        <v>60</v>
      </c>
      <c r="D1041" s="9" t="s">
        <v>12</v>
      </c>
      <c r="E1041" s="10">
        <v>110</v>
      </c>
      <c r="F1041" s="10">
        <f t="shared" si="17"/>
        <v>6600</v>
      </c>
    </row>
    <row r="1042" spans="1:6" s="9" customFormat="1" x14ac:dyDescent="0.25">
      <c r="C1042" s="5">
        <v>50</v>
      </c>
      <c r="D1042" s="9" t="s">
        <v>14</v>
      </c>
      <c r="E1042" s="10">
        <v>110</v>
      </c>
      <c r="F1042" s="10">
        <f t="shared" si="17"/>
        <v>5500</v>
      </c>
    </row>
    <row r="1043" spans="1:6" s="9" customFormat="1" x14ac:dyDescent="0.25">
      <c r="C1043" s="5">
        <v>40</v>
      </c>
      <c r="D1043" s="9" t="s">
        <v>22</v>
      </c>
      <c r="E1043" s="10">
        <v>85</v>
      </c>
      <c r="F1043" s="10">
        <f t="shared" si="17"/>
        <v>3400</v>
      </c>
    </row>
    <row r="1044" spans="1:6" s="9" customFormat="1" x14ac:dyDescent="0.25">
      <c r="C1044" s="5"/>
      <c r="E1044" s="10"/>
      <c r="F1044" s="8">
        <f>SUM(F1040:F1043)</f>
        <v>27500</v>
      </c>
    </row>
    <row r="1045" spans="1:6" s="9" customFormat="1" x14ac:dyDescent="0.25">
      <c r="C1045" s="5"/>
      <c r="E1045" s="10"/>
      <c r="F1045" s="10"/>
    </row>
    <row r="1046" spans="1:6" s="9" customFormat="1" x14ac:dyDescent="0.25">
      <c r="A1046" s="9" t="s">
        <v>245</v>
      </c>
      <c r="B1046" s="4">
        <v>45763</v>
      </c>
      <c r="C1046" s="5">
        <v>60</v>
      </c>
      <c r="D1046" s="9" t="s">
        <v>13</v>
      </c>
      <c r="E1046" s="10">
        <v>140</v>
      </c>
      <c r="F1046" s="10">
        <f t="shared" si="17"/>
        <v>8400</v>
      </c>
    </row>
    <row r="1047" spans="1:6" s="9" customFormat="1" x14ac:dyDescent="0.25">
      <c r="C1047" s="5">
        <v>10</v>
      </c>
      <c r="D1047" s="9" t="s">
        <v>14</v>
      </c>
      <c r="E1047" s="10">
        <v>130</v>
      </c>
      <c r="F1047" s="10">
        <f t="shared" si="17"/>
        <v>1300</v>
      </c>
    </row>
    <row r="1048" spans="1:6" s="9" customFormat="1" x14ac:dyDescent="0.25">
      <c r="C1048" s="5">
        <v>2.04</v>
      </c>
      <c r="D1048" s="9" t="s">
        <v>318</v>
      </c>
      <c r="E1048" s="10">
        <v>0</v>
      </c>
      <c r="F1048" s="10">
        <f t="shared" si="17"/>
        <v>0</v>
      </c>
    </row>
    <row r="1049" spans="1:6" s="9" customFormat="1" x14ac:dyDescent="0.25">
      <c r="C1049" s="5"/>
      <c r="E1049" s="10"/>
      <c r="F1049" s="8">
        <f>SUM(F1046:F1048)</f>
        <v>9700</v>
      </c>
    </row>
    <row r="1050" spans="1:6" s="9" customFormat="1" x14ac:dyDescent="0.25">
      <c r="C1050" s="5"/>
      <c r="E1050" s="10"/>
      <c r="F1050" s="10"/>
    </row>
    <row r="1051" spans="1:6" s="9" customFormat="1" x14ac:dyDescent="0.25">
      <c r="A1051" s="9" t="s">
        <v>184</v>
      </c>
      <c r="B1051" s="4">
        <v>45763</v>
      </c>
      <c r="C1051" s="5">
        <v>5</v>
      </c>
      <c r="D1051" s="9" t="s">
        <v>13</v>
      </c>
      <c r="E1051" s="10">
        <v>155</v>
      </c>
      <c r="F1051" s="10">
        <f t="shared" si="17"/>
        <v>775</v>
      </c>
    </row>
    <row r="1052" spans="1:6" s="9" customFormat="1" x14ac:dyDescent="0.25">
      <c r="C1052" s="5"/>
      <c r="E1052" s="10"/>
      <c r="F1052" s="8">
        <f>SUM(F1051)</f>
        <v>775</v>
      </c>
    </row>
    <row r="1053" spans="1:6" s="9" customFormat="1" x14ac:dyDescent="0.25">
      <c r="C1053" s="5"/>
      <c r="E1053" s="10"/>
      <c r="F1053" s="10"/>
    </row>
    <row r="1054" spans="1:6" s="9" customFormat="1" x14ac:dyDescent="0.25">
      <c r="A1054" s="9" t="s">
        <v>88</v>
      </c>
      <c r="B1054" s="4">
        <v>45763</v>
      </c>
      <c r="C1054" s="5">
        <v>12</v>
      </c>
      <c r="D1054" s="9" t="s">
        <v>14</v>
      </c>
      <c r="E1054" s="10">
        <v>135</v>
      </c>
      <c r="F1054" s="10">
        <f t="shared" ref="F1054:F1117" si="18">+C1054*E1054</f>
        <v>1620</v>
      </c>
    </row>
    <row r="1055" spans="1:6" s="9" customFormat="1" x14ac:dyDescent="0.25">
      <c r="C1055" s="5">
        <v>4</v>
      </c>
      <c r="D1055" s="9" t="s">
        <v>13</v>
      </c>
      <c r="E1055" s="10">
        <v>145</v>
      </c>
      <c r="F1055" s="10">
        <f t="shared" si="18"/>
        <v>580</v>
      </c>
    </row>
    <row r="1056" spans="1:6" s="9" customFormat="1" x14ac:dyDescent="0.25">
      <c r="C1056" s="5"/>
      <c r="E1056" s="10"/>
      <c r="F1056" s="8">
        <f>SUM(F1054:F1055)</f>
        <v>2200</v>
      </c>
    </row>
    <row r="1057" spans="1:6" s="9" customFormat="1" x14ac:dyDescent="0.25">
      <c r="C1057" s="5"/>
      <c r="E1057" s="10"/>
      <c r="F1057" s="10"/>
    </row>
    <row r="1058" spans="1:6" s="9" customFormat="1" x14ac:dyDescent="0.25">
      <c r="A1058" s="9" t="s">
        <v>72</v>
      </c>
      <c r="B1058" s="4">
        <v>45763</v>
      </c>
      <c r="C1058" s="5">
        <v>200</v>
      </c>
      <c r="D1058" s="9" t="s">
        <v>13</v>
      </c>
      <c r="E1058" s="10">
        <v>130</v>
      </c>
      <c r="F1058" s="10">
        <f t="shared" si="18"/>
        <v>26000</v>
      </c>
    </row>
    <row r="1059" spans="1:6" s="9" customFormat="1" x14ac:dyDescent="0.25">
      <c r="C1059" s="5"/>
      <c r="E1059" s="10"/>
      <c r="F1059" s="8">
        <f>SUM(F1058)</f>
        <v>26000</v>
      </c>
    </row>
    <row r="1060" spans="1:6" s="9" customFormat="1" x14ac:dyDescent="0.25">
      <c r="C1060" s="5"/>
      <c r="E1060" s="10"/>
      <c r="F1060" s="10"/>
    </row>
    <row r="1061" spans="1:6" s="9" customFormat="1" x14ac:dyDescent="0.25">
      <c r="A1061" s="9" t="s">
        <v>101</v>
      </c>
      <c r="B1061" s="4">
        <v>45763</v>
      </c>
      <c r="C1061" s="5">
        <v>2</v>
      </c>
      <c r="D1061" s="9" t="s">
        <v>13</v>
      </c>
      <c r="E1061" s="10">
        <v>160</v>
      </c>
      <c r="F1061" s="10">
        <f t="shared" si="18"/>
        <v>320</v>
      </c>
    </row>
    <row r="1062" spans="1:6" s="9" customFormat="1" x14ac:dyDescent="0.25">
      <c r="C1062" s="5">
        <v>4</v>
      </c>
      <c r="D1062" s="9" t="s">
        <v>473</v>
      </c>
      <c r="E1062" s="10">
        <v>160</v>
      </c>
      <c r="F1062" s="10">
        <f t="shared" si="18"/>
        <v>640</v>
      </c>
    </row>
    <row r="1063" spans="1:6" s="9" customFormat="1" x14ac:dyDescent="0.25">
      <c r="C1063" s="5">
        <v>2</v>
      </c>
      <c r="D1063" s="9" t="s">
        <v>12</v>
      </c>
      <c r="E1063" s="10">
        <v>150</v>
      </c>
      <c r="F1063" s="10">
        <f t="shared" si="18"/>
        <v>300</v>
      </c>
    </row>
    <row r="1064" spans="1:6" s="9" customFormat="1" x14ac:dyDescent="0.25">
      <c r="C1064" s="5">
        <v>1</v>
      </c>
      <c r="D1064" s="9" t="s">
        <v>54</v>
      </c>
      <c r="E1064" s="10">
        <v>140</v>
      </c>
      <c r="F1064" s="10">
        <f t="shared" si="18"/>
        <v>140</v>
      </c>
    </row>
    <row r="1065" spans="1:6" s="9" customFormat="1" x14ac:dyDescent="0.25">
      <c r="C1065" s="5"/>
      <c r="E1065" s="10"/>
      <c r="F1065" s="8">
        <f>SUM(F1061:F1064)</f>
        <v>1400</v>
      </c>
    </row>
    <row r="1066" spans="1:6" s="9" customFormat="1" x14ac:dyDescent="0.25">
      <c r="C1066" s="5"/>
      <c r="E1066" s="10"/>
      <c r="F1066" s="10"/>
    </row>
    <row r="1067" spans="1:6" s="9" customFormat="1" x14ac:dyDescent="0.25">
      <c r="A1067" s="9" t="s">
        <v>7</v>
      </c>
      <c r="B1067" s="4">
        <v>45763</v>
      </c>
      <c r="C1067" s="5">
        <v>3</v>
      </c>
      <c r="D1067" s="9" t="s">
        <v>8</v>
      </c>
      <c r="E1067" s="10">
        <v>170</v>
      </c>
      <c r="F1067" s="10">
        <f t="shared" si="18"/>
        <v>510</v>
      </c>
    </row>
    <row r="1068" spans="1:6" s="9" customFormat="1" x14ac:dyDescent="0.25">
      <c r="C1068" s="5">
        <v>1</v>
      </c>
      <c r="D1068" s="9" t="s">
        <v>473</v>
      </c>
      <c r="E1068" s="10">
        <v>160</v>
      </c>
      <c r="F1068" s="10">
        <f t="shared" si="18"/>
        <v>160</v>
      </c>
    </row>
    <row r="1069" spans="1:6" s="9" customFormat="1" x14ac:dyDescent="0.25">
      <c r="C1069" s="5">
        <v>2</v>
      </c>
      <c r="D1069" s="9" t="s">
        <v>8</v>
      </c>
      <c r="E1069" s="10">
        <v>170</v>
      </c>
      <c r="F1069" s="10">
        <f t="shared" si="18"/>
        <v>340</v>
      </c>
    </row>
    <row r="1070" spans="1:6" s="9" customFormat="1" x14ac:dyDescent="0.25">
      <c r="C1070" s="5">
        <v>5</v>
      </c>
      <c r="D1070" s="9" t="s">
        <v>473</v>
      </c>
      <c r="E1070" s="10">
        <v>160</v>
      </c>
      <c r="F1070" s="10">
        <f t="shared" si="18"/>
        <v>800</v>
      </c>
    </row>
    <row r="1071" spans="1:6" s="9" customFormat="1" x14ac:dyDescent="0.25">
      <c r="C1071" s="5"/>
      <c r="E1071" s="10"/>
      <c r="F1071" s="8">
        <f>SUM(F1067:F1070)</f>
        <v>1810</v>
      </c>
    </row>
    <row r="1072" spans="1:6" s="9" customFormat="1" x14ac:dyDescent="0.25">
      <c r="C1072" s="5"/>
      <c r="E1072" s="10"/>
      <c r="F1072" s="10"/>
    </row>
    <row r="1073" spans="1:6" s="9" customFormat="1" x14ac:dyDescent="0.25">
      <c r="A1073" s="9" t="s">
        <v>151</v>
      </c>
      <c r="B1073" s="4">
        <v>45764</v>
      </c>
      <c r="C1073" s="5">
        <v>120</v>
      </c>
      <c r="D1073" s="9" t="s">
        <v>22</v>
      </c>
      <c r="E1073" s="10">
        <v>85</v>
      </c>
      <c r="F1073" s="10">
        <f t="shared" si="18"/>
        <v>10200</v>
      </c>
    </row>
    <row r="1074" spans="1:6" s="9" customFormat="1" x14ac:dyDescent="0.25">
      <c r="C1074" s="5">
        <v>40</v>
      </c>
      <c r="D1074" s="9" t="s">
        <v>50</v>
      </c>
      <c r="E1074" s="10">
        <v>78</v>
      </c>
      <c r="F1074" s="10">
        <f t="shared" si="18"/>
        <v>3120</v>
      </c>
    </row>
    <row r="1075" spans="1:6" s="9" customFormat="1" x14ac:dyDescent="0.25">
      <c r="C1075" s="5">
        <v>30</v>
      </c>
      <c r="D1075" s="9" t="s">
        <v>474</v>
      </c>
      <c r="E1075" s="10">
        <v>110</v>
      </c>
      <c r="F1075" s="10">
        <f t="shared" si="18"/>
        <v>3300</v>
      </c>
    </row>
    <row r="1076" spans="1:6" s="9" customFormat="1" x14ac:dyDescent="0.25">
      <c r="C1076" s="5">
        <v>30</v>
      </c>
      <c r="D1076" s="9" t="s">
        <v>13</v>
      </c>
      <c r="E1076" s="10">
        <v>120</v>
      </c>
      <c r="F1076" s="10">
        <f t="shared" si="18"/>
        <v>3600</v>
      </c>
    </row>
    <row r="1077" spans="1:6" s="9" customFormat="1" x14ac:dyDescent="0.25">
      <c r="C1077" s="5"/>
      <c r="E1077" s="10"/>
      <c r="F1077" s="8">
        <f>SUM(F1073:F1076)</f>
        <v>20220</v>
      </c>
    </row>
    <row r="1078" spans="1:6" s="9" customFormat="1" x14ac:dyDescent="0.25">
      <c r="C1078" s="5"/>
      <c r="E1078" s="10"/>
      <c r="F1078" s="10"/>
    </row>
    <row r="1079" spans="1:6" s="9" customFormat="1" x14ac:dyDescent="0.25">
      <c r="A1079" s="9" t="s">
        <v>60</v>
      </c>
      <c r="B1079" s="4">
        <v>45764</v>
      </c>
      <c r="C1079" s="5">
        <v>30</v>
      </c>
      <c r="D1079" s="9" t="s">
        <v>13</v>
      </c>
      <c r="E1079" s="10">
        <v>140</v>
      </c>
      <c r="F1079" s="10">
        <f t="shared" si="18"/>
        <v>4200</v>
      </c>
    </row>
    <row r="1080" spans="1:6" s="9" customFormat="1" x14ac:dyDescent="0.25">
      <c r="C1080" s="5"/>
      <c r="E1080" s="10"/>
      <c r="F1080" s="8">
        <f>SUM(F1079)</f>
        <v>4200</v>
      </c>
    </row>
    <row r="1081" spans="1:6" s="9" customFormat="1" x14ac:dyDescent="0.25">
      <c r="C1081" s="5"/>
      <c r="E1081" s="10"/>
      <c r="F1081" s="10"/>
    </row>
    <row r="1082" spans="1:6" s="9" customFormat="1" x14ac:dyDescent="0.25">
      <c r="A1082" s="9" t="s">
        <v>61</v>
      </c>
      <c r="B1082" s="4">
        <v>45764</v>
      </c>
      <c r="C1082" s="5">
        <v>50</v>
      </c>
      <c r="D1082" s="9" t="s">
        <v>13</v>
      </c>
      <c r="E1082" s="10">
        <v>140</v>
      </c>
      <c r="F1082" s="10">
        <f t="shared" si="18"/>
        <v>7000</v>
      </c>
    </row>
    <row r="1083" spans="1:6" s="9" customFormat="1" x14ac:dyDescent="0.25">
      <c r="C1083" s="5"/>
      <c r="E1083" s="10"/>
      <c r="F1083" s="8">
        <f>SUM(F1082)</f>
        <v>7000</v>
      </c>
    </row>
    <row r="1084" spans="1:6" s="9" customFormat="1" x14ac:dyDescent="0.25">
      <c r="C1084" s="5"/>
      <c r="E1084" s="10"/>
      <c r="F1084" s="10"/>
    </row>
    <row r="1085" spans="1:6" s="9" customFormat="1" x14ac:dyDescent="0.25">
      <c r="A1085" s="9" t="s">
        <v>255</v>
      </c>
      <c r="B1085" s="4">
        <v>45764</v>
      </c>
      <c r="C1085" s="5">
        <v>150</v>
      </c>
      <c r="D1085" s="9" t="s">
        <v>8</v>
      </c>
      <c r="E1085" s="10">
        <v>160</v>
      </c>
      <c r="F1085" s="10">
        <f t="shared" si="18"/>
        <v>24000</v>
      </c>
    </row>
    <row r="1086" spans="1:6" s="9" customFormat="1" x14ac:dyDescent="0.25">
      <c r="C1086" s="5">
        <v>30</v>
      </c>
      <c r="D1086" s="9" t="s">
        <v>12</v>
      </c>
      <c r="E1086" s="10">
        <v>120</v>
      </c>
      <c r="F1086" s="10">
        <f t="shared" si="18"/>
        <v>3600</v>
      </c>
    </row>
    <row r="1087" spans="1:6" s="9" customFormat="1" x14ac:dyDescent="0.25">
      <c r="C1087" s="5">
        <v>20</v>
      </c>
      <c r="D1087" s="9" t="s">
        <v>13</v>
      </c>
      <c r="E1087" s="10">
        <v>140</v>
      </c>
      <c r="F1087" s="10">
        <f t="shared" si="18"/>
        <v>2800</v>
      </c>
    </row>
    <row r="1088" spans="1:6" s="9" customFormat="1" x14ac:dyDescent="0.25">
      <c r="C1088" s="5"/>
      <c r="E1088" s="10"/>
      <c r="F1088" s="8">
        <f>SUM(F1085:F1087)</f>
        <v>30400</v>
      </c>
    </row>
    <row r="1089" spans="1:6" s="9" customFormat="1" x14ac:dyDescent="0.25">
      <c r="C1089" s="5"/>
      <c r="E1089" s="10"/>
      <c r="F1089" s="10"/>
    </row>
    <row r="1090" spans="1:6" s="9" customFormat="1" x14ac:dyDescent="0.25">
      <c r="A1090" s="9" t="s">
        <v>26</v>
      </c>
      <c r="B1090" s="4">
        <v>45764</v>
      </c>
      <c r="C1090" s="5">
        <v>120</v>
      </c>
      <c r="D1090" s="9" t="s">
        <v>13</v>
      </c>
      <c r="E1090" s="10">
        <v>140</v>
      </c>
      <c r="F1090" s="10">
        <f t="shared" si="18"/>
        <v>16800</v>
      </c>
    </row>
    <row r="1091" spans="1:6" s="9" customFormat="1" x14ac:dyDescent="0.25">
      <c r="C1091" s="5">
        <v>30</v>
      </c>
      <c r="D1091" s="9" t="s">
        <v>14</v>
      </c>
      <c r="E1091" s="10">
        <v>130</v>
      </c>
      <c r="F1091" s="10">
        <f t="shared" si="18"/>
        <v>3900</v>
      </c>
    </row>
    <row r="1092" spans="1:6" s="9" customFormat="1" x14ac:dyDescent="0.25">
      <c r="C1092" s="5">
        <v>4.08</v>
      </c>
      <c r="D1092" s="9" t="s">
        <v>318</v>
      </c>
      <c r="E1092" s="10">
        <v>0</v>
      </c>
      <c r="F1092" s="10">
        <f t="shared" si="18"/>
        <v>0</v>
      </c>
    </row>
    <row r="1093" spans="1:6" s="9" customFormat="1" x14ac:dyDescent="0.25">
      <c r="C1093" s="5"/>
      <c r="E1093" s="10"/>
      <c r="F1093" s="8">
        <f>SUM(F1090:F1092)</f>
        <v>20700</v>
      </c>
    </row>
    <row r="1094" spans="1:6" s="9" customFormat="1" x14ac:dyDescent="0.25">
      <c r="C1094" s="5"/>
      <c r="E1094" s="10"/>
      <c r="F1094" s="10"/>
    </row>
    <row r="1095" spans="1:6" s="9" customFormat="1" x14ac:dyDescent="0.25">
      <c r="A1095" s="9" t="s">
        <v>116</v>
      </c>
      <c r="B1095" s="4">
        <v>45764</v>
      </c>
      <c r="C1095" s="5">
        <v>500</v>
      </c>
      <c r="D1095" s="9" t="s">
        <v>14</v>
      </c>
      <c r="E1095" s="10">
        <v>110</v>
      </c>
      <c r="F1095" s="10">
        <f t="shared" si="18"/>
        <v>55000</v>
      </c>
    </row>
    <row r="1096" spans="1:6" s="9" customFormat="1" x14ac:dyDescent="0.25">
      <c r="C1096" s="5">
        <v>500</v>
      </c>
      <c r="D1096" s="9" t="s">
        <v>11</v>
      </c>
      <c r="E1096" s="10">
        <v>80</v>
      </c>
      <c r="F1096" s="10">
        <f t="shared" si="18"/>
        <v>40000</v>
      </c>
    </row>
    <row r="1097" spans="1:6" s="9" customFormat="1" x14ac:dyDescent="0.25">
      <c r="C1097" s="5"/>
      <c r="E1097" s="10"/>
      <c r="F1097" s="8">
        <f>SUM(F1095:F1096)</f>
        <v>95000</v>
      </c>
    </row>
    <row r="1098" spans="1:6" s="9" customFormat="1" x14ac:dyDescent="0.25">
      <c r="C1098" s="5"/>
      <c r="E1098" s="10"/>
      <c r="F1098" s="10"/>
    </row>
    <row r="1099" spans="1:6" s="9" customFormat="1" x14ac:dyDescent="0.25">
      <c r="A1099" s="9" t="s">
        <v>112</v>
      </c>
      <c r="B1099" s="4">
        <v>45764</v>
      </c>
      <c r="C1099" s="5">
        <v>70</v>
      </c>
      <c r="D1099" s="9" t="s">
        <v>12</v>
      </c>
      <c r="E1099" s="10">
        <v>110</v>
      </c>
      <c r="F1099" s="10">
        <f t="shared" si="18"/>
        <v>7700</v>
      </c>
    </row>
    <row r="1100" spans="1:6" s="9" customFormat="1" x14ac:dyDescent="0.25">
      <c r="C1100" s="5">
        <v>30</v>
      </c>
      <c r="D1100" s="9" t="s">
        <v>8</v>
      </c>
      <c r="E1100" s="10">
        <v>145</v>
      </c>
      <c r="F1100" s="10">
        <f t="shared" si="18"/>
        <v>4350</v>
      </c>
    </row>
    <row r="1101" spans="1:6" s="9" customFormat="1" x14ac:dyDescent="0.25">
      <c r="C1101" s="5"/>
      <c r="E1101" s="10"/>
      <c r="F1101" s="8">
        <f>SUM(F1099:F1100)</f>
        <v>12050</v>
      </c>
    </row>
    <row r="1102" spans="1:6" s="9" customFormat="1" x14ac:dyDescent="0.25">
      <c r="C1102" s="5"/>
      <c r="E1102" s="10"/>
      <c r="F1102" s="10"/>
    </row>
    <row r="1103" spans="1:6" s="9" customFormat="1" x14ac:dyDescent="0.25">
      <c r="A1103" s="9" t="s">
        <v>160</v>
      </c>
      <c r="B1103" s="4">
        <v>45764</v>
      </c>
      <c r="C1103" s="5">
        <v>5</v>
      </c>
      <c r="D1103" s="9" t="s">
        <v>12</v>
      </c>
      <c r="E1103" s="10">
        <v>130</v>
      </c>
      <c r="F1103" s="10">
        <f t="shared" si="18"/>
        <v>650</v>
      </c>
    </row>
    <row r="1104" spans="1:6" s="9" customFormat="1" x14ac:dyDescent="0.25">
      <c r="C1104" s="5"/>
      <c r="E1104" s="10"/>
      <c r="F1104" s="8">
        <f>SUM(F1103)</f>
        <v>650</v>
      </c>
    </row>
    <row r="1105" spans="1:6" s="9" customFormat="1" x14ac:dyDescent="0.25">
      <c r="C1105" s="5"/>
      <c r="E1105" s="10"/>
      <c r="F1105" s="10"/>
    </row>
    <row r="1106" spans="1:6" s="9" customFormat="1" x14ac:dyDescent="0.25">
      <c r="A1106" s="9" t="s">
        <v>67</v>
      </c>
      <c r="B1106" s="4">
        <v>45764</v>
      </c>
      <c r="C1106" s="5">
        <v>10</v>
      </c>
      <c r="D1106" s="9" t="s">
        <v>13</v>
      </c>
      <c r="E1106" s="10">
        <v>140</v>
      </c>
      <c r="F1106" s="10">
        <f t="shared" si="18"/>
        <v>1400</v>
      </c>
    </row>
    <row r="1107" spans="1:6" s="9" customFormat="1" x14ac:dyDescent="0.25">
      <c r="C1107" s="5"/>
      <c r="E1107" s="10"/>
      <c r="F1107" s="8">
        <f>SUM(F1106)</f>
        <v>1400</v>
      </c>
    </row>
    <row r="1108" spans="1:6" s="9" customFormat="1" x14ac:dyDescent="0.25">
      <c r="C1108" s="5"/>
      <c r="E1108" s="10"/>
      <c r="F1108" s="10"/>
    </row>
    <row r="1109" spans="1:6" s="9" customFormat="1" x14ac:dyDescent="0.25">
      <c r="A1109" s="9" t="s">
        <v>7</v>
      </c>
      <c r="B1109" s="4">
        <v>45764</v>
      </c>
      <c r="C1109" s="5">
        <v>3</v>
      </c>
      <c r="D1109" s="9" t="s">
        <v>8</v>
      </c>
      <c r="E1109" s="10">
        <v>170</v>
      </c>
      <c r="F1109" s="10">
        <f t="shared" si="18"/>
        <v>510</v>
      </c>
    </row>
    <row r="1110" spans="1:6" s="9" customFormat="1" x14ac:dyDescent="0.25">
      <c r="C1110" s="5">
        <v>2</v>
      </c>
      <c r="D1110" s="9" t="s">
        <v>13</v>
      </c>
      <c r="E1110" s="10">
        <v>140</v>
      </c>
      <c r="F1110" s="10">
        <f t="shared" si="18"/>
        <v>280</v>
      </c>
    </row>
    <row r="1111" spans="1:6" s="9" customFormat="1" x14ac:dyDescent="0.25">
      <c r="C1111" s="5">
        <v>1</v>
      </c>
      <c r="D1111" s="9" t="s">
        <v>8</v>
      </c>
      <c r="E1111" s="10">
        <v>170</v>
      </c>
      <c r="F1111" s="10">
        <f t="shared" si="18"/>
        <v>170</v>
      </c>
    </row>
    <row r="1112" spans="1:6" s="9" customFormat="1" x14ac:dyDescent="0.25">
      <c r="C1112" s="5">
        <v>2</v>
      </c>
      <c r="D1112" s="9" t="s">
        <v>12</v>
      </c>
      <c r="E1112" s="10">
        <v>140</v>
      </c>
      <c r="F1112" s="10">
        <f t="shared" si="18"/>
        <v>280</v>
      </c>
    </row>
    <row r="1113" spans="1:6" s="9" customFormat="1" x14ac:dyDescent="0.25">
      <c r="C1113" s="5"/>
      <c r="E1113" s="10"/>
      <c r="F1113" s="8">
        <f>SUM(F1109:F1112)</f>
        <v>1240</v>
      </c>
    </row>
    <row r="1114" spans="1:6" s="9" customFormat="1" x14ac:dyDescent="0.25">
      <c r="C1114" s="5"/>
      <c r="E1114" s="10"/>
      <c r="F1114" s="10"/>
    </row>
    <row r="1115" spans="1:6" s="9" customFormat="1" x14ac:dyDescent="0.25">
      <c r="A1115" s="9" t="s">
        <v>72</v>
      </c>
      <c r="B1115" s="4">
        <v>45765</v>
      </c>
      <c r="C1115" s="5">
        <v>330</v>
      </c>
      <c r="D1115" s="9" t="s">
        <v>13</v>
      </c>
      <c r="E1115" s="10">
        <v>130</v>
      </c>
      <c r="F1115" s="10">
        <f t="shared" si="18"/>
        <v>42900</v>
      </c>
    </row>
    <row r="1116" spans="1:6" s="9" customFormat="1" x14ac:dyDescent="0.25">
      <c r="C1116" s="5">
        <v>270</v>
      </c>
      <c r="D1116" s="9" t="s">
        <v>12</v>
      </c>
      <c r="E1116" s="10">
        <v>120</v>
      </c>
      <c r="F1116" s="10">
        <f t="shared" si="18"/>
        <v>32400</v>
      </c>
    </row>
    <row r="1117" spans="1:6" s="9" customFormat="1" x14ac:dyDescent="0.25">
      <c r="C1117" s="5">
        <v>100</v>
      </c>
      <c r="D1117" s="9" t="s">
        <v>11</v>
      </c>
      <c r="E1117" s="10">
        <v>115</v>
      </c>
      <c r="F1117" s="10">
        <f t="shared" si="18"/>
        <v>11500</v>
      </c>
    </row>
    <row r="1118" spans="1:6" s="9" customFormat="1" x14ac:dyDescent="0.25">
      <c r="C1118" s="5">
        <v>50</v>
      </c>
      <c r="D1118" s="9" t="s">
        <v>14</v>
      </c>
      <c r="E1118" s="10">
        <v>125</v>
      </c>
      <c r="F1118" s="10">
        <f t="shared" ref="F1118:F1180" si="19">+C1118*E1118</f>
        <v>6250</v>
      </c>
    </row>
    <row r="1119" spans="1:6" s="9" customFormat="1" x14ac:dyDescent="0.25">
      <c r="C1119" s="5"/>
      <c r="E1119" s="10"/>
      <c r="F1119" s="8">
        <f>SUM(F1115:F1118)</f>
        <v>93050</v>
      </c>
    </row>
    <row r="1120" spans="1:6" s="9" customFormat="1" x14ac:dyDescent="0.25">
      <c r="C1120" s="5"/>
      <c r="E1120" s="10"/>
      <c r="F1120" s="10"/>
    </row>
    <row r="1121" spans="1:6" s="9" customFormat="1" x14ac:dyDescent="0.25">
      <c r="A1121" s="9" t="s">
        <v>76</v>
      </c>
      <c r="B1121" s="4">
        <v>45765</v>
      </c>
      <c r="C1121" s="5">
        <v>140</v>
      </c>
      <c r="D1121" s="9" t="s">
        <v>49</v>
      </c>
      <c r="E1121" s="10">
        <v>130</v>
      </c>
      <c r="F1121" s="10">
        <f t="shared" si="19"/>
        <v>18200</v>
      </c>
    </row>
    <row r="1122" spans="1:6" s="9" customFormat="1" x14ac:dyDescent="0.25">
      <c r="C1122" s="5">
        <v>400</v>
      </c>
      <c r="D1122" s="9" t="s">
        <v>14</v>
      </c>
      <c r="E1122" s="10">
        <v>112</v>
      </c>
      <c r="F1122" s="10">
        <f t="shared" si="19"/>
        <v>44800</v>
      </c>
    </row>
    <row r="1123" spans="1:6" s="9" customFormat="1" x14ac:dyDescent="0.25">
      <c r="C1123" s="5"/>
      <c r="E1123" s="10"/>
      <c r="F1123" s="8">
        <f>SUM(F1121:F1122)</f>
        <v>63000</v>
      </c>
    </row>
    <row r="1124" spans="1:6" s="9" customFormat="1" x14ac:dyDescent="0.25">
      <c r="C1124" s="5"/>
      <c r="E1124" s="10"/>
      <c r="F1124" s="10"/>
    </row>
    <row r="1125" spans="1:6" s="9" customFormat="1" x14ac:dyDescent="0.25">
      <c r="A1125" s="9" t="s">
        <v>7</v>
      </c>
      <c r="B1125" s="4">
        <v>45765</v>
      </c>
      <c r="C1125" s="5">
        <v>4</v>
      </c>
      <c r="D1125" s="9" t="s">
        <v>254</v>
      </c>
      <c r="E1125" s="10">
        <v>150</v>
      </c>
      <c r="F1125" s="10">
        <f t="shared" si="19"/>
        <v>600</v>
      </c>
    </row>
    <row r="1126" spans="1:6" s="9" customFormat="1" x14ac:dyDescent="0.25">
      <c r="C1126" s="5">
        <v>6</v>
      </c>
      <c r="D1126" s="9" t="s">
        <v>475</v>
      </c>
      <c r="E1126" s="10">
        <v>140</v>
      </c>
      <c r="F1126" s="10">
        <f t="shared" si="19"/>
        <v>840</v>
      </c>
    </row>
    <row r="1127" spans="1:6" s="9" customFormat="1" x14ac:dyDescent="0.25">
      <c r="C1127" s="5">
        <v>5</v>
      </c>
      <c r="D1127" s="9" t="s">
        <v>476</v>
      </c>
      <c r="E1127" s="10">
        <v>155</v>
      </c>
      <c r="F1127" s="10">
        <f t="shared" si="19"/>
        <v>775</v>
      </c>
    </row>
    <row r="1128" spans="1:6" s="9" customFormat="1" x14ac:dyDescent="0.25">
      <c r="C1128" s="5"/>
      <c r="E1128" s="10"/>
      <c r="F1128" s="8">
        <f>SUM(F1125:F1127)</f>
        <v>2215</v>
      </c>
    </row>
    <row r="1129" spans="1:6" s="9" customFormat="1" x14ac:dyDescent="0.25">
      <c r="C1129" s="5"/>
      <c r="E1129" s="10"/>
      <c r="F1129" s="10"/>
    </row>
    <row r="1130" spans="1:6" s="9" customFormat="1" x14ac:dyDescent="0.25">
      <c r="A1130" s="9" t="s">
        <v>58</v>
      </c>
      <c r="B1130" s="4">
        <v>45766</v>
      </c>
      <c r="C1130" s="5">
        <v>12</v>
      </c>
      <c r="D1130" s="9" t="s">
        <v>13</v>
      </c>
      <c r="E1130" s="10">
        <v>135</v>
      </c>
      <c r="F1130" s="10">
        <f t="shared" si="19"/>
        <v>1620</v>
      </c>
    </row>
    <row r="1131" spans="1:6" s="9" customFormat="1" x14ac:dyDescent="0.25">
      <c r="C1131" s="5"/>
      <c r="E1131" s="10"/>
      <c r="F1131" s="8">
        <f>SUM(F1130)</f>
        <v>1620</v>
      </c>
    </row>
    <row r="1132" spans="1:6" s="9" customFormat="1" x14ac:dyDescent="0.25">
      <c r="C1132" s="5"/>
      <c r="E1132" s="10"/>
      <c r="F1132" s="10"/>
    </row>
    <row r="1133" spans="1:6" s="9" customFormat="1" x14ac:dyDescent="0.25">
      <c r="A1133" s="9" t="s">
        <v>427</v>
      </c>
      <c r="B1133" s="4">
        <v>45766</v>
      </c>
      <c r="C1133" s="5">
        <v>10</v>
      </c>
      <c r="D1133" s="9" t="s">
        <v>13</v>
      </c>
      <c r="E1133" s="10">
        <v>135</v>
      </c>
      <c r="F1133" s="10">
        <f t="shared" si="19"/>
        <v>1350</v>
      </c>
    </row>
    <row r="1134" spans="1:6" s="9" customFormat="1" x14ac:dyDescent="0.25">
      <c r="C1134" s="5"/>
      <c r="E1134" s="10"/>
      <c r="F1134" s="8">
        <f>SUM(F1133)</f>
        <v>1350</v>
      </c>
    </row>
    <row r="1135" spans="1:6" s="9" customFormat="1" x14ac:dyDescent="0.25">
      <c r="C1135" s="5"/>
      <c r="E1135" s="10"/>
      <c r="F1135" s="10"/>
    </row>
    <row r="1136" spans="1:6" s="9" customFormat="1" x14ac:dyDescent="0.25">
      <c r="A1136" s="9" t="s">
        <v>366</v>
      </c>
      <c r="B1136" s="4">
        <v>45766</v>
      </c>
      <c r="C1136" s="5">
        <v>10</v>
      </c>
      <c r="D1136" s="9" t="s">
        <v>13</v>
      </c>
      <c r="E1136" s="10">
        <v>135</v>
      </c>
      <c r="F1136" s="10">
        <f t="shared" si="19"/>
        <v>1350</v>
      </c>
    </row>
    <row r="1137" spans="1:6" s="9" customFormat="1" x14ac:dyDescent="0.25">
      <c r="C1137" s="5">
        <v>10</v>
      </c>
      <c r="D1137" s="9" t="s">
        <v>12</v>
      </c>
      <c r="E1137" s="10">
        <v>125</v>
      </c>
      <c r="F1137" s="10">
        <f t="shared" si="19"/>
        <v>1250</v>
      </c>
    </row>
    <row r="1138" spans="1:6" s="9" customFormat="1" x14ac:dyDescent="0.25">
      <c r="C1138" s="5"/>
      <c r="E1138" s="10"/>
      <c r="F1138" s="8">
        <f>SUM(F1136:F1137)</f>
        <v>2600</v>
      </c>
    </row>
    <row r="1139" spans="1:6" s="9" customFormat="1" x14ac:dyDescent="0.25">
      <c r="C1139" s="5"/>
      <c r="E1139" s="10"/>
      <c r="F1139" s="10"/>
    </row>
    <row r="1140" spans="1:6" s="9" customFormat="1" x14ac:dyDescent="0.25">
      <c r="A1140" s="9" t="s">
        <v>21</v>
      </c>
      <c r="B1140" s="4">
        <v>45766</v>
      </c>
      <c r="C1140" s="5">
        <v>20</v>
      </c>
      <c r="D1140" s="9" t="s">
        <v>477</v>
      </c>
      <c r="E1140" s="10">
        <v>95</v>
      </c>
      <c r="F1140" s="10">
        <f t="shared" si="19"/>
        <v>1900</v>
      </c>
    </row>
    <row r="1141" spans="1:6" s="9" customFormat="1" x14ac:dyDescent="0.25">
      <c r="C1141" s="5">
        <v>30</v>
      </c>
      <c r="D1141" s="9" t="s">
        <v>12</v>
      </c>
      <c r="E1141" s="10">
        <v>110</v>
      </c>
      <c r="F1141" s="10">
        <f t="shared" si="19"/>
        <v>3300</v>
      </c>
    </row>
    <row r="1142" spans="1:6" s="9" customFormat="1" x14ac:dyDescent="0.25">
      <c r="C1142" s="5">
        <v>20</v>
      </c>
      <c r="D1142" s="9" t="s">
        <v>13</v>
      </c>
      <c r="E1142" s="10">
        <v>125</v>
      </c>
      <c r="F1142" s="10">
        <f t="shared" si="19"/>
        <v>2500</v>
      </c>
    </row>
    <row r="1143" spans="1:6" s="9" customFormat="1" x14ac:dyDescent="0.25">
      <c r="C1143" s="5">
        <v>10</v>
      </c>
      <c r="D1143" s="9" t="s">
        <v>8</v>
      </c>
      <c r="E1143" s="10">
        <v>155</v>
      </c>
      <c r="F1143" s="10">
        <f t="shared" si="19"/>
        <v>1550</v>
      </c>
    </row>
    <row r="1144" spans="1:6" s="9" customFormat="1" x14ac:dyDescent="0.25">
      <c r="C1144" s="5">
        <v>10</v>
      </c>
      <c r="D1144" s="9" t="s">
        <v>14</v>
      </c>
      <c r="E1144" s="10">
        <v>120</v>
      </c>
      <c r="F1144" s="10">
        <f t="shared" si="19"/>
        <v>1200</v>
      </c>
    </row>
    <row r="1145" spans="1:6" s="9" customFormat="1" x14ac:dyDescent="0.25">
      <c r="C1145" s="5">
        <v>10</v>
      </c>
      <c r="D1145" s="9" t="s">
        <v>11</v>
      </c>
      <c r="E1145" s="10">
        <v>100</v>
      </c>
      <c r="F1145" s="10">
        <f t="shared" si="19"/>
        <v>1000</v>
      </c>
    </row>
    <row r="1146" spans="1:6" s="9" customFormat="1" x14ac:dyDescent="0.25">
      <c r="C1146" s="5"/>
      <c r="E1146" s="10"/>
      <c r="F1146" s="8">
        <f>SUM(F1140:F1145)</f>
        <v>11450</v>
      </c>
    </row>
    <row r="1147" spans="1:6" s="9" customFormat="1" x14ac:dyDescent="0.25">
      <c r="C1147" s="5"/>
      <c r="E1147" s="10"/>
      <c r="F1147" s="10"/>
    </row>
    <row r="1148" spans="1:6" s="9" customFormat="1" x14ac:dyDescent="0.25">
      <c r="A1148" s="9" t="s">
        <v>57</v>
      </c>
      <c r="B1148" s="4">
        <v>45766</v>
      </c>
      <c r="C1148" s="5">
        <v>15</v>
      </c>
      <c r="D1148" s="9" t="s">
        <v>13</v>
      </c>
      <c r="E1148" s="10">
        <v>135</v>
      </c>
      <c r="F1148" s="10">
        <f t="shared" si="19"/>
        <v>2025</v>
      </c>
    </row>
    <row r="1149" spans="1:6" s="9" customFormat="1" x14ac:dyDescent="0.25">
      <c r="C1149" s="5">
        <v>15</v>
      </c>
      <c r="D1149" s="9" t="s">
        <v>14</v>
      </c>
      <c r="E1149" s="10">
        <v>120</v>
      </c>
      <c r="F1149" s="10">
        <f t="shared" si="19"/>
        <v>1800</v>
      </c>
    </row>
    <row r="1150" spans="1:6" s="9" customFormat="1" x14ac:dyDescent="0.25">
      <c r="C1150" s="5"/>
      <c r="E1150" s="10"/>
      <c r="F1150" s="8">
        <f>SUM(F1148:F1149)</f>
        <v>3825</v>
      </c>
    </row>
    <row r="1151" spans="1:6" s="9" customFormat="1" x14ac:dyDescent="0.25">
      <c r="C1151" s="5"/>
      <c r="E1151" s="10"/>
      <c r="F1151" s="10"/>
    </row>
    <row r="1152" spans="1:6" s="9" customFormat="1" x14ac:dyDescent="0.25">
      <c r="A1152" s="9" t="s">
        <v>40</v>
      </c>
      <c r="B1152" s="4">
        <v>45766</v>
      </c>
      <c r="C1152" s="5">
        <v>14</v>
      </c>
      <c r="D1152" s="9" t="s">
        <v>13</v>
      </c>
      <c r="E1152" s="10">
        <v>125</v>
      </c>
      <c r="F1152" s="10">
        <f t="shared" si="19"/>
        <v>1750</v>
      </c>
    </row>
    <row r="1153" spans="1:6" s="9" customFormat="1" x14ac:dyDescent="0.25">
      <c r="C1153" s="5">
        <v>20</v>
      </c>
      <c r="D1153" s="9" t="s">
        <v>14</v>
      </c>
      <c r="E1153" s="10">
        <v>120</v>
      </c>
      <c r="F1153" s="10">
        <f t="shared" si="19"/>
        <v>2400</v>
      </c>
    </row>
    <row r="1154" spans="1:6" s="9" customFormat="1" x14ac:dyDescent="0.25">
      <c r="C1154" s="5">
        <v>10</v>
      </c>
      <c r="D1154" s="9" t="s">
        <v>12</v>
      </c>
      <c r="E1154" s="10">
        <v>100</v>
      </c>
      <c r="F1154" s="10">
        <f t="shared" si="19"/>
        <v>1000</v>
      </c>
    </row>
    <row r="1155" spans="1:6" s="9" customFormat="1" x14ac:dyDescent="0.25">
      <c r="C1155" s="5">
        <v>10</v>
      </c>
      <c r="D1155" s="9" t="s">
        <v>11</v>
      </c>
      <c r="E1155" s="10">
        <v>100</v>
      </c>
      <c r="F1155" s="10">
        <f t="shared" si="19"/>
        <v>1000</v>
      </c>
    </row>
    <row r="1156" spans="1:6" s="9" customFormat="1" x14ac:dyDescent="0.25">
      <c r="C1156" s="5"/>
      <c r="E1156" s="10"/>
      <c r="F1156" s="8">
        <f>SUM(F1152:F1155)</f>
        <v>6150</v>
      </c>
    </row>
    <row r="1157" spans="1:6" s="9" customFormat="1" x14ac:dyDescent="0.25">
      <c r="C1157" s="5"/>
      <c r="E1157" s="10"/>
      <c r="F1157" s="10"/>
    </row>
    <row r="1158" spans="1:6" s="9" customFormat="1" x14ac:dyDescent="0.25">
      <c r="A1158" s="9" t="s">
        <v>18</v>
      </c>
      <c r="B1158" s="4">
        <v>45766</v>
      </c>
      <c r="C1158" s="5">
        <v>5</v>
      </c>
      <c r="D1158" s="9" t="s">
        <v>13</v>
      </c>
      <c r="E1158" s="10">
        <v>140</v>
      </c>
      <c r="F1158" s="10">
        <f t="shared" si="19"/>
        <v>700</v>
      </c>
    </row>
    <row r="1159" spans="1:6" s="9" customFormat="1" x14ac:dyDescent="0.25">
      <c r="C1159" s="5"/>
      <c r="E1159" s="10"/>
      <c r="F1159" s="8">
        <f>SUM(F1158)</f>
        <v>700</v>
      </c>
    </row>
    <row r="1160" spans="1:6" s="9" customFormat="1" x14ac:dyDescent="0.25">
      <c r="C1160" s="5"/>
      <c r="E1160" s="10"/>
      <c r="F1160" s="10"/>
    </row>
    <row r="1161" spans="1:6" s="9" customFormat="1" x14ac:dyDescent="0.25">
      <c r="A1161" s="9" t="s">
        <v>371</v>
      </c>
      <c r="B1161" s="4">
        <v>45766</v>
      </c>
      <c r="C1161" s="5">
        <v>3</v>
      </c>
      <c r="D1161" s="9" t="s">
        <v>13</v>
      </c>
      <c r="E1161" s="10">
        <v>140</v>
      </c>
      <c r="F1161" s="10">
        <f t="shared" si="19"/>
        <v>420</v>
      </c>
    </row>
    <row r="1162" spans="1:6" s="9" customFormat="1" x14ac:dyDescent="0.25">
      <c r="C1162" s="5">
        <v>2</v>
      </c>
      <c r="D1162" s="9" t="s">
        <v>11</v>
      </c>
      <c r="E1162" s="10">
        <v>110</v>
      </c>
      <c r="F1162" s="10">
        <f t="shared" si="19"/>
        <v>220</v>
      </c>
    </row>
    <row r="1163" spans="1:6" s="9" customFormat="1" x14ac:dyDescent="0.25">
      <c r="C1163" s="5"/>
      <c r="E1163" s="10"/>
      <c r="F1163" s="8">
        <f>SUM(F1161:F1162)</f>
        <v>640</v>
      </c>
    </row>
    <row r="1164" spans="1:6" s="9" customFormat="1" x14ac:dyDescent="0.25">
      <c r="C1164" s="5"/>
      <c r="E1164" s="10"/>
      <c r="F1164" s="10"/>
    </row>
    <row r="1165" spans="1:6" s="9" customFormat="1" x14ac:dyDescent="0.25">
      <c r="A1165" s="9" t="s">
        <v>334</v>
      </c>
      <c r="B1165" s="4">
        <v>45766</v>
      </c>
      <c r="C1165" s="5">
        <v>10</v>
      </c>
      <c r="D1165" s="9" t="s">
        <v>478</v>
      </c>
      <c r="E1165" s="10">
        <v>100</v>
      </c>
      <c r="F1165" s="10">
        <f t="shared" si="19"/>
        <v>1000</v>
      </c>
    </row>
    <row r="1166" spans="1:6" s="9" customFormat="1" x14ac:dyDescent="0.25">
      <c r="C1166" s="5"/>
      <c r="E1166" s="10"/>
      <c r="F1166" s="8">
        <f>SUM(F1165)</f>
        <v>1000</v>
      </c>
    </row>
    <row r="1167" spans="1:6" s="9" customFormat="1" x14ac:dyDescent="0.25">
      <c r="C1167" s="5"/>
      <c r="E1167" s="10"/>
      <c r="F1167" s="10"/>
    </row>
    <row r="1168" spans="1:6" s="9" customFormat="1" x14ac:dyDescent="0.25">
      <c r="A1168" s="9" t="s">
        <v>151</v>
      </c>
      <c r="B1168" s="4">
        <v>45766</v>
      </c>
      <c r="C1168" s="5">
        <v>100</v>
      </c>
      <c r="D1168" s="9" t="s">
        <v>13</v>
      </c>
      <c r="E1168" s="10">
        <v>120</v>
      </c>
      <c r="F1168" s="10">
        <f t="shared" si="19"/>
        <v>12000</v>
      </c>
    </row>
    <row r="1169" spans="1:6" s="9" customFormat="1" x14ac:dyDescent="0.25">
      <c r="C1169" s="5">
        <v>60</v>
      </c>
      <c r="D1169" s="9" t="s">
        <v>22</v>
      </c>
      <c r="E1169" s="10">
        <v>85</v>
      </c>
      <c r="F1169" s="10">
        <f t="shared" si="19"/>
        <v>5100</v>
      </c>
    </row>
    <row r="1170" spans="1:6" s="9" customFormat="1" x14ac:dyDescent="0.25">
      <c r="C1170" s="5"/>
      <c r="E1170" s="10"/>
      <c r="F1170" s="8">
        <f>SUM(F1168:F1169)</f>
        <v>17100</v>
      </c>
    </row>
    <row r="1171" spans="1:6" s="9" customFormat="1" x14ac:dyDescent="0.25">
      <c r="C1171" s="5"/>
      <c r="E1171" s="10"/>
      <c r="F1171" s="10"/>
    </row>
    <row r="1172" spans="1:6" s="9" customFormat="1" x14ac:dyDescent="0.25">
      <c r="A1172" s="9" t="s">
        <v>65</v>
      </c>
      <c r="B1172" s="4">
        <v>45766</v>
      </c>
      <c r="C1172" s="5">
        <v>2000</v>
      </c>
      <c r="D1172" s="9" t="s">
        <v>12</v>
      </c>
      <c r="E1172" s="10">
        <v>115</v>
      </c>
      <c r="F1172" s="10">
        <f t="shared" si="19"/>
        <v>230000</v>
      </c>
    </row>
    <row r="1173" spans="1:6" s="9" customFormat="1" x14ac:dyDescent="0.25">
      <c r="C1173" s="5">
        <v>400</v>
      </c>
      <c r="D1173" s="9" t="s">
        <v>11</v>
      </c>
      <c r="E1173" s="10">
        <v>110</v>
      </c>
      <c r="F1173" s="10">
        <f t="shared" si="19"/>
        <v>44000</v>
      </c>
    </row>
    <row r="1174" spans="1:6" s="9" customFormat="1" x14ac:dyDescent="0.25">
      <c r="C1174" s="5">
        <v>120</v>
      </c>
      <c r="D1174" s="9" t="s">
        <v>22</v>
      </c>
      <c r="E1174" s="10">
        <v>95</v>
      </c>
      <c r="F1174" s="10">
        <f t="shared" si="19"/>
        <v>11400</v>
      </c>
    </row>
    <row r="1175" spans="1:6" s="9" customFormat="1" x14ac:dyDescent="0.25">
      <c r="C1175" s="5"/>
      <c r="E1175" s="10"/>
      <c r="F1175" s="8">
        <f>SUM(F1172:F1174)</f>
        <v>285400</v>
      </c>
    </row>
    <row r="1176" spans="1:6" s="9" customFormat="1" x14ac:dyDescent="0.25">
      <c r="C1176" s="5"/>
      <c r="E1176" s="10"/>
      <c r="F1176" s="10"/>
    </row>
    <row r="1177" spans="1:6" s="9" customFormat="1" x14ac:dyDescent="0.25">
      <c r="A1177" s="9" t="s">
        <v>32</v>
      </c>
      <c r="B1177" s="4">
        <v>45766</v>
      </c>
      <c r="C1177" s="5">
        <v>30</v>
      </c>
      <c r="D1177" s="9" t="s">
        <v>13</v>
      </c>
      <c r="E1177" s="10">
        <v>135</v>
      </c>
      <c r="F1177" s="10">
        <f t="shared" si="19"/>
        <v>4050</v>
      </c>
    </row>
    <row r="1178" spans="1:6" s="9" customFormat="1" x14ac:dyDescent="0.25">
      <c r="C1178" s="5"/>
      <c r="E1178" s="10"/>
      <c r="F1178" s="8">
        <f>SUM(F1177)</f>
        <v>4050</v>
      </c>
    </row>
    <row r="1179" spans="1:6" s="9" customFormat="1" x14ac:dyDescent="0.25">
      <c r="C1179" s="5"/>
      <c r="E1179" s="10"/>
      <c r="F1179" s="10"/>
    </row>
    <row r="1180" spans="1:6" s="9" customFormat="1" x14ac:dyDescent="0.25">
      <c r="A1180" s="9" t="s">
        <v>29</v>
      </c>
      <c r="B1180" s="4">
        <v>45766</v>
      </c>
      <c r="C1180" s="5">
        <v>1</v>
      </c>
      <c r="D1180" s="9" t="s">
        <v>8</v>
      </c>
      <c r="E1180" s="10">
        <v>170</v>
      </c>
      <c r="F1180" s="10">
        <f t="shared" si="19"/>
        <v>170</v>
      </c>
    </row>
    <row r="1181" spans="1:6" s="9" customFormat="1" x14ac:dyDescent="0.25">
      <c r="C1181" s="5"/>
      <c r="E1181" s="10"/>
      <c r="F1181" s="8">
        <f>SUM(F1180)</f>
        <v>170</v>
      </c>
    </row>
    <row r="1182" spans="1:6" s="9" customFormat="1" x14ac:dyDescent="0.25">
      <c r="C1182" s="5"/>
      <c r="E1182" s="10"/>
      <c r="F1182" s="10"/>
    </row>
    <row r="1183" spans="1:6" s="9" customFormat="1" x14ac:dyDescent="0.25">
      <c r="A1183" s="9" t="s">
        <v>7</v>
      </c>
      <c r="B1183" s="4">
        <v>45766</v>
      </c>
      <c r="C1183" s="5">
        <v>10</v>
      </c>
      <c r="D1183" s="9" t="s">
        <v>168</v>
      </c>
      <c r="E1183" s="10">
        <v>135</v>
      </c>
      <c r="F1183" s="10">
        <f t="shared" ref="F1183:F1243" si="20">+C1183*E1183</f>
        <v>1350</v>
      </c>
    </row>
    <row r="1184" spans="1:6" s="9" customFormat="1" x14ac:dyDescent="0.25">
      <c r="C1184" s="5">
        <v>2</v>
      </c>
      <c r="D1184" s="9" t="s">
        <v>8</v>
      </c>
      <c r="E1184" s="10">
        <v>150</v>
      </c>
      <c r="F1184" s="10">
        <f t="shared" si="20"/>
        <v>300</v>
      </c>
    </row>
    <row r="1185" spans="1:6" s="9" customFormat="1" x14ac:dyDescent="0.25">
      <c r="C1185" s="5">
        <v>6</v>
      </c>
      <c r="D1185" s="9" t="s">
        <v>12</v>
      </c>
      <c r="E1185" s="10">
        <v>130</v>
      </c>
      <c r="F1185" s="10">
        <f t="shared" si="20"/>
        <v>780</v>
      </c>
    </row>
    <row r="1186" spans="1:6" s="9" customFormat="1" x14ac:dyDescent="0.25">
      <c r="C1186" s="5">
        <v>2</v>
      </c>
      <c r="D1186" s="9" t="s">
        <v>479</v>
      </c>
      <c r="E1186" s="10">
        <v>160</v>
      </c>
      <c r="F1186" s="10">
        <f t="shared" si="20"/>
        <v>320</v>
      </c>
    </row>
    <row r="1187" spans="1:6" s="9" customFormat="1" x14ac:dyDescent="0.25">
      <c r="C1187" s="5"/>
      <c r="E1187" s="10"/>
      <c r="F1187" s="8">
        <f>SUM(F1183:F1186)</f>
        <v>2750</v>
      </c>
    </row>
    <row r="1188" spans="1:6" s="9" customFormat="1" x14ac:dyDescent="0.25">
      <c r="C1188" s="5"/>
      <c r="E1188" s="10"/>
      <c r="F1188" s="10"/>
    </row>
    <row r="1189" spans="1:6" s="9" customFormat="1" x14ac:dyDescent="0.25">
      <c r="A1189" s="9" t="s">
        <v>15</v>
      </c>
      <c r="B1189" s="4">
        <v>45768</v>
      </c>
      <c r="C1189" s="5">
        <v>60</v>
      </c>
      <c r="D1189" s="9" t="s">
        <v>98</v>
      </c>
      <c r="E1189" s="10">
        <v>80</v>
      </c>
      <c r="F1189" s="10">
        <f t="shared" si="20"/>
        <v>4800</v>
      </c>
    </row>
    <row r="1190" spans="1:6" s="9" customFormat="1" x14ac:dyDescent="0.25">
      <c r="C1190" s="5"/>
      <c r="E1190" s="10"/>
      <c r="F1190" s="8">
        <f>SUM(F1189)</f>
        <v>4800</v>
      </c>
    </row>
    <row r="1191" spans="1:6" s="9" customFormat="1" x14ac:dyDescent="0.25">
      <c r="C1191" s="5"/>
      <c r="E1191" s="10"/>
      <c r="F1191" s="10"/>
    </row>
    <row r="1192" spans="1:6" s="9" customFormat="1" x14ac:dyDescent="0.25">
      <c r="A1192" s="9" t="s">
        <v>270</v>
      </c>
      <c r="B1192" s="4">
        <v>45768</v>
      </c>
      <c r="C1192" s="5">
        <v>10</v>
      </c>
      <c r="D1192" s="9" t="s">
        <v>98</v>
      </c>
      <c r="E1192" s="10">
        <v>100</v>
      </c>
      <c r="F1192" s="10">
        <f t="shared" si="20"/>
        <v>1000</v>
      </c>
    </row>
    <row r="1193" spans="1:6" s="9" customFormat="1" x14ac:dyDescent="0.25">
      <c r="C1193" s="5"/>
      <c r="E1193" s="10"/>
      <c r="F1193" s="8">
        <f>SUM(F1192)</f>
        <v>1000</v>
      </c>
    </row>
    <row r="1194" spans="1:6" s="9" customFormat="1" x14ac:dyDescent="0.25">
      <c r="C1194" s="5"/>
      <c r="E1194" s="10"/>
      <c r="F1194" s="10"/>
    </row>
    <row r="1195" spans="1:6" s="9" customFormat="1" x14ac:dyDescent="0.25">
      <c r="A1195" s="9" t="s">
        <v>480</v>
      </c>
      <c r="B1195" s="4">
        <v>45768</v>
      </c>
      <c r="C1195" s="5">
        <v>10</v>
      </c>
      <c r="D1195" s="9" t="s">
        <v>22</v>
      </c>
      <c r="E1195" s="10">
        <v>103</v>
      </c>
      <c r="F1195" s="10">
        <f t="shared" si="20"/>
        <v>1030</v>
      </c>
    </row>
    <row r="1196" spans="1:6" s="9" customFormat="1" x14ac:dyDescent="0.25">
      <c r="C1196" s="5"/>
      <c r="E1196" s="10"/>
      <c r="F1196" s="8">
        <f>SUM(F1195)</f>
        <v>1030</v>
      </c>
    </row>
    <row r="1197" spans="1:6" s="9" customFormat="1" x14ac:dyDescent="0.25">
      <c r="C1197" s="5"/>
      <c r="E1197" s="10"/>
      <c r="F1197" s="10"/>
    </row>
    <row r="1198" spans="1:6" s="9" customFormat="1" x14ac:dyDescent="0.25">
      <c r="A1198" s="9" t="s">
        <v>439</v>
      </c>
      <c r="B1198" s="4">
        <v>45768</v>
      </c>
      <c r="C1198" s="5">
        <v>15</v>
      </c>
      <c r="D1198" s="9" t="s">
        <v>98</v>
      </c>
      <c r="E1198" s="10">
        <v>100</v>
      </c>
      <c r="F1198" s="10">
        <f t="shared" si="20"/>
        <v>1500</v>
      </c>
    </row>
    <row r="1199" spans="1:6" s="9" customFormat="1" x14ac:dyDescent="0.25">
      <c r="C1199" s="5"/>
      <c r="E1199" s="10"/>
      <c r="F1199" s="8">
        <f>SUM(F1198)</f>
        <v>1500</v>
      </c>
    </row>
    <row r="1200" spans="1:6" s="9" customFormat="1" x14ac:dyDescent="0.25">
      <c r="C1200" s="5"/>
      <c r="E1200" s="10"/>
      <c r="F1200" s="10"/>
    </row>
    <row r="1201" spans="1:6" s="9" customFormat="1" x14ac:dyDescent="0.25">
      <c r="A1201" s="9" t="s">
        <v>79</v>
      </c>
      <c r="B1201" s="4">
        <v>45768</v>
      </c>
      <c r="C1201" s="5">
        <v>25</v>
      </c>
      <c r="D1201" s="9" t="s">
        <v>13</v>
      </c>
      <c r="E1201" s="10">
        <v>140</v>
      </c>
      <c r="F1201" s="10">
        <f t="shared" si="20"/>
        <v>3500</v>
      </c>
    </row>
    <row r="1202" spans="1:6" s="9" customFormat="1" x14ac:dyDescent="0.25">
      <c r="C1202" s="5"/>
      <c r="E1202" s="10"/>
      <c r="F1202" s="8">
        <f>SUM(F1201)</f>
        <v>3500</v>
      </c>
    </row>
    <row r="1203" spans="1:6" s="9" customFormat="1" x14ac:dyDescent="0.25">
      <c r="C1203" s="5"/>
      <c r="E1203" s="10"/>
      <c r="F1203" s="10"/>
    </row>
    <row r="1204" spans="1:6" s="9" customFormat="1" x14ac:dyDescent="0.25">
      <c r="A1204" s="9" t="s">
        <v>481</v>
      </c>
      <c r="B1204" s="4">
        <v>45768</v>
      </c>
      <c r="C1204" s="5">
        <v>30</v>
      </c>
      <c r="D1204" s="9" t="s">
        <v>13</v>
      </c>
      <c r="E1204" s="10">
        <v>135</v>
      </c>
      <c r="F1204" s="10">
        <f t="shared" si="20"/>
        <v>4050</v>
      </c>
    </row>
    <row r="1205" spans="1:6" s="9" customFormat="1" x14ac:dyDescent="0.25">
      <c r="C1205" s="5"/>
      <c r="E1205" s="10"/>
      <c r="F1205" s="8">
        <f>SUM(F1204)</f>
        <v>4050</v>
      </c>
    </row>
    <row r="1206" spans="1:6" s="9" customFormat="1" x14ac:dyDescent="0.25">
      <c r="C1206" s="5"/>
      <c r="E1206" s="10"/>
      <c r="F1206" s="10"/>
    </row>
    <row r="1207" spans="1:6" s="9" customFormat="1" x14ac:dyDescent="0.25">
      <c r="A1207" s="9" t="s">
        <v>21</v>
      </c>
      <c r="B1207" s="4">
        <v>45768</v>
      </c>
      <c r="C1207" s="5">
        <v>10</v>
      </c>
      <c r="D1207" s="9" t="s">
        <v>13</v>
      </c>
      <c r="E1207" s="10">
        <v>125</v>
      </c>
      <c r="F1207" s="10">
        <f t="shared" si="20"/>
        <v>1250</v>
      </c>
    </row>
    <row r="1208" spans="1:6" s="9" customFormat="1" x14ac:dyDescent="0.25">
      <c r="C1208" s="5"/>
      <c r="E1208" s="10"/>
      <c r="F1208" s="8">
        <f>SUM(F1207)</f>
        <v>1250</v>
      </c>
    </row>
    <row r="1209" spans="1:6" s="9" customFormat="1" x14ac:dyDescent="0.25">
      <c r="C1209" s="5"/>
      <c r="E1209" s="10"/>
      <c r="F1209" s="10"/>
    </row>
    <row r="1210" spans="1:6" s="9" customFormat="1" x14ac:dyDescent="0.25">
      <c r="A1210" s="9" t="s">
        <v>482</v>
      </c>
      <c r="B1210" s="4">
        <v>45768</v>
      </c>
      <c r="C1210" s="5">
        <v>7</v>
      </c>
      <c r="D1210" s="9" t="s">
        <v>13</v>
      </c>
      <c r="E1210" s="10">
        <v>135</v>
      </c>
      <c r="F1210" s="10">
        <f t="shared" si="20"/>
        <v>945</v>
      </c>
    </row>
    <row r="1211" spans="1:6" s="9" customFormat="1" x14ac:dyDescent="0.25">
      <c r="C1211" s="5"/>
      <c r="E1211" s="10"/>
      <c r="F1211" s="8">
        <f>SUM(F1210)</f>
        <v>945</v>
      </c>
    </row>
    <row r="1212" spans="1:6" s="9" customFormat="1" x14ac:dyDescent="0.25">
      <c r="C1212" s="5"/>
      <c r="E1212" s="10"/>
      <c r="F1212" s="10"/>
    </row>
    <row r="1213" spans="1:6" s="9" customFormat="1" x14ac:dyDescent="0.25">
      <c r="A1213" s="9" t="s">
        <v>40</v>
      </c>
      <c r="B1213" s="4">
        <v>45768</v>
      </c>
      <c r="C1213" s="5">
        <v>20</v>
      </c>
      <c r="D1213" s="9" t="s">
        <v>13</v>
      </c>
      <c r="E1213" s="10">
        <v>125</v>
      </c>
      <c r="F1213" s="10">
        <f t="shared" si="20"/>
        <v>2500</v>
      </c>
    </row>
    <row r="1214" spans="1:6" s="9" customFormat="1" x14ac:dyDescent="0.25">
      <c r="C1214" s="5">
        <v>6</v>
      </c>
      <c r="D1214" s="9" t="s">
        <v>14</v>
      </c>
      <c r="E1214" s="10">
        <v>120</v>
      </c>
      <c r="F1214" s="10">
        <f t="shared" si="20"/>
        <v>720</v>
      </c>
    </row>
    <row r="1215" spans="1:6" s="9" customFormat="1" x14ac:dyDescent="0.25">
      <c r="C1215" s="5">
        <v>15</v>
      </c>
      <c r="D1215" s="9" t="s">
        <v>22</v>
      </c>
      <c r="E1215" s="10">
        <v>95</v>
      </c>
      <c r="F1215" s="10">
        <f t="shared" si="20"/>
        <v>1425</v>
      </c>
    </row>
    <row r="1216" spans="1:6" s="9" customFormat="1" x14ac:dyDescent="0.25">
      <c r="C1216" s="5">
        <v>10</v>
      </c>
      <c r="D1216" s="9" t="s">
        <v>12</v>
      </c>
      <c r="E1216" s="10">
        <v>100</v>
      </c>
      <c r="F1216" s="10">
        <f t="shared" si="20"/>
        <v>1000</v>
      </c>
    </row>
    <row r="1217" spans="1:6" s="9" customFormat="1" x14ac:dyDescent="0.25">
      <c r="C1217" s="5"/>
      <c r="E1217" s="10"/>
      <c r="F1217" s="8">
        <f>SUM(F1213:F1216)</f>
        <v>5645</v>
      </c>
    </row>
    <row r="1218" spans="1:6" s="9" customFormat="1" x14ac:dyDescent="0.25">
      <c r="C1218" s="5"/>
      <c r="E1218" s="10"/>
      <c r="F1218" s="10"/>
    </row>
    <row r="1219" spans="1:6" s="9" customFormat="1" x14ac:dyDescent="0.25">
      <c r="A1219" s="9" t="s">
        <v>17</v>
      </c>
      <c r="B1219" s="4">
        <v>45768</v>
      </c>
      <c r="C1219" s="5">
        <v>10</v>
      </c>
      <c r="D1219" s="9" t="s">
        <v>13</v>
      </c>
      <c r="E1219" s="10">
        <v>140</v>
      </c>
      <c r="F1219" s="10">
        <f t="shared" si="20"/>
        <v>1400</v>
      </c>
    </row>
    <row r="1220" spans="1:6" s="9" customFormat="1" x14ac:dyDescent="0.25">
      <c r="C1220" s="5"/>
      <c r="E1220" s="10"/>
      <c r="F1220" s="8">
        <f>SUM(F1219)</f>
        <v>1400</v>
      </c>
    </row>
    <row r="1221" spans="1:6" s="9" customFormat="1" x14ac:dyDescent="0.25">
      <c r="C1221" s="5"/>
      <c r="E1221" s="10"/>
      <c r="F1221" s="10"/>
    </row>
    <row r="1222" spans="1:6" s="9" customFormat="1" x14ac:dyDescent="0.25">
      <c r="A1222" s="9" t="s">
        <v>18</v>
      </c>
      <c r="B1222" s="4">
        <v>45768</v>
      </c>
      <c r="C1222" s="5">
        <v>10</v>
      </c>
      <c r="D1222" s="9" t="s">
        <v>13</v>
      </c>
      <c r="E1222" s="10">
        <v>140</v>
      </c>
      <c r="F1222" s="10">
        <f t="shared" si="20"/>
        <v>1400</v>
      </c>
    </row>
    <row r="1223" spans="1:6" s="9" customFormat="1" x14ac:dyDescent="0.25">
      <c r="C1223" s="5"/>
      <c r="E1223" s="10"/>
      <c r="F1223" s="8">
        <f>SUM(F1222)</f>
        <v>1400</v>
      </c>
    </row>
    <row r="1224" spans="1:6" s="9" customFormat="1" x14ac:dyDescent="0.25">
      <c r="C1224" s="5"/>
      <c r="E1224" s="10"/>
      <c r="F1224" s="10"/>
    </row>
    <row r="1225" spans="1:6" s="9" customFormat="1" x14ac:dyDescent="0.25">
      <c r="A1225" s="9" t="s">
        <v>181</v>
      </c>
      <c r="B1225" s="4">
        <v>45768</v>
      </c>
      <c r="C1225" s="5">
        <v>2</v>
      </c>
      <c r="D1225" s="9" t="s">
        <v>13</v>
      </c>
      <c r="E1225" s="10">
        <v>140</v>
      </c>
      <c r="F1225" s="10">
        <f t="shared" si="20"/>
        <v>280</v>
      </c>
    </row>
    <row r="1226" spans="1:6" s="9" customFormat="1" x14ac:dyDescent="0.25">
      <c r="C1226" s="5">
        <v>1</v>
      </c>
      <c r="D1226" s="9" t="s">
        <v>13</v>
      </c>
      <c r="E1226" s="10">
        <v>140</v>
      </c>
      <c r="F1226" s="10">
        <f t="shared" si="20"/>
        <v>140</v>
      </c>
    </row>
    <row r="1227" spans="1:6" s="9" customFormat="1" x14ac:dyDescent="0.25">
      <c r="C1227" s="5"/>
      <c r="E1227" s="10"/>
      <c r="F1227" s="8">
        <f>SUM(F1225:F1226)</f>
        <v>420</v>
      </c>
    </row>
    <row r="1228" spans="1:6" s="9" customFormat="1" x14ac:dyDescent="0.25">
      <c r="C1228" s="5"/>
      <c r="E1228" s="10"/>
      <c r="F1228" s="10"/>
    </row>
    <row r="1229" spans="1:6" s="9" customFormat="1" x14ac:dyDescent="0.25">
      <c r="A1229" s="9" t="s">
        <v>7</v>
      </c>
      <c r="B1229" s="4">
        <v>45768</v>
      </c>
      <c r="C1229" s="5">
        <v>12</v>
      </c>
      <c r="D1229" s="9" t="s">
        <v>13</v>
      </c>
      <c r="E1229" s="10">
        <v>125</v>
      </c>
      <c r="F1229" s="10">
        <f t="shared" si="20"/>
        <v>1500</v>
      </c>
    </row>
    <row r="1230" spans="1:6" s="9" customFormat="1" x14ac:dyDescent="0.25">
      <c r="C1230" s="5"/>
      <c r="E1230" s="10"/>
      <c r="F1230" s="8">
        <f>SUM(F1229)</f>
        <v>1500</v>
      </c>
    </row>
    <row r="1231" spans="1:6" s="9" customFormat="1" x14ac:dyDescent="0.25">
      <c r="C1231" s="5"/>
      <c r="E1231" s="10"/>
      <c r="F1231" s="10"/>
    </row>
    <row r="1232" spans="1:6" s="9" customFormat="1" x14ac:dyDescent="0.25">
      <c r="A1232" s="9" t="s">
        <v>231</v>
      </c>
      <c r="B1232" s="4">
        <v>45768</v>
      </c>
      <c r="C1232" s="5">
        <v>60</v>
      </c>
      <c r="D1232" s="9" t="s">
        <v>12</v>
      </c>
      <c r="E1232" s="10">
        <v>120</v>
      </c>
      <c r="F1232" s="10">
        <f t="shared" si="20"/>
        <v>7200</v>
      </c>
    </row>
    <row r="1233" spans="1:6" s="9" customFormat="1" x14ac:dyDescent="0.25">
      <c r="C1233" s="5"/>
      <c r="E1233" s="10"/>
      <c r="F1233" s="8">
        <f>SUM(F1232)</f>
        <v>7200</v>
      </c>
    </row>
    <row r="1234" spans="1:6" s="9" customFormat="1" x14ac:dyDescent="0.25">
      <c r="C1234" s="5"/>
      <c r="E1234" s="10"/>
      <c r="F1234" s="10"/>
    </row>
    <row r="1235" spans="1:6" s="9" customFormat="1" x14ac:dyDescent="0.25">
      <c r="A1235" s="9" t="s">
        <v>41</v>
      </c>
      <c r="B1235" s="4">
        <v>45768</v>
      </c>
      <c r="C1235" s="5">
        <v>47</v>
      </c>
      <c r="D1235" s="9" t="s">
        <v>14</v>
      </c>
      <c r="E1235" s="10">
        <v>130</v>
      </c>
      <c r="F1235" s="10">
        <f t="shared" si="20"/>
        <v>6110</v>
      </c>
    </row>
    <row r="1236" spans="1:6" s="9" customFormat="1" x14ac:dyDescent="0.25">
      <c r="C1236" s="5"/>
      <c r="E1236" s="10"/>
      <c r="F1236" s="8">
        <f>SUM(F1235)</f>
        <v>6110</v>
      </c>
    </row>
    <row r="1237" spans="1:6" s="9" customFormat="1" x14ac:dyDescent="0.25">
      <c r="C1237" s="5"/>
      <c r="E1237" s="10"/>
      <c r="F1237" s="10"/>
    </row>
    <row r="1238" spans="1:6" s="9" customFormat="1" x14ac:dyDescent="0.25">
      <c r="A1238" s="9" t="s">
        <v>262</v>
      </c>
      <c r="B1238" s="4">
        <v>45768</v>
      </c>
      <c r="C1238" s="5">
        <v>10</v>
      </c>
      <c r="D1238" s="9" t="s">
        <v>49</v>
      </c>
      <c r="E1238" s="10">
        <v>135</v>
      </c>
      <c r="F1238" s="10">
        <f t="shared" si="20"/>
        <v>1350</v>
      </c>
    </row>
    <row r="1239" spans="1:6" s="9" customFormat="1" x14ac:dyDescent="0.25">
      <c r="C1239" s="5">
        <v>1</v>
      </c>
      <c r="D1239" s="9" t="s">
        <v>14</v>
      </c>
      <c r="E1239" s="10">
        <v>125</v>
      </c>
      <c r="F1239" s="10">
        <f t="shared" si="20"/>
        <v>125</v>
      </c>
    </row>
    <row r="1240" spans="1:6" s="9" customFormat="1" x14ac:dyDescent="0.25">
      <c r="C1240" s="5">
        <v>1</v>
      </c>
      <c r="D1240" s="9" t="s">
        <v>483</v>
      </c>
      <c r="E1240" s="10">
        <v>140</v>
      </c>
      <c r="F1240" s="10">
        <f t="shared" si="20"/>
        <v>140</v>
      </c>
    </row>
    <row r="1241" spans="1:6" s="9" customFormat="1" x14ac:dyDescent="0.25">
      <c r="C1241" s="5"/>
      <c r="E1241" s="10"/>
      <c r="F1241" s="8">
        <f>SUM(F1238:F1240)</f>
        <v>1615</v>
      </c>
    </row>
    <row r="1242" spans="1:6" s="9" customFormat="1" x14ac:dyDescent="0.25">
      <c r="C1242" s="5"/>
      <c r="E1242" s="10"/>
      <c r="F1242" s="10"/>
    </row>
    <row r="1243" spans="1:6" s="9" customFormat="1" x14ac:dyDescent="0.25">
      <c r="A1243" s="9" t="s">
        <v>44</v>
      </c>
      <c r="B1243" s="4">
        <v>45768</v>
      </c>
      <c r="C1243" s="5">
        <v>80</v>
      </c>
      <c r="D1243" s="9" t="s">
        <v>14</v>
      </c>
      <c r="E1243" s="10">
        <v>125</v>
      </c>
      <c r="F1243" s="10">
        <f t="shared" si="20"/>
        <v>10000</v>
      </c>
    </row>
    <row r="1244" spans="1:6" s="9" customFormat="1" x14ac:dyDescent="0.25">
      <c r="C1244" s="5"/>
      <c r="E1244" s="10"/>
      <c r="F1244" s="8">
        <f>SUM(F1243)</f>
        <v>10000</v>
      </c>
    </row>
    <row r="1245" spans="1:6" s="9" customFormat="1" x14ac:dyDescent="0.25">
      <c r="C1245" s="5"/>
      <c r="E1245" s="10"/>
      <c r="F1245" s="10"/>
    </row>
    <row r="1246" spans="1:6" s="9" customFormat="1" x14ac:dyDescent="0.25">
      <c r="A1246" s="9" t="s">
        <v>18</v>
      </c>
      <c r="B1246" s="4">
        <v>45768</v>
      </c>
      <c r="C1246" s="5">
        <v>30</v>
      </c>
      <c r="D1246" s="9" t="s">
        <v>121</v>
      </c>
      <c r="E1246" s="10">
        <v>125</v>
      </c>
      <c r="F1246" s="10">
        <f t="shared" ref="F1246:F1306" si="21">+C1246*E1246</f>
        <v>3750</v>
      </c>
    </row>
    <row r="1247" spans="1:6" s="9" customFormat="1" x14ac:dyDescent="0.25">
      <c r="C1247" s="5">
        <v>10</v>
      </c>
      <c r="D1247" s="9" t="s">
        <v>13</v>
      </c>
      <c r="E1247" s="10">
        <v>140</v>
      </c>
      <c r="F1247" s="10">
        <f t="shared" si="21"/>
        <v>1400</v>
      </c>
    </row>
    <row r="1248" spans="1:6" s="9" customFormat="1" x14ac:dyDescent="0.25">
      <c r="C1248" s="5"/>
      <c r="E1248" s="10"/>
      <c r="F1248" s="8">
        <f>SUM(F1246:F1247)</f>
        <v>5150</v>
      </c>
    </row>
    <row r="1249" spans="1:6" s="9" customFormat="1" x14ac:dyDescent="0.25">
      <c r="C1249" s="5"/>
      <c r="E1249" s="10"/>
      <c r="F1249" s="10"/>
    </row>
    <row r="1250" spans="1:6" s="9" customFormat="1" x14ac:dyDescent="0.25">
      <c r="A1250" s="9" t="s">
        <v>46</v>
      </c>
      <c r="B1250" s="4">
        <v>45768</v>
      </c>
      <c r="C1250" s="5">
        <v>20</v>
      </c>
      <c r="D1250" s="9" t="s">
        <v>14</v>
      </c>
      <c r="E1250" s="10">
        <v>125</v>
      </c>
      <c r="F1250" s="10">
        <f t="shared" si="21"/>
        <v>2500</v>
      </c>
    </row>
    <row r="1251" spans="1:6" s="9" customFormat="1" x14ac:dyDescent="0.25">
      <c r="C1251" s="5"/>
      <c r="E1251" s="10"/>
      <c r="F1251" s="8">
        <f>SUM(F1250)</f>
        <v>2500</v>
      </c>
    </row>
    <row r="1252" spans="1:6" s="9" customFormat="1" x14ac:dyDescent="0.25">
      <c r="C1252" s="5"/>
      <c r="E1252" s="10"/>
      <c r="F1252" s="10"/>
    </row>
    <row r="1253" spans="1:6" s="9" customFormat="1" x14ac:dyDescent="0.25">
      <c r="A1253" s="9" t="s">
        <v>47</v>
      </c>
      <c r="B1253" s="4">
        <v>45768</v>
      </c>
      <c r="C1253" s="5">
        <v>10</v>
      </c>
      <c r="D1253" s="9" t="s">
        <v>14</v>
      </c>
      <c r="E1253" s="10">
        <v>125</v>
      </c>
      <c r="F1253" s="10">
        <f t="shared" si="21"/>
        <v>1250</v>
      </c>
    </row>
    <row r="1254" spans="1:6" s="9" customFormat="1" x14ac:dyDescent="0.25">
      <c r="C1254" s="5">
        <v>9</v>
      </c>
      <c r="D1254" s="9" t="s">
        <v>13</v>
      </c>
      <c r="E1254" s="10">
        <v>135</v>
      </c>
      <c r="F1254" s="10">
        <f t="shared" si="21"/>
        <v>1215</v>
      </c>
    </row>
    <row r="1255" spans="1:6" s="9" customFormat="1" x14ac:dyDescent="0.25">
      <c r="C1255" s="5"/>
      <c r="E1255" s="10"/>
      <c r="F1255" s="8">
        <f>SUM(F1253:F1254)</f>
        <v>2465</v>
      </c>
    </row>
    <row r="1256" spans="1:6" s="9" customFormat="1" x14ac:dyDescent="0.25">
      <c r="C1256" s="5"/>
      <c r="E1256" s="10"/>
      <c r="F1256" s="10"/>
    </row>
    <row r="1257" spans="1:6" s="9" customFormat="1" x14ac:dyDescent="0.25">
      <c r="A1257" s="9" t="s">
        <v>484</v>
      </c>
      <c r="B1257" s="4">
        <v>45768</v>
      </c>
      <c r="C1257" s="5">
        <v>50</v>
      </c>
      <c r="D1257" s="9" t="s">
        <v>14</v>
      </c>
      <c r="E1257" s="10">
        <v>120</v>
      </c>
      <c r="F1257" s="10">
        <f t="shared" si="21"/>
        <v>6000</v>
      </c>
    </row>
    <row r="1258" spans="1:6" s="9" customFormat="1" x14ac:dyDescent="0.25">
      <c r="C1258" s="5"/>
      <c r="E1258" s="10"/>
      <c r="F1258" s="8">
        <f>SUM(F1257)</f>
        <v>6000</v>
      </c>
    </row>
    <row r="1259" spans="1:6" s="9" customFormat="1" x14ac:dyDescent="0.25">
      <c r="C1259" s="5"/>
      <c r="E1259" s="10"/>
      <c r="F1259" s="10"/>
    </row>
    <row r="1260" spans="1:6" s="9" customFormat="1" x14ac:dyDescent="0.25">
      <c r="A1260" s="9" t="s">
        <v>145</v>
      </c>
      <c r="B1260" s="4">
        <v>45768</v>
      </c>
      <c r="C1260" s="5">
        <v>50</v>
      </c>
      <c r="D1260" s="9" t="s">
        <v>14</v>
      </c>
      <c r="E1260" s="10">
        <v>120</v>
      </c>
      <c r="F1260" s="10">
        <f t="shared" si="21"/>
        <v>6000</v>
      </c>
    </row>
    <row r="1261" spans="1:6" s="9" customFormat="1" x14ac:dyDescent="0.25">
      <c r="C1261" s="5"/>
      <c r="E1261" s="10"/>
      <c r="F1261" s="8">
        <f>SUM(F1260)</f>
        <v>6000</v>
      </c>
    </row>
    <row r="1262" spans="1:6" s="9" customFormat="1" x14ac:dyDescent="0.25">
      <c r="C1262" s="5"/>
      <c r="E1262" s="10"/>
      <c r="F1262" s="10"/>
    </row>
    <row r="1263" spans="1:6" s="9" customFormat="1" x14ac:dyDescent="0.25">
      <c r="A1263" s="9" t="s">
        <v>485</v>
      </c>
      <c r="B1263" s="4">
        <v>45768</v>
      </c>
      <c r="C1263" s="5">
        <v>300</v>
      </c>
      <c r="D1263" s="9" t="s">
        <v>14</v>
      </c>
      <c r="E1263" s="10">
        <v>108</v>
      </c>
      <c r="F1263" s="10">
        <f t="shared" si="21"/>
        <v>32400</v>
      </c>
    </row>
    <row r="1264" spans="1:6" s="9" customFormat="1" x14ac:dyDescent="0.25">
      <c r="C1264" s="5">
        <v>70</v>
      </c>
      <c r="D1264" s="9" t="s">
        <v>486</v>
      </c>
      <c r="E1264" s="10">
        <v>85</v>
      </c>
      <c r="F1264" s="10">
        <f t="shared" si="21"/>
        <v>5950</v>
      </c>
    </row>
    <row r="1265" spans="1:6" s="9" customFormat="1" x14ac:dyDescent="0.25">
      <c r="C1265" s="5">
        <v>50</v>
      </c>
      <c r="D1265" s="9" t="s">
        <v>11</v>
      </c>
      <c r="E1265" s="10">
        <v>83</v>
      </c>
      <c r="F1265" s="10">
        <f t="shared" si="21"/>
        <v>4150</v>
      </c>
    </row>
    <row r="1266" spans="1:6" s="9" customFormat="1" x14ac:dyDescent="0.25">
      <c r="C1266" s="5"/>
      <c r="E1266" s="10"/>
      <c r="F1266" s="8">
        <f>SUM(F1263:F1265)</f>
        <v>42500</v>
      </c>
    </row>
    <row r="1267" spans="1:6" s="9" customFormat="1" x14ac:dyDescent="0.25">
      <c r="C1267" s="5"/>
      <c r="E1267" s="10"/>
      <c r="F1267" s="10"/>
    </row>
    <row r="1268" spans="1:6" s="9" customFormat="1" x14ac:dyDescent="0.25">
      <c r="A1268" s="9" t="s">
        <v>66</v>
      </c>
      <c r="B1268" s="4">
        <v>45768</v>
      </c>
      <c r="C1268" s="5">
        <v>20</v>
      </c>
      <c r="D1268" s="9" t="s">
        <v>8</v>
      </c>
      <c r="E1268" s="10">
        <v>155</v>
      </c>
      <c r="F1268" s="10">
        <f t="shared" si="21"/>
        <v>3100</v>
      </c>
    </row>
    <row r="1269" spans="1:6" s="9" customFormat="1" x14ac:dyDescent="0.25">
      <c r="C1269" s="5"/>
      <c r="E1269" s="10"/>
      <c r="F1269" s="8">
        <f>SUM(F1268)</f>
        <v>3100</v>
      </c>
    </row>
    <row r="1270" spans="1:6" s="9" customFormat="1" x14ac:dyDescent="0.25">
      <c r="C1270" s="5"/>
      <c r="E1270" s="10"/>
      <c r="F1270" s="10"/>
    </row>
    <row r="1271" spans="1:6" s="9" customFormat="1" x14ac:dyDescent="0.25">
      <c r="A1271" s="9" t="s">
        <v>27</v>
      </c>
      <c r="B1271" s="4">
        <v>45768</v>
      </c>
      <c r="C1271" s="5">
        <v>5</v>
      </c>
      <c r="D1271" s="9" t="s">
        <v>13</v>
      </c>
      <c r="E1271" s="10">
        <v>150</v>
      </c>
      <c r="F1271" s="10">
        <f t="shared" si="21"/>
        <v>750</v>
      </c>
    </row>
    <row r="1272" spans="1:6" s="9" customFormat="1" x14ac:dyDescent="0.25">
      <c r="C1272" s="5"/>
      <c r="E1272" s="10"/>
      <c r="F1272" s="8">
        <f>SUM(F1271)</f>
        <v>750</v>
      </c>
    </row>
    <row r="1273" spans="1:6" s="9" customFormat="1" x14ac:dyDescent="0.25">
      <c r="C1273" s="5"/>
      <c r="E1273" s="10"/>
      <c r="F1273" s="10"/>
    </row>
    <row r="1274" spans="1:6" s="9" customFormat="1" x14ac:dyDescent="0.25">
      <c r="A1274" s="9" t="s">
        <v>487</v>
      </c>
      <c r="B1274" s="4">
        <v>45768</v>
      </c>
      <c r="C1274" s="5">
        <v>7</v>
      </c>
      <c r="D1274" s="9" t="s">
        <v>12</v>
      </c>
      <c r="E1274" s="10">
        <v>130</v>
      </c>
      <c r="F1274" s="10">
        <f t="shared" si="21"/>
        <v>910</v>
      </c>
    </row>
    <row r="1275" spans="1:6" s="9" customFormat="1" x14ac:dyDescent="0.25">
      <c r="C1275" s="5"/>
      <c r="E1275" s="10"/>
      <c r="F1275" s="8">
        <f>SUM(F1274)</f>
        <v>910</v>
      </c>
    </row>
    <row r="1276" spans="1:6" s="9" customFormat="1" x14ac:dyDescent="0.25">
      <c r="C1276" s="5"/>
      <c r="E1276" s="10"/>
      <c r="F1276" s="10"/>
    </row>
    <row r="1277" spans="1:6" s="9" customFormat="1" x14ac:dyDescent="0.25">
      <c r="A1277" s="9" t="s">
        <v>113</v>
      </c>
      <c r="B1277" s="4">
        <v>45768</v>
      </c>
      <c r="C1277" s="5">
        <v>20</v>
      </c>
      <c r="D1277" s="9" t="s">
        <v>8</v>
      </c>
      <c r="E1277" s="10">
        <v>155</v>
      </c>
      <c r="F1277" s="10">
        <f t="shared" si="21"/>
        <v>3100</v>
      </c>
    </row>
    <row r="1278" spans="1:6" s="9" customFormat="1" x14ac:dyDescent="0.25">
      <c r="C1278" s="5"/>
      <c r="E1278" s="10"/>
      <c r="F1278" s="8">
        <f>SUM(F1277)</f>
        <v>3100</v>
      </c>
    </row>
    <row r="1279" spans="1:6" s="9" customFormat="1" x14ac:dyDescent="0.25">
      <c r="C1279" s="5"/>
      <c r="E1279" s="10"/>
      <c r="F1279" s="10"/>
    </row>
    <row r="1280" spans="1:6" s="9" customFormat="1" x14ac:dyDescent="0.25">
      <c r="A1280" s="9" t="s">
        <v>151</v>
      </c>
      <c r="B1280" s="4">
        <v>45768</v>
      </c>
      <c r="C1280" s="5">
        <v>100</v>
      </c>
      <c r="D1280" s="9" t="s">
        <v>13</v>
      </c>
      <c r="E1280" s="10">
        <v>120</v>
      </c>
      <c r="F1280" s="10">
        <f t="shared" si="21"/>
        <v>12000</v>
      </c>
    </row>
    <row r="1281" spans="1:6" s="9" customFormat="1" x14ac:dyDescent="0.25">
      <c r="C1281" s="5">
        <v>60</v>
      </c>
      <c r="D1281" s="9" t="s">
        <v>14</v>
      </c>
      <c r="E1281" s="10">
        <v>110</v>
      </c>
      <c r="F1281" s="10">
        <f t="shared" si="21"/>
        <v>6600</v>
      </c>
    </row>
    <row r="1282" spans="1:6" s="9" customFormat="1" x14ac:dyDescent="0.25">
      <c r="C1282" s="5">
        <v>40</v>
      </c>
      <c r="D1282" s="9" t="s">
        <v>50</v>
      </c>
      <c r="E1282" s="10">
        <v>78</v>
      </c>
      <c r="F1282" s="10">
        <f t="shared" si="21"/>
        <v>3120</v>
      </c>
    </row>
    <row r="1283" spans="1:6" s="9" customFormat="1" x14ac:dyDescent="0.25">
      <c r="C1283" s="5"/>
      <c r="E1283" s="10"/>
      <c r="F1283" s="8">
        <f>SUM(F1280:F1282)</f>
        <v>21720</v>
      </c>
    </row>
    <row r="1284" spans="1:6" s="9" customFormat="1" x14ac:dyDescent="0.25">
      <c r="C1284" s="5"/>
      <c r="E1284" s="10"/>
      <c r="F1284" s="10"/>
    </row>
    <row r="1285" spans="1:6" s="9" customFormat="1" x14ac:dyDescent="0.25">
      <c r="A1285" s="9" t="s">
        <v>89</v>
      </c>
      <c r="B1285" s="4">
        <v>45768</v>
      </c>
      <c r="C1285" s="5">
        <v>40</v>
      </c>
      <c r="D1285" s="9" t="s">
        <v>13</v>
      </c>
      <c r="E1285" s="10">
        <v>130</v>
      </c>
      <c r="F1285" s="10">
        <f t="shared" si="21"/>
        <v>5200</v>
      </c>
    </row>
    <row r="1286" spans="1:6" s="9" customFormat="1" x14ac:dyDescent="0.25">
      <c r="C1286" s="5">
        <v>20</v>
      </c>
      <c r="D1286" s="9" t="s">
        <v>11</v>
      </c>
      <c r="E1286" s="10">
        <v>115</v>
      </c>
      <c r="F1286" s="10">
        <f t="shared" si="21"/>
        <v>2300</v>
      </c>
    </row>
    <row r="1287" spans="1:6" s="9" customFormat="1" x14ac:dyDescent="0.25">
      <c r="C1287" s="5">
        <v>100</v>
      </c>
      <c r="D1287" s="9" t="s">
        <v>22</v>
      </c>
      <c r="E1287" s="10">
        <v>100</v>
      </c>
      <c r="F1287" s="10">
        <f t="shared" si="21"/>
        <v>10000</v>
      </c>
    </row>
    <row r="1288" spans="1:6" s="9" customFormat="1" x14ac:dyDescent="0.25">
      <c r="C1288" s="5"/>
      <c r="E1288" s="10"/>
      <c r="F1288" s="8">
        <f>SUM(F1285:F1287)</f>
        <v>17500</v>
      </c>
    </row>
    <row r="1289" spans="1:6" s="9" customFormat="1" x14ac:dyDescent="0.25">
      <c r="C1289" s="5"/>
      <c r="E1289" s="10"/>
      <c r="F1289" s="10"/>
    </row>
    <row r="1290" spans="1:6" s="9" customFormat="1" x14ac:dyDescent="0.25">
      <c r="A1290" s="9" t="s">
        <v>67</v>
      </c>
      <c r="B1290" s="4">
        <v>45768</v>
      </c>
      <c r="C1290" s="5">
        <v>10</v>
      </c>
      <c r="D1290" s="9" t="s">
        <v>13</v>
      </c>
      <c r="E1290" s="10">
        <v>140</v>
      </c>
      <c r="F1290" s="10">
        <f t="shared" si="21"/>
        <v>1400</v>
      </c>
    </row>
    <row r="1291" spans="1:6" s="9" customFormat="1" x14ac:dyDescent="0.25">
      <c r="C1291" s="5"/>
      <c r="E1291" s="10"/>
      <c r="F1291" s="8">
        <f>SUM(F1290)</f>
        <v>1400</v>
      </c>
    </row>
    <row r="1292" spans="1:6" s="9" customFormat="1" x14ac:dyDescent="0.25">
      <c r="C1292" s="5"/>
      <c r="E1292" s="10"/>
      <c r="F1292" s="10"/>
    </row>
    <row r="1293" spans="1:6" s="9" customFormat="1" x14ac:dyDescent="0.25">
      <c r="A1293" s="9" t="s">
        <v>51</v>
      </c>
      <c r="B1293" s="4">
        <v>45768</v>
      </c>
      <c r="C1293" s="5">
        <v>100</v>
      </c>
      <c r="D1293" s="9" t="s">
        <v>50</v>
      </c>
      <c r="E1293" s="10">
        <v>78</v>
      </c>
      <c r="F1293" s="10">
        <f t="shared" si="21"/>
        <v>7800</v>
      </c>
    </row>
    <row r="1294" spans="1:6" s="9" customFormat="1" x14ac:dyDescent="0.25">
      <c r="C1294" s="5"/>
      <c r="E1294" s="10"/>
      <c r="F1294" s="8">
        <f>SUM(F1293)</f>
        <v>7800</v>
      </c>
    </row>
    <row r="1295" spans="1:6" s="9" customFormat="1" x14ac:dyDescent="0.25">
      <c r="C1295" s="5"/>
      <c r="E1295" s="10"/>
      <c r="F1295" s="10"/>
    </row>
    <row r="1296" spans="1:6" s="9" customFormat="1" x14ac:dyDescent="0.25">
      <c r="A1296" s="9" t="s">
        <v>26</v>
      </c>
      <c r="B1296" s="4">
        <v>45768</v>
      </c>
      <c r="C1296" s="5">
        <v>90</v>
      </c>
      <c r="D1296" s="9" t="s">
        <v>13</v>
      </c>
      <c r="E1296" s="10">
        <v>140</v>
      </c>
      <c r="F1296" s="10">
        <f t="shared" si="21"/>
        <v>12600</v>
      </c>
    </row>
    <row r="1297" spans="1:6" s="9" customFormat="1" x14ac:dyDescent="0.25">
      <c r="C1297" s="5">
        <v>3.06</v>
      </c>
      <c r="D1297" s="9" t="s">
        <v>135</v>
      </c>
      <c r="E1297" s="10">
        <v>0</v>
      </c>
      <c r="F1297" s="10">
        <f t="shared" si="21"/>
        <v>0</v>
      </c>
    </row>
    <row r="1298" spans="1:6" s="9" customFormat="1" x14ac:dyDescent="0.25">
      <c r="C1298" s="5"/>
      <c r="E1298" s="10"/>
      <c r="F1298" s="8">
        <f>SUM(F1296:F1297)</f>
        <v>12600</v>
      </c>
    </row>
    <row r="1299" spans="1:6" s="9" customFormat="1" x14ac:dyDescent="0.25">
      <c r="C1299" s="5"/>
      <c r="E1299" s="10"/>
      <c r="F1299" s="10"/>
    </row>
    <row r="1300" spans="1:6" s="9" customFormat="1" x14ac:dyDescent="0.25">
      <c r="A1300" s="9" t="s">
        <v>117</v>
      </c>
      <c r="B1300" s="4">
        <v>45768</v>
      </c>
      <c r="C1300" s="5">
        <v>5</v>
      </c>
      <c r="D1300" s="9" t="s">
        <v>488</v>
      </c>
      <c r="E1300" s="10">
        <v>155</v>
      </c>
      <c r="F1300" s="10">
        <f t="shared" si="21"/>
        <v>775</v>
      </c>
    </row>
    <row r="1301" spans="1:6" s="9" customFormat="1" x14ac:dyDescent="0.25">
      <c r="C1301" s="5"/>
      <c r="E1301" s="10"/>
      <c r="F1301" s="8">
        <f>SUM(F1300)</f>
        <v>775</v>
      </c>
    </row>
    <row r="1302" spans="1:6" s="9" customFormat="1" x14ac:dyDescent="0.25">
      <c r="C1302" s="5"/>
      <c r="E1302" s="10"/>
      <c r="F1302" s="10"/>
    </row>
    <row r="1303" spans="1:6" s="9" customFormat="1" x14ac:dyDescent="0.25">
      <c r="A1303" s="9" t="s">
        <v>29</v>
      </c>
      <c r="B1303" s="4">
        <v>45768</v>
      </c>
      <c r="C1303" s="5">
        <v>2</v>
      </c>
      <c r="D1303" s="9" t="s">
        <v>13</v>
      </c>
      <c r="E1303" s="10">
        <v>160</v>
      </c>
      <c r="F1303" s="10">
        <f t="shared" si="21"/>
        <v>320</v>
      </c>
    </row>
    <row r="1304" spans="1:6" s="9" customFormat="1" x14ac:dyDescent="0.25">
      <c r="C1304" s="5">
        <v>2</v>
      </c>
      <c r="D1304" s="9" t="s">
        <v>22</v>
      </c>
      <c r="E1304" s="10">
        <v>130</v>
      </c>
      <c r="F1304" s="10">
        <f t="shared" si="21"/>
        <v>260</v>
      </c>
    </row>
    <row r="1305" spans="1:6" s="9" customFormat="1" x14ac:dyDescent="0.25">
      <c r="C1305" s="5">
        <v>1</v>
      </c>
      <c r="D1305" s="9" t="s">
        <v>492</v>
      </c>
      <c r="E1305" s="10">
        <v>150</v>
      </c>
      <c r="F1305" s="10">
        <f t="shared" si="21"/>
        <v>150</v>
      </c>
    </row>
    <row r="1306" spans="1:6" s="9" customFormat="1" x14ac:dyDescent="0.25">
      <c r="C1306" s="5">
        <v>2</v>
      </c>
      <c r="D1306" s="9" t="s">
        <v>75</v>
      </c>
      <c r="E1306" s="10">
        <v>150</v>
      </c>
      <c r="F1306" s="10">
        <f t="shared" si="21"/>
        <v>300</v>
      </c>
    </row>
    <row r="1307" spans="1:6" s="9" customFormat="1" x14ac:dyDescent="0.25">
      <c r="C1307" s="5"/>
      <c r="E1307" s="10"/>
      <c r="F1307" s="8">
        <f>SUM(F1303:F1306)</f>
        <v>1030</v>
      </c>
    </row>
    <row r="1308" spans="1:6" s="9" customFormat="1" x14ac:dyDescent="0.25">
      <c r="C1308" s="5"/>
      <c r="E1308" s="10"/>
      <c r="F1308" s="10"/>
    </row>
    <row r="1309" spans="1:6" s="9" customFormat="1" x14ac:dyDescent="0.25">
      <c r="A1309" s="9" t="s">
        <v>181</v>
      </c>
      <c r="B1309" s="4">
        <v>45768</v>
      </c>
      <c r="C1309" s="5">
        <v>1</v>
      </c>
      <c r="D1309" s="9" t="s">
        <v>49</v>
      </c>
      <c r="E1309" s="10">
        <v>170</v>
      </c>
      <c r="F1309" s="10">
        <f t="shared" ref="F1309:F1370" si="22">+C1309*E1309</f>
        <v>170</v>
      </c>
    </row>
    <row r="1310" spans="1:6" s="9" customFormat="1" x14ac:dyDescent="0.25">
      <c r="C1310" s="5">
        <v>2</v>
      </c>
      <c r="D1310" s="9" t="s">
        <v>14</v>
      </c>
      <c r="E1310" s="10">
        <v>140</v>
      </c>
      <c r="F1310" s="10">
        <f t="shared" si="22"/>
        <v>280</v>
      </c>
    </row>
    <row r="1311" spans="1:6" s="9" customFormat="1" x14ac:dyDescent="0.25">
      <c r="C1311" s="5">
        <v>1</v>
      </c>
      <c r="D1311" s="9" t="s">
        <v>8</v>
      </c>
      <c r="E1311" s="10">
        <v>170</v>
      </c>
      <c r="F1311" s="10">
        <f t="shared" si="22"/>
        <v>170</v>
      </c>
    </row>
    <row r="1312" spans="1:6" s="9" customFormat="1" x14ac:dyDescent="0.25">
      <c r="C1312" s="5">
        <v>1</v>
      </c>
      <c r="D1312" s="9" t="s">
        <v>8</v>
      </c>
      <c r="E1312" s="10">
        <v>170</v>
      </c>
      <c r="F1312" s="10">
        <f t="shared" si="22"/>
        <v>170</v>
      </c>
    </row>
    <row r="1313" spans="1:6" s="9" customFormat="1" x14ac:dyDescent="0.25">
      <c r="C1313" s="5"/>
      <c r="E1313" s="10"/>
      <c r="F1313" s="8" cm="1">
        <f t="array" ref="F1313">SUM(+F1309:F1312)</f>
        <v>790</v>
      </c>
    </row>
    <row r="1314" spans="1:6" s="9" customFormat="1" x14ac:dyDescent="0.25">
      <c r="C1314" s="5"/>
      <c r="E1314" s="10"/>
      <c r="F1314" s="10"/>
    </row>
    <row r="1315" spans="1:6" s="9" customFormat="1" x14ac:dyDescent="0.25">
      <c r="A1315" s="9" t="s">
        <v>176</v>
      </c>
      <c r="B1315" s="4">
        <v>45769</v>
      </c>
      <c r="C1315" s="5">
        <v>40</v>
      </c>
      <c r="D1315" s="9" t="s">
        <v>8</v>
      </c>
      <c r="E1315" s="10">
        <v>155</v>
      </c>
      <c r="F1315" s="10">
        <f t="shared" si="22"/>
        <v>6200</v>
      </c>
    </row>
    <row r="1316" spans="1:6" s="9" customFormat="1" x14ac:dyDescent="0.25">
      <c r="C1316" s="5">
        <v>20</v>
      </c>
      <c r="D1316" s="9" t="s">
        <v>13</v>
      </c>
      <c r="E1316" s="10">
        <v>135</v>
      </c>
      <c r="F1316" s="10">
        <f t="shared" si="22"/>
        <v>2700</v>
      </c>
    </row>
    <row r="1317" spans="1:6" s="9" customFormat="1" x14ac:dyDescent="0.25">
      <c r="C1317" s="5">
        <v>20</v>
      </c>
      <c r="D1317" s="9" t="s">
        <v>12</v>
      </c>
      <c r="E1317" s="10">
        <v>125</v>
      </c>
      <c r="F1317" s="10">
        <f t="shared" si="22"/>
        <v>2500</v>
      </c>
    </row>
    <row r="1318" spans="1:6" s="9" customFormat="1" x14ac:dyDescent="0.25">
      <c r="C1318" s="5">
        <v>40</v>
      </c>
      <c r="D1318" s="9" t="s">
        <v>22</v>
      </c>
      <c r="E1318" s="10">
        <v>105</v>
      </c>
      <c r="F1318" s="10">
        <f t="shared" si="22"/>
        <v>4200</v>
      </c>
    </row>
    <row r="1319" spans="1:6" s="9" customFormat="1" x14ac:dyDescent="0.25">
      <c r="C1319" s="5">
        <v>20</v>
      </c>
      <c r="D1319" s="9" t="s">
        <v>49</v>
      </c>
      <c r="E1319" s="10">
        <v>145</v>
      </c>
      <c r="F1319" s="10">
        <f t="shared" si="22"/>
        <v>2900</v>
      </c>
    </row>
    <row r="1320" spans="1:6" s="9" customFormat="1" x14ac:dyDescent="0.25">
      <c r="C1320" s="5">
        <v>20</v>
      </c>
      <c r="D1320" s="9" t="s">
        <v>14</v>
      </c>
      <c r="E1320" s="10">
        <v>135</v>
      </c>
      <c r="F1320" s="10">
        <f t="shared" si="22"/>
        <v>2700</v>
      </c>
    </row>
    <row r="1321" spans="1:6" s="9" customFormat="1" x14ac:dyDescent="0.25">
      <c r="C1321" s="5">
        <v>20</v>
      </c>
      <c r="D1321" s="9" t="s">
        <v>11</v>
      </c>
      <c r="E1321" s="10">
        <v>110</v>
      </c>
      <c r="F1321" s="10">
        <f t="shared" si="22"/>
        <v>2200</v>
      </c>
    </row>
    <row r="1322" spans="1:6" s="9" customFormat="1" x14ac:dyDescent="0.25">
      <c r="C1322" s="5">
        <v>20</v>
      </c>
      <c r="D1322" s="9" t="s">
        <v>489</v>
      </c>
      <c r="E1322" s="10">
        <v>100</v>
      </c>
      <c r="F1322" s="10">
        <f t="shared" si="22"/>
        <v>2000</v>
      </c>
    </row>
    <row r="1323" spans="1:6" s="9" customFormat="1" x14ac:dyDescent="0.25">
      <c r="C1323" s="5"/>
      <c r="E1323" s="10"/>
      <c r="F1323" s="8">
        <f>SUM(F1315:F1322)</f>
        <v>25400</v>
      </c>
    </row>
    <row r="1324" spans="1:6" s="9" customFormat="1" x14ac:dyDescent="0.25">
      <c r="C1324" s="5"/>
      <c r="E1324" s="10"/>
      <c r="F1324" s="10"/>
    </row>
    <row r="1325" spans="1:6" s="9" customFormat="1" x14ac:dyDescent="0.25">
      <c r="A1325" s="9" t="s">
        <v>61</v>
      </c>
      <c r="B1325" s="4">
        <v>45769</v>
      </c>
      <c r="C1325" s="5">
        <v>70</v>
      </c>
      <c r="D1325" s="9" t="s">
        <v>13</v>
      </c>
      <c r="E1325" s="10">
        <v>140</v>
      </c>
      <c r="F1325" s="10">
        <f t="shared" si="22"/>
        <v>9800</v>
      </c>
    </row>
    <row r="1326" spans="1:6" s="9" customFormat="1" x14ac:dyDescent="0.25">
      <c r="C1326" s="5"/>
      <c r="E1326" s="10"/>
      <c r="F1326" s="8">
        <f>SUM(F1325)</f>
        <v>9800</v>
      </c>
    </row>
    <row r="1327" spans="1:6" s="9" customFormat="1" x14ac:dyDescent="0.25">
      <c r="C1327" s="5"/>
      <c r="E1327" s="10"/>
      <c r="F1327" s="10"/>
    </row>
    <row r="1328" spans="1:6" s="9" customFormat="1" x14ac:dyDescent="0.25">
      <c r="A1328" s="9" t="s">
        <v>60</v>
      </c>
      <c r="B1328" s="4">
        <v>45769</v>
      </c>
      <c r="C1328" s="5">
        <v>30</v>
      </c>
      <c r="D1328" s="9" t="s">
        <v>13</v>
      </c>
      <c r="E1328" s="10">
        <v>140</v>
      </c>
      <c r="F1328" s="10">
        <f t="shared" si="22"/>
        <v>4200</v>
      </c>
    </row>
    <row r="1329" spans="1:6" s="9" customFormat="1" x14ac:dyDescent="0.25">
      <c r="C1329" s="5"/>
      <c r="E1329" s="10"/>
      <c r="F1329" s="8">
        <f>SUM(F1328)</f>
        <v>4200</v>
      </c>
    </row>
    <row r="1330" spans="1:6" s="9" customFormat="1" x14ac:dyDescent="0.25">
      <c r="C1330" s="5"/>
      <c r="E1330" s="10"/>
      <c r="F1330" s="10"/>
    </row>
    <row r="1331" spans="1:6" s="9" customFormat="1" x14ac:dyDescent="0.25">
      <c r="A1331" s="9" t="s">
        <v>59</v>
      </c>
      <c r="B1331" s="4">
        <v>45769</v>
      </c>
      <c r="C1331" s="5">
        <v>30</v>
      </c>
      <c r="D1331" s="9" t="s">
        <v>13</v>
      </c>
      <c r="E1331" s="10">
        <v>140</v>
      </c>
      <c r="F1331" s="10">
        <f t="shared" si="22"/>
        <v>4200</v>
      </c>
    </row>
    <row r="1332" spans="1:6" s="9" customFormat="1" x14ac:dyDescent="0.25">
      <c r="C1332" s="5"/>
      <c r="E1332" s="10"/>
      <c r="F1332" s="8">
        <f>SUM(F1331)</f>
        <v>4200</v>
      </c>
    </row>
    <row r="1333" spans="1:6" s="9" customFormat="1" x14ac:dyDescent="0.25">
      <c r="C1333" s="5"/>
      <c r="E1333" s="10"/>
      <c r="F1333" s="10"/>
    </row>
    <row r="1334" spans="1:6" s="9" customFormat="1" x14ac:dyDescent="0.25">
      <c r="A1334" s="9" t="s">
        <v>226</v>
      </c>
      <c r="B1334" s="4">
        <v>45769</v>
      </c>
      <c r="C1334" s="5">
        <v>6</v>
      </c>
      <c r="D1334" s="9" t="s">
        <v>12</v>
      </c>
      <c r="E1334" s="10">
        <v>140</v>
      </c>
      <c r="F1334" s="10">
        <f t="shared" si="22"/>
        <v>840</v>
      </c>
    </row>
    <row r="1335" spans="1:6" s="9" customFormat="1" x14ac:dyDescent="0.25">
      <c r="C1335" s="5">
        <v>2</v>
      </c>
      <c r="D1335" s="9" t="s">
        <v>22</v>
      </c>
      <c r="E1335" s="10">
        <v>120</v>
      </c>
      <c r="F1335" s="10">
        <f t="shared" si="22"/>
        <v>240</v>
      </c>
    </row>
    <row r="1336" spans="1:6" s="9" customFormat="1" x14ac:dyDescent="0.25">
      <c r="C1336" s="5"/>
      <c r="E1336" s="10"/>
      <c r="F1336" s="8">
        <f>SUM(F1334:F1335)</f>
        <v>1080</v>
      </c>
    </row>
    <row r="1337" spans="1:6" s="9" customFormat="1" x14ac:dyDescent="0.25">
      <c r="C1337" s="5"/>
      <c r="E1337" s="10"/>
      <c r="F1337" s="10"/>
    </row>
    <row r="1338" spans="1:6" s="9" customFormat="1" x14ac:dyDescent="0.25">
      <c r="A1338" s="9" t="s">
        <v>140</v>
      </c>
      <c r="B1338" s="4">
        <v>45769</v>
      </c>
      <c r="C1338" s="5">
        <v>120</v>
      </c>
      <c r="D1338" s="9" t="s">
        <v>8</v>
      </c>
      <c r="E1338" s="10">
        <v>150</v>
      </c>
      <c r="F1338" s="10">
        <f t="shared" si="22"/>
        <v>18000</v>
      </c>
    </row>
    <row r="1339" spans="1:6" s="9" customFormat="1" x14ac:dyDescent="0.25">
      <c r="C1339" s="5">
        <v>35</v>
      </c>
      <c r="D1339" s="9" t="s">
        <v>49</v>
      </c>
      <c r="E1339" s="10">
        <v>140</v>
      </c>
      <c r="F1339" s="10">
        <f t="shared" si="22"/>
        <v>4900</v>
      </c>
    </row>
    <row r="1340" spans="1:6" s="9" customFormat="1" x14ac:dyDescent="0.25">
      <c r="C1340" s="5">
        <v>220</v>
      </c>
      <c r="D1340" s="9" t="s">
        <v>12</v>
      </c>
      <c r="E1340" s="10">
        <v>125</v>
      </c>
      <c r="F1340" s="10">
        <f t="shared" si="22"/>
        <v>27500</v>
      </c>
    </row>
    <row r="1341" spans="1:6" s="9" customFormat="1" x14ac:dyDescent="0.25">
      <c r="C1341" s="5">
        <v>200</v>
      </c>
      <c r="D1341" s="9" t="s">
        <v>11</v>
      </c>
      <c r="E1341" s="10">
        <v>120</v>
      </c>
      <c r="F1341" s="10">
        <f t="shared" si="22"/>
        <v>24000</v>
      </c>
    </row>
    <row r="1342" spans="1:6" s="9" customFormat="1" x14ac:dyDescent="0.25">
      <c r="C1342" s="5">
        <v>130</v>
      </c>
      <c r="D1342" s="9" t="s">
        <v>13</v>
      </c>
      <c r="E1342" s="10">
        <v>135</v>
      </c>
      <c r="F1342" s="10">
        <f t="shared" si="22"/>
        <v>17550</v>
      </c>
    </row>
    <row r="1343" spans="1:6" s="9" customFormat="1" x14ac:dyDescent="0.25">
      <c r="C1343" s="5"/>
      <c r="E1343" s="10"/>
      <c r="F1343" s="8">
        <f>SUM(F1338:F1342)</f>
        <v>91950</v>
      </c>
    </row>
    <row r="1344" spans="1:6" s="9" customFormat="1" x14ac:dyDescent="0.25">
      <c r="C1344" s="5"/>
      <c r="E1344" s="10"/>
      <c r="F1344" s="10"/>
    </row>
    <row r="1345" spans="1:6" s="9" customFormat="1" x14ac:dyDescent="0.25">
      <c r="A1345" s="9" t="s">
        <v>490</v>
      </c>
      <c r="B1345" s="4">
        <v>45769</v>
      </c>
      <c r="C1345" s="5">
        <v>349</v>
      </c>
      <c r="D1345" s="9" t="s">
        <v>14</v>
      </c>
      <c r="E1345" s="10">
        <v>108</v>
      </c>
      <c r="F1345" s="10">
        <f t="shared" si="22"/>
        <v>37692</v>
      </c>
    </row>
    <row r="1346" spans="1:6" s="9" customFormat="1" x14ac:dyDescent="0.25">
      <c r="C1346" s="5"/>
      <c r="E1346" s="10"/>
      <c r="F1346" s="8">
        <f>SUM(F1345)</f>
        <v>37692</v>
      </c>
    </row>
    <row r="1347" spans="1:6" s="9" customFormat="1" x14ac:dyDescent="0.25">
      <c r="C1347" s="5"/>
      <c r="E1347" s="10"/>
      <c r="F1347" s="10"/>
    </row>
    <row r="1348" spans="1:6" s="9" customFormat="1" x14ac:dyDescent="0.25">
      <c r="A1348" s="9" t="s">
        <v>40</v>
      </c>
      <c r="B1348" s="4">
        <v>45769</v>
      </c>
      <c r="C1348" s="5">
        <v>15</v>
      </c>
      <c r="D1348" s="9" t="s">
        <v>8</v>
      </c>
      <c r="E1348" s="10">
        <v>150</v>
      </c>
      <c r="F1348" s="10">
        <f t="shared" si="22"/>
        <v>2250</v>
      </c>
    </row>
    <row r="1349" spans="1:6" s="9" customFormat="1" x14ac:dyDescent="0.25">
      <c r="C1349" s="5">
        <v>19</v>
      </c>
      <c r="D1349" s="9" t="s">
        <v>13</v>
      </c>
      <c r="E1349" s="10">
        <v>125</v>
      </c>
      <c r="F1349" s="10">
        <f t="shared" si="22"/>
        <v>2375</v>
      </c>
    </row>
    <row r="1350" spans="1:6" s="9" customFormat="1" x14ac:dyDescent="0.25">
      <c r="C1350" s="5">
        <v>12</v>
      </c>
      <c r="D1350" s="9" t="s">
        <v>14</v>
      </c>
      <c r="E1350" s="10">
        <v>120</v>
      </c>
      <c r="F1350" s="10">
        <f t="shared" si="22"/>
        <v>1440</v>
      </c>
    </row>
    <row r="1351" spans="1:6" s="9" customFormat="1" x14ac:dyDescent="0.25">
      <c r="C1351" s="5">
        <v>10</v>
      </c>
      <c r="D1351" s="9" t="s">
        <v>11</v>
      </c>
      <c r="E1351" s="10">
        <v>100</v>
      </c>
      <c r="F1351" s="10">
        <f t="shared" si="22"/>
        <v>1000</v>
      </c>
    </row>
    <row r="1352" spans="1:6" s="9" customFormat="1" x14ac:dyDescent="0.25">
      <c r="C1352" s="5">
        <v>5</v>
      </c>
      <c r="D1352" s="9" t="s">
        <v>12</v>
      </c>
      <c r="E1352" s="10">
        <v>100</v>
      </c>
      <c r="F1352" s="10">
        <f t="shared" si="22"/>
        <v>500</v>
      </c>
    </row>
    <row r="1353" spans="1:6" s="9" customFormat="1" x14ac:dyDescent="0.25">
      <c r="C1353" s="5"/>
      <c r="E1353" s="10"/>
      <c r="F1353" s="8">
        <f>SUM(F1348:F1352)</f>
        <v>7565</v>
      </c>
    </row>
    <row r="1354" spans="1:6" s="9" customFormat="1" x14ac:dyDescent="0.25">
      <c r="C1354" s="5"/>
      <c r="E1354" s="10"/>
      <c r="F1354" s="10"/>
    </row>
    <row r="1355" spans="1:6" s="9" customFormat="1" x14ac:dyDescent="0.25">
      <c r="A1355" s="9" t="s">
        <v>69</v>
      </c>
      <c r="B1355" s="4">
        <v>45769</v>
      </c>
      <c r="C1355" s="5">
        <v>8</v>
      </c>
      <c r="D1355" s="9" t="s">
        <v>98</v>
      </c>
      <c r="E1355" s="10">
        <v>100</v>
      </c>
      <c r="F1355" s="10">
        <f t="shared" si="22"/>
        <v>800</v>
      </c>
    </row>
    <row r="1356" spans="1:6" s="9" customFormat="1" x14ac:dyDescent="0.25">
      <c r="C1356" s="5"/>
      <c r="E1356" s="10"/>
      <c r="F1356" s="8">
        <f>SUM(F1355)</f>
        <v>800</v>
      </c>
    </row>
    <row r="1357" spans="1:6" s="9" customFormat="1" x14ac:dyDescent="0.25">
      <c r="C1357" s="5"/>
      <c r="E1357" s="10"/>
      <c r="F1357" s="10"/>
    </row>
    <row r="1358" spans="1:6" s="9" customFormat="1" x14ac:dyDescent="0.25">
      <c r="A1358" s="9" t="s">
        <v>442</v>
      </c>
      <c r="B1358" s="4">
        <v>45769</v>
      </c>
      <c r="C1358" s="5">
        <v>20</v>
      </c>
      <c r="D1358" s="9" t="s">
        <v>22</v>
      </c>
      <c r="E1358" s="10">
        <v>100</v>
      </c>
      <c r="F1358" s="10">
        <f t="shared" si="22"/>
        <v>2000</v>
      </c>
    </row>
    <row r="1359" spans="1:6" s="9" customFormat="1" x14ac:dyDescent="0.25">
      <c r="C1359" s="5">
        <v>20</v>
      </c>
      <c r="D1359" s="9" t="s">
        <v>22</v>
      </c>
      <c r="E1359" s="10">
        <v>100</v>
      </c>
      <c r="F1359" s="10">
        <f t="shared" si="22"/>
        <v>2000</v>
      </c>
    </row>
    <row r="1360" spans="1:6" s="9" customFormat="1" x14ac:dyDescent="0.25">
      <c r="C1360" s="5">
        <v>20</v>
      </c>
      <c r="D1360" s="9" t="s">
        <v>13</v>
      </c>
      <c r="E1360" s="10">
        <v>140</v>
      </c>
      <c r="F1360" s="10">
        <f t="shared" si="22"/>
        <v>2800</v>
      </c>
    </row>
    <row r="1361" spans="1:6" s="9" customFormat="1" x14ac:dyDescent="0.25">
      <c r="C1361" s="5"/>
      <c r="E1361" s="10"/>
      <c r="F1361" s="8">
        <f>SUM(F1358:F1360)</f>
        <v>6800</v>
      </c>
    </row>
    <row r="1362" spans="1:6" s="9" customFormat="1" x14ac:dyDescent="0.25">
      <c r="C1362" s="5"/>
      <c r="E1362" s="10"/>
      <c r="F1362" s="10"/>
    </row>
    <row r="1363" spans="1:6" s="9" customFormat="1" x14ac:dyDescent="0.25">
      <c r="A1363" s="9" t="s">
        <v>48</v>
      </c>
      <c r="B1363" s="4">
        <v>45769</v>
      </c>
      <c r="C1363" s="5">
        <v>700</v>
      </c>
      <c r="D1363" s="9" t="s">
        <v>14</v>
      </c>
      <c r="E1363" s="10">
        <v>0</v>
      </c>
      <c r="F1363" s="10">
        <f t="shared" si="22"/>
        <v>0</v>
      </c>
    </row>
    <row r="1364" spans="1:6" s="9" customFormat="1" x14ac:dyDescent="0.25">
      <c r="C1364" s="5">
        <v>100</v>
      </c>
      <c r="D1364" s="9" t="s">
        <v>13</v>
      </c>
      <c r="E1364" s="10"/>
      <c r="F1364" s="10">
        <f t="shared" si="22"/>
        <v>0</v>
      </c>
    </row>
    <row r="1365" spans="1:6" s="9" customFormat="1" x14ac:dyDescent="0.25">
      <c r="C1365" s="5">
        <v>27</v>
      </c>
      <c r="D1365" s="9" t="s">
        <v>286</v>
      </c>
      <c r="E1365" s="10"/>
      <c r="F1365" s="10">
        <f t="shared" si="22"/>
        <v>0</v>
      </c>
    </row>
    <row r="1366" spans="1:6" s="9" customFormat="1" x14ac:dyDescent="0.25">
      <c r="C1366" s="5"/>
      <c r="E1366" s="10"/>
      <c r="F1366" s="8">
        <f>SUM(F1363:F1365)</f>
        <v>0</v>
      </c>
    </row>
    <row r="1367" spans="1:6" s="9" customFormat="1" x14ac:dyDescent="0.25">
      <c r="C1367" s="5"/>
      <c r="E1367" s="10"/>
      <c r="F1367" s="10"/>
    </row>
    <row r="1368" spans="1:6" s="9" customFormat="1" x14ac:dyDescent="0.25">
      <c r="A1368" s="9" t="s">
        <v>491</v>
      </c>
      <c r="B1368" s="4">
        <v>45769</v>
      </c>
      <c r="C1368" s="5">
        <v>300</v>
      </c>
      <c r="D1368" s="9" t="s">
        <v>14</v>
      </c>
      <c r="E1368" s="10"/>
      <c r="F1368" s="10">
        <f t="shared" si="22"/>
        <v>0</v>
      </c>
    </row>
    <row r="1369" spans="1:6" s="9" customFormat="1" x14ac:dyDescent="0.25">
      <c r="C1369" s="5">
        <v>200</v>
      </c>
      <c r="D1369" s="9" t="s">
        <v>11</v>
      </c>
      <c r="E1369" s="10"/>
      <c r="F1369" s="10">
        <f t="shared" si="22"/>
        <v>0</v>
      </c>
    </row>
    <row r="1370" spans="1:6" s="9" customFormat="1" x14ac:dyDescent="0.25">
      <c r="C1370" s="5">
        <v>40</v>
      </c>
      <c r="D1370" s="9" t="s">
        <v>50</v>
      </c>
      <c r="E1370" s="10"/>
      <c r="F1370" s="10">
        <f t="shared" si="22"/>
        <v>0</v>
      </c>
    </row>
    <row r="1371" spans="1:6" s="9" customFormat="1" x14ac:dyDescent="0.25">
      <c r="C1371" s="5"/>
      <c r="E1371" s="10"/>
      <c r="F1371" s="8">
        <f>SUM(F1368:F1370)</f>
        <v>0</v>
      </c>
    </row>
    <row r="1372" spans="1:6" s="9" customFormat="1" x14ac:dyDescent="0.25">
      <c r="C1372" s="5"/>
      <c r="E1372" s="10"/>
      <c r="F1372" s="10"/>
    </row>
    <row r="1373" spans="1:6" s="9" customFormat="1" x14ac:dyDescent="0.25">
      <c r="A1373" s="9" t="s">
        <v>259</v>
      </c>
      <c r="B1373" s="4">
        <v>45769</v>
      </c>
      <c r="C1373" s="5">
        <v>200</v>
      </c>
      <c r="D1373" s="9" t="s">
        <v>14</v>
      </c>
      <c r="E1373" s="10"/>
      <c r="F1373" s="10">
        <f t="shared" ref="F1373:F1435" si="23">+C1373*E1373</f>
        <v>0</v>
      </c>
    </row>
    <row r="1374" spans="1:6" s="9" customFormat="1" x14ac:dyDescent="0.25">
      <c r="C1374" s="5">
        <v>120</v>
      </c>
      <c r="D1374" s="9" t="s">
        <v>98</v>
      </c>
      <c r="E1374" s="10"/>
      <c r="F1374" s="10">
        <f t="shared" si="23"/>
        <v>0</v>
      </c>
    </row>
    <row r="1375" spans="1:6" s="9" customFormat="1" x14ac:dyDescent="0.25">
      <c r="C1375" s="5"/>
      <c r="E1375" s="10"/>
      <c r="F1375" s="8">
        <f>SUM(F1373:F1374)</f>
        <v>0</v>
      </c>
    </row>
    <row r="1376" spans="1:6" s="9" customFormat="1" x14ac:dyDescent="0.25">
      <c r="C1376" s="5"/>
      <c r="E1376" s="10"/>
      <c r="F1376" s="10"/>
    </row>
    <row r="1377" spans="1:6" s="9" customFormat="1" x14ac:dyDescent="0.25">
      <c r="A1377" s="9" t="s">
        <v>190</v>
      </c>
      <c r="B1377" s="4">
        <v>45769</v>
      </c>
      <c r="C1377" s="5">
        <v>1</v>
      </c>
      <c r="D1377" s="9" t="s">
        <v>13</v>
      </c>
      <c r="E1377" s="10">
        <v>160</v>
      </c>
      <c r="F1377" s="10">
        <f t="shared" si="23"/>
        <v>160</v>
      </c>
    </row>
    <row r="1378" spans="1:6" s="9" customFormat="1" x14ac:dyDescent="0.25">
      <c r="C1378" s="5">
        <v>2</v>
      </c>
      <c r="D1378" s="9" t="s">
        <v>14</v>
      </c>
      <c r="E1378" s="10">
        <v>150</v>
      </c>
      <c r="F1378" s="10">
        <f t="shared" si="23"/>
        <v>300</v>
      </c>
    </row>
    <row r="1379" spans="1:6" s="9" customFormat="1" x14ac:dyDescent="0.25">
      <c r="C1379" s="5"/>
      <c r="E1379" s="10"/>
      <c r="F1379" s="8">
        <f>SUM(F1377:F1378)</f>
        <v>460</v>
      </c>
    </row>
    <row r="1380" spans="1:6" s="9" customFormat="1" x14ac:dyDescent="0.25">
      <c r="C1380" s="5"/>
      <c r="E1380" s="10"/>
      <c r="F1380" s="10"/>
    </row>
    <row r="1381" spans="1:6" s="9" customFormat="1" x14ac:dyDescent="0.25">
      <c r="A1381" s="9" t="s">
        <v>151</v>
      </c>
      <c r="B1381" s="4">
        <v>45769</v>
      </c>
      <c r="C1381" s="5">
        <v>100</v>
      </c>
      <c r="D1381" s="9" t="s">
        <v>22</v>
      </c>
      <c r="E1381" s="10">
        <v>85</v>
      </c>
      <c r="F1381" s="10">
        <f t="shared" si="23"/>
        <v>8500</v>
      </c>
    </row>
    <row r="1382" spans="1:6" s="9" customFormat="1" x14ac:dyDescent="0.25">
      <c r="C1382" s="5"/>
      <c r="E1382" s="10"/>
      <c r="F1382" s="8">
        <f>SUM(F1381)</f>
        <v>8500</v>
      </c>
    </row>
    <row r="1383" spans="1:6" s="9" customFormat="1" x14ac:dyDescent="0.25">
      <c r="C1383" s="5"/>
      <c r="E1383" s="10"/>
      <c r="F1383" s="10"/>
    </row>
    <row r="1384" spans="1:6" s="9" customFormat="1" x14ac:dyDescent="0.25">
      <c r="A1384" s="9" t="s">
        <v>164</v>
      </c>
      <c r="B1384" s="4">
        <v>45769</v>
      </c>
      <c r="C1384" s="5">
        <v>5</v>
      </c>
      <c r="D1384" s="9" t="s">
        <v>8</v>
      </c>
      <c r="E1384" s="10">
        <v>170</v>
      </c>
      <c r="F1384" s="10">
        <f t="shared" si="23"/>
        <v>850</v>
      </c>
    </row>
    <row r="1385" spans="1:6" s="9" customFormat="1" x14ac:dyDescent="0.25">
      <c r="C1385" s="5"/>
      <c r="E1385" s="10"/>
      <c r="F1385" s="8">
        <f>SUM(F1384)</f>
        <v>850</v>
      </c>
    </row>
    <row r="1386" spans="1:6" s="9" customFormat="1" x14ac:dyDescent="0.25">
      <c r="C1386" s="5"/>
      <c r="E1386" s="10"/>
      <c r="F1386" s="10"/>
    </row>
    <row r="1387" spans="1:6" s="9" customFormat="1" x14ac:dyDescent="0.25">
      <c r="A1387" s="9" t="s">
        <v>184</v>
      </c>
      <c r="B1387" s="4">
        <v>45769</v>
      </c>
      <c r="C1387" s="5">
        <v>7</v>
      </c>
      <c r="D1387" s="9" t="s">
        <v>13</v>
      </c>
      <c r="E1387" s="10">
        <v>155</v>
      </c>
      <c r="F1387" s="10">
        <f t="shared" si="23"/>
        <v>1085</v>
      </c>
    </row>
    <row r="1388" spans="1:6" s="9" customFormat="1" x14ac:dyDescent="0.25">
      <c r="C1388" s="5"/>
      <c r="E1388" s="10"/>
      <c r="F1388" s="8">
        <f>SUM(F1387)</f>
        <v>1085</v>
      </c>
    </row>
    <row r="1389" spans="1:6" s="9" customFormat="1" x14ac:dyDescent="0.25">
      <c r="C1389" s="5"/>
      <c r="E1389" s="10"/>
      <c r="F1389" s="10"/>
    </row>
    <row r="1390" spans="1:6" s="9" customFormat="1" x14ac:dyDescent="0.25">
      <c r="A1390" s="9" t="s">
        <v>493</v>
      </c>
      <c r="B1390" s="4">
        <v>45769</v>
      </c>
      <c r="C1390" s="5">
        <v>5</v>
      </c>
      <c r="D1390" s="9" t="s">
        <v>12</v>
      </c>
      <c r="E1390" s="10">
        <v>140</v>
      </c>
      <c r="F1390" s="10">
        <f t="shared" si="23"/>
        <v>700</v>
      </c>
    </row>
    <row r="1391" spans="1:6" s="9" customFormat="1" x14ac:dyDescent="0.25">
      <c r="C1391" s="5"/>
      <c r="E1391" s="10"/>
      <c r="F1391" s="8">
        <f>SUM(F1390)</f>
        <v>700</v>
      </c>
    </row>
    <row r="1392" spans="1:6" s="9" customFormat="1" x14ac:dyDescent="0.25">
      <c r="C1392" s="5"/>
      <c r="E1392" s="10"/>
      <c r="F1392" s="10"/>
    </row>
    <row r="1393" spans="1:6" s="9" customFormat="1" x14ac:dyDescent="0.25">
      <c r="A1393" s="9" t="s">
        <v>245</v>
      </c>
      <c r="B1393" s="4">
        <v>45769</v>
      </c>
      <c r="C1393" s="5">
        <v>70</v>
      </c>
      <c r="D1393" s="9" t="s">
        <v>13</v>
      </c>
      <c r="E1393" s="10">
        <v>140</v>
      </c>
      <c r="F1393" s="10">
        <f t="shared" si="23"/>
        <v>9800</v>
      </c>
    </row>
    <row r="1394" spans="1:6" s="9" customFormat="1" x14ac:dyDescent="0.25">
      <c r="C1394" s="5">
        <v>10</v>
      </c>
      <c r="D1394" s="9" t="s">
        <v>390</v>
      </c>
      <c r="E1394" s="10">
        <v>130</v>
      </c>
      <c r="F1394" s="10">
        <f t="shared" si="23"/>
        <v>1300</v>
      </c>
    </row>
    <row r="1395" spans="1:6" s="9" customFormat="1" x14ac:dyDescent="0.25">
      <c r="C1395" s="5">
        <v>2</v>
      </c>
      <c r="D1395" s="9" t="s">
        <v>318</v>
      </c>
      <c r="E1395" s="10">
        <v>0</v>
      </c>
      <c r="F1395" s="10">
        <f t="shared" si="23"/>
        <v>0</v>
      </c>
    </row>
    <row r="1396" spans="1:6" s="9" customFormat="1" x14ac:dyDescent="0.25">
      <c r="C1396" s="5"/>
      <c r="E1396" s="10"/>
      <c r="F1396" s="8">
        <f>SUM(F1393:F1395)</f>
        <v>11100</v>
      </c>
    </row>
    <row r="1397" spans="1:6" s="9" customFormat="1" x14ac:dyDescent="0.25">
      <c r="C1397" s="5"/>
      <c r="E1397" s="10"/>
      <c r="F1397" s="10"/>
    </row>
    <row r="1398" spans="1:6" s="9" customFormat="1" x14ac:dyDescent="0.25">
      <c r="A1398" s="9" t="s">
        <v>494</v>
      </c>
      <c r="B1398" s="4">
        <v>45769</v>
      </c>
      <c r="C1398" s="5">
        <v>1</v>
      </c>
      <c r="D1398" s="9" t="s">
        <v>12</v>
      </c>
      <c r="E1398" s="10">
        <v>130</v>
      </c>
      <c r="F1398" s="10">
        <f t="shared" si="23"/>
        <v>130</v>
      </c>
    </row>
    <row r="1399" spans="1:6" s="9" customFormat="1" x14ac:dyDescent="0.25">
      <c r="C1399" s="5">
        <v>1</v>
      </c>
      <c r="D1399" s="9" t="s">
        <v>8</v>
      </c>
      <c r="E1399" s="10">
        <v>170</v>
      </c>
      <c r="F1399" s="10">
        <f t="shared" si="23"/>
        <v>170</v>
      </c>
    </row>
    <row r="1400" spans="1:6" s="9" customFormat="1" x14ac:dyDescent="0.25">
      <c r="C1400" s="5">
        <v>1</v>
      </c>
      <c r="D1400" s="9" t="s">
        <v>13</v>
      </c>
      <c r="E1400" s="10">
        <v>160</v>
      </c>
      <c r="F1400" s="10">
        <f t="shared" si="23"/>
        <v>160</v>
      </c>
    </row>
    <row r="1401" spans="1:6" s="9" customFormat="1" x14ac:dyDescent="0.25">
      <c r="C1401" s="5">
        <v>13</v>
      </c>
      <c r="D1401" s="9" t="s">
        <v>168</v>
      </c>
      <c r="E1401" s="10">
        <v>135</v>
      </c>
      <c r="F1401" s="10">
        <f t="shared" si="23"/>
        <v>1755</v>
      </c>
    </row>
    <row r="1402" spans="1:6" s="9" customFormat="1" x14ac:dyDescent="0.25">
      <c r="C1402" s="5"/>
      <c r="E1402" s="10"/>
      <c r="F1402" s="8">
        <f>SUM(F1398:F1401)</f>
        <v>2215</v>
      </c>
    </row>
    <row r="1403" spans="1:6" s="9" customFormat="1" x14ac:dyDescent="0.25">
      <c r="C1403" s="5"/>
      <c r="E1403" s="10"/>
      <c r="F1403" s="10"/>
    </row>
    <row r="1404" spans="1:6" s="9" customFormat="1" x14ac:dyDescent="0.25">
      <c r="A1404" s="9" t="s">
        <v>181</v>
      </c>
      <c r="B1404" s="4">
        <v>45769</v>
      </c>
      <c r="C1404" s="5">
        <v>1</v>
      </c>
      <c r="D1404" s="9" t="s">
        <v>220</v>
      </c>
      <c r="E1404" s="10">
        <v>150</v>
      </c>
      <c r="F1404" s="10">
        <f t="shared" si="23"/>
        <v>150</v>
      </c>
    </row>
    <row r="1405" spans="1:6" s="9" customFormat="1" x14ac:dyDescent="0.25">
      <c r="C1405" s="5">
        <v>2</v>
      </c>
      <c r="D1405" s="9" t="s">
        <v>333</v>
      </c>
      <c r="E1405" s="10">
        <v>140</v>
      </c>
      <c r="F1405" s="10">
        <f t="shared" si="23"/>
        <v>280</v>
      </c>
    </row>
    <row r="1406" spans="1:6" s="9" customFormat="1" x14ac:dyDescent="0.25">
      <c r="C1406" s="5">
        <v>1</v>
      </c>
      <c r="D1406" s="9" t="s">
        <v>303</v>
      </c>
      <c r="E1406" s="10">
        <v>150</v>
      </c>
      <c r="F1406" s="10">
        <f t="shared" si="23"/>
        <v>150</v>
      </c>
    </row>
    <row r="1407" spans="1:6" s="9" customFormat="1" x14ac:dyDescent="0.25">
      <c r="C1407" s="5">
        <v>2</v>
      </c>
      <c r="D1407" s="9" t="s">
        <v>13</v>
      </c>
      <c r="E1407" s="10">
        <v>160</v>
      </c>
      <c r="F1407" s="10">
        <f t="shared" si="23"/>
        <v>320</v>
      </c>
    </row>
    <row r="1408" spans="1:6" s="9" customFormat="1" x14ac:dyDescent="0.25">
      <c r="C1408" s="5"/>
      <c r="E1408" s="10"/>
      <c r="F1408" s="8">
        <f>SUM(F1404:F1407)</f>
        <v>900</v>
      </c>
    </row>
    <row r="1409" spans="1:6" s="9" customFormat="1" x14ac:dyDescent="0.25">
      <c r="C1409" s="5"/>
      <c r="E1409" s="10"/>
      <c r="F1409" s="10"/>
    </row>
    <row r="1410" spans="1:6" s="9" customFormat="1" x14ac:dyDescent="0.25">
      <c r="A1410" s="9" t="s">
        <v>44</v>
      </c>
      <c r="B1410" s="4">
        <v>45770</v>
      </c>
      <c r="C1410" s="5">
        <v>10</v>
      </c>
      <c r="D1410" s="9" t="s">
        <v>13</v>
      </c>
      <c r="E1410" s="10">
        <v>140</v>
      </c>
      <c r="F1410" s="10">
        <f t="shared" si="23"/>
        <v>1400</v>
      </c>
    </row>
    <row r="1411" spans="1:6" s="9" customFormat="1" x14ac:dyDescent="0.25">
      <c r="C1411" s="5"/>
      <c r="E1411" s="10"/>
      <c r="F1411" s="8">
        <f>SUM(F1410)</f>
        <v>1400</v>
      </c>
    </row>
    <row r="1412" spans="1:6" s="9" customFormat="1" x14ac:dyDescent="0.25">
      <c r="C1412" s="5"/>
      <c r="E1412" s="10"/>
      <c r="F1412" s="10"/>
    </row>
    <row r="1413" spans="1:6" s="9" customFormat="1" x14ac:dyDescent="0.25">
      <c r="A1413" s="9" t="s">
        <v>69</v>
      </c>
      <c r="B1413" s="4">
        <v>45770</v>
      </c>
      <c r="C1413" s="5">
        <v>12</v>
      </c>
      <c r="D1413" s="9" t="s">
        <v>495</v>
      </c>
      <c r="E1413" s="10">
        <v>100</v>
      </c>
      <c r="F1413" s="10">
        <f t="shared" si="23"/>
        <v>1200</v>
      </c>
    </row>
    <row r="1414" spans="1:6" s="9" customFormat="1" x14ac:dyDescent="0.25">
      <c r="C1414" s="5"/>
      <c r="E1414" s="10"/>
      <c r="F1414" s="8">
        <f>SUM(F1413)</f>
        <v>1200</v>
      </c>
    </row>
    <row r="1415" spans="1:6" s="9" customFormat="1" x14ac:dyDescent="0.25">
      <c r="C1415" s="5"/>
      <c r="E1415" s="10"/>
      <c r="F1415" s="10"/>
    </row>
    <row r="1416" spans="1:6" s="9" customFormat="1" x14ac:dyDescent="0.25">
      <c r="A1416" s="9" t="s">
        <v>270</v>
      </c>
      <c r="B1416" s="4">
        <v>45770</v>
      </c>
      <c r="C1416" s="5">
        <v>10</v>
      </c>
      <c r="D1416" s="9" t="s">
        <v>98</v>
      </c>
      <c r="E1416" s="10">
        <v>100</v>
      </c>
      <c r="F1416" s="10">
        <f t="shared" si="23"/>
        <v>1000</v>
      </c>
    </row>
    <row r="1417" spans="1:6" s="9" customFormat="1" x14ac:dyDescent="0.25">
      <c r="C1417" s="5"/>
      <c r="E1417" s="10"/>
      <c r="F1417" s="8">
        <f>SUM(F1416)</f>
        <v>1000</v>
      </c>
    </row>
    <row r="1418" spans="1:6" s="9" customFormat="1" x14ac:dyDescent="0.25">
      <c r="C1418" s="5"/>
      <c r="E1418" s="10"/>
      <c r="F1418" s="10"/>
    </row>
    <row r="1419" spans="1:6" s="9" customFormat="1" x14ac:dyDescent="0.25">
      <c r="A1419" s="9" t="s">
        <v>15</v>
      </c>
      <c r="B1419" s="4">
        <v>45770</v>
      </c>
      <c r="C1419" s="5">
        <v>60</v>
      </c>
      <c r="D1419" s="9" t="s">
        <v>98</v>
      </c>
      <c r="E1419" s="10">
        <v>80</v>
      </c>
      <c r="F1419" s="10">
        <f t="shared" si="23"/>
        <v>4800</v>
      </c>
    </row>
    <row r="1420" spans="1:6" s="9" customFormat="1" x14ac:dyDescent="0.25">
      <c r="C1420" s="5"/>
      <c r="E1420" s="10"/>
      <c r="F1420" s="8">
        <f>SUM(F1419)</f>
        <v>4800</v>
      </c>
    </row>
    <row r="1421" spans="1:6" s="9" customFormat="1" x14ac:dyDescent="0.25">
      <c r="C1421" s="5"/>
      <c r="E1421" s="10"/>
      <c r="F1421" s="10"/>
    </row>
    <row r="1422" spans="1:6" s="9" customFormat="1" x14ac:dyDescent="0.25">
      <c r="A1422" s="9" t="s">
        <v>58</v>
      </c>
      <c r="B1422" s="4">
        <v>45770</v>
      </c>
      <c r="C1422" s="5">
        <v>12</v>
      </c>
      <c r="D1422" s="9" t="s">
        <v>13</v>
      </c>
      <c r="E1422" s="10">
        <v>140</v>
      </c>
      <c r="F1422" s="10">
        <f t="shared" si="23"/>
        <v>1680</v>
      </c>
    </row>
    <row r="1423" spans="1:6" s="9" customFormat="1" x14ac:dyDescent="0.25">
      <c r="C1423" s="5"/>
      <c r="E1423" s="10"/>
      <c r="F1423" s="8">
        <f>SUM(F1422)</f>
        <v>1680</v>
      </c>
    </row>
    <row r="1424" spans="1:6" s="9" customFormat="1" x14ac:dyDescent="0.25">
      <c r="C1424" s="5"/>
      <c r="E1424" s="10"/>
      <c r="F1424" s="10"/>
    </row>
    <row r="1425" spans="1:6" s="9" customFormat="1" x14ac:dyDescent="0.25">
      <c r="A1425" s="9" t="s">
        <v>20</v>
      </c>
      <c r="B1425" s="4">
        <v>45770</v>
      </c>
      <c r="C1425" s="5">
        <v>30</v>
      </c>
      <c r="D1425" s="9" t="s">
        <v>13</v>
      </c>
      <c r="E1425" s="10">
        <v>135</v>
      </c>
      <c r="F1425" s="10">
        <f t="shared" si="23"/>
        <v>4050</v>
      </c>
    </row>
    <row r="1426" spans="1:6" s="9" customFormat="1" x14ac:dyDescent="0.25">
      <c r="C1426" s="5"/>
      <c r="E1426" s="10"/>
      <c r="F1426" s="8">
        <f>SUM(F1425)</f>
        <v>4050</v>
      </c>
    </row>
    <row r="1427" spans="1:6" s="9" customFormat="1" x14ac:dyDescent="0.25">
      <c r="C1427" s="5"/>
      <c r="E1427" s="10"/>
      <c r="F1427" s="10"/>
    </row>
    <row r="1428" spans="1:6" s="9" customFormat="1" x14ac:dyDescent="0.25">
      <c r="A1428" s="9" t="s">
        <v>427</v>
      </c>
      <c r="B1428" s="4">
        <v>45770</v>
      </c>
      <c r="C1428" s="5">
        <v>10</v>
      </c>
      <c r="D1428" s="9" t="s">
        <v>13</v>
      </c>
      <c r="E1428" s="10">
        <v>135</v>
      </c>
      <c r="F1428" s="10">
        <f t="shared" si="23"/>
        <v>1350</v>
      </c>
    </row>
    <row r="1429" spans="1:6" s="9" customFormat="1" x14ac:dyDescent="0.25">
      <c r="C1429" s="5">
        <v>5</v>
      </c>
      <c r="D1429" s="9" t="s">
        <v>14</v>
      </c>
      <c r="E1429" s="10">
        <v>125</v>
      </c>
      <c r="F1429" s="10">
        <f t="shared" si="23"/>
        <v>625</v>
      </c>
    </row>
    <row r="1430" spans="1:6" s="9" customFormat="1" x14ac:dyDescent="0.25">
      <c r="C1430" s="5"/>
      <c r="E1430" s="10"/>
      <c r="F1430" s="8">
        <f>SUM(F1428:F1429)</f>
        <v>1975</v>
      </c>
    </row>
    <row r="1431" spans="1:6" s="9" customFormat="1" x14ac:dyDescent="0.25">
      <c r="C1431" s="5"/>
      <c r="E1431" s="10"/>
      <c r="F1431" s="10"/>
    </row>
    <row r="1432" spans="1:6" s="9" customFormat="1" x14ac:dyDescent="0.25">
      <c r="A1432" s="9" t="s">
        <v>80</v>
      </c>
      <c r="B1432" s="4">
        <v>45770</v>
      </c>
      <c r="C1432" s="5">
        <v>10</v>
      </c>
      <c r="D1432" s="9" t="s">
        <v>13</v>
      </c>
      <c r="E1432" s="10">
        <v>140</v>
      </c>
      <c r="F1432" s="10">
        <f t="shared" si="23"/>
        <v>1400</v>
      </c>
    </row>
    <row r="1433" spans="1:6" s="9" customFormat="1" x14ac:dyDescent="0.25">
      <c r="C1433" s="5"/>
      <c r="E1433" s="10"/>
      <c r="F1433" s="8">
        <f>SUM(F1432)</f>
        <v>1400</v>
      </c>
    </row>
    <row r="1434" spans="1:6" s="9" customFormat="1" x14ac:dyDescent="0.25">
      <c r="C1434" s="5"/>
      <c r="E1434" s="10"/>
      <c r="F1434" s="10"/>
    </row>
    <row r="1435" spans="1:6" s="9" customFormat="1" x14ac:dyDescent="0.25">
      <c r="A1435" s="9" t="s">
        <v>37</v>
      </c>
      <c r="B1435" s="4">
        <v>45770</v>
      </c>
      <c r="C1435" s="5">
        <v>20</v>
      </c>
      <c r="D1435" s="9" t="s">
        <v>12</v>
      </c>
      <c r="E1435" s="10">
        <v>130</v>
      </c>
      <c r="F1435" s="10">
        <f t="shared" si="23"/>
        <v>2600</v>
      </c>
    </row>
    <row r="1436" spans="1:6" s="9" customFormat="1" x14ac:dyDescent="0.25">
      <c r="C1436" s="5"/>
      <c r="E1436" s="10"/>
      <c r="F1436" s="8">
        <f>SUM(F1435)</f>
        <v>2600</v>
      </c>
    </row>
    <row r="1437" spans="1:6" s="9" customFormat="1" x14ac:dyDescent="0.25">
      <c r="C1437" s="5"/>
      <c r="E1437" s="10"/>
      <c r="F1437" s="10"/>
    </row>
    <row r="1438" spans="1:6" s="9" customFormat="1" x14ac:dyDescent="0.25">
      <c r="A1438" s="9" t="s">
        <v>251</v>
      </c>
      <c r="B1438" s="4">
        <v>45770</v>
      </c>
      <c r="C1438" s="5">
        <v>24</v>
      </c>
      <c r="D1438" s="9" t="s">
        <v>12</v>
      </c>
      <c r="E1438" s="10">
        <v>120</v>
      </c>
      <c r="F1438" s="10">
        <f t="shared" ref="F1438:F1500" si="24">+C1438*E1438</f>
        <v>2880</v>
      </c>
    </row>
    <row r="1439" spans="1:6" s="9" customFormat="1" x14ac:dyDescent="0.25">
      <c r="C1439" s="5"/>
      <c r="E1439" s="10"/>
      <c r="F1439" s="8">
        <f>SUM(F1438)</f>
        <v>2880</v>
      </c>
    </row>
    <row r="1440" spans="1:6" s="9" customFormat="1" x14ac:dyDescent="0.25">
      <c r="C1440" s="5"/>
      <c r="E1440" s="10"/>
      <c r="F1440" s="10"/>
    </row>
    <row r="1441" spans="1:6" s="9" customFormat="1" x14ac:dyDescent="0.25">
      <c r="A1441" s="9" t="s">
        <v>41</v>
      </c>
      <c r="B1441" s="4">
        <v>45770</v>
      </c>
      <c r="C1441" s="5">
        <v>40</v>
      </c>
      <c r="D1441" s="9" t="s">
        <v>14</v>
      </c>
      <c r="E1441" s="10">
        <v>130</v>
      </c>
      <c r="F1441" s="10">
        <f t="shared" si="24"/>
        <v>5200</v>
      </c>
    </row>
    <row r="1442" spans="1:6" s="9" customFormat="1" x14ac:dyDescent="0.25">
      <c r="C1442" s="5"/>
      <c r="E1442" s="10"/>
      <c r="F1442" s="8">
        <f>SUM(F1441)</f>
        <v>5200</v>
      </c>
    </row>
    <row r="1443" spans="1:6" s="9" customFormat="1" x14ac:dyDescent="0.25">
      <c r="C1443" s="5"/>
      <c r="E1443" s="10"/>
      <c r="F1443" s="10"/>
    </row>
    <row r="1444" spans="1:6" s="9" customFormat="1" x14ac:dyDescent="0.25">
      <c r="A1444" s="9" t="s">
        <v>107</v>
      </c>
      <c r="B1444" s="4">
        <v>45770</v>
      </c>
      <c r="C1444" s="5">
        <v>48</v>
      </c>
      <c r="D1444" s="9" t="s">
        <v>11</v>
      </c>
      <c r="E1444" s="10">
        <v>115</v>
      </c>
      <c r="F1444" s="10">
        <f t="shared" si="24"/>
        <v>5520</v>
      </c>
    </row>
    <row r="1445" spans="1:6" s="9" customFormat="1" x14ac:dyDescent="0.25">
      <c r="C1445" s="5"/>
      <c r="E1445" s="10"/>
      <c r="F1445" s="8">
        <f>SUM(F1444)</f>
        <v>5520</v>
      </c>
    </row>
    <row r="1446" spans="1:6" s="9" customFormat="1" x14ac:dyDescent="0.25">
      <c r="C1446" s="5"/>
      <c r="E1446" s="10"/>
      <c r="F1446" s="10"/>
    </row>
    <row r="1447" spans="1:6" s="9" customFormat="1" x14ac:dyDescent="0.25">
      <c r="A1447" s="9" t="s">
        <v>43</v>
      </c>
      <c r="B1447" s="4">
        <v>45770</v>
      </c>
      <c r="C1447" s="5">
        <v>20</v>
      </c>
      <c r="D1447" s="9" t="s">
        <v>14</v>
      </c>
      <c r="E1447" s="10">
        <v>125</v>
      </c>
      <c r="F1447" s="10">
        <f t="shared" si="24"/>
        <v>2500</v>
      </c>
    </row>
    <row r="1448" spans="1:6" s="9" customFormat="1" x14ac:dyDescent="0.25">
      <c r="C1448" s="5"/>
      <c r="E1448" s="10"/>
      <c r="F1448" s="8">
        <f>SUM(F1447)</f>
        <v>2500</v>
      </c>
    </row>
    <row r="1449" spans="1:6" s="9" customFormat="1" x14ac:dyDescent="0.25">
      <c r="C1449" s="5"/>
      <c r="E1449" s="10"/>
      <c r="F1449" s="10"/>
    </row>
    <row r="1450" spans="1:6" s="9" customFormat="1" x14ac:dyDescent="0.25">
      <c r="A1450" s="9" t="s">
        <v>44</v>
      </c>
      <c r="B1450" s="4">
        <v>45770</v>
      </c>
      <c r="C1450" s="5">
        <v>50</v>
      </c>
      <c r="D1450" s="9" t="s">
        <v>14</v>
      </c>
      <c r="E1450" s="10">
        <v>125</v>
      </c>
      <c r="F1450" s="10">
        <f t="shared" si="24"/>
        <v>6250</v>
      </c>
    </row>
    <row r="1451" spans="1:6" s="9" customFormat="1" x14ac:dyDescent="0.25">
      <c r="C1451" s="5"/>
      <c r="E1451" s="10"/>
      <c r="F1451" s="8">
        <f>SUM(F1450)</f>
        <v>6250</v>
      </c>
    </row>
    <row r="1452" spans="1:6" s="9" customFormat="1" x14ac:dyDescent="0.25">
      <c r="C1452" s="5"/>
      <c r="E1452" s="10"/>
      <c r="F1452" s="10"/>
    </row>
    <row r="1453" spans="1:6" s="9" customFormat="1" x14ac:dyDescent="0.25">
      <c r="A1453" s="9" t="s">
        <v>18</v>
      </c>
      <c r="B1453" s="4">
        <v>45770</v>
      </c>
      <c r="C1453" s="5">
        <v>10</v>
      </c>
      <c r="D1453" s="9" t="s">
        <v>13</v>
      </c>
      <c r="E1453" s="10">
        <v>140</v>
      </c>
      <c r="F1453" s="10">
        <f t="shared" si="24"/>
        <v>1400</v>
      </c>
    </row>
    <row r="1454" spans="1:6" s="9" customFormat="1" x14ac:dyDescent="0.25">
      <c r="C1454" s="5">
        <v>30</v>
      </c>
      <c r="D1454" s="9" t="s">
        <v>14</v>
      </c>
      <c r="E1454" s="10">
        <v>125</v>
      </c>
      <c r="F1454" s="10">
        <f t="shared" si="24"/>
        <v>3750</v>
      </c>
    </row>
    <row r="1455" spans="1:6" s="9" customFormat="1" x14ac:dyDescent="0.25">
      <c r="C1455" s="5"/>
      <c r="E1455" s="10"/>
      <c r="F1455" s="8">
        <f>SUM(F1453:F1454)</f>
        <v>5150</v>
      </c>
    </row>
    <row r="1456" spans="1:6" s="9" customFormat="1" x14ac:dyDescent="0.25">
      <c r="C1456" s="5"/>
      <c r="E1456" s="10"/>
      <c r="F1456" s="10"/>
    </row>
    <row r="1457" spans="1:6" s="9" customFormat="1" x14ac:dyDescent="0.25">
      <c r="A1457" s="9" t="s">
        <v>46</v>
      </c>
      <c r="B1457" s="4">
        <v>45770</v>
      </c>
      <c r="C1457" s="5">
        <v>25</v>
      </c>
      <c r="D1457" s="9" t="s">
        <v>14</v>
      </c>
      <c r="E1457" s="10">
        <v>125</v>
      </c>
      <c r="F1457" s="10">
        <f t="shared" si="24"/>
        <v>3125</v>
      </c>
    </row>
    <row r="1458" spans="1:6" s="9" customFormat="1" x14ac:dyDescent="0.25">
      <c r="C1458" s="5"/>
      <c r="E1458" s="10"/>
      <c r="F1458" s="8">
        <f>SUM(F1457)</f>
        <v>3125</v>
      </c>
    </row>
    <row r="1459" spans="1:6" s="9" customFormat="1" x14ac:dyDescent="0.25">
      <c r="C1459" s="5"/>
      <c r="E1459" s="10"/>
      <c r="F1459" s="10"/>
    </row>
    <row r="1460" spans="1:6" s="9" customFormat="1" x14ac:dyDescent="0.25">
      <c r="A1460" s="9" t="s">
        <v>47</v>
      </c>
      <c r="B1460" s="4">
        <v>45770</v>
      </c>
      <c r="C1460" s="5">
        <v>20</v>
      </c>
      <c r="D1460" s="9" t="s">
        <v>14</v>
      </c>
      <c r="E1460" s="10">
        <v>125</v>
      </c>
      <c r="F1460" s="10">
        <f t="shared" si="24"/>
        <v>2500</v>
      </c>
    </row>
    <row r="1461" spans="1:6" s="9" customFormat="1" x14ac:dyDescent="0.25">
      <c r="B1461" s="4"/>
      <c r="C1461" s="5">
        <v>30</v>
      </c>
      <c r="D1461" s="9" t="s">
        <v>50</v>
      </c>
      <c r="E1461" s="10">
        <v>95</v>
      </c>
      <c r="F1461" s="10">
        <f t="shared" si="24"/>
        <v>2850</v>
      </c>
    </row>
    <row r="1462" spans="1:6" s="9" customFormat="1" x14ac:dyDescent="0.25">
      <c r="B1462" s="4"/>
      <c r="C1462" s="5"/>
      <c r="E1462" s="10"/>
      <c r="F1462" s="8">
        <f>SUM(F1460:F1461)</f>
        <v>5350</v>
      </c>
    </row>
    <row r="1463" spans="1:6" s="9" customFormat="1" x14ac:dyDescent="0.25">
      <c r="B1463" s="4"/>
      <c r="C1463" s="5"/>
      <c r="E1463" s="10"/>
      <c r="F1463" s="10"/>
    </row>
    <row r="1464" spans="1:6" s="9" customFormat="1" x14ac:dyDescent="0.25">
      <c r="A1464" s="9" t="s">
        <v>145</v>
      </c>
      <c r="B1464" s="4">
        <v>45770</v>
      </c>
      <c r="C1464" s="5">
        <v>50</v>
      </c>
      <c r="D1464" s="9" t="s">
        <v>14</v>
      </c>
      <c r="E1464" s="10">
        <v>120</v>
      </c>
      <c r="F1464" s="10">
        <f t="shared" si="24"/>
        <v>6000</v>
      </c>
    </row>
    <row r="1465" spans="1:6" s="9" customFormat="1" x14ac:dyDescent="0.25">
      <c r="B1465" s="4"/>
      <c r="C1465" s="5"/>
      <c r="E1465" s="10"/>
      <c r="F1465" s="8">
        <f>SUM(F1464)</f>
        <v>6000</v>
      </c>
    </row>
    <row r="1466" spans="1:6" s="9" customFormat="1" x14ac:dyDescent="0.25">
      <c r="B1466" s="4"/>
      <c r="C1466" s="5"/>
      <c r="E1466" s="10"/>
      <c r="F1466" s="10"/>
    </row>
    <row r="1467" spans="1:6" s="9" customFormat="1" x14ac:dyDescent="0.25">
      <c r="A1467" s="9" t="s">
        <v>191</v>
      </c>
      <c r="B1467" s="4">
        <v>45770</v>
      </c>
      <c r="C1467" s="5">
        <v>200</v>
      </c>
      <c r="D1467" s="9" t="s">
        <v>13</v>
      </c>
      <c r="E1467" s="10">
        <v>130</v>
      </c>
      <c r="F1467" s="10">
        <f t="shared" si="24"/>
        <v>26000</v>
      </c>
    </row>
    <row r="1468" spans="1:6" s="9" customFormat="1" x14ac:dyDescent="0.25">
      <c r="B1468" s="4"/>
      <c r="C1468" s="5">
        <v>300</v>
      </c>
      <c r="D1468" s="9" t="s">
        <v>14</v>
      </c>
      <c r="E1468" s="10">
        <v>115</v>
      </c>
      <c r="F1468" s="10">
        <f t="shared" si="24"/>
        <v>34500</v>
      </c>
    </row>
    <row r="1469" spans="1:6" s="9" customFormat="1" x14ac:dyDescent="0.25">
      <c r="B1469" s="4"/>
      <c r="C1469" s="5">
        <v>300</v>
      </c>
      <c r="D1469" s="9" t="s">
        <v>11</v>
      </c>
      <c r="E1469" s="10">
        <v>100</v>
      </c>
      <c r="F1469" s="10">
        <f t="shared" si="24"/>
        <v>30000</v>
      </c>
    </row>
    <row r="1470" spans="1:6" s="9" customFormat="1" x14ac:dyDescent="0.25">
      <c r="B1470" s="4"/>
      <c r="C1470" s="5">
        <v>5</v>
      </c>
      <c r="D1470" s="9" t="s">
        <v>496</v>
      </c>
      <c r="E1470" s="10">
        <v>0</v>
      </c>
      <c r="F1470" s="10">
        <f t="shared" si="24"/>
        <v>0</v>
      </c>
    </row>
    <row r="1471" spans="1:6" s="9" customFormat="1" x14ac:dyDescent="0.25">
      <c r="B1471" s="4"/>
      <c r="C1471" s="5">
        <v>1</v>
      </c>
      <c r="D1471" s="9" t="s">
        <v>497</v>
      </c>
      <c r="E1471" s="10">
        <v>0</v>
      </c>
      <c r="F1471" s="10">
        <f t="shared" si="24"/>
        <v>0</v>
      </c>
    </row>
    <row r="1472" spans="1:6" s="9" customFormat="1" x14ac:dyDescent="0.25">
      <c r="B1472" s="4"/>
      <c r="C1472" s="5">
        <v>1</v>
      </c>
      <c r="D1472" s="9" t="s">
        <v>498</v>
      </c>
      <c r="E1472" s="10">
        <v>0</v>
      </c>
      <c r="F1472" s="10">
        <f t="shared" si="24"/>
        <v>0</v>
      </c>
    </row>
    <row r="1473" spans="1:6" s="9" customFormat="1" x14ac:dyDescent="0.25">
      <c r="B1473" s="4"/>
      <c r="C1473" s="5"/>
      <c r="E1473" s="10"/>
      <c r="F1473" s="8">
        <f>SUM(F1467:F1472)</f>
        <v>90500</v>
      </c>
    </row>
    <row r="1474" spans="1:6" s="9" customFormat="1" x14ac:dyDescent="0.25">
      <c r="B1474" s="4"/>
      <c r="C1474" s="5"/>
      <c r="E1474" s="10"/>
      <c r="F1474" s="10"/>
    </row>
    <row r="1475" spans="1:6" s="9" customFormat="1" x14ac:dyDescent="0.25">
      <c r="A1475" s="9" t="s">
        <v>365</v>
      </c>
      <c r="B1475" s="4">
        <v>45770</v>
      </c>
      <c r="C1475" s="5">
        <v>10</v>
      </c>
      <c r="D1475" s="9" t="s">
        <v>13</v>
      </c>
      <c r="E1475" s="10">
        <v>145</v>
      </c>
      <c r="F1475" s="10">
        <f t="shared" si="24"/>
        <v>1450</v>
      </c>
    </row>
    <row r="1476" spans="1:6" s="9" customFormat="1" x14ac:dyDescent="0.25">
      <c r="B1476" s="4"/>
      <c r="C1476" s="5"/>
      <c r="E1476" s="10"/>
      <c r="F1476" s="8">
        <f>SUM(F1475)</f>
        <v>1450</v>
      </c>
    </row>
    <row r="1477" spans="1:6" s="9" customFormat="1" x14ac:dyDescent="0.25">
      <c r="B1477" s="4"/>
      <c r="C1477" s="5"/>
      <c r="E1477" s="10"/>
      <c r="F1477" s="10"/>
    </row>
    <row r="1478" spans="1:6" s="9" customFormat="1" x14ac:dyDescent="0.25">
      <c r="A1478" s="9" t="s">
        <v>413</v>
      </c>
      <c r="B1478" s="4">
        <v>45770</v>
      </c>
      <c r="C1478" s="5">
        <v>120</v>
      </c>
      <c r="D1478" s="9" t="s">
        <v>13</v>
      </c>
      <c r="E1478" s="10">
        <v>125</v>
      </c>
      <c r="F1478" s="10">
        <f t="shared" si="24"/>
        <v>15000</v>
      </c>
    </row>
    <row r="1479" spans="1:6" s="9" customFormat="1" x14ac:dyDescent="0.25">
      <c r="B1479" s="4"/>
      <c r="C1479" s="5">
        <v>200</v>
      </c>
      <c r="D1479" s="9" t="s">
        <v>12</v>
      </c>
      <c r="E1479" s="10">
        <v>115</v>
      </c>
      <c r="F1479" s="10">
        <f t="shared" si="24"/>
        <v>23000</v>
      </c>
    </row>
    <row r="1480" spans="1:6" s="9" customFormat="1" x14ac:dyDescent="0.25">
      <c r="B1480" s="4"/>
      <c r="C1480" s="5">
        <v>40</v>
      </c>
      <c r="D1480" s="9" t="s">
        <v>11</v>
      </c>
      <c r="E1480" s="10">
        <v>105</v>
      </c>
      <c r="F1480" s="10">
        <f t="shared" si="24"/>
        <v>4200</v>
      </c>
    </row>
    <row r="1481" spans="1:6" s="9" customFormat="1" x14ac:dyDescent="0.25">
      <c r="B1481" s="4"/>
      <c r="C1481" s="5">
        <v>40</v>
      </c>
      <c r="D1481" s="9" t="s">
        <v>8</v>
      </c>
      <c r="E1481" s="10">
        <v>140</v>
      </c>
      <c r="F1481" s="10">
        <f t="shared" si="24"/>
        <v>5600</v>
      </c>
    </row>
    <row r="1482" spans="1:6" s="9" customFormat="1" x14ac:dyDescent="0.25">
      <c r="B1482" s="4"/>
      <c r="C1482" s="5"/>
      <c r="E1482" s="10"/>
      <c r="F1482" s="8">
        <f>SUM(F1478:F1481)</f>
        <v>47800</v>
      </c>
    </row>
    <row r="1483" spans="1:6" s="9" customFormat="1" x14ac:dyDescent="0.25">
      <c r="B1483" s="4"/>
      <c r="C1483" s="5"/>
      <c r="E1483" s="10"/>
      <c r="F1483" s="10"/>
    </row>
    <row r="1484" spans="1:6" s="9" customFormat="1" x14ac:dyDescent="0.25">
      <c r="A1484" s="9" t="s">
        <v>32</v>
      </c>
      <c r="B1484" s="4">
        <v>45770</v>
      </c>
      <c r="C1484" s="5">
        <v>30</v>
      </c>
      <c r="D1484" s="9" t="s">
        <v>13</v>
      </c>
      <c r="E1484" s="10">
        <v>135</v>
      </c>
      <c r="F1484" s="10">
        <f t="shared" si="24"/>
        <v>4050</v>
      </c>
    </row>
    <row r="1485" spans="1:6" s="9" customFormat="1" x14ac:dyDescent="0.25">
      <c r="B1485" s="4"/>
      <c r="C1485" s="5"/>
      <c r="E1485" s="10"/>
      <c r="F1485" s="8">
        <f>SUM(F1484)</f>
        <v>4050</v>
      </c>
    </row>
    <row r="1486" spans="1:6" s="9" customFormat="1" x14ac:dyDescent="0.25">
      <c r="B1486" s="4"/>
      <c r="C1486" s="5"/>
      <c r="E1486" s="10"/>
      <c r="F1486" s="10"/>
    </row>
    <row r="1487" spans="1:6" s="9" customFormat="1" x14ac:dyDescent="0.25">
      <c r="A1487" s="9" t="s">
        <v>245</v>
      </c>
      <c r="B1487" s="4">
        <v>45770</v>
      </c>
      <c r="C1487" s="5">
        <v>60</v>
      </c>
      <c r="D1487" s="9" t="s">
        <v>13</v>
      </c>
      <c r="E1487" s="10">
        <v>140</v>
      </c>
      <c r="F1487" s="10">
        <f t="shared" si="24"/>
        <v>8400</v>
      </c>
    </row>
    <row r="1488" spans="1:6" s="9" customFormat="1" x14ac:dyDescent="0.25">
      <c r="B1488" s="4"/>
      <c r="C1488" s="5">
        <v>20</v>
      </c>
      <c r="D1488" s="9" t="s">
        <v>14</v>
      </c>
      <c r="E1488" s="10">
        <v>130</v>
      </c>
      <c r="F1488" s="10">
        <f t="shared" si="24"/>
        <v>2600</v>
      </c>
    </row>
    <row r="1489" spans="1:6" s="9" customFormat="1" x14ac:dyDescent="0.25">
      <c r="B1489" s="4"/>
      <c r="C1489" s="5"/>
      <c r="E1489" s="10"/>
      <c r="F1489" s="8">
        <f>SUM(F1487:F1488)</f>
        <v>11000</v>
      </c>
    </row>
    <row r="1490" spans="1:6" s="9" customFormat="1" x14ac:dyDescent="0.25">
      <c r="B1490" s="4"/>
      <c r="C1490" s="5"/>
      <c r="E1490" s="10"/>
      <c r="F1490" s="10"/>
    </row>
    <row r="1491" spans="1:6" s="9" customFormat="1" x14ac:dyDescent="0.25">
      <c r="A1491" s="9" t="s">
        <v>72</v>
      </c>
      <c r="B1491" s="4">
        <v>45770</v>
      </c>
      <c r="C1491" s="5">
        <v>100</v>
      </c>
      <c r="D1491" s="9" t="s">
        <v>13</v>
      </c>
      <c r="E1491" s="10">
        <v>130</v>
      </c>
      <c r="F1491" s="10">
        <f t="shared" si="24"/>
        <v>13000</v>
      </c>
    </row>
    <row r="1492" spans="1:6" s="9" customFormat="1" x14ac:dyDescent="0.25">
      <c r="B1492" s="4"/>
      <c r="C1492" s="5">
        <v>50</v>
      </c>
      <c r="D1492" s="9" t="s">
        <v>12</v>
      </c>
      <c r="E1492" s="10">
        <v>115</v>
      </c>
      <c r="F1492" s="10">
        <f t="shared" si="24"/>
        <v>5750</v>
      </c>
    </row>
    <row r="1493" spans="1:6" s="9" customFormat="1" x14ac:dyDescent="0.25">
      <c r="B1493" s="4"/>
      <c r="C1493" s="5">
        <v>20</v>
      </c>
      <c r="D1493" s="9" t="s">
        <v>14</v>
      </c>
      <c r="E1493" s="10">
        <v>125</v>
      </c>
      <c r="F1493" s="10">
        <f t="shared" si="24"/>
        <v>2500</v>
      </c>
    </row>
    <row r="1494" spans="1:6" s="9" customFormat="1" x14ac:dyDescent="0.25">
      <c r="B1494" s="4"/>
      <c r="C1494" s="5">
        <v>60</v>
      </c>
      <c r="D1494" s="9" t="s">
        <v>11</v>
      </c>
      <c r="E1494" s="10">
        <v>110</v>
      </c>
      <c r="F1494" s="10">
        <f t="shared" si="24"/>
        <v>6600</v>
      </c>
    </row>
    <row r="1495" spans="1:6" s="9" customFormat="1" x14ac:dyDescent="0.25">
      <c r="B1495" s="4"/>
      <c r="C1495" s="5"/>
      <c r="E1495" s="10"/>
      <c r="F1495" s="8">
        <f>SUM(F1491:F1494)</f>
        <v>27850</v>
      </c>
    </row>
    <row r="1496" spans="1:6" s="9" customFormat="1" x14ac:dyDescent="0.25">
      <c r="B1496" s="4"/>
      <c r="C1496" s="5"/>
      <c r="E1496" s="10"/>
      <c r="F1496" s="10"/>
    </row>
    <row r="1497" spans="1:6" s="9" customFormat="1" x14ac:dyDescent="0.25">
      <c r="A1497" s="9" t="s">
        <v>103</v>
      </c>
      <c r="B1497" s="4">
        <v>45770</v>
      </c>
      <c r="C1497" s="5">
        <v>4</v>
      </c>
      <c r="D1497" s="9" t="s">
        <v>13</v>
      </c>
      <c r="E1497" s="10">
        <v>150</v>
      </c>
      <c r="F1497" s="10">
        <f t="shared" si="24"/>
        <v>600</v>
      </c>
    </row>
    <row r="1498" spans="1:6" s="9" customFormat="1" x14ac:dyDescent="0.25">
      <c r="B1498" s="4"/>
      <c r="C1498" s="5"/>
      <c r="E1498" s="10"/>
      <c r="F1498" s="8">
        <f>SUM(F1497)</f>
        <v>600</v>
      </c>
    </row>
    <row r="1499" spans="1:6" s="9" customFormat="1" x14ac:dyDescent="0.25">
      <c r="B1499" s="4"/>
      <c r="C1499" s="5"/>
      <c r="E1499" s="10"/>
      <c r="F1499" s="10"/>
    </row>
    <row r="1500" spans="1:6" s="9" customFormat="1" x14ac:dyDescent="0.25">
      <c r="A1500" s="9" t="s">
        <v>499</v>
      </c>
      <c r="B1500" s="4">
        <v>45770</v>
      </c>
      <c r="C1500" s="5">
        <v>100</v>
      </c>
      <c r="D1500" s="9" t="s">
        <v>13</v>
      </c>
      <c r="E1500" s="10">
        <v>125</v>
      </c>
      <c r="F1500" s="10">
        <f t="shared" si="24"/>
        <v>12500</v>
      </c>
    </row>
    <row r="1501" spans="1:6" s="9" customFormat="1" x14ac:dyDescent="0.25">
      <c r="B1501" s="4"/>
      <c r="C1501" s="5"/>
      <c r="E1501" s="10"/>
      <c r="F1501" s="8">
        <f>SUM(F1500)</f>
        <v>12500</v>
      </c>
    </row>
    <row r="1502" spans="1:6" s="9" customFormat="1" x14ac:dyDescent="0.25">
      <c r="B1502" s="4"/>
      <c r="C1502" s="5"/>
      <c r="E1502" s="10"/>
      <c r="F1502" s="10"/>
    </row>
    <row r="1503" spans="1:6" s="9" customFormat="1" x14ac:dyDescent="0.25">
      <c r="A1503" s="9" t="s">
        <v>101</v>
      </c>
      <c r="B1503" s="4">
        <v>45770</v>
      </c>
      <c r="C1503" s="5">
        <v>6</v>
      </c>
      <c r="D1503" s="9" t="s">
        <v>98</v>
      </c>
      <c r="E1503" s="10">
        <v>100</v>
      </c>
      <c r="F1503" s="10">
        <f t="shared" ref="F1503:F1565" si="25">+C1503*E1503</f>
        <v>600</v>
      </c>
    </row>
    <row r="1504" spans="1:6" s="9" customFormat="1" x14ac:dyDescent="0.25">
      <c r="B1504" s="4"/>
      <c r="C1504" s="5">
        <v>1</v>
      </c>
      <c r="D1504" s="9" t="s">
        <v>13</v>
      </c>
      <c r="E1504" s="10">
        <v>160</v>
      </c>
      <c r="F1504" s="10">
        <f t="shared" si="25"/>
        <v>160</v>
      </c>
    </row>
    <row r="1505" spans="1:6" s="9" customFormat="1" x14ac:dyDescent="0.25">
      <c r="B1505" s="4"/>
      <c r="C1505" s="5">
        <v>5</v>
      </c>
      <c r="D1505" s="9" t="s">
        <v>75</v>
      </c>
      <c r="E1505" s="10">
        <v>150</v>
      </c>
      <c r="F1505" s="10">
        <f t="shared" si="25"/>
        <v>750</v>
      </c>
    </row>
    <row r="1506" spans="1:6" s="9" customFormat="1" x14ac:dyDescent="0.25">
      <c r="B1506" s="4"/>
      <c r="C1506" s="5">
        <v>1</v>
      </c>
      <c r="D1506" s="9" t="s">
        <v>8</v>
      </c>
      <c r="E1506" s="10">
        <v>170</v>
      </c>
      <c r="F1506" s="10">
        <f t="shared" si="25"/>
        <v>170</v>
      </c>
    </row>
    <row r="1507" spans="1:6" s="9" customFormat="1" x14ac:dyDescent="0.25">
      <c r="B1507" s="4"/>
      <c r="C1507" s="5">
        <v>10</v>
      </c>
      <c r="D1507" s="9" t="s">
        <v>219</v>
      </c>
      <c r="E1507" s="10">
        <v>150</v>
      </c>
      <c r="F1507" s="10">
        <f t="shared" si="25"/>
        <v>1500</v>
      </c>
    </row>
    <row r="1508" spans="1:6" s="9" customFormat="1" x14ac:dyDescent="0.25">
      <c r="B1508" s="4"/>
      <c r="C1508" s="5"/>
      <c r="E1508" s="10"/>
      <c r="F1508" s="8">
        <f>SUM(F1503:F1507)</f>
        <v>3180</v>
      </c>
    </row>
    <row r="1509" spans="1:6" s="9" customFormat="1" x14ac:dyDescent="0.25">
      <c r="B1509" s="4"/>
      <c r="C1509" s="5"/>
      <c r="E1509" s="10"/>
      <c r="F1509" s="10"/>
    </row>
    <row r="1510" spans="1:6" s="9" customFormat="1" x14ac:dyDescent="0.25">
      <c r="A1510" s="9" t="s">
        <v>194</v>
      </c>
      <c r="B1510" s="4">
        <v>45770</v>
      </c>
      <c r="C1510" s="5">
        <v>200</v>
      </c>
      <c r="D1510" s="9" t="s">
        <v>13</v>
      </c>
      <c r="E1510" s="10">
        <v>108</v>
      </c>
      <c r="F1510" s="10">
        <f t="shared" si="25"/>
        <v>21600</v>
      </c>
    </row>
    <row r="1511" spans="1:6" s="9" customFormat="1" x14ac:dyDescent="0.25">
      <c r="B1511" s="4"/>
      <c r="C1511" s="5"/>
      <c r="E1511" s="10"/>
      <c r="F1511" s="8">
        <f>SUM(F1510)</f>
        <v>21600</v>
      </c>
    </row>
    <row r="1512" spans="1:6" s="9" customFormat="1" x14ac:dyDescent="0.25">
      <c r="B1512" s="4"/>
      <c r="C1512" s="5"/>
      <c r="E1512" s="10"/>
      <c r="F1512" s="10"/>
    </row>
    <row r="1513" spans="1:6" s="9" customFormat="1" x14ac:dyDescent="0.25">
      <c r="A1513" s="9" t="s">
        <v>7</v>
      </c>
      <c r="B1513" s="4">
        <v>45770</v>
      </c>
      <c r="C1513" s="5">
        <v>14</v>
      </c>
      <c r="D1513" s="9" t="s">
        <v>500</v>
      </c>
      <c r="E1513" s="10">
        <v>140</v>
      </c>
      <c r="F1513" s="10">
        <f t="shared" si="25"/>
        <v>1960</v>
      </c>
    </row>
    <row r="1514" spans="1:6" s="9" customFormat="1" x14ac:dyDescent="0.25">
      <c r="B1514" s="4"/>
      <c r="C1514" s="11">
        <v>0.5</v>
      </c>
      <c r="D1514" s="9" t="s">
        <v>8</v>
      </c>
      <c r="E1514" s="10">
        <v>170</v>
      </c>
      <c r="F1514" s="10">
        <f t="shared" si="25"/>
        <v>85</v>
      </c>
    </row>
    <row r="1515" spans="1:6" s="9" customFormat="1" x14ac:dyDescent="0.25">
      <c r="B1515" s="4"/>
      <c r="C1515" s="5"/>
      <c r="E1515" s="10"/>
      <c r="F1515" s="8">
        <f>SUM(F1513:F1514)</f>
        <v>2045</v>
      </c>
    </row>
    <row r="1516" spans="1:6" s="9" customFormat="1" x14ac:dyDescent="0.25">
      <c r="B1516" s="4"/>
      <c r="C1516" s="5"/>
      <c r="E1516" s="10"/>
      <c r="F1516" s="10"/>
    </row>
    <row r="1517" spans="1:6" s="9" customFormat="1" x14ac:dyDescent="0.25">
      <c r="A1517" s="9" t="s">
        <v>56</v>
      </c>
      <c r="B1517" s="4">
        <v>45801</v>
      </c>
      <c r="C1517" s="5">
        <v>10</v>
      </c>
      <c r="D1517" s="9" t="s">
        <v>98</v>
      </c>
      <c r="E1517" s="10">
        <v>100</v>
      </c>
      <c r="F1517" s="10">
        <f t="shared" si="25"/>
        <v>1000</v>
      </c>
    </row>
    <row r="1518" spans="1:6" s="9" customFormat="1" x14ac:dyDescent="0.25">
      <c r="B1518" s="4"/>
      <c r="C1518" s="5"/>
      <c r="E1518" s="10"/>
      <c r="F1518" s="8">
        <f>SUM(F1517)</f>
        <v>1000</v>
      </c>
    </row>
    <row r="1519" spans="1:6" s="9" customFormat="1" x14ac:dyDescent="0.25">
      <c r="B1519" s="4"/>
      <c r="C1519" s="5"/>
      <c r="E1519" s="10"/>
      <c r="F1519" s="10"/>
    </row>
    <row r="1520" spans="1:6" s="9" customFormat="1" x14ac:dyDescent="0.25">
      <c r="A1520" s="9" t="s">
        <v>501</v>
      </c>
      <c r="B1520" s="4">
        <v>45801</v>
      </c>
      <c r="C1520" s="5">
        <v>10</v>
      </c>
      <c r="D1520" s="9" t="s">
        <v>13</v>
      </c>
      <c r="E1520" s="10">
        <v>150</v>
      </c>
      <c r="F1520" s="10">
        <f t="shared" si="25"/>
        <v>1500</v>
      </c>
    </row>
    <row r="1521" spans="1:6" s="9" customFormat="1" x14ac:dyDescent="0.25">
      <c r="B1521" s="4"/>
      <c r="C1521" s="5"/>
      <c r="E1521" s="10"/>
      <c r="F1521" s="8">
        <f>SUM(F1520)</f>
        <v>1500</v>
      </c>
    </row>
    <row r="1522" spans="1:6" s="9" customFormat="1" x14ac:dyDescent="0.25">
      <c r="B1522" s="4"/>
      <c r="C1522" s="5"/>
      <c r="E1522" s="10"/>
      <c r="F1522" s="10"/>
    </row>
    <row r="1523" spans="1:6" s="9" customFormat="1" x14ac:dyDescent="0.25">
      <c r="A1523" s="9" t="s">
        <v>502</v>
      </c>
      <c r="B1523" s="4">
        <v>45771</v>
      </c>
      <c r="C1523" s="5">
        <v>10</v>
      </c>
      <c r="D1523" s="9" t="s">
        <v>98</v>
      </c>
      <c r="E1523" s="10">
        <v>100</v>
      </c>
      <c r="F1523" s="10">
        <f t="shared" si="25"/>
        <v>1000</v>
      </c>
    </row>
    <row r="1524" spans="1:6" s="9" customFormat="1" x14ac:dyDescent="0.25">
      <c r="B1524" s="4"/>
      <c r="C1524" s="5"/>
      <c r="E1524" s="10"/>
      <c r="F1524" s="8">
        <f>SUM(F1523)</f>
        <v>1000</v>
      </c>
    </row>
    <row r="1525" spans="1:6" s="9" customFormat="1" x14ac:dyDescent="0.25">
      <c r="B1525" s="4"/>
      <c r="C1525" s="5"/>
      <c r="E1525" s="10"/>
      <c r="F1525" s="10"/>
    </row>
    <row r="1526" spans="1:6" s="9" customFormat="1" x14ac:dyDescent="0.25">
      <c r="A1526" s="9" t="s">
        <v>503</v>
      </c>
      <c r="B1526" s="4">
        <v>45771</v>
      </c>
      <c r="C1526" s="5">
        <v>105</v>
      </c>
      <c r="D1526" s="9" t="s">
        <v>8</v>
      </c>
      <c r="E1526" s="10">
        <v>160</v>
      </c>
      <c r="F1526" s="10">
        <f t="shared" si="25"/>
        <v>16800</v>
      </c>
    </row>
    <row r="1527" spans="1:6" s="9" customFormat="1" x14ac:dyDescent="0.25">
      <c r="B1527" s="4"/>
      <c r="C1527" s="5">
        <v>30</v>
      </c>
      <c r="D1527" s="9" t="s">
        <v>12</v>
      </c>
      <c r="E1527" s="10">
        <v>120</v>
      </c>
      <c r="F1527" s="10">
        <f t="shared" si="25"/>
        <v>3600</v>
      </c>
    </row>
    <row r="1528" spans="1:6" s="9" customFormat="1" x14ac:dyDescent="0.25">
      <c r="B1528" s="4"/>
      <c r="C1528" s="5"/>
      <c r="E1528" s="10"/>
      <c r="F1528" s="8">
        <f>SUM(F1526:F1527)</f>
        <v>20400</v>
      </c>
    </row>
    <row r="1529" spans="1:6" s="9" customFormat="1" x14ac:dyDescent="0.25">
      <c r="B1529" s="4"/>
      <c r="C1529" s="5"/>
      <c r="E1529" s="10"/>
      <c r="F1529" s="10"/>
    </row>
    <row r="1530" spans="1:6" s="9" customFormat="1" x14ac:dyDescent="0.25">
      <c r="A1530" s="9" t="s">
        <v>61</v>
      </c>
      <c r="B1530" s="4">
        <v>45771</v>
      </c>
      <c r="C1530" s="5">
        <v>50</v>
      </c>
      <c r="D1530" s="9" t="s">
        <v>13</v>
      </c>
      <c r="E1530" s="10">
        <v>140</v>
      </c>
      <c r="F1530" s="10">
        <f t="shared" si="25"/>
        <v>7000</v>
      </c>
    </row>
    <row r="1531" spans="1:6" s="9" customFormat="1" x14ac:dyDescent="0.25">
      <c r="B1531" s="4"/>
      <c r="C1531" s="11">
        <v>2.5</v>
      </c>
      <c r="D1531" s="9" t="s">
        <v>135</v>
      </c>
      <c r="E1531" s="10">
        <v>0</v>
      </c>
      <c r="F1531" s="10">
        <f t="shared" si="25"/>
        <v>0</v>
      </c>
    </row>
    <row r="1532" spans="1:6" s="9" customFormat="1" x14ac:dyDescent="0.25">
      <c r="B1532" s="4"/>
      <c r="C1532" s="5"/>
      <c r="E1532" s="10"/>
      <c r="F1532" s="8">
        <f>SUM(F1530:F1531)</f>
        <v>7000</v>
      </c>
    </row>
    <row r="1533" spans="1:6" s="9" customFormat="1" x14ac:dyDescent="0.25">
      <c r="B1533" s="4"/>
      <c r="C1533" s="5"/>
      <c r="E1533" s="10"/>
      <c r="F1533" s="10"/>
    </row>
    <row r="1534" spans="1:6" s="9" customFormat="1" x14ac:dyDescent="0.25">
      <c r="A1534" s="9" t="s">
        <v>60</v>
      </c>
      <c r="B1534" s="4">
        <v>45771</v>
      </c>
      <c r="C1534" s="5">
        <v>30</v>
      </c>
      <c r="D1534" s="9" t="s">
        <v>13</v>
      </c>
      <c r="E1534" s="10">
        <v>140</v>
      </c>
      <c r="F1534" s="10">
        <f t="shared" si="25"/>
        <v>4200</v>
      </c>
    </row>
    <row r="1535" spans="1:6" s="9" customFormat="1" x14ac:dyDescent="0.25">
      <c r="B1535" s="4"/>
      <c r="C1535" s="5">
        <v>1</v>
      </c>
      <c r="D1535" s="9" t="s">
        <v>135</v>
      </c>
      <c r="E1535" s="10"/>
      <c r="F1535" s="10">
        <f t="shared" si="25"/>
        <v>0</v>
      </c>
    </row>
    <row r="1536" spans="1:6" s="9" customFormat="1" x14ac:dyDescent="0.25">
      <c r="B1536" s="4"/>
      <c r="C1536" s="5"/>
      <c r="E1536" s="10"/>
      <c r="F1536" s="8">
        <f>SUM(F1534:F1535)</f>
        <v>4200</v>
      </c>
    </row>
    <row r="1537" spans="1:6" s="9" customFormat="1" x14ac:dyDescent="0.25">
      <c r="B1537" s="4"/>
      <c r="C1537" s="5"/>
      <c r="E1537" s="10"/>
      <c r="F1537" s="10"/>
    </row>
    <row r="1538" spans="1:6" s="9" customFormat="1" x14ac:dyDescent="0.25">
      <c r="A1538" s="9" t="s">
        <v>89</v>
      </c>
      <c r="B1538" s="4">
        <v>45771</v>
      </c>
      <c r="C1538" s="5">
        <v>30</v>
      </c>
      <c r="D1538" s="9" t="s">
        <v>13</v>
      </c>
      <c r="E1538" s="10">
        <v>130</v>
      </c>
      <c r="F1538" s="10">
        <f t="shared" si="25"/>
        <v>3900</v>
      </c>
    </row>
    <row r="1539" spans="1:6" s="9" customFormat="1" x14ac:dyDescent="0.25">
      <c r="B1539" s="4"/>
      <c r="C1539" s="5">
        <v>50</v>
      </c>
      <c r="D1539" s="9" t="s">
        <v>22</v>
      </c>
      <c r="E1539" s="10">
        <v>100</v>
      </c>
      <c r="F1539" s="10">
        <f t="shared" si="25"/>
        <v>5000</v>
      </c>
    </row>
    <row r="1540" spans="1:6" s="9" customFormat="1" x14ac:dyDescent="0.25">
      <c r="B1540" s="4"/>
      <c r="C1540" s="5">
        <v>6</v>
      </c>
      <c r="D1540" s="9" t="s">
        <v>14</v>
      </c>
      <c r="E1540" s="10">
        <v>125</v>
      </c>
      <c r="F1540" s="10">
        <f t="shared" si="25"/>
        <v>750</v>
      </c>
    </row>
    <row r="1541" spans="1:6" s="9" customFormat="1" x14ac:dyDescent="0.25">
      <c r="B1541" s="4"/>
      <c r="C1541" s="5">
        <v>14</v>
      </c>
      <c r="D1541" s="9" t="s">
        <v>11</v>
      </c>
      <c r="E1541" s="10">
        <v>115</v>
      </c>
      <c r="F1541" s="10">
        <f t="shared" si="25"/>
        <v>1610</v>
      </c>
    </row>
    <row r="1542" spans="1:6" s="9" customFormat="1" x14ac:dyDescent="0.25">
      <c r="B1542" s="4"/>
      <c r="C1542" s="5"/>
      <c r="E1542" s="10"/>
      <c r="F1542" s="8">
        <f>SUM(F1538:F1541)</f>
        <v>11260</v>
      </c>
    </row>
    <row r="1543" spans="1:6" s="9" customFormat="1" x14ac:dyDescent="0.25">
      <c r="B1543" s="4"/>
      <c r="C1543" s="5"/>
      <c r="E1543" s="10"/>
      <c r="F1543" s="10"/>
    </row>
    <row r="1544" spans="1:6" s="9" customFormat="1" x14ac:dyDescent="0.25">
      <c r="A1544" s="9" t="s">
        <v>245</v>
      </c>
      <c r="B1544" s="4">
        <v>45771</v>
      </c>
      <c r="C1544" s="5">
        <v>30</v>
      </c>
      <c r="D1544" s="9" t="s">
        <v>13</v>
      </c>
      <c r="E1544" s="10">
        <v>140</v>
      </c>
      <c r="F1544" s="10">
        <f t="shared" si="25"/>
        <v>4200</v>
      </c>
    </row>
    <row r="1545" spans="1:6" s="9" customFormat="1" x14ac:dyDescent="0.25">
      <c r="B1545" s="4"/>
      <c r="C1545" s="5">
        <v>10</v>
      </c>
      <c r="D1545" s="9" t="s">
        <v>14</v>
      </c>
      <c r="E1545" s="10">
        <v>130</v>
      </c>
      <c r="F1545" s="10">
        <f t="shared" si="25"/>
        <v>1300</v>
      </c>
    </row>
    <row r="1546" spans="1:6" s="9" customFormat="1" x14ac:dyDescent="0.25">
      <c r="B1546" s="4"/>
      <c r="C1546" s="5">
        <v>1.02</v>
      </c>
      <c r="D1546" s="9" t="s">
        <v>504</v>
      </c>
      <c r="E1546" s="10">
        <v>0</v>
      </c>
      <c r="F1546" s="10">
        <f t="shared" si="25"/>
        <v>0</v>
      </c>
    </row>
    <row r="1547" spans="1:6" s="9" customFormat="1" x14ac:dyDescent="0.25">
      <c r="B1547" s="4"/>
      <c r="C1547" s="5"/>
      <c r="E1547" s="10"/>
      <c r="F1547" s="8">
        <f>SUM(F1544:F1546)</f>
        <v>5500</v>
      </c>
    </row>
    <row r="1548" spans="1:6" s="9" customFormat="1" x14ac:dyDescent="0.25">
      <c r="B1548" s="4"/>
      <c r="C1548" s="5"/>
      <c r="E1548" s="10"/>
      <c r="F1548" s="10"/>
    </row>
    <row r="1549" spans="1:6" s="9" customFormat="1" x14ac:dyDescent="0.25">
      <c r="A1549" s="9" t="s">
        <v>151</v>
      </c>
      <c r="B1549" s="4">
        <v>45771</v>
      </c>
      <c r="C1549" s="5">
        <v>60</v>
      </c>
      <c r="D1549" s="9" t="s">
        <v>14</v>
      </c>
      <c r="E1549" s="10">
        <v>110</v>
      </c>
      <c r="F1549" s="10">
        <f t="shared" si="25"/>
        <v>6600</v>
      </c>
    </row>
    <row r="1550" spans="1:6" s="9" customFormat="1" x14ac:dyDescent="0.25">
      <c r="B1550" s="4"/>
      <c r="C1550" s="5">
        <v>20</v>
      </c>
      <c r="D1550" s="9" t="s">
        <v>50</v>
      </c>
      <c r="E1550" s="10">
        <v>80</v>
      </c>
      <c r="F1550" s="10">
        <f t="shared" si="25"/>
        <v>1600</v>
      </c>
    </row>
    <row r="1551" spans="1:6" s="9" customFormat="1" x14ac:dyDescent="0.25">
      <c r="B1551" s="4"/>
      <c r="C1551" s="5">
        <v>100</v>
      </c>
      <c r="E1551" s="10">
        <v>90</v>
      </c>
      <c r="F1551" s="10">
        <f t="shared" si="25"/>
        <v>9000</v>
      </c>
    </row>
    <row r="1552" spans="1:6" s="9" customFormat="1" x14ac:dyDescent="0.25">
      <c r="B1552" s="4"/>
      <c r="C1552" s="5"/>
      <c r="E1552" s="10"/>
      <c r="F1552" s="8">
        <f>SUM(F1549:F1551)</f>
        <v>17200</v>
      </c>
    </row>
    <row r="1553" spans="1:6" s="9" customFormat="1" x14ac:dyDescent="0.25">
      <c r="B1553" s="4"/>
      <c r="C1553" s="5"/>
      <c r="E1553" s="10"/>
      <c r="F1553" s="10"/>
    </row>
    <row r="1554" spans="1:6" s="9" customFormat="1" x14ac:dyDescent="0.25">
      <c r="A1554" s="9" t="s">
        <v>29</v>
      </c>
      <c r="B1554" s="4">
        <v>45771</v>
      </c>
      <c r="C1554" s="5">
        <v>8</v>
      </c>
      <c r="D1554" s="9" t="s">
        <v>12</v>
      </c>
      <c r="E1554" s="10">
        <v>140</v>
      </c>
      <c r="F1554" s="10">
        <f t="shared" si="25"/>
        <v>1120</v>
      </c>
    </row>
    <row r="1555" spans="1:6" s="9" customFormat="1" x14ac:dyDescent="0.25">
      <c r="B1555" s="4"/>
      <c r="C1555" s="5"/>
      <c r="E1555" s="10"/>
      <c r="F1555" s="8">
        <f>SUM(F1554)</f>
        <v>1120</v>
      </c>
    </row>
    <row r="1556" spans="1:6" s="9" customFormat="1" x14ac:dyDescent="0.25">
      <c r="B1556" s="4"/>
      <c r="C1556" s="5"/>
      <c r="E1556" s="10"/>
      <c r="F1556" s="10"/>
    </row>
    <row r="1557" spans="1:6" s="9" customFormat="1" x14ac:dyDescent="0.25">
      <c r="A1557" s="9" t="s">
        <v>7</v>
      </c>
      <c r="B1557" s="4">
        <v>45771</v>
      </c>
      <c r="C1557" s="11">
        <v>0.5</v>
      </c>
      <c r="D1557" s="9" t="s">
        <v>78</v>
      </c>
      <c r="E1557" s="10">
        <v>100</v>
      </c>
      <c r="F1557" s="10">
        <f t="shared" si="25"/>
        <v>50</v>
      </c>
    </row>
    <row r="1558" spans="1:6" s="9" customFormat="1" x14ac:dyDescent="0.25">
      <c r="B1558" s="4"/>
      <c r="C1558" s="5"/>
      <c r="E1558" s="10"/>
      <c r="F1558" s="8">
        <f>SUM(F1557)</f>
        <v>50</v>
      </c>
    </row>
    <row r="1559" spans="1:6" s="9" customFormat="1" x14ac:dyDescent="0.25">
      <c r="B1559" s="4"/>
      <c r="C1559" s="5"/>
      <c r="E1559" s="10"/>
      <c r="F1559" s="10"/>
    </row>
    <row r="1560" spans="1:6" s="9" customFormat="1" x14ac:dyDescent="0.25">
      <c r="A1560" s="9" t="s">
        <v>21</v>
      </c>
      <c r="B1560" s="4">
        <v>45772</v>
      </c>
      <c r="C1560" s="5">
        <v>20</v>
      </c>
      <c r="D1560" s="9" t="s">
        <v>22</v>
      </c>
      <c r="E1560" s="10">
        <v>95</v>
      </c>
      <c r="F1560" s="10">
        <f t="shared" si="25"/>
        <v>1900</v>
      </c>
    </row>
    <row r="1561" spans="1:6" s="9" customFormat="1" x14ac:dyDescent="0.25">
      <c r="B1561" s="4"/>
      <c r="C1561" s="5">
        <v>10</v>
      </c>
      <c r="D1561" s="9" t="s">
        <v>13</v>
      </c>
      <c r="E1561" s="10">
        <v>125</v>
      </c>
      <c r="F1561" s="10">
        <f t="shared" si="25"/>
        <v>1250</v>
      </c>
    </row>
    <row r="1562" spans="1:6" s="9" customFormat="1" x14ac:dyDescent="0.25">
      <c r="B1562" s="4"/>
      <c r="C1562" s="5"/>
      <c r="E1562" s="10"/>
      <c r="F1562" s="8">
        <f>SUM(F1560:F1561)</f>
        <v>3150</v>
      </c>
    </row>
    <row r="1563" spans="1:6" s="9" customFormat="1" x14ac:dyDescent="0.25">
      <c r="B1563" s="4"/>
      <c r="C1563" s="5"/>
      <c r="E1563" s="10"/>
      <c r="F1563" s="10"/>
    </row>
    <row r="1564" spans="1:6" s="9" customFormat="1" x14ac:dyDescent="0.25">
      <c r="A1564" s="9" t="s">
        <v>40</v>
      </c>
      <c r="B1564" s="4">
        <v>45772</v>
      </c>
      <c r="C1564" s="5">
        <v>10</v>
      </c>
      <c r="D1564" s="9" t="s">
        <v>22</v>
      </c>
      <c r="E1564" s="10">
        <v>95</v>
      </c>
      <c r="F1564" s="10">
        <f t="shared" si="25"/>
        <v>950</v>
      </c>
    </row>
    <row r="1565" spans="1:6" s="9" customFormat="1" x14ac:dyDescent="0.25">
      <c r="B1565" s="4"/>
      <c r="C1565" s="5">
        <v>10</v>
      </c>
      <c r="D1565" s="9" t="s">
        <v>13</v>
      </c>
      <c r="E1565" s="10">
        <v>125</v>
      </c>
      <c r="F1565" s="10">
        <f t="shared" si="25"/>
        <v>1250</v>
      </c>
    </row>
    <row r="1566" spans="1:6" s="9" customFormat="1" x14ac:dyDescent="0.25">
      <c r="B1566" s="4"/>
      <c r="C1566" s="5">
        <v>10</v>
      </c>
      <c r="D1566" s="9" t="s">
        <v>14</v>
      </c>
      <c r="E1566" s="10">
        <v>120</v>
      </c>
      <c r="F1566" s="10">
        <f t="shared" ref="F1566:F1628" si="26">+C1566*E1566</f>
        <v>1200</v>
      </c>
    </row>
    <row r="1567" spans="1:6" s="9" customFormat="1" x14ac:dyDescent="0.25">
      <c r="B1567" s="4"/>
      <c r="C1567" s="5"/>
      <c r="E1567" s="10"/>
      <c r="F1567" s="8">
        <f>SUM(F1564:F1566)</f>
        <v>3400</v>
      </c>
    </row>
    <row r="1568" spans="1:6" s="9" customFormat="1" x14ac:dyDescent="0.25">
      <c r="B1568" s="4"/>
      <c r="C1568" s="5"/>
      <c r="E1568" s="10"/>
      <c r="F1568" s="10"/>
    </row>
    <row r="1569" spans="1:6" s="9" customFormat="1" x14ac:dyDescent="0.25">
      <c r="A1569" s="9" t="s">
        <v>334</v>
      </c>
      <c r="B1569" s="4">
        <v>45772</v>
      </c>
      <c r="C1569" s="5">
        <v>10</v>
      </c>
      <c r="D1569" s="9" t="s">
        <v>98</v>
      </c>
      <c r="E1569" s="10">
        <v>100</v>
      </c>
      <c r="F1569" s="10">
        <f t="shared" si="26"/>
        <v>1000</v>
      </c>
    </row>
    <row r="1570" spans="1:6" s="9" customFormat="1" x14ac:dyDescent="0.25">
      <c r="B1570" s="4"/>
      <c r="C1570" s="5"/>
      <c r="E1570" s="10"/>
      <c r="F1570" s="8">
        <f>SUM(F1569)</f>
        <v>1000</v>
      </c>
    </row>
    <row r="1571" spans="1:6" s="9" customFormat="1" x14ac:dyDescent="0.25">
      <c r="B1571" s="4"/>
      <c r="C1571" s="5"/>
      <c r="E1571" s="10"/>
      <c r="F1571" s="10"/>
    </row>
    <row r="1572" spans="1:6" s="9" customFormat="1" x14ac:dyDescent="0.25">
      <c r="A1572" s="9" t="s">
        <v>15</v>
      </c>
      <c r="B1572" s="4">
        <v>45772</v>
      </c>
      <c r="C1572" s="5">
        <v>60</v>
      </c>
      <c r="D1572" s="9" t="s">
        <v>98</v>
      </c>
      <c r="E1572" s="10">
        <v>80</v>
      </c>
      <c r="F1572" s="10">
        <f t="shared" si="26"/>
        <v>4800</v>
      </c>
    </row>
    <row r="1573" spans="1:6" s="9" customFormat="1" x14ac:dyDescent="0.25">
      <c r="B1573" s="4"/>
      <c r="C1573" s="5"/>
      <c r="E1573" s="10"/>
      <c r="F1573" s="8">
        <f>SUM(F1572)</f>
        <v>4800</v>
      </c>
    </row>
    <row r="1574" spans="1:6" s="9" customFormat="1" x14ac:dyDescent="0.25">
      <c r="B1574" s="4"/>
      <c r="C1574" s="5"/>
      <c r="E1574" s="10"/>
      <c r="F1574" s="10"/>
    </row>
    <row r="1575" spans="1:6" s="9" customFormat="1" x14ac:dyDescent="0.25">
      <c r="A1575" s="9" t="s">
        <v>439</v>
      </c>
      <c r="B1575" s="4">
        <v>45772</v>
      </c>
      <c r="C1575" s="5">
        <v>6</v>
      </c>
      <c r="D1575" s="9" t="s">
        <v>505</v>
      </c>
      <c r="E1575" s="10">
        <v>100</v>
      </c>
      <c r="F1575" s="10">
        <f t="shared" si="26"/>
        <v>600</v>
      </c>
    </row>
    <row r="1576" spans="1:6" s="9" customFormat="1" x14ac:dyDescent="0.25">
      <c r="B1576" s="4"/>
      <c r="C1576" s="5"/>
      <c r="E1576" s="10"/>
      <c r="F1576" s="8">
        <f>SUM(F1575)</f>
        <v>600</v>
      </c>
    </row>
    <row r="1577" spans="1:6" s="9" customFormat="1" x14ac:dyDescent="0.25">
      <c r="B1577" s="4"/>
      <c r="C1577" s="5"/>
      <c r="E1577" s="10"/>
      <c r="F1577" s="10"/>
    </row>
    <row r="1578" spans="1:6" s="9" customFormat="1" x14ac:dyDescent="0.25">
      <c r="A1578" s="9" t="s">
        <v>58</v>
      </c>
      <c r="B1578" s="4">
        <v>45772</v>
      </c>
      <c r="C1578" s="5">
        <v>7</v>
      </c>
      <c r="D1578" s="9" t="s">
        <v>13</v>
      </c>
      <c r="E1578" s="10">
        <v>140</v>
      </c>
      <c r="F1578" s="10">
        <f t="shared" si="26"/>
        <v>980</v>
      </c>
    </row>
    <row r="1579" spans="1:6" s="9" customFormat="1" x14ac:dyDescent="0.25">
      <c r="B1579" s="4"/>
      <c r="C1579" s="5"/>
      <c r="E1579" s="10"/>
      <c r="F1579" s="8">
        <f>SUM(F1578)</f>
        <v>980</v>
      </c>
    </row>
    <row r="1580" spans="1:6" s="9" customFormat="1" x14ac:dyDescent="0.25">
      <c r="B1580" s="4"/>
      <c r="C1580" s="5"/>
      <c r="E1580" s="10"/>
      <c r="F1580" s="10"/>
    </row>
    <row r="1581" spans="1:6" s="9" customFormat="1" x14ac:dyDescent="0.25">
      <c r="A1581" s="9" t="s">
        <v>322</v>
      </c>
      <c r="B1581" s="4">
        <v>45772</v>
      </c>
      <c r="C1581" s="5">
        <v>2</v>
      </c>
      <c r="D1581" s="9" t="s">
        <v>14</v>
      </c>
      <c r="E1581" s="10">
        <v>125</v>
      </c>
      <c r="F1581" s="10">
        <f t="shared" si="26"/>
        <v>250</v>
      </c>
    </row>
    <row r="1582" spans="1:6" s="9" customFormat="1" x14ac:dyDescent="0.25">
      <c r="B1582" s="4"/>
      <c r="C1582" s="5">
        <v>4</v>
      </c>
      <c r="D1582" s="9" t="s">
        <v>22</v>
      </c>
      <c r="E1582" s="10">
        <v>100</v>
      </c>
      <c r="F1582" s="10">
        <f t="shared" si="26"/>
        <v>400</v>
      </c>
    </row>
    <row r="1583" spans="1:6" s="9" customFormat="1" x14ac:dyDescent="0.25">
      <c r="B1583" s="4"/>
      <c r="C1583" s="5">
        <v>3</v>
      </c>
      <c r="D1583" s="9" t="s">
        <v>13</v>
      </c>
      <c r="E1583" s="10">
        <v>145</v>
      </c>
      <c r="F1583" s="10">
        <f t="shared" si="26"/>
        <v>435</v>
      </c>
    </row>
    <row r="1584" spans="1:6" s="9" customFormat="1" x14ac:dyDescent="0.25">
      <c r="B1584" s="4"/>
      <c r="C1584" s="5"/>
      <c r="E1584" s="10"/>
      <c r="F1584" s="8">
        <f>SUM(F1581:F1583)</f>
        <v>1085</v>
      </c>
    </row>
    <row r="1585" spans="1:6" s="9" customFormat="1" x14ac:dyDescent="0.25">
      <c r="B1585" s="4"/>
      <c r="C1585" s="5"/>
      <c r="E1585" s="10"/>
      <c r="F1585" s="10"/>
    </row>
    <row r="1586" spans="1:6" s="9" customFormat="1" x14ac:dyDescent="0.25">
      <c r="A1586" s="9" t="s">
        <v>41</v>
      </c>
      <c r="B1586" s="4">
        <v>45772</v>
      </c>
      <c r="C1586" s="5">
        <v>20</v>
      </c>
      <c r="D1586" s="9" t="s">
        <v>14</v>
      </c>
      <c r="E1586" s="10">
        <v>130</v>
      </c>
      <c r="F1586" s="10">
        <f t="shared" si="26"/>
        <v>2600</v>
      </c>
    </row>
    <row r="1587" spans="1:6" s="9" customFormat="1" x14ac:dyDescent="0.25">
      <c r="B1587" s="4"/>
      <c r="C1587" s="5"/>
      <c r="E1587" s="10"/>
      <c r="F1587" s="8">
        <f>SUM(F1586)</f>
        <v>2600</v>
      </c>
    </row>
    <row r="1588" spans="1:6" s="9" customFormat="1" x14ac:dyDescent="0.25">
      <c r="B1588" s="4"/>
      <c r="C1588" s="5"/>
      <c r="E1588" s="10"/>
      <c r="F1588" s="10"/>
    </row>
    <row r="1589" spans="1:6" s="9" customFormat="1" x14ac:dyDescent="0.25">
      <c r="A1589" s="9" t="s">
        <v>106</v>
      </c>
      <c r="B1589" s="4">
        <v>45772</v>
      </c>
      <c r="C1589" s="5">
        <v>70</v>
      </c>
      <c r="D1589" s="9" t="s">
        <v>12</v>
      </c>
      <c r="E1589" s="10">
        <v>125</v>
      </c>
      <c r="F1589" s="10">
        <f t="shared" si="26"/>
        <v>8750</v>
      </c>
    </row>
    <row r="1590" spans="1:6" s="9" customFormat="1" x14ac:dyDescent="0.25">
      <c r="B1590" s="4"/>
      <c r="C1590" s="5"/>
      <c r="E1590" s="10"/>
      <c r="F1590" s="8">
        <f>SUM(F1589)</f>
        <v>8750</v>
      </c>
    </row>
    <row r="1591" spans="1:6" s="9" customFormat="1" x14ac:dyDescent="0.25">
      <c r="B1591" s="4"/>
      <c r="C1591" s="5"/>
      <c r="E1591" s="10"/>
      <c r="F1591" s="10"/>
    </row>
    <row r="1592" spans="1:6" s="9" customFormat="1" x14ac:dyDescent="0.25">
      <c r="A1592" s="9" t="s">
        <v>262</v>
      </c>
      <c r="B1592" s="4">
        <v>45833</v>
      </c>
      <c r="C1592" s="5">
        <v>20</v>
      </c>
      <c r="D1592" s="9" t="s">
        <v>49</v>
      </c>
      <c r="E1592" s="10">
        <v>135</v>
      </c>
      <c r="F1592" s="10">
        <f t="shared" si="26"/>
        <v>2700</v>
      </c>
    </row>
    <row r="1593" spans="1:6" s="9" customFormat="1" x14ac:dyDescent="0.25">
      <c r="B1593" s="4"/>
      <c r="C1593" s="5">
        <v>9</v>
      </c>
      <c r="D1593" s="9" t="s">
        <v>14</v>
      </c>
      <c r="E1593" s="10">
        <v>125</v>
      </c>
      <c r="F1593" s="10">
        <f t="shared" si="26"/>
        <v>1125</v>
      </c>
    </row>
    <row r="1594" spans="1:6" s="9" customFormat="1" x14ac:dyDescent="0.25">
      <c r="B1594" s="4"/>
      <c r="C1594" s="5"/>
      <c r="E1594" s="10"/>
      <c r="F1594" s="8">
        <f>SUM(F1592:F1593)</f>
        <v>3825</v>
      </c>
    </row>
    <row r="1595" spans="1:6" s="9" customFormat="1" x14ac:dyDescent="0.25">
      <c r="B1595" s="4"/>
      <c r="C1595" s="5"/>
      <c r="E1595" s="10"/>
      <c r="F1595" s="10"/>
    </row>
    <row r="1596" spans="1:6" s="9" customFormat="1" x14ac:dyDescent="0.25">
      <c r="A1596" s="9" t="s">
        <v>44</v>
      </c>
      <c r="B1596" s="4">
        <v>45772</v>
      </c>
      <c r="C1596" s="5">
        <v>60</v>
      </c>
      <c r="D1596" s="9" t="s">
        <v>14</v>
      </c>
      <c r="E1596" s="10">
        <v>125</v>
      </c>
      <c r="F1596" s="10">
        <f t="shared" si="26"/>
        <v>7500</v>
      </c>
    </row>
    <row r="1597" spans="1:6" s="9" customFormat="1" x14ac:dyDescent="0.25">
      <c r="B1597" s="4"/>
      <c r="C1597" s="5"/>
      <c r="E1597" s="10"/>
      <c r="F1597" s="8">
        <f>SUM(F1596)</f>
        <v>7500</v>
      </c>
    </row>
    <row r="1598" spans="1:6" s="9" customFormat="1" x14ac:dyDescent="0.25">
      <c r="B1598" s="4"/>
      <c r="C1598" s="5"/>
      <c r="E1598" s="10"/>
      <c r="F1598" s="10"/>
    </row>
    <row r="1599" spans="1:6" s="9" customFormat="1" x14ac:dyDescent="0.25">
      <c r="A1599" s="9" t="s">
        <v>18</v>
      </c>
      <c r="B1599" s="4">
        <v>45772</v>
      </c>
      <c r="C1599" s="5">
        <v>10</v>
      </c>
      <c r="D1599" s="9" t="s">
        <v>13</v>
      </c>
      <c r="E1599" s="10">
        <v>140</v>
      </c>
      <c r="F1599" s="10">
        <f t="shared" si="26"/>
        <v>1400</v>
      </c>
    </row>
    <row r="1600" spans="1:6" s="9" customFormat="1" x14ac:dyDescent="0.25">
      <c r="B1600" s="4"/>
      <c r="C1600" s="5">
        <v>30</v>
      </c>
      <c r="D1600" s="9" t="s">
        <v>14</v>
      </c>
      <c r="E1600" s="10">
        <v>125</v>
      </c>
      <c r="F1600" s="10">
        <f t="shared" si="26"/>
        <v>3750</v>
      </c>
    </row>
    <row r="1601" spans="1:6" s="9" customFormat="1" x14ac:dyDescent="0.25">
      <c r="B1601" s="4"/>
      <c r="C1601" s="5"/>
      <c r="E1601" s="10"/>
      <c r="F1601" s="8">
        <f>SUM(F1599:F1600)</f>
        <v>5150</v>
      </c>
    </row>
    <row r="1602" spans="1:6" s="9" customFormat="1" x14ac:dyDescent="0.25">
      <c r="B1602" s="4"/>
      <c r="C1602" s="5"/>
      <c r="E1602" s="10"/>
      <c r="F1602" s="10"/>
    </row>
    <row r="1603" spans="1:6" s="9" customFormat="1" x14ac:dyDescent="0.25">
      <c r="A1603" s="9" t="s">
        <v>46</v>
      </c>
      <c r="B1603" s="4">
        <v>45772</v>
      </c>
      <c r="C1603" s="5">
        <v>11</v>
      </c>
      <c r="D1603" s="9" t="s">
        <v>14</v>
      </c>
      <c r="E1603" s="10">
        <v>125</v>
      </c>
      <c r="F1603" s="10">
        <f t="shared" si="26"/>
        <v>1375</v>
      </c>
    </row>
    <row r="1604" spans="1:6" s="9" customFormat="1" x14ac:dyDescent="0.25">
      <c r="B1604" s="4"/>
      <c r="C1604" s="5"/>
      <c r="E1604" s="10"/>
      <c r="F1604" s="8">
        <f>SUM(F1603)</f>
        <v>1375</v>
      </c>
    </row>
    <row r="1605" spans="1:6" s="9" customFormat="1" x14ac:dyDescent="0.25">
      <c r="B1605" s="4"/>
      <c r="C1605" s="5"/>
      <c r="E1605" s="10"/>
      <c r="F1605" s="10"/>
    </row>
    <row r="1606" spans="1:6" s="9" customFormat="1" x14ac:dyDescent="0.25">
      <c r="A1606" s="9" t="s">
        <v>145</v>
      </c>
      <c r="B1606" s="4">
        <v>45772</v>
      </c>
      <c r="C1606" s="5">
        <v>150</v>
      </c>
      <c r="D1606" s="9" t="s">
        <v>14</v>
      </c>
      <c r="E1606" s="10">
        <v>120</v>
      </c>
      <c r="F1606" s="10">
        <f t="shared" si="26"/>
        <v>18000</v>
      </c>
    </row>
    <row r="1607" spans="1:6" s="9" customFormat="1" x14ac:dyDescent="0.25">
      <c r="B1607" s="4"/>
      <c r="C1607" s="5"/>
      <c r="E1607" s="10"/>
      <c r="F1607" s="8">
        <f>SUM(F1606)</f>
        <v>18000</v>
      </c>
    </row>
    <row r="1608" spans="1:6" s="9" customFormat="1" x14ac:dyDescent="0.25">
      <c r="B1608" s="4"/>
      <c r="C1608" s="5"/>
      <c r="E1608" s="10"/>
      <c r="F1608" s="10"/>
    </row>
    <row r="1609" spans="1:6" s="9" customFormat="1" x14ac:dyDescent="0.25">
      <c r="A1609" s="9" t="s">
        <v>253</v>
      </c>
      <c r="B1609" s="4">
        <v>45772</v>
      </c>
      <c r="C1609" s="5">
        <v>20</v>
      </c>
      <c r="D1609" s="9" t="s">
        <v>14</v>
      </c>
      <c r="E1609" s="10">
        <v>125</v>
      </c>
      <c r="F1609" s="10">
        <f t="shared" si="26"/>
        <v>2500</v>
      </c>
    </row>
    <row r="1610" spans="1:6" s="9" customFormat="1" x14ac:dyDescent="0.25">
      <c r="B1610" s="4"/>
      <c r="C1610" s="5"/>
      <c r="E1610" s="10"/>
      <c r="F1610" s="8">
        <f>SUM(F1609)</f>
        <v>2500</v>
      </c>
    </row>
    <row r="1611" spans="1:6" s="9" customFormat="1" x14ac:dyDescent="0.25">
      <c r="B1611" s="4"/>
      <c r="C1611" s="5"/>
      <c r="E1611" s="10"/>
      <c r="F1611" s="10"/>
    </row>
    <row r="1612" spans="1:6" s="9" customFormat="1" x14ac:dyDescent="0.25">
      <c r="A1612" s="9" t="s">
        <v>52</v>
      </c>
      <c r="B1612" s="4">
        <v>45772</v>
      </c>
      <c r="C1612" s="5">
        <v>100</v>
      </c>
      <c r="D1612" s="9" t="s">
        <v>13</v>
      </c>
      <c r="E1612" s="10">
        <v>140</v>
      </c>
      <c r="F1612" s="10">
        <f t="shared" si="26"/>
        <v>14000</v>
      </c>
    </row>
    <row r="1613" spans="1:6" s="9" customFormat="1" x14ac:dyDescent="0.25">
      <c r="B1613" s="4"/>
      <c r="C1613" s="5">
        <v>20</v>
      </c>
      <c r="D1613" s="9" t="s">
        <v>14</v>
      </c>
      <c r="E1613" s="10">
        <v>130</v>
      </c>
      <c r="F1613" s="10">
        <f t="shared" si="26"/>
        <v>2600</v>
      </c>
    </row>
    <row r="1614" spans="1:6" s="9" customFormat="1" x14ac:dyDescent="0.25">
      <c r="B1614" s="4"/>
      <c r="C1614" s="5">
        <v>3.5</v>
      </c>
      <c r="D1614" s="9" t="s">
        <v>13</v>
      </c>
      <c r="E1614" s="10">
        <v>0</v>
      </c>
      <c r="F1614" s="10">
        <f t="shared" si="26"/>
        <v>0</v>
      </c>
    </row>
    <row r="1615" spans="1:6" s="9" customFormat="1" x14ac:dyDescent="0.25">
      <c r="B1615" s="4"/>
      <c r="C1615" s="5"/>
      <c r="E1615" s="10"/>
      <c r="F1615" s="8">
        <f>SUM(F1612:F1614)</f>
        <v>16600</v>
      </c>
    </row>
    <row r="1616" spans="1:6" s="9" customFormat="1" x14ac:dyDescent="0.25">
      <c r="B1616" s="4"/>
      <c r="C1616" s="5"/>
      <c r="E1616" s="10"/>
      <c r="F1616" s="10"/>
    </row>
    <row r="1617" spans="1:6" s="9" customFormat="1" x14ac:dyDescent="0.25">
      <c r="A1617" s="9" t="s">
        <v>112</v>
      </c>
      <c r="B1617" s="4">
        <v>45772</v>
      </c>
      <c r="C1617" s="5">
        <v>120</v>
      </c>
      <c r="D1617" s="9" t="s">
        <v>13</v>
      </c>
      <c r="E1617" s="10">
        <v>130</v>
      </c>
      <c r="F1617" s="10">
        <f t="shared" si="26"/>
        <v>15600</v>
      </c>
    </row>
    <row r="1618" spans="1:6" s="9" customFormat="1" x14ac:dyDescent="0.25">
      <c r="B1618" s="4"/>
      <c r="C1618" s="5"/>
      <c r="E1618" s="10"/>
      <c r="F1618" s="8">
        <f>SUM(F1617)</f>
        <v>15600</v>
      </c>
    </row>
    <row r="1619" spans="1:6" s="9" customFormat="1" x14ac:dyDescent="0.25">
      <c r="B1619" s="4"/>
      <c r="C1619" s="5"/>
      <c r="E1619" s="10"/>
      <c r="F1619" s="10"/>
    </row>
    <row r="1620" spans="1:6" s="9" customFormat="1" x14ac:dyDescent="0.25">
      <c r="A1620" s="9" t="s">
        <v>201</v>
      </c>
      <c r="B1620" s="4">
        <v>45772</v>
      </c>
      <c r="C1620" s="5">
        <v>10</v>
      </c>
      <c r="D1620" s="9" t="s">
        <v>13</v>
      </c>
      <c r="E1620" s="10">
        <v>140</v>
      </c>
      <c r="F1620" s="10">
        <f t="shared" si="26"/>
        <v>1400</v>
      </c>
    </row>
    <row r="1621" spans="1:6" s="9" customFormat="1" x14ac:dyDescent="0.25">
      <c r="B1621" s="4"/>
      <c r="C1621" s="5"/>
      <c r="E1621" s="10"/>
      <c r="F1621" s="8">
        <f>SUM(F1620)</f>
        <v>1400</v>
      </c>
    </row>
    <row r="1622" spans="1:6" s="9" customFormat="1" x14ac:dyDescent="0.25">
      <c r="B1622" s="4"/>
      <c r="C1622" s="5"/>
      <c r="E1622" s="10"/>
      <c r="F1622" s="10"/>
    </row>
    <row r="1623" spans="1:6" s="9" customFormat="1" x14ac:dyDescent="0.25">
      <c r="A1623" s="9" t="s">
        <v>184</v>
      </c>
      <c r="B1623" s="4">
        <v>45772</v>
      </c>
      <c r="C1623" s="5">
        <v>5</v>
      </c>
      <c r="D1623" s="9" t="s">
        <v>13</v>
      </c>
      <c r="E1623" s="10">
        <v>155</v>
      </c>
      <c r="F1623" s="10">
        <f t="shared" si="26"/>
        <v>775</v>
      </c>
    </row>
    <row r="1624" spans="1:6" s="9" customFormat="1" x14ac:dyDescent="0.25">
      <c r="B1624" s="4"/>
      <c r="C1624" s="5"/>
      <c r="E1624" s="10"/>
      <c r="F1624" s="8">
        <f>SUM(F1623)</f>
        <v>775</v>
      </c>
    </row>
    <row r="1625" spans="1:6" s="9" customFormat="1" x14ac:dyDescent="0.25">
      <c r="B1625" s="4"/>
      <c r="C1625" s="5"/>
      <c r="E1625" s="10"/>
      <c r="F1625" s="10"/>
    </row>
    <row r="1626" spans="1:6" s="9" customFormat="1" x14ac:dyDescent="0.25">
      <c r="A1626" s="9" t="s">
        <v>101</v>
      </c>
      <c r="B1626" s="4">
        <v>45772</v>
      </c>
      <c r="C1626" s="5">
        <v>2</v>
      </c>
      <c r="D1626" s="9" t="s">
        <v>8</v>
      </c>
      <c r="E1626" s="10">
        <v>170</v>
      </c>
      <c r="F1626" s="10">
        <f t="shared" si="26"/>
        <v>340</v>
      </c>
    </row>
    <row r="1627" spans="1:6" s="9" customFormat="1" x14ac:dyDescent="0.25">
      <c r="B1627" s="4"/>
      <c r="C1627" s="5">
        <v>1</v>
      </c>
      <c r="D1627" s="9" t="s">
        <v>13</v>
      </c>
      <c r="E1627" s="10">
        <v>160</v>
      </c>
      <c r="F1627" s="10">
        <f t="shared" si="26"/>
        <v>160</v>
      </c>
    </row>
    <row r="1628" spans="1:6" s="9" customFormat="1" x14ac:dyDescent="0.25">
      <c r="B1628" s="4"/>
      <c r="C1628" s="5">
        <v>1</v>
      </c>
      <c r="D1628" s="9" t="s">
        <v>8</v>
      </c>
      <c r="E1628" s="10">
        <v>170</v>
      </c>
      <c r="F1628" s="10">
        <f t="shared" si="26"/>
        <v>170</v>
      </c>
    </row>
    <row r="1629" spans="1:6" s="9" customFormat="1" x14ac:dyDescent="0.25">
      <c r="B1629" s="4"/>
      <c r="C1629" s="5"/>
      <c r="E1629" s="10"/>
      <c r="F1629" s="8">
        <f>SUM(F1626:F1628)</f>
        <v>670</v>
      </c>
    </row>
    <row r="1630" spans="1:6" s="9" customFormat="1" x14ac:dyDescent="0.25">
      <c r="B1630" s="4"/>
      <c r="C1630" s="5"/>
      <c r="E1630" s="10"/>
      <c r="F1630" s="10"/>
    </row>
    <row r="1631" spans="1:6" s="9" customFormat="1" x14ac:dyDescent="0.25">
      <c r="A1631" s="9" t="s">
        <v>181</v>
      </c>
      <c r="B1631" s="4">
        <v>45772</v>
      </c>
      <c r="C1631" s="11">
        <v>3.5</v>
      </c>
      <c r="D1631" s="9" t="s">
        <v>224</v>
      </c>
      <c r="E1631" s="10">
        <v>140</v>
      </c>
      <c r="F1631" s="10">
        <f t="shared" ref="F1631:F1694" si="27">+C1631*E1631</f>
        <v>490</v>
      </c>
    </row>
    <row r="1632" spans="1:6" s="9" customFormat="1" x14ac:dyDescent="0.25">
      <c r="B1632" s="4"/>
      <c r="C1632" s="5">
        <v>2</v>
      </c>
      <c r="D1632" s="9" t="s">
        <v>506</v>
      </c>
      <c r="E1632" s="10">
        <v>120</v>
      </c>
      <c r="F1632" s="10">
        <f t="shared" si="27"/>
        <v>240</v>
      </c>
    </row>
    <row r="1633" spans="1:6" s="9" customFormat="1" x14ac:dyDescent="0.25">
      <c r="B1633" s="4"/>
      <c r="C1633" s="5"/>
      <c r="E1633" s="10"/>
      <c r="F1633" s="8">
        <f>SUM(F1631:F1632)</f>
        <v>730</v>
      </c>
    </row>
    <row r="1634" spans="1:6" s="9" customFormat="1" x14ac:dyDescent="0.25">
      <c r="B1634" s="4"/>
      <c r="C1634" s="5"/>
      <c r="E1634" s="10"/>
      <c r="F1634" s="10"/>
    </row>
    <row r="1635" spans="1:6" s="9" customFormat="1" x14ac:dyDescent="0.25">
      <c r="A1635" s="9" t="s">
        <v>507</v>
      </c>
      <c r="B1635" s="4">
        <v>45773</v>
      </c>
      <c r="C1635" s="5">
        <v>80</v>
      </c>
      <c r="D1635" s="9" t="s">
        <v>98</v>
      </c>
      <c r="E1635" s="10">
        <v>85</v>
      </c>
      <c r="F1635" s="10">
        <f t="shared" si="27"/>
        <v>6800</v>
      </c>
    </row>
    <row r="1636" spans="1:6" s="9" customFormat="1" x14ac:dyDescent="0.25">
      <c r="B1636" s="4"/>
      <c r="C1636" s="5">
        <v>200</v>
      </c>
      <c r="D1636" s="9" t="s">
        <v>14</v>
      </c>
      <c r="E1636" s="10">
        <v>108</v>
      </c>
      <c r="F1636" s="10">
        <f t="shared" si="27"/>
        <v>21600</v>
      </c>
    </row>
    <row r="1637" spans="1:6" s="9" customFormat="1" x14ac:dyDescent="0.25">
      <c r="B1637" s="4"/>
      <c r="C1637" s="5"/>
      <c r="E1637" s="10"/>
      <c r="F1637" s="8">
        <f>SUM(F1635:F1636)</f>
        <v>28400</v>
      </c>
    </row>
    <row r="1638" spans="1:6" s="9" customFormat="1" x14ac:dyDescent="0.25">
      <c r="B1638" s="4"/>
      <c r="C1638" s="5"/>
      <c r="E1638" s="10"/>
      <c r="F1638" s="10"/>
    </row>
    <row r="1639" spans="1:6" s="9" customFormat="1" x14ac:dyDescent="0.25">
      <c r="A1639" s="9" t="s">
        <v>211</v>
      </c>
      <c r="B1639" s="4">
        <v>45773</v>
      </c>
      <c r="C1639" s="5">
        <v>12</v>
      </c>
      <c r="D1639" s="9" t="s">
        <v>98</v>
      </c>
      <c r="E1639" s="10">
        <v>100</v>
      </c>
      <c r="F1639" s="10">
        <f t="shared" si="27"/>
        <v>1200</v>
      </c>
    </row>
    <row r="1640" spans="1:6" s="9" customFormat="1" x14ac:dyDescent="0.25">
      <c r="B1640" s="4"/>
      <c r="C1640" s="5"/>
      <c r="E1640" s="10"/>
      <c r="F1640" s="8">
        <f>SUM(F1639)</f>
        <v>1200</v>
      </c>
    </row>
    <row r="1641" spans="1:6" s="9" customFormat="1" x14ac:dyDescent="0.25">
      <c r="B1641" s="4"/>
      <c r="C1641" s="5"/>
      <c r="E1641" s="10"/>
      <c r="F1641" s="10"/>
    </row>
    <row r="1642" spans="1:6" s="9" customFormat="1" x14ac:dyDescent="0.25">
      <c r="A1642" s="9" t="s">
        <v>18</v>
      </c>
      <c r="B1642" s="4">
        <v>45773</v>
      </c>
      <c r="C1642" s="5">
        <v>10</v>
      </c>
      <c r="D1642" s="9" t="s">
        <v>13</v>
      </c>
      <c r="E1642" s="10">
        <v>140</v>
      </c>
      <c r="F1642" s="10">
        <f t="shared" si="27"/>
        <v>1400</v>
      </c>
    </row>
    <row r="1643" spans="1:6" s="9" customFormat="1" x14ac:dyDescent="0.25">
      <c r="B1643" s="4"/>
      <c r="C1643" s="5"/>
      <c r="E1643" s="10"/>
      <c r="F1643" s="8">
        <f>SUM(F1642)</f>
        <v>1400</v>
      </c>
    </row>
    <row r="1644" spans="1:6" s="9" customFormat="1" x14ac:dyDescent="0.25">
      <c r="B1644" s="4"/>
      <c r="C1644" s="5"/>
      <c r="E1644" s="10"/>
      <c r="F1644" s="10"/>
    </row>
    <row r="1645" spans="1:6" s="9" customFormat="1" x14ac:dyDescent="0.25">
      <c r="A1645" s="9" t="s">
        <v>58</v>
      </c>
      <c r="B1645" s="4">
        <v>45773</v>
      </c>
      <c r="C1645" s="5">
        <v>10</v>
      </c>
      <c r="D1645" s="9" t="s">
        <v>13</v>
      </c>
      <c r="E1645" s="10">
        <v>140</v>
      </c>
      <c r="F1645" s="10">
        <f t="shared" si="27"/>
        <v>1400</v>
      </c>
    </row>
    <row r="1646" spans="1:6" s="9" customFormat="1" x14ac:dyDescent="0.25">
      <c r="B1646" s="4"/>
      <c r="C1646" s="5"/>
      <c r="E1646" s="10"/>
      <c r="F1646" s="8">
        <f>SUM(F1645)</f>
        <v>1400</v>
      </c>
    </row>
    <row r="1647" spans="1:6" s="9" customFormat="1" x14ac:dyDescent="0.25">
      <c r="B1647" s="4"/>
      <c r="C1647" s="5"/>
      <c r="E1647" s="10"/>
      <c r="F1647" s="10"/>
    </row>
    <row r="1648" spans="1:6" s="9" customFormat="1" x14ac:dyDescent="0.25">
      <c r="A1648" s="9" t="s">
        <v>17</v>
      </c>
      <c r="B1648" s="4">
        <v>45773</v>
      </c>
      <c r="C1648" s="5">
        <v>10</v>
      </c>
      <c r="D1648" s="9" t="s">
        <v>8</v>
      </c>
      <c r="E1648" s="10">
        <v>155</v>
      </c>
      <c r="F1648" s="10">
        <f t="shared" si="27"/>
        <v>1550</v>
      </c>
    </row>
    <row r="1649" spans="1:6" s="9" customFormat="1" x14ac:dyDescent="0.25">
      <c r="B1649" s="4"/>
      <c r="C1649" s="5"/>
      <c r="E1649" s="10"/>
      <c r="F1649" s="8">
        <f>SUM(F1648)</f>
        <v>1550</v>
      </c>
    </row>
    <row r="1650" spans="1:6" s="9" customFormat="1" x14ac:dyDescent="0.25">
      <c r="B1650" s="4"/>
      <c r="C1650" s="5"/>
      <c r="E1650" s="10"/>
      <c r="F1650" s="10"/>
    </row>
    <row r="1651" spans="1:6" s="9" customFormat="1" x14ac:dyDescent="0.25">
      <c r="A1651" s="9" t="s">
        <v>20</v>
      </c>
      <c r="B1651" s="4">
        <v>45773</v>
      </c>
      <c r="C1651" s="5">
        <v>30</v>
      </c>
      <c r="D1651" s="9" t="s">
        <v>13</v>
      </c>
      <c r="E1651" s="10">
        <v>135</v>
      </c>
      <c r="F1651" s="10">
        <f t="shared" si="27"/>
        <v>4050</v>
      </c>
    </row>
    <row r="1652" spans="1:6" s="9" customFormat="1" x14ac:dyDescent="0.25">
      <c r="B1652" s="4"/>
      <c r="C1652" s="5"/>
      <c r="E1652" s="10"/>
      <c r="F1652" s="8">
        <f>SUM(F1651)</f>
        <v>4050</v>
      </c>
    </row>
    <row r="1653" spans="1:6" s="9" customFormat="1" x14ac:dyDescent="0.25">
      <c r="B1653" s="4"/>
      <c r="C1653" s="5"/>
      <c r="E1653" s="10"/>
      <c r="F1653" s="10"/>
    </row>
    <row r="1654" spans="1:6" s="9" customFormat="1" x14ac:dyDescent="0.25">
      <c r="A1654" s="9" t="s">
        <v>21</v>
      </c>
      <c r="B1654" s="4">
        <v>45773</v>
      </c>
      <c r="C1654" s="5">
        <v>20</v>
      </c>
      <c r="D1654" s="9" t="s">
        <v>22</v>
      </c>
      <c r="E1654" s="10">
        <v>100</v>
      </c>
      <c r="F1654" s="10">
        <f t="shared" si="27"/>
        <v>2000</v>
      </c>
    </row>
    <row r="1655" spans="1:6" s="9" customFormat="1" x14ac:dyDescent="0.25">
      <c r="B1655" s="4"/>
      <c r="C1655" s="5">
        <v>20</v>
      </c>
      <c r="D1655" s="9" t="s">
        <v>12</v>
      </c>
      <c r="E1655" s="10">
        <v>110</v>
      </c>
      <c r="F1655" s="10">
        <f t="shared" si="27"/>
        <v>2200</v>
      </c>
    </row>
    <row r="1656" spans="1:6" s="9" customFormat="1" x14ac:dyDescent="0.25">
      <c r="B1656" s="4"/>
      <c r="C1656" s="5">
        <v>30</v>
      </c>
      <c r="D1656" s="9" t="s">
        <v>13</v>
      </c>
      <c r="E1656" s="10">
        <v>125</v>
      </c>
      <c r="F1656" s="10">
        <f t="shared" si="27"/>
        <v>3750</v>
      </c>
    </row>
    <row r="1657" spans="1:6" s="9" customFormat="1" x14ac:dyDescent="0.25">
      <c r="B1657" s="4"/>
      <c r="C1657" s="5">
        <v>10</v>
      </c>
      <c r="D1657" s="9" t="s">
        <v>99</v>
      </c>
      <c r="E1657" s="10">
        <v>120</v>
      </c>
      <c r="F1657" s="10">
        <f t="shared" si="27"/>
        <v>1200</v>
      </c>
    </row>
    <row r="1658" spans="1:6" s="9" customFormat="1" x14ac:dyDescent="0.25">
      <c r="B1658" s="4"/>
      <c r="C1658" s="5"/>
      <c r="E1658" s="10"/>
      <c r="F1658" s="8">
        <f>SUM(F1654:F1657)</f>
        <v>9150</v>
      </c>
    </row>
    <row r="1659" spans="1:6" s="9" customFormat="1" x14ac:dyDescent="0.25">
      <c r="B1659" s="4"/>
      <c r="C1659" s="5"/>
      <c r="E1659" s="10"/>
      <c r="F1659" s="10"/>
    </row>
    <row r="1660" spans="1:6" s="9" customFormat="1" x14ac:dyDescent="0.25">
      <c r="A1660" s="9" t="s">
        <v>57</v>
      </c>
      <c r="B1660" s="4">
        <v>45773</v>
      </c>
      <c r="C1660" s="5">
        <v>15</v>
      </c>
      <c r="D1660" s="9" t="s">
        <v>13</v>
      </c>
      <c r="E1660" s="10">
        <v>135</v>
      </c>
      <c r="F1660" s="10">
        <f t="shared" si="27"/>
        <v>2025</v>
      </c>
    </row>
    <row r="1661" spans="1:6" s="9" customFormat="1" x14ac:dyDescent="0.25">
      <c r="B1661" s="4"/>
      <c r="C1661" s="5">
        <v>15</v>
      </c>
      <c r="D1661" s="9" t="s">
        <v>14</v>
      </c>
      <c r="E1661" s="10">
        <v>120</v>
      </c>
      <c r="F1661" s="10">
        <f t="shared" si="27"/>
        <v>1800</v>
      </c>
    </row>
    <row r="1662" spans="1:6" s="9" customFormat="1" x14ac:dyDescent="0.25">
      <c r="B1662" s="4"/>
      <c r="C1662" s="5"/>
      <c r="E1662" s="10"/>
      <c r="F1662" s="8">
        <f>SUM(F1660:F1661)</f>
        <v>3825</v>
      </c>
    </row>
    <row r="1663" spans="1:6" s="9" customFormat="1" x14ac:dyDescent="0.25">
      <c r="B1663" s="4"/>
      <c r="C1663" s="5"/>
      <c r="E1663" s="10"/>
      <c r="F1663" s="10"/>
    </row>
    <row r="1664" spans="1:6" s="9" customFormat="1" x14ac:dyDescent="0.25">
      <c r="A1664" s="9" t="s">
        <v>40</v>
      </c>
      <c r="B1664" s="4">
        <v>45773</v>
      </c>
      <c r="C1664" s="5">
        <v>10</v>
      </c>
      <c r="D1664" s="9" t="s">
        <v>11</v>
      </c>
      <c r="E1664" s="10">
        <v>100</v>
      </c>
      <c r="F1664" s="10">
        <f t="shared" si="27"/>
        <v>1000</v>
      </c>
    </row>
    <row r="1665" spans="1:6" s="9" customFormat="1" x14ac:dyDescent="0.25">
      <c r="B1665" s="4"/>
      <c r="C1665" s="5">
        <v>7</v>
      </c>
      <c r="D1665" s="9" t="s">
        <v>14</v>
      </c>
      <c r="E1665" s="10">
        <v>120</v>
      </c>
      <c r="F1665" s="10">
        <f t="shared" si="27"/>
        <v>840</v>
      </c>
    </row>
    <row r="1666" spans="1:6" s="9" customFormat="1" x14ac:dyDescent="0.25">
      <c r="B1666" s="4"/>
      <c r="C1666" s="5">
        <v>10</v>
      </c>
      <c r="D1666" s="9" t="s">
        <v>13</v>
      </c>
      <c r="E1666" s="10">
        <v>125</v>
      </c>
      <c r="F1666" s="10">
        <f t="shared" si="27"/>
        <v>1250</v>
      </c>
    </row>
    <row r="1667" spans="1:6" s="9" customFormat="1" x14ac:dyDescent="0.25">
      <c r="B1667" s="4"/>
      <c r="C1667" s="5">
        <v>10</v>
      </c>
      <c r="D1667" s="9" t="s">
        <v>12</v>
      </c>
      <c r="E1667" s="10">
        <v>100</v>
      </c>
      <c r="F1667" s="10">
        <f t="shared" si="27"/>
        <v>1000</v>
      </c>
    </row>
    <row r="1668" spans="1:6" s="9" customFormat="1" x14ac:dyDescent="0.25">
      <c r="B1668" s="4"/>
      <c r="C1668" s="5"/>
      <c r="E1668" s="10"/>
      <c r="F1668" s="8">
        <f>SUM(F1664:F1667)</f>
        <v>4090</v>
      </c>
    </row>
    <row r="1669" spans="1:6" s="9" customFormat="1" x14ac:dyDescent="0.25">
      <c r="B1669" s="4"/>
      <c r="C1669" s="5"/>
      <c r="E1669" s="10"/>
      <c r="F1669" s="10"/>
    </row>
    <row r="1670" spans="1:6" s="9" customFormat="1" x14ac:dyDescent="0.25">
      <c r="A1670" s="9" t="s">
        <v>65</v>
      </c>
      <c r="B1670" s="4">
        <v>45773</v>
      </c>
      <c r="C1670" s="5">
        <v>2150</v>
      </c>
      <c r="D1670" s="9" t="s">
        <v>12</v>
      </c>
      <c r="E1670" s="10">
        <v>115</v>
      </c>
      <c r="F1670" s="10">
        <f t="shared" si="27"/>
        <v>247250</v>
      </c>
    </row>
    <row r="1671" spans="1:6" s="9" customFormat="1" x14ac:dyDescent="0.25">
      <c r="B1671" s="4"/>
      <c r="C1671" s="5">
        <v>400</v>
      </c>
      <c r="D1671" s="9" t="s">
        <v>14</v>
      </c>
      <c r="E1671" s="10">
        <v>125</v>
      </c>
      <c r="F1671" s="10">
        <f t="shared" si="27"/>
        <v>50000</v>
      </c>
    </row>
    <row r="1672" spans="1:6" s="9" customFormat="1" x14ac:dyDescent="0.25">
      <c r="B1672" s="4"/>
      <c r="C1672" s="5">
        <v>150</v>
      </c>
      <c r="D1672" s="9" t="s">
        <v>13</v>
      </c>
      <c r="E1672" s="10">
        <v>125</v>
      </c>
      <c r="F1672" s="10">
        <f t="shared" si="27"/>
        <v>18750</v>
      </c>
    </row>
    <row r="1673" spans="1:6" s="9" customFormat="1" x14ac:dyDescent="0.25">
      <c r="B1673" s="4"/>
      <c r="C1673" s="5">
        <v>200</v>
      </c>
      <c r="D1673" s="9" t="s">
        <v>22</v>
      </c>
      <c r="E1673" s="10">
        <v>95</v>
      </c>
      <c r="F1673" s="10">
        <f t="shared" si="27"/>
        <v>19000</v>
      </c>
    </row>
    <row r="1674" spans="1:6" s="9" customFormat="1" x14ac:dyDescent="0.25">
      <c r="B1674" s="4"/>
      <c r="C1674" s="5"/>
      <c r="E1674" s="10"/>
      <c r="F1674" s="8">
        <f>SUM(F1670:F1673)</f>
        <v>335000</v>
      </c>
    </row>
    <row r="1675" spans="1:6" s="9" customFormat="1" x14ac:dyDescent="0.25">
      <c r="B1675" s="4"/>
      <c r="C1675" s="5"/>
      <c r="E1675" s="10"/>
      <c r="F1675" s="10"/>
    </row>
    <row r="1676" spans="1:6" s="9" customFormat="1" x14ac:dyDescent="0.25">
      <c r="A1676" s="9" t="s">
        <v>117</v>
      </c>
      <c r="B1676" s="4">
        <v>45773</v>
      </c>
      <c r="C1676" s="5">
        <v>5</v>
      </c>
      <c r="D1676" s="9" t="s">
        <v>508</v>
      </c>
      <c r="E1676" s="10">
        <v>155</v>
      </c>
      <c r="F1676" s="10">
        <f t="shared" si="27"/>
        <v>775</v>
      </c>
    </row>
    <row r="1677" spans="1:6" s="9" customFormat="1" x14ac:dyDescent="0.25">
      <c r="B1677" s="4"/>
      <c r="C1677" s="5"/>
      <c r="E1677" s="10"/>
      <c r="F1677" s="8">
        <f>SUM(F1676)</f>
        <v>775</v>
      </c>
    </row>
    <row r="1678" spans="1:6" s="9" customFormat="1" x14ac:dyDescent="0.25">
      <c r="B1678" s="4"/>
      <c r="C1678" s="5"/>
      <c r="E1678" s="10"/>
      <c r="F1678" s="10"/>
    </row>
    <row r="1679" spans="1:6" s="9" customFormat="1" x14ac:dyDescent="0.25">
      <c r="A1679" s="9" t="s">
        <v>60</v>
      </c>
      <c r="B1679" s="4">
        <v>45773</v>
      </c>
      <c r="C1679" s="5">
        <v>25</v>
      </c>
      <c r="D1679" s="9" t="s">
        <v>13</v>
      </c>
      <c r="E1679" s="10">
        <v>140</v>
      </c>
      <c r="F1679" s="10">
        <f t="shared" si="27"/>
        <v>3500</v>
      </c>
    </row>
    <row r="1680" spans="1:6" s="9" customFormat="1" x14ac:dyDescent="0.25">
      <c r="B1680" s="4"/>
      <c r="C1680" s="5">
        <v>1</v>
      </c>
      <c r="D1680" s="9" t="s">
        <v>318</v>
      </c>
      <c r="E1680" s="10">
        <v>0</v>
      </c>
      <c r="F1680" s="10">
        <f t="shared" si="27"/>
        <v>0</v>
      </c>
    </row>
    <row r="1681" spans="1:6" s="9" customFormat="1" x14ac:dyDescent="0.25">
      <c r="B1681" s="4"/>
      <c r="C1681" s="5"/>
      <c r="E1681" s="10"/>
      <c r="F1681" s="8">
        <f>SUM(F1679:F1680)</f>
        <v>3500</v>
      </c>
    </row>
    <row r="1682" spans="1:6" s="9" customFormat="1" x14ac:dyDescent="0.25">
      <c r="B1682" s="4"/>
      <c r="C1682" s="5"/>
      <c r="E1682" s="10"/>
      <c r="F1682" s="10"/>
    </row>
    <row r="1683" spans="1:6" s="9" customFormat="1" x14ac:dyDescent="0.25">
      <c r="A1683" s="9" t="s">
        <v>61</v>
      </c>
      <c r="B1683" s="4">
        <v>45773</v>
      </c>
      <c r="C1683" s="5">
        <v>30</v>
      </c>
      <c r="D1683" s="9" t="s">
        <v>13</v>
      </c>
      <c r="E1683" s="10">
        <v>140</v>
      </c>
      <c r="F1683" s="10">
        <f t="shared" si="27"/>
        <v>4200</v>
      </c>
    </row>
    <row r="1684" spans="1:6" s="9" customFormat="1" x14ac:dyDescent="0.25">
      <c r="B1684" s="4"/>
      <c r="C1684" s="5">
        <v>2</v>
      </c>
      <c r="D1684" s="9" t="s">
        <v>135</v>
      </c>
      <c r="E1684" s="10">
        <v>0</v>
      </c>
      <c r="F1684" s="10">
        <f t="shared" si="27"/>
        <v>0</v>
      </c>
    </row>
    <row r="1685" spans="1:6" s="9" customFormat="1" x14ac:dyDescent="0.25">
      <c r="B1685" s="4"/>
      <c r="C1685" s="5"/>
      <c r="E1685" s="10"/>
      <c r="F1685" s="8">
        <f>SUM(F1683:F1684)</f>
        <v>4200</v>
      </c>
    </row>
    <row r="1686" spans="1:6" s="9" customFormat="1" x14ac:dyDescent="0.25">
      <c r="B1686" s="4"/>
      <c r="C1686" s="5"/>
      <c r="E1686" s="10"/>
      <c r="F1686" s="10"/>
    </row>
    <row r="1687" spans="1:6" s="9" customFormat="1" x14ac:dyDescent="0.25">
      <c r="A1687" s="9" t="s">
        <v>127</v>
      </c>
      <c r="B1687" s="4">
        <v>45773</v>
      </c>
      <c r="C1687" s="5">
        <v>10</v>
      </c>
      <c r="D1687" s="9" t="s">
        <v>13</v>
      </c>
      <c r="E1687" s="10">
        <v>140</v>
      </c>
      <c r="F1687" s="10">
        <f t="shared" si="27"/>
        <v>1400</v>
      </c>
    </row>
    <row r="1688" spans="1:6" s="9" customFormat="1" x14ac:dyDescent="0.25">
      <c r="B1688" s="4"/>
      <c r="C1688" s="5">
        <v>0.21</v>
      </c>
      <c r="D1688" s="9" t="s">
        <v>433</v>
      </c>
      <c r="E1688" s="10">
        <v>0</v>
      </c>
      <c r="F1688" s="10">
        <f t="shared" si="27"/>
        <v>0</v>
      </c>
    </row>
    <row r="1689" spans="1:6" s="9" customFormat="1" x14ac:dyDescent="0.25">
      <c r="B1689" s="4"/>
      <c r="C1689" s="5"/>
      <c r="E1689" s="10"/>
      <c r="F1689" s="8">
        <f t="shared" si="27"/>
        <v>0</v>
      </c>
    </row>
    <row r="1690" spans="1:6" s="9" customFormat="1" x14ac:dyDescent="0.25">
      <c r="B1690" s="4"/>
      <c r="C1690" s="5"/>
      <c r="E1690" s="10"/>
      <c r="F1690" s="10"/>
    </row>
    <row r="1691" spans="1:6" s="9" customFormat="1" x14ac:dyDescent="0.25">
      <c r="A1691" s="9" t="s">
        <v>27</v>
      </c>
      <c r="B1691" s="4">
        <v>45773</v>
      </c>
      <c r="C1691" s="5">
        <v>5</v>
      </c>
      <c r="D1691" s="9" t="s">
        <v>13</v>
      </c>
      <c r="E1691" s="10">
        <v>150</v>
      </c>
      <c r="F1691" s="10">
        <f t="shared" si="27"/>
        <v>750</v>
      </c>
    </row>
    <row r="1692" spans="1:6" s="9" customFormat="1" x14ac:dyDescent="0.25">
      <c r="B1692" s="4"/>
      <c r="C1692" s="5"/>
      <c r="E1692" s="10"/>
      <c r="F1692" s="8">
        <f>SUM(F1691)</f>
        <v>750</v>
      </c>
    </row>
    <row r="1693" spans="1:6" s="9" customFormat="1" x14ac:dyDescent="0.25">
      <c r="B1693" s="4"/>
      <c r="C1693" s="5"/>
      <c r="E1693" s="10"/>
      <c r="F1693" s="10"/>
    </row>
    <row r="1694" spans="1:6" s="9" customFormat="1" x14ac:dyDescent="0.25">
      <c r="A1694" s="9" t="s">
        <v>153</v>
      </c>
      <c r="B1694" s="4">
        <v>45773</v>
      </c>
      <c r="C1694" s="5">
        <v>100</v>
      </c>
      <c r="D1694" s="9" t="s">
        <v>12</v>
      </c>
      <c r="E1694" s="10">
        <v>140</v>
      </c>
      <c r="F1694" s="10">
        <f t="shared" si="27"/>
        <v>14000</v>
      </c>
    </row>
    <row r="1695" spans="1:6" s="9" customFormat="1" x14ac:dyDescent="0.25">
      <c r="B1695" s="4"/>
      <c r="C1695" s="5">
        <v>50</v>
      </c>
      <c r="D1695" s="9" t="s">
        <v>22</v>
      </c>
      <c r="E1695" s="10">
        <v>120</v>
      </c>
      <c r="F1695" s="10">
        <f t="shared" ref="F1695:F1758" si="28">+C1695*E1695</f>
        <v>6000</v>
      </c>
    </row>
    <row r="1696" spans="1:6" s="9" customFormat="1" x14ac:dyDescent="0.25">
      <c r="B1696" s="4"/>
      <c r="C1696" s="5"/>
      <c r="E1696" s="10"/>
      <c r="F1696" s="8">
        <f>SUM(F1694:F1695)</f>
        <v>20000</v>
      </c>
    </row>
    <row r="1697" spans="1:6" s="9" customFormat="1" x14ac:dyDescent="0.25">
      <c r="B1697" s="4"/>
      <c r="C1697" s="5"/>
      <c r="E1697" s="10"/>
      <c r="F1697" s="10"/>
    </row>
    <row r="1698" spans="1:6" s="9" customFormat="1" x14ac:dyDescent="0.25">
      <c r="A1698" s="9" t="s">
        <v>72</v>
      </c>
      <c r="B1698" s="4">
        <v>45773</v>
      </c>
      <c r="C1698" s="5">
        <v>330</v>
      </c>
      <c r="D1698" s="9" t="s">
        <v>13</v>
      </c>
      <c r="E1698" s="10">
        <v>130</v>
      </c>
      <c r="F1698" s="10">
        <f t="shared" si="28"/>
        <v>42900</v>
      </c>
    </row>
    <row r="1699" spans="1:6" s="9" customFormat="1" x14ac:dyDescent="0.25">
      <c r="B1699" s="4"/>
      <c r="C1699" s="5">
        <v>120</v>
      </c>
      <c r="D1699" s="9" t="s">
        <v>12</v>
      </c>
      <c r="E1699" s="10">
        <v>115</v>
      </c>
      <c r="F1699" s="10">
        <f t="shared" si="28"/>
        <v>13800</v>
      </c>
    </row>
    <row r="1700" spans="1:6" s="9" customFormat="1" x14ac:dyDescent="0.25">
      <c r="B1700" s="4"/>
      <c r="C1700" s="5">
        <v>50</v>
      </c>
      <c r="D1700" s="9" t="s">
        <v>14</v>
      </c>
      <c r="E1700" s="10">
        <v>125</v>
      </c>
      <c r="F1700" s="10">
        <f t="shared" si="28"/>
        <v>6250</v>
      </c>
    </row>
    <row r="1701" spans="1:6" s="9" customFormat="1" x14ac:dyDescent="0.25">
      <c r="B1701" s="4"/>
      <c r="C1701" s="5">
        <v>100</v>
      </c>
      <c r="D1701" s="9" t="s">
        <v>11</v>
      </c>
      <c r="E1701" s="10">
        <v>110</v>
      </c>
      <c r="F1701" s="10">
        <f t="shared" si="28"/>
        <v>11000</v>
      </c>
    </row>
    <row r="1702" spans="1:6" s="9" customFormat="1" x14ac:dyDescent="0.25">
      <c r="B1702" s="4"/>
      <c r="C1702" s="5"/>
      <c r="E1702" s="10"/>
      <c r="F1702" s="8">
        <f>SUM(F1698:F1701)</f>
        <v>73950</v>
      </c>
    </row>
    <row r="1703" spans="1:6" s="9" customFormat="1" x14ac:dyDescent="0.25">
      <c r="B1703" s="4"/>
      <c r="C1703" s="5"/>
      <c r="E1703" s="10"/>
      <c r="F1703" s="10"/>
    </row>
    <row r="1704" spans="1:6" s="9" customFormat="1" x14ac:dyDescent="0.25">
      <c r="A1704" s="9" t="s">
        <v>245</v>
      </c>
      <c r="B1704" s="4">
        <v>45773</v>
      </c>
      <c r="C1704" s="5">
        <v>110</v>
      </c>
      <c r="D1704" s="9" t="s">
        <v>13</v>
      </c>
      <c r="E1704" s="10">
        <v>140</v>
      </c>
      <c r="F1704" s="10">
        <f t="shared" si="28"/>
        <v>15400</v>
      </c>
    </row>
    <row r="1705" spans="1:6" s="9" customFormat="1" x14ac:dyDescent="0.25">
      <c r="B1705" s="4"/>
      <c r="C1705" s="5">
        <v>10</v>
      </c>
      <c r="D1705" s="9" t="s">
        <v>14</v>
      </c>
      <c r="E1705" s="10">
        <v>130</v>
      </c>
      <c r="F1705" s="10">
        <f t="shared" si="28"/>
        <v>1300</v>
      </c>
    </row>
    <row r="1706" spans="1:6" s="9" customFormat="1" x14ac:dyDescent="0.25">
      <c r="B1706" s="4"/>
      <c r="C1706" s="5">
        <v>4</v>
      </c>
      <c r="D1706" s="9" t="s">
        <v>13</v>
      </c>
      <c r="E1706" s="10">
        <v>0</v>
      </c>
      <c r="F1706" s="10">
        <f t="shared" si="28"/>
        <v>0</v>
      </c>
    </row>
    <row r="1707" spans="1:6" s="9" customFormat="1" x14ac:dyDescent="0.25">
      <c r="B1707" s="4"/>
      <c r="C1707" s="5"/>
      <c r="E1707" s="10"/>
      <c r="F1707" s="8">
        <f>SUM(F1704:F1706)</f>
        <v>16700</v>
      </c>
    </row>
    <row r="1708" spans="1:6" s="9" customFormat="1" x14ac:dyDescent="0.25">
      <c r="B1708" s="4"/>
      <c r="C1708" s="5"/>
      <c r="E1708" s="10"/>
      <c r="F1708" s="10"/>
    </row>
    <row r="1709" spans="1:6" s="9" customFormat="1" x14ac:dyDescent="0.25">
      <c r="A1709" s="9" t="s">
        <v>509</v>
      </c>
      <c r="B1709" s="4">
        <v>45773</v>
      </c>
      <c r="C1709" s="5">
        <v>2</v>
      </c>
      <c r="D1709" s="9" t="s">
        <v>12</v>
      </c>
      <c r="E1709" s="10">
        <v>140</v>
      </c>
      <c r="F1709" s="10">
        <f t="shared" si="28"/>
        <v>280</v>
      </c>
    </row>
    <row r="1710" spans="1:6" s="9" customFormat="1" x14ac:dyDescent="0.25">
      <c r="B1710" s="4"/>
      <c r="C1710" s="5"/>
      <c r="E1710" s="10"/>
      <c r="F1710" s="8">
        <f>SUM(F1709)</f>
        <v>280</v>
      </c>
    </row>
    <row r="1711" spans="1:6" s="9" customFormat="1" x14ac:dyDescent="0.25">
      <c r="B1711" s="4"/>
      <c r="C1711" s="5"/>
      <c r="E1711" s="10"/>
      <c r="F1711" s="10"/>
    </row>
    <row r="1712" spans="1:6" s="9" customFormat="1" x14ac:dyDescent="0.25">
      <c r="A1712" s="9" t="s">
        <v>88</v>
      </c>
      <c r="B1712" s="4">
        <v>45773</v>
      </c>
      <c r="C1712" s="5">
        <v>5</v>
      </c>
      <c r="D1712" s="9" t="s">
        <v>13</v>
      </c>
      <c r="E1712" s="10">
        <v>145</v>
      </c>
      <c r="F1712" s="10">
        <f t="shared" si="28"/>
        <v>725</v>
      </c>
    </row>
    <row r="1713" spans="1:6" s="9" customFormat="1" x14ac:dyDescent="0.25">
      <c r="B1713" s="4"/>
      <c r="C1713" s="5">
        <v>6</v>
      </c>
      <c r="D1713" s="9" t="s">
        <v>82</v>
      </c>
      <c r="E1713" s="10">
        <v>135</v>
      </c>
      <c r="F1713" s="10">
        <f t="shared" si="28"/>
        <v>810</v>
      </c>
    </row>
    <row r="1714" spans="1:6" s="9" customFormat="1" x14ac:dyDescent="0.25">
      <c r="B1714" s="4"/>
      <c r="C1714" s="5"/>
      <c r="E1714" s="10"/>
      <c r="F1714" s="8">
        <f>SUM(F1712:F1713)</f>
        <v>1535</v>
      </c>
    </row>
    <row r="1715" spans="1:6" s="9" customFormat="1" x14ac:dyDescent="0.25">
      <c r="B1715" s="4"/>
      <c r="C1715" s="5"/>
      <c r="E1715" s="10"/>
      <c r="F1715" s="10"/>
    </row>
    <row r="1716" spans="1:6" s="9" customFormat="1" x14ac:dyDescent="0.25">
      <c r="A1716" s="9" t="s">
        <v>66</v>
      </c>
      <c r="B1716" s="4">
        <v>45773</v>
      </c>
      <c r="C1716" s="5">
        <v>20</v>
      </c>
      <c r="D1716" s="9" t="s">
        <v>8</v>
      </c>
      <c r="E1716" s="10">
        <v>160</v>
      </c>
      <c r="F1716" s="10">
        <f t="shared" si="28"/>
        <v>3200</v>
      </c>
    </row>
    <row r="1717" spans="1:6" s="9" customFormat="1" x14ac:dyDescent="0.25">
      <c r="B1717" s="4"/>
      <c r="C1717" s="5"/>
      <c r="E1717" s="10"/>
      <c r="F1717" s="8">
        <f>SUM(F1716)</f>
        <v>3200</v>
      </c>
    </row>
    <row r="1718" spans="1:6" s="9" customFormat="1" x14ac:dyDescent="0.25">
      <c r="B1718" s="4"/>
      <c r="C1718" s="5"/>
      <c r="E1718" s="10"/>
      <c r="F1718" s="10"/>
    </row>
    <row r="1719" spans="1:6" s="9" customFormat="1" x14ac:dyDescent="0.25">
      <c r="A1719" s="9" t="s">
        <v>7</v>
      </c>
      <c r="B1719" s="4">
        <v>45773</v>
      </c>
      <c r="C1719" s="5">
        <v>4</v>
      </c>
      <c r="D1719" s="9" t="s">
        <v>75</v>
      </c>
      <c r="E1719" s="10">
        <v>150</v>
      </c>
      <c r="F1719" s="10">
        <f>+C1719*E1719</f>
        <v>600</v>
      </c>
    </row>
    <row r="1720" spans="1:6" s="9" customFormat="1" x14ac:dyDescent="0.25">
      <c r="B1720" s="4"/>
      <c r="C1720" s="5"/>
      <c r="E1720" s="10"/>
      <c r="F1720" s="8">
        <f>SUM(F1719)</f>
        <v>600</v>
      </c>
    </row>
    <row r="1721" spans="1:6" s="9" customFormat="1" x14ac:dyDescent="0.25">
      <c r="B1721" s="4"/>
      <c r="C1721" s="5"/>
      <c r="E1721" s="10"/>
      <c r="F1721" s="10"/>
    </row>
    <row r="1722" spans="1:6" s="9" customFormat="1" x14ac:dyDescent="0.25">
      <c r="A1722" s="9" t="s">
        <v>29</v>
      </c>
      <c r="B1722" s="4">
        <v>45773</v>
      </c>
      <c r="C1722" s="5">
        <v>14</v>
      </c>
      <c r="D1722" s="9" t="s">
        <v>168</v>
      </c>
      <c r="E1722" s="10">
        <v>135</v>
      </c>
      <c r="F1722" s="10">
        <f t="shared" si="28"/>
        <v>1890</v>
      </c>
    </row>
    <row r="1723" spans="1:6" s="9" customFormat="1" x14ac:dyDescent="0.25">
      <c r="B1723" s="4"/>
      <c r="C1723" s="11">
        <v>0.5</v>
      </c>
      <c r="D1723" s="9" t="s">
        <v>510</v>
      </c>
      <c r="E1723" s="10">
        <v>140</v>
      </c>
      <c r="F1723" s="10">
        <f t="shared" si="28"/>
        <v>70</v>
      </c>
    </row>
    <row r="1724" spans="1:6" s="9" customFormat="1" x14ac:dyDescent="0.25">
      <c r="B1724" s="4"/>
      <c r="C1724" s="5"/>
      <c r="E1724" s="10"/>
      <c r="F1724" s="8">
        <f>SUM(F1722:F1723)</f>
        <v>1960</v>
      </c>
    </row>
    <row r="1725" spans="1:6" s="9" customFormat="1" x14ac:dyDescent="0.25">
      <c r="B1725" s="4"/>
      <c r="C1725" s="5"/>
      <c r="E1725" s="10"/>
      <c r="F1725" s="10"/>
    </row>
    <row r="1726" spans="1:6" s="9" customFormat="1" x14ac:dyDescent="0.25">
      <c r="A1726" s="9" t="s">
        <v>181</v>
      </c>
      <c r="B1726" s="4">
        <v>45774</v>
      </c>
      <c r="C1726" s="5">
        <v>2</v>
      </c>
      <c r="D1726" s="9" t="s">
        <v>511</v>
      </c>
      <c r="E1726" s="10">
        <v>140</v>
      </c>
      <c r="F1726" s="10">
        <f t="shared" si="28"/>
        <v>280</v>
      </c>
    </row>
    <row r="1727" spans="1:6" s="9" customFormat="1" x14ac:dyDescent="0.25">
      <c r="B1727" s="4"/>
      <c r="C1727" s="5">
        <v>2</v>
      </c>
      <c r="D1727" s="9" t="s">
        <v>8</v>
      </c>
      <c r="E1727" s="10">
        <v>170</v>
      </c>
      <c r="F1727" s="10">
        <f t="shared" si="28"/>
        <v>340</v>
      </c>
    </row>
    <row r="1728" spans="1:6" s="9" customFormat="1" x14ac:dyDescent="0.25">
      <c r="B1728" s="4"/>
      <c r="C1728" s="5">
        <v>26</v>
      </c>
      <c r="D1728" s="9" t="s">
        <v>168</v>
      </c>
      <c r="E1728" s="10">
        <v>135</v>
      </c>
      <c r="F1728" s="10">
        <f t="shared" si="28"/>
        <v>3510</v>
      </c>
    </row>
    <row r="1729" spans="1:6" s="9" customFormat="1" x14ac:dyDescent="0.25">
      <c r="B1729" s="4"/>
      <c r="C1729" s="5">
        <v>3</v>
      </c>
      <c r="D1729" s="9" t="s">
        <v>512</v>
      </c>
      <c r="E1729" s="10">
        <v>140</v>
      </c>
      <c r="F1729" s="10">
        <f t="shared" si="28"/>
        <v>420</v>
      </c>
    </row>
    <row r="1730" spans="1:6" s="9" customFormat="1" x14ac:dyDescent="0.25">
      <c r="B1730" s="4"/>
      <c r="C1730" s="5">
        <v>1</v>
      </c>
      <c r="D1730" s="9" t="s">
        <v>513</v>
      </c>
      <c r="E1730" s="10">
        <v>0</v>
      </c>
      <c r="F1730" s="10">
        <f t="shared" si="28"/>
        <v>0</v>
      </c>
    </row>
    <row r="1731" spans="1:6" s="9" customFormat="1" x14ac:dyDescent="0.25">
      <c r="B1731" s="4"/>
      <c r="C1731" s="5">
        <v>1</v>
      </c>
      <c r="D1731" s="9" t="s">
        <v>13</v>
      </c>
      <c r="E1731" s="10">
        <v>160</v>
      </c>
      <c r="F1731" s="10">
        <f t="shared" si="28"/>
        <v>160</v>
      </c>
    </row>
    <row r="1732" spans="1:6" s="9" customFormat="1" x14ac:dyDescent="0.25">
      <c r="B1732" s="4"/>
      <c r="C1732" s="5"/>
      <c r="E1732" s="10"/>
      <c r="F1732" s="8">
        <f>SUM(F1726:F1731)</f>
        <v>4710</v>
      </c>
    </row>
    <row r="1733" spans="1:6" s="9" customFormat="1" x14ac:dyDescent="0.25">
      <c r="B1733" s="4"/>
      <c r="C1733" s="5"/>
      <c r="E1733" s="10"/>
      <c r="F1733" s="10"/>
    </row>
    <row r="1734" spans="1:6" s="9" customFormat="1" x14ac:dyDescent="0.25">
      <c r="A1734" s="9" t="s">
        <v>386</v>
      </c>
      <c r="B1734" s="4">
        <v>45775</v>
      </c>
      <c r="C1734" s="5">
        <v>5</v>
      </c>
      <c r="D1734" s="9" t="s">
        <v>98</v>
      </c>
      <c r="E1734" s="10">
        <v>100</v>
      </c>
      <c r="F1734" s="10">
        <f t="shared" si="28"/>
        <v>500</v>
      </c>
    </row>
    <row r="1735" spans="1:6" s="9" customFormat="1" x14ac:dyDescent="0.25">
      <c r="B1735" s="4"/>
      <c r="C1735" s="5"/>
      <c r="E1735" s="10"/>
      <c r="F1735" s="8">
        <f>SUM(F1734)</f>
        <v>500</v>
      </c>
    </row>
    <row r="1736" spans="1:6" s="9" customFormat="1" x14ac:dyDescent="0.25">
      <c r="B1736" s="4"/>
      <c r="C1736" s="5"/>
      <c r="E1736" s="10"/>
      <c r="F1736" s="10"/>
    </row>
    <row r="1737" spans="1:6" s="9" customFormat="1" x14ac:dyDescent="0.25">
      <c r="A1737" s="9" t="s">
        <v>79</v>
      </c>
      <c r="B1737" s="4">
        <v>45775</v>
      </c>
      <c r="C1737" s="5">
        <v>20</v>
      </c>
      <c r="D1737" s="9" t="s">
        <v>13</v>
      </c>
      <c r="E1737" s="10">
        <v>140</v>
      </c>
      <c r="F1737" s="10">
        <f t="shared" si="28"/>
        <v>2800</v>
      </c>
    </row>
    <row r="1738" spans="1:6" s="9" customFormat="1" x14ac:dyDescent="0.25">
      <c r="B1738" s="4"/>
      <c r="C1738" s="5"/>
      <c r="E1738" s="10"/>
      <c r="F1738" s="8">
        <f>SUM(F1737)</f>
        <v>2800</v>
      </c>
    </row>
    <row r="1739" spans="1:6" s="9" customFormat="1" x14ac:dyDescent="0.25">
      <c r="B1739" s="4"/>
      <c r="C1739" s="5"/>
      <c r="E1739" s="10"/>
      <c r="F1739" s="10"/>
    </row>
    <row r="1740" spans="1:6" s="9" customFormat="1" x14ac:dyDescent="0.25">
      <c r="A1740" s="9" t="s">
        <v>15</v>
      </c>
      <c r="B1740" s="4">
        <v>45775</v>
      </c>
      <c r="C1740" s="5">
        <v>60</v>
      </c>
      <c r="D1740" s="9" t="s">
        <v>98</v>
      </c>
      <c r="E1740" s="10">
        <v>80</v>
      </c>
      <c r="F1740" s="10">
        <f t="shared" si="28"/>
        <v>4800</v>
      </c>
    </row>
    <row r="1741" spans="1:6" s="9" customFormat="1" x14ac:dyDescent="0.25">
      <c r="B1741" s="4"/>
      <c r="C1741" s="5"/>
      <c r="E1741" s="10"/>
      <c r="F1741" s="8">
        <f>SUM(F1740)</f>
        <v>4800</v>
      </c>
    </row>
    <row r="1742" spans="1:6" s="9" customFormat="1" x14ac:dyDescent="0.25">
      <c r="B1742" s="4"/>
      <c r="C1742" s="5"/>
      <c r="E1742" s="10"/>
      <c r="F1742" s="10"/>
    </row>
    <row r="1743" spans="1:6" s="9" customFormat="1" x14ac:dyDescent="0.25">
      <c r="A1743" s="9" t="s">
        <v>514</v>
      </c>
      <c r="B1743" s="4">
        <v>45775</v>
      </c>
      <c r="C1743" s="5">
        <v>10</v>
      </c>
      <c r="D1743" s="9" t="s">
        <v>98</v>
      </c>
      <c r="E1743" s="10">
        <v>100</v>
      </c>
      <c r="F1743" s="10">
        <f t="shared" si="28"/>
        <v>1000</v>
      </c>
    </row>
    <row r="1744" spans="1:6" s="9" customFormat="1" x14ac:dyDescent="0.25">
      <c r="B1744" s="4"/>
      <c r="C1744" s="5"/>
      <c r="E1744" s="10"/>
      <c r="F1744" s="8">
        <f>SUM(F1743)</f>
        <v>1000</v>
      </c>
    </row>
    <row r="1745" spans="1:6" s="9" customFormat="1" x14ac:dyDescent="0.25">
      <c r="B1745" s="4"/>
      <c r="C1745" s="5"/>
      <c r="E1745" s="10"/>
      <c r="F1745" s="10"/>
    </row>
    <row r="1746" spans="1:6" s="9" customFormat="1" x14ac:dyDescent="0.25">
      <c r="A1746" s="9" t="s">
        <v>20</v>
      </c>
      <c r="B1746" s="4">
        <v>45775</v>
      </c>
      <c r="C1746" s="5">
        <v>30</v>
      </c>
      <c r="D1746" s="9" t="s">
        <v>13</v>
      </c>
      <c r="E1746" s="10">
        <v>135</v>
      </c>
      <c r="F1746" s="10">
        <f t="shared" si="28"/>
        <v>4050</v>
      </c>
    </row>
    <row r="1747" spans="1:6" s="9" customFormat="1" x14ac:dyDescent="0.25">
      <c r="B1747" s="4"/>
      <c r="C1747" s="5"/>
      <c r="E1747" s="10"/>
      <c r="F1747" s="8">
        <f>SUM(F1746)</f>
        <v>4050</v>
      </c>
    </row>
    <row r="1748" spans="1:6" s="9" customFormat="1" x14ac:dyDescent="0.25">
      <c r="B1748" s="4"/>
      <c r="C1748" s="5"/>
      <c r="E1748" s="10"/>
      <c r="F1748" s="10"/>
    </row>
    <row r="1749" spans="1:6" s="9" customFormat="1" x14ac:dyDescent="0.25">
      <c r="A1749" s="9" t="s">
        <v>21</v>
      </c>
      <c r="B1749" s="4">
        <v>45775</v>
      </c>
      <c r="C1749" s="5">
        <v>30</v>
      </c>
      <c r="D1749" s="9" t="s">
        <v>13</v>
      </c>
      <c r="E1749" s="10">
        <v>125</v>
      </c>
      <c r="F1749" s="10">
        <f t="shared" si="28"/>
        <v>3750</v>
      </c>
    </row>
    <row r="1750" spans="1:6" s="9" customFormat="1" x14ac:dyDescent="0.25">
      <c r="B1750" s="4"/>
      <c r="C1750" s="5">
        <v>20</v>
      </c>
      <c r="D1750" s="9" t="s">
        <v>22</v>
      </c>
      <c r="E1750" s="10">
        <v>100</v>
      </c>
      <c r="F1750" s="10">
        <f t="shared" si="28"/>
        <v>2000</v>
      </c>
    </row>
    <row r="1751" spans="1:6" s="9" customFormat="1" x14ac:dyDescent="0.25">
      <c r="B1751" s="4"/>
      <c r="C1751" s="5">
        <v>10</v>
      </c>
      <c r="D1751" s="9" t="s">
        <v>8</v>
      </c>
      <c r="E1751" s="10">
        <v>155</v>
      </c>
      <c r="F1751" s="10">
        <f t="shared" si="28"/>
        <v>1550</v>
      </c>
    </row>
    <row r="1752" spans="1:6" s="9" customFormat="1" x14ac:dyDescent="0.25">
      <c r="B1752" s="4"/>
      <c r="C1752" s="5"/>
      <c r="E1752" s="10"/>
      <c r="F1752" s="8">
        <f>SUM(F1749:F1751)</f>
        <v>7300</v>
      </c>
    </row>
    <row r="1753" spans="1:6" s="9" customFormat="1" x14ac:dyDescent="0.25">
      <c r="B1753" s="4"/>
      <c r="C1753" s="5"/>
      <c r="E1753" s="10"/>
      <c r="F1753" s="10"/>
    </row>
    <row r="1754" spans="1:6" s="9" customFormat="1" x14ac:dyDescent="0.25">
      <c r="A1754" s="9" t="s">
        <v>57</v>
      </c>
      <c r="B1754" s="4">
        <v>45775</v>
      </c>
      <c r="C1754" s="5">
        <v>10</v>
      </c>
      <c r="D1754" s="9" t="s">
        <v>13</v>
      </c>
      <c r="E1754" s="10">
        <v>135</v>
      </c>
      <c r="F1754" s="10">
        <f t="shared" si="28"/>
        <v>1350</v>
      </c>
    </row>
    <row r="1755" spans="1:6" s="9" customFormat="1" x14ac:dyDescent="0.25">
      <c r="B1755" s="4"/>
      <c r="C1755" s="5">
        <v>5</v>
      </c>
      <c r="D1755" s="9" t="s">
        <v>14</v>
      </c>
      <c r="E1755" s="10">
        <v>120</v>
      </c>
      <c r="F1755" s="10">
        <f t="shared" si="28"/>
        <v>600</v>
      </c>
    </row>
    <row r="1756" spans="1:6" s="9" customFormat="1" x14ac:dyDescent="0.25">
      <c r="B1756" s="4"/>
      <c r="C1756" s="5"/>
      <c r="E1756" s="10"/>
      <c r="F1756" s="8">
        <f>SUM(F1754:F1755)</f>
        <v>1950</v>
      </c>
    </row>
    <row r="1757" spans="1:6" s="9" customFormat="1" x14ac:dyDescent="0.25">
      <c r="B1757" s="4"/>
      <c r="C1757" s="5"/>
      <c r="E1757" s="10"/>
      <c r="F1757" s="10"/>
    </row>
    <row r="1758" spans="1:6" s="9" customFormat="1" x14ac:dyDescent="0.25">
      <c r="A1758" s="9" t="s">
        <v>515</v>
      </c>
      <c r="B1758" s="4">
        <v>45775</v>
      </c>
      <c r="C1758" s="5">
        <v>8</v>
      </c>
      <c r="D1758" s="9" t="s">
        <v>13</v>
      </c>
      <c r="E1758" s="10">
        <v>135</v>
      </c>
      <c r="F1758" s="10">
        <f t="shared" si="28"/>
        <v>1080</v>
      </c>
    </row>
    <row r="1759" spans="1:6" s="9" customFormat="1" x14ac:dyDescent="0.25">
      <c r="B1759" s="4"/>
      <c r="C1759" s="5"/>
      <c r="E1759" s="10"/>
      <c r="F1759" s="8">
        <f>SUM(F1758)</f>
        <v>1080</v>
      </c>
    </row>
    <row r="1760" spans="1:6" s="9" customFormat="1" x14ac:dyDescent="0.25">
      <c r="B1760" s="4"/>
      <c r="C1760" s="5"/>
      <c r="E1760" s="10"/>
      <c r="F1760" s="10"/>
    </row>
    <row r="1761" spans="1:6" s="9" customFormat="1" x14ac:dyDescent="0.25">
      <c r="A1761" s="9" t="s">
        <v>40</v>
      </c>
      <c r="B1761" s="4">
        <v>45775</v>
      </c>
      <c r="C1761" s="5">
        <v>10</v>
      </c>
      <c r="D1761" s="9" t="s">
        <v>14</v>
      </c>
      <c r="E1761" s="10">
        <v>120</v>
      </c>
      <c r="F1761" s="10">
        <f t="shared" ref="F1761:F1817" si="29">+C1761*E1761</f>
        <v>1200</v>
      </c>
    </row>
    <row r="1762" spans="1:6" s="9" customFormat="1" x14ac:dyDescent="0.25">
      <c r="B1762" s="4"/>
      <c r="C1762" s="5">
        <v>10</v>
      </c>
      <c r="D1762" s="9" t="s">
        <v>11</v>
      </c>
      <c r="E1762" s="10">
        <v>100</v>
      </c>
      <c r="F1762" s="10">
        <f t="shared" si="29"/>
        <v>1000</v>
      </c>
    </row>
    <row r="1763" spans="1:6" s="9" customFormat="1" x14ac:dyDescent="0.25">
      <c r="B1763" s="4"/>
      <c r="C1763" s="5">
        <v>10</v>
      </c>
      <c r="D1763" s="9" t="s">
        <v>22</v>
      </c>
      <c r="E1763" s="10">
        <v>95</v>
      </c>
      <c r="F1763" s="10">
        <f t="shared" si="29"/>
        <v>950</v>
      </c>
    </row>
    <row r="1764" spans="1:6" s="9" customFormat="1" x14ac:dyDescent="0.25">
      <c r="B1764" s="4"/>
      <c r="C1764" s="5">
        <v>20</v>
      </c>
      <c r="D1764" s="9" t="s">
        <v>12</v>
      </c>
      <c r="E1764" s="10">
        <v>105</v>
      </c>
      <c r="F1764" s="10">
        <f t="shared" si="29"/>
        <v>2100</v>
      </c>
    </row>
    <row r="1765" spans="1:6" s="9" customFormat="1" x14ac:dyDescent="0.25">
      <c r="B1765" s="4"/>
      <c r="C1765" s="5"/>
      <c r="E1765" s="10"/>
      <c r="F1765" s="8">
        <f>SUM(F1761:F1764)</f>
        <v>5250</v>
      </c>
    </row>
    <row r="1766" spans="1:6" s="9" customFormat="1" x14ac:dyDescent="0.25">
      <c r="B1766" s="4"/>
      <c r="C1766" s="5"/>
      <c r="E1766" s="10"/>
      <c r="F1766" s="10"/>
    </row>
    <row r="1767" spans="1:6" s="9" customFormat="1" x14ac:dyDescent="0.25">
      <c r="A1767" s="9" t="s">
        <v>80</v>
      </c>
      <c r="B1767" s="4">
        <v>45775</v>
      </c>
      <c r="C1767" s="5">
        <v>10</v>
      </c>
      <c r="D1767" s="9" t="s">
        <v>13</v>
      </c>
      <c r="E1767" s="10">
        <v>140</v>
      </c>
      <c r="F1767" s="10">
        <f t="shared" si="29"/>
        <v>1400</v>
      </c>
    </row>
    <row r="1768" spans="1:6" s="9" customFormat="1" x14ac:dyDescent="0.25">
      <c r="B1768" s="4"/>
      <c r="C1768" s="5"/>
      <c r="E1768" s="10"/>
      <c r="F1768" s="8">
        <f>SUM(F1767)</f>
        <v>1400</v>
      </c>
    </row>
    <row r="1769" spans="1:6" s="9" customFormat="1" x14ac:dyDescent="0.25">
      <c r="B1769" s="4"/>
      <c r="C1769" s="5"/>
      <c r="E1769" s="10"/>
      <c r="F1769" s="10"/>
    </row>
    <row r="1770" spans="1:6" s="9" customFormat="1" x14ac:dyDescent="0.25">
      <c r="A1770" s="9" t="s">
        <v>516</v>
      </c>
      <c r="B1770" s="4">
        <v>45775</v>
      </c>
      <c r="C1770" s="5">
        <v>2</v>
      </c>
      <c r="D1770" s="9" t="s">
        <v>13</v>
      </c>
      <c r="E1770" s="10">
        <v>140</v>
      </c>
      <c r="F1770" s="10">
        <f t="shared" si="29"/>
        <v>280</v>
      </c>
    </row>
    <row r="1771" spans="1:6" s="9" customFormat="1" x14ac:dyDescent="0.25">
      <c r="B1771" s="4"/>
      <c r="C1771" s="5"/>
      <c r="E1771" s="10"/>
      <c r="F1771" s="8">
        <f>SUM(F1770)</f>
        <v>280</v>
      </c>
    </row>
    <row r="1772" spans="1:6" s="9" customFormat="1" x14ac:dyDescent="0.25">
      <c r="B1772" s="4"/>
      <c r="C1772" s="5"/>
      <c r="E1772" s="10"/>
      <c r="F1772" s="10"/>
    </row>
    <row r="1773" spans="1:6" s="9" customFormat="1" x14ac:dyDescent="0.25">
      <c r="A1773" s="9" t="s">
        <v>41</v>
      </c>
      <c r="B1773" s="4">
        <v>45775</v>
      </c>
      <c r="C1773" s="5">
        <v>25</v>
      </c>
      <c r="D1773" s="9" t="s">
        <v>14</v>
      </c>
      <c r="E1773" s="10">
        <v>130</v>
      </c>
      <c r="F1773" s="10">
        <f t="shared" si="29"/>
        <v>3250</v>
      </c>
    </row>
    <row r="1774" spans="1:6" s="9" customFormat="1" x14ac:dyDescent="0.25">
      <c r="B1774" s="4"/>
      <c r="C1774" s="5"/>
      <c r="E1774" s="10"/>
      <c r="F1774" s="8">
        <f>SUM(F1773)</f>
        <v>3250</v>
      </c>
    </row>
    <row r="1775" spans="1:6" s="9" customFormat="1" x14ac:dyDescent="0.25">
      <c r="B1775" s="4"/>
      <c r="C1775" s="5"/>
      <c r="E1775" s="10"/>
      <c r="F1775" s="10"/>
    </row>
    <row r="1776" spans="1:6" s="9" customFormat="1" x14ac:dyDescent="0.25">
      <c r="A1776" s="9" t="s">
        <v>251</v>
      </c>
      <c r="B1776" s="4">
        <v>45775</v>
      </c>
      <c r="C1776" s="5">
        <v>60</v>
      </c>
      <c r="D1776" s="9" t="s">
        <v>12</v>
      </c>
      <c r="E1776" s="10">
        <v>120</v>
      </c>
      <c r="F1776" s="10">
        <f t="shared" si="29"/>
        <v>7200</v>
      </c>
    </row>
    <row r="1777" spans="1:6" s="9" customFormat="1" x14ac:dyDescent="0.25">
      <c r="B1777" s="4"/>
      <c r="C1777" s="5">
        <v>10</v>
      </c>
      <c r="D1777" s="9" t="s">
        <v>14</v>
      </c>
      <c r="E1777" s="10">
        <v>120</v>
      </c>
      <c r="F1777" s="10">
        <f t="shared" si="29"/>
        <v>1200</v>
      </c>
    </row>
    <row r="1778" spans="1:6" s="9" customFormat="1" x14ac:dyDescent="0.25">
      <c r="B1778" s="4"/>
      <c r="C1778" s="5"/>
      <c r="E1778" s="10"/>
      <c r="F1778" s="8">
        <f>SUM(F1776:F1777)</f>
        <v>8400</v>
      </c>
    </row>
    <row r="1779" spans="1:6" s="9" customFormat="1" x14ac:dyDescent="0.25">
      <c r="B1779" s="4"/>
      <c r="C1779" s="5"/>
      <c r="E1779" s="10"/>
      <c r="F1779" s="10"/>
    </row>
    <row r="1780" spans="1:6" s="9" customFormat="1" x14ac:dyDescent="0.25">
      <c r="A1780" s="9" t="s">
        <v>43</v>
      </c>
      <c r="B1780" s="4">
        <v>45775</v>
      </c>
      <c r="C1780" s="5">
        <v>30</v>
      </c>
      <c r="D1780" s="9" t="s">
        <v>8</v>
      </c>
      <c r="E1780" s="10">
        <v>135</v>
      </c>
      <c r="F1780" s="10">
        <f t="shared" si="29"/>
        <v>4050</v>
      </c>
    </row>
    <row r="1781" spans="1:6" s="9" customFormat="1" x14ac:dyDescent="0.25">
      <c r="B1781" s="4"/>
      <c r="C1781" s="5"/>
      <c r="E1781" s="10"/>
      <c r="F1781" s="8">
        <f>SUM(F1780)</f>
        <v>4050</v>
      </c>
    </row>
    <row r="1782" spans="1:6" s="9" customFormat="1" x14ac:dyDescent="0.25">
      <c r="B1782" s="4"/>
      <c r="C1782" s="5"/>
      <c r="E1782" s="10"/>
      <c r="F1782" s="10"/>
    </row>
    <row r="1783" spans="1:6" s="9" customFormat="1" x14ac:dyDescent="0.25">
      <c r="A1783" s="9" t="s">
        <v>85</v>
      </c>
      <c r="B1783" s="4">
        <v>45775</v>
      </c>
      <c r="C1783" s="5">
        <v>40</v>
      </c>
      <c r="D1783" s="9" t="s">
        <v>14</v>
      </c>
      <c r="E1783" s="10">
        <v>125</v>
      </c>
      <c r="F1783" s="10">
        <f t="shared" si="29"/>
        <v>5000</v>
      </c>
    </row>
    <row r="1784" spans="1:6" s="9" customFormat="1" x14ac:dyDescent="0.25">
      <c r="B1784" s="4"/>
      <c r="C1784" s="5"/>
      <c r="E1784" s="10"/>
      <c r="F1784" s="8">
        <f>SUM(F1783)</f>
        <v>5000</v>
      </c>
    </row>
    <row r="1785" spans="1:6" s="9" customFormat="1" x14ac:dyDescent="0.25">
      <c r="B1785" s="4"/>
      <c r="C1785" s="5"/>
      <c r="E1785" s="10"/>
      <c r="F1785" s="10"/>
    </row>
    <row r="1786" spans="1:6" s="9" customFormat="1" x14ac:dyDescent="0.25">
      <c r="A1786" s="9" t="s">
        <v>18</v>
      </c>
      <c r="B1786" s="4">
        <v>45775</v>
      </c>
      <c r="C1786" s="5">
        <v>40</v>
      </c>
      <c r="D1786" s="9" t="s">
        <v>14</v>
      </c>
      <c r="E1786" s="10">
        <v>125</v>
      </c>
      <c r="F1786" s="10">
        <f t="shared" si="29"/>
        <v>5000</v>
      </c>
    </row>
    <row r="1787" spans="1:6" s="9" customFormat="1" x14ac:dyDescent="0.25">
      <c r="B1787" s="4"/>
      <c r="C1787" s="5"/>
      <c r="E1787" s="10"/>
      <c r="F1787" s="8">
        <f>SUM(F1786)</f>
        <v>5000</v>
      </c>
    </row>
    <row r="1788" spans="1:6" s="9" customFormat="1" x14ac:dyDescent="0.25">
      <c r="B1788" s="4"/>
      <c r="C1788" s="5"/>
      <c r="E1788" s="10"/>
      <c r="F1788" s="10"/>
    </row>
    <row r="1789" spans="1:6" s="9" customFormat="1" x14ac:dyDescent="0.25">
      <c r="A1789" s="9" t="s">
        <v>46</v>
      </c>
      <c r="B1789" s="4">
        <v>45775</v>
      </c>
      <c r="C1789" s="5">
        <v>20</v>
      </c>
      <c r="D1789" s="9" t="s">
        <v>14</v>
      </c>
      <c r="E1789" s="10">
        <v>125</v>
      </c>
      <c r="F1789" s="10">
        <f t="shared" si="29"/>
        <v>2500</v>
      </c>
    </row>
    <row r="1790" spans="1:6" s="9" customFormat="1" x14ac:dyDescent="0.25">
      <c r="B1790" s="4"/>
      <c r="C1790" s="5"/>
      <c r="E1790" s="10"/>
      <c r="F1790" s="8">
        <f>SUM(F1789)</f>
        <v>2500</v>
      </c>
    </row>
    <row r="1791" spans="1:6" s="9" customFormat="1" x14ac:dyDescent="0.25">
      <c r="B1791" s="4"/>
      <c r="C1791" s="5"/>
      <c r="E1791" s="10"/>
      <c r="F1791" s="10"/>
    </row>
    <row r="1792" spans="1:6" s="9" customFormat="1" x14ac:dyDescent="0.25">
      <c r="A1792" s="9" t="s">
        <v>47</v>
      </c>
      <c r="B1792" s="4">
        <v>45775</v>
      </c>
      <c r="C1792" s="5">
        <v>30</v>
      </c>
      <c r="D1792" s="9" t="s">
        <v>14</v>
      </c>
      <c r="E1792" s="10">
        <v>125</v>
      </c>
      <c r="F1792" s="10">
        <f t="shared" si="29"/>
        <v>3750</v>
      </c>
    </row>
    <row r="1793" spans="1:6" s="9" customFormat="1" x14ac:dyDescent="0.25">
      <c r="B1793" s="4"/>
      <c r="C1793" s="5"/>
      <c r="E1793" s="10"/>
      <c r="F1793" s="8">
        <f>SUM(F1792)</f>
        <v>3750</v>
      </c>
    </row>
    <row r="1794" spans="1:6" s="9" customFormat="1" x14ac:dyDescent="0.25">
      <c r="B1794" s="4"/>
      <c r="C1794" s="5"/>
      <c r="E1794" s="10"/>
      <c r="F1794" s="10"/>
    </row>
    <row r="1795" spans="1:6" s="9" customFormat="1" x14ac:dyDescent="0.25">
      <c r="A1795" s="9" t="s">
        <v>252</v>
      </c>
      <c r="B1795" s="4">
        <v>45775</v>
      </c>
      <c r="C1795" s="5">
        <v>4</v>
      </c>
      <c r="D1795" s="9" t="s">
        <v>223</v>
      </c>
      <c r="E1795" s="10">
        <v>125</v>
      </c>
      <c r="F1795" s="10">
        <f t="shared" si="29"/>
        <v>500</v>
      </c>
    </row>
    <row r="1796" spans="1:6" s="9" customFormat="1" x14ac:dyDescent="0.25">
      <c r="B1796" s="4"/>
      <c r="C1796" s="5"/>
      <c r="E1796" s="10"/>
      <c r="F1796" s="8">
        <f>SUM(F1795)</f>
        <v>500</v>
      </c>
    </row>
    <row r="1797" spans="1:6" s="9" customFormat="1" x14ac:dyDescent="0.25">
      <c r="B1797" s="4"/>
      <c r="C1797" s="5"/>
      <c r="E1797" s="10"/>
      <c r="F1797" s="10"/>
    </row>
    <row r="1798" spans="1:6" s="9" customFormat="1" x14ac:dyDescent="0.25">
      <c r="A1798" s="9" t="s">
        <v>354</v>
      </c>
      <c r="B1798" s="4">
        <v>45775</v>
      </c>
      <c r="C1798" s="5">
        <v>6</v>
      </c>
      <c r="D1798" s="9" t="s">
        <v>8</v>
      </c>
      <c r="E1798" s="10">
        <v>160</v>
      </c>
      <c r="F1798" s="10">
        <f t="shared" si="29"/>
        <v>960</v>
      </c>
    </row>
    <row r="1799" spans="1:6" s="9" customFormat="1" x14ac:dyDescent="0.25">
      <c r="B1799" s="4"/>
      <c r="C1799" s="5"/>
      <c r="E1799" s="10"/>
      <c r="F1799" s="8">
        <f>SUM(F1798)</f>
        <v>960</v>
      </c>
    </row>
    <row r="1800" spans="1:6" s="9" customFormat="1" x14ac:dyDescent="0.25">
      <c r="B1800" s="4"/>
      <c r="C1800" s="5"/>
      <c r="E1800" s="10"/>
      <c r="F1800" s="10"/>
    </row>
    <row r="1801" spans="1:6" s="9" customFormat="1" x14ac:dyDescent="0.25">
      <c r="A1801" s="9" t="s">
        <v>89</v>
      </c>
      <c r="B1801" s="4">
        <v>45775</v>
      </c>
      <c r="C1801" s="5">
        <v>40</v>
      </c>
      <c r="D1801" s="9" t="s">
        <v>13</v>
      </c>
      <c r="E1801" s="10">
        <v>130</v>
      </c>
      <c r="F1801" s="10">
        <f t="shared" si="29"/>
        <v>5200</v>
      </c>
    </row>
    <row r="1802" spans="1:6" s="9" customFormat="1" x14ac:dyDescent="0.25">
      <c r="B1802" s="4"/>
      <c r="C1802" s="5">
        <v>30</v>
      </c>
      <c r="D1802" s="9" t="s">
        <v>22</v>
      </c>
      <c r="E1802" s="10">
        <v>100</v>
      </c>
      <c r="F1802" s="10">
        <f t="shared" si="29"/>
        <v>3000</v>
      </c>
    </row>
    <row r="1803" spans="1:6" s="9" customFormat="1" x14ac:dyDescent="0.25">
      <c r="B1803" s="4"/>
      <c r="C1803" s="5">
        <v>10</v>
      </c>
      <c r="D1803" s="9" t="s">
        <v>14</v>
      </c>
      <c r="E1803" s="10">
        <v>125</v>
      </c>
      <c r="F1803" s="10">
        <f t="shared" si="29"/>
        <v>1250</v>
      </c>
    </row>
    <row r="1804" spans="1:6" s="9" customFormat="1" x14ac:dyDescent="0.25">
      <c r="B1804" s="4"/>
      <c r="C1804" s="5">
        <v>10</v>
      </c>
      <c r="D1804" s="9" t="s">
        <v>11</v>
      </c>
      <c r="E1804" s="10">
        <v>115</v>
      </c>
      <c r="F1804" s="10">
        <f t="shared" si="29"/>
        <v>1150</v>
      </c>
    </row>
    <row r="1805" spans="1:6" s="9" customFormat="1" x14ac:dyDescent="0.25">
      <c r="B1805" s="4"/>
      <c r="C1805" s="5"/>
      <c r="E1805" s="10"/>
      <c r="F1805" s="8">
        <f>SUM(F1801:F1804)</f>
        <v>10600</v>
      </c>
    </row>
    <row r="1806" spans="1:6" s="9" customFormat="1" x14ac:dyDescent="0.25">
      <c r="B1806" s="4"/>
      <c r="C1806" s="5"/>
      <c r="E1806" s="10"/>
      <c r="F1806" s="10"/>
    </row>
    <row r="1807" spans="1:6" s="9" customFormat="1" x14ac:dyDescent="0.25">
      <c r="A1807" s="9" t="s">
        <v>113</v>
      </c>
      <c r="B1807" s="4">
        <v>45775</v>
      </c>
      <c r="C1807" s="5">
        <v>20</v>
      </c>
      <c r="D1807" s="9" t="s">
        <v>8</v>
      </c>
      <c r="E1807" s="10">
        <v>160</v>
      </c>
      <c r="F1807" s="10">
        <f t="shared" si="29"/>
        <v>3200</v>
      </c>
    </row>
    <row r="1808" spans="1:6" s="9" customFormat="1" x14ac:dyDescent="0.25">
      <c r="B1808" s="4"/>
      <c r="C1808" s="5"/>
      <c r="E1808" s="10"/>
      <c r="F1808" s="8">
        <f>SUM(F1807)</f>
        <v>3200</v>
      </c>
    </row>
    <row r="1809" spans="1:6" s="9" customFormat="1" x14ac:dyDescent="0.25">
      <c r="B1809" s="4"/>
      <c r="C1809" s="5"/>
      <c r="E1809" s="10"/>
      <c r="F1809" s="10"/>
    </row>
    <row r="1810" spans="1:6" s="9" customFormat="1" x14ac:dyDescent="0.25">
      <c r="A1810" s="9" t="s">
        <v>112</v>
      </c>
      <c r="B1810" s="4">
        <v>45775</v>
      </c>
      <c r="C1810" s="5">
        <v>60</v>
      </c>
      <c r="D1810" s="9" t="s">
        <v>14</v>
      </c>
      <c r="E1810" s="10">
        <v>110</v>
      </c>
      <c r="F1810" s="10">
        <f t="shared" si="29"/>
        <v>6600</v>
      </c>
    </row>
    <row r="1811" spans="1:6" s="9" customFormat="1" x14ac:dyDescent="0.25">
      <c r="B1811" s="4"/>
      <c r="C1811" s="5">
        <v>25</v>
      </c>
      <c r="D1811" s="9" t="s">
        <v>517</v>
      </c>
      <c r="E1811" s="10">
        <v>80</v>
      </c>
      <c r="F1811" s="10">
        <f t="shared" si="29"/>
        <v>2000</v>
      </c>
    </row>
    <row r="1812" spans="1:6" s="9" customFormat="1" x14ac:dyDescent="0.25">
      <c r="B1812" s="4"/>
      <c r="C1812" s="5"/>
      <c r="E1812" s="10"/>
      <c r="F1812" s="8">
        <f>SUM(F1810:F1811)</f>
        <v>8600</v>
      </c>
    </row>
    <row r="1813" spans="1:6" s="9" customFormat="1" x14ac:dyDescent="0.25">
      <c r="B1813" s="4"/>
      <c r="C1813" s="5"/>
      <c r="E1813" s="10"/>
      <c r="F1813" s="10"/>
    </row>
    <row r="1814" spans="1:6" s="9" customFormat="1" x14ac:dyDescent="0.25">
      <c r="A1814" s="9" t="s">
        <v>101</v>
      </c>
      <c r="B1814" s="4">
        <v>45775</v>
      </c>
      <c r="C1814" s="5">
        <v>2</v>
      </c>
      <c r="D1814" s="9" t="s">
        <v>13</v>
      </c>
      <c r="E1814" s="10">
        <v>160</v>
      </c>
      <c r="F1814" s="10">
        <f t="shared" si="29"/>
        <v>320</v>
      </c>
    </row>
    <row r="1815" spans="1:6" s="9" customFormat="1" x14ac:dyDescent="0.25">
      <c r="B1815" s="4"/>
      <c r="C1815" s="5"/>
      <c r="E1815" s="10"/>
      <c r="F1815" s="8">
        <f>SUM(F1814)</f>
        <v>320</v>
      </c>
    </row>
    <row r="1816" spans="1:6" s="9" customFormat="1" x14ac:dyDescent="0.25">
      <c r="B1816" s="4"/>
      <c r="C1816" s="5"/>
      <c r="E1816" s="10"/>
      <c r="F1816" s="10"/>
    </row>
    <row r="1817" spans="1:6" s="9" customFormat="1" x14ac:dyDescent="0.25">
      <c r="A1817" s="9" t="s">
        <v>181</v>
      </c>
      <c r="B1817" s="4">
        <v>45775</v>
      </c>
      <c r="C1817" s="5">
        <v>3</v>
      </c>
      <c r="D1817" s="9" t="s">
        <v>8</v>
      </c>
      <c r="E1817" s="10">
        <v>170</v>
      </c>
      <c r="F1817" s="10">
        <f t="shared" si="29"/>
        <v>510</v>
      </c>
    </row>
    <row r="1818" spans="1:6" s="9" customFormat="1" x14ac:dyDescent="0.25">
      <c r="B1818" s="4"/>
      <c r="C1818" s="5"/>
      <c r="E1818" s="10"/>
      <c r="F1818" s="8">
        <f>SUM(F1817)</f>
        <v>510</v>
      </c>
    </row>
    <row r="1819" spans="1:6" s="9" customFormat="1" x14ac:dyDescent="0.25">
      <c r="B1819" s="4"/>
      <c r="C1819" s="5"/>
      <c r="E1819" s="10"/>
      <c r="F1819" s="10"/>
    </row>
    <row r="1820" spans="1:6" s="9" customFormat="1" x14ac:dyDescent="0.25">
      <c r="A1820" s="9" t="s">
        <v>533</v>
      </c>
      <c r="B1820" s="4">
        <v>45776</v>
      </c>
      <c r="C1820" s="5">
        <v>30</v>
      </c>
      <c r="D1820" s="9" t="s">
        <v>12</v>
      </c>
      <c r="E1820" s="10">
        <v>130</v>
      </c>
      <c r="F1820" s="10">
        <f>+C1820*E1820</f>
        <v>3900</v>
      </c>
    </row>
    <row r="1821" spans="1:6" s="9" customFormat="1" x14ac:dyDescent="0.25">
      <c r="C1821" s="5"/>
      <c r="E1821" s="10"/>
      <c r="F1821" s="8">
        <f>SUM(F1820)</f>
        <v>3900</v>
      </c>
    </row>
    <row r="1822" spans="1:6" s="9" customFormat="1" x14ac:dyDescent="0.25">
      <c r="C1822" s="5"/>
      <c r="E1822" s="10"/>
      <c r="F1822" s="10"/>
    </row>
    <row r="1823" spans="1:6" s="9" customFormat="1" x14ac:dyDescent="0.25">
      <c r="A1823" s="9" t="s">
        <v>61</v>
      </c>
      <c r="B1823" s="4">
        <v>45776</v>
      </c>
      <c r="C1823" s="5">
        <v>70</v>
      </c>
      <c r="D1823" s="9" t="s">
        <v>13</v>
      </c>
      <c r="E1823" s="10">
        <v>130</v>
      </c>
      <c r="F1823" s="10">
        <f>+C1823*E1823</f>
        <v>9100</v>
      </c>
    </row>
    <row r="1824" spans="1:6" s="9" customFormat="1" x14ac:dyDescent="0.25">
      <c r="C1824" s="5"/>
      <c r="E1824" s="10"/>
      <c r="F1824" s="8">
        <f>SUM(F1823)</f>
        <v>9100</v>
      </c>
    </row>
    <row r="1825" spans="1:6" s="9" customFormat="1" x14ac:dyDescent="0.25">
      <c r="C1825" s="5"/>
      <c r="E1825" s="10"/>
      <c r="F1825" s="10"/>
    </row>
    <row r="1826" spans="1:6" s="9" customFormat="1" x14ac:dyDescent="0.25">
      <c r="A1826" s="9" t="s">
        <v>60</v>
      </c>
      <c r="B1826" s="4">
        <v>45776</v>
      </c>
      <c r="C1826" s="5">
        <v>30</v>
      </c>
      <c r="D1826" s="9" t="s">
        <v>13</v>
      </c>
      <c r="E1826" s="10">
        <v>140</v>
      </c>
      <c r="F1826" s="10">
        <f>+C1826*E1826</f>
        <v>4200</v>
      </c>
    </row>
    <row r="1827" spans="1:6" s="9" customFormat="1" x14ac:dyDescent="0.25">
      <c r="C1827" s="5">
        <v>1</v>
      </c>
      <c r="D1827" s="9" t="s">
        <v>318</v>
      </c>
      <c r="E1827" s="10">
        <v>0</v>
      </c>
      <c r="F1827" s="10">
        <f>+C1827*E1827</f>
        <v>0</v>
      </c>
    </row>
    <row r="1828" spans="1:6" s="9" customFormat="1" x14ac:dyDescent="0.25">
      <c r="C1828" s="5"/>
      <c r="E1828" s="10"/>
      <c r="F1828" s="8">
        <f>SUM(F1826:F1827)</f>
        <v>4200</v>
      </c>
    </row>
    <row r="1829" spans="1:6" s="9" customFormat="1" x14ac:dyDescent="0.25">
      <c r="C1829" s="5"/>
      <c r="E1829" s="10"/>
      <c r="F1829" s="10"/>
    </row>
    <row r="1830" spans="1:6" s="9" customFormat="1" x14ac:dyDescent="0.25">
      <c r="A1830" s="9" t="s">
        <v>62</v>
      </c>
      <c r="B1830" s="4">
        <v>45776</v>
      </c>
      <c r="C1830" s="5">
        <v>120</v>
      </c>
      <c r="D1830" s="9" t="s">
        <v>8</v>
      </c>
      <c r="E1830" s="10">
        <v>160</v>
      </c>
      <c r="F1830" s="10">
        <f>+C1830*E1830</f>
        <v>19200</v>
      </c>
    </row>
    <row r="1831" spans="1:6" s="9" customFormat="1" x14ac:dyDescent="0.25">
      <c r="C1831" s="5"/>
      <c r="E1831" s="10"/>
      <c r="F1831" s="8">
        <f>SUM(F1830)</f>
        <v>19200</v>
      </c>
    </row>
    <row r="1832" spans="1:6" s="9" customFormat="1" x14ac:dyDescent="0.25">
      <c r="C1832" s="5"/>
      <c r="E1832" s="10"/>
      <c r="F1832" s="10"/>
    </row>
    <row r="1833" spans="1:6" s="9" customFormat="1" x14ac:dyDescent="0.25">
      <c r="A1833" s="9" t="s">
        <v>532</v>
      </c>
      <c r="B1833" s="4">
        <v>45776</v>
      </c>
      <c r="C1833" s="5">
        <v>5</v>
      </c>
      <c r="D1833" s="9" t="s">
        <v>13</v>
      </c>
      <c r="E1833" s="10">
        <v>150</v>
      </c>
      <c r="F1833" s="10">
        <f>+C1833*E1833</f>
        <v>750</v>
      </c>
    </row>
    <row r="1834" spans="1:6" s="9" customFormat="1" x14ac:dyDescent="0.25">
      <c r="C1834" s="5"/>
      <c r="E1834" s="10"/>
      <c r="F1834" s="8">
        <f>SUM(F1833)</f>
        <v>750</v>
      </c>
    </row>
    <row r="1835" spans="1:6" s="9" customFormat="1" x14ac:dyDescent="0.25">
      <c r="C1835" s="5"/>
      <c r="E1835" s="10"/>
      <c r="F1835" s="10"/>
    </row>
    <row r="1836" spans="1:6" s="9" customFormat="1" x14ac:dyDescent="0.25">
      <c r="A1836" s="9" t="s">
        <v>531</v>
      </c>
      <c r="B1836" s="4">
        <v>45776</v>
      </c>
      <c r="C1836" s="5">
        <v>10</v>
      </c>
      <c r="D1836" s="9" t="s">
        <v>13</v>
      </c>
      <c r="E1836" s="10">
        <v>140</v>
      </c>
      <c r="F1836" s="10">
        <f>+C1836*E1836</f>
        <v>1400</v>
      </c>
    </row>
    <row r="1837" spans="1:6" s="9" customFormat="1" x14ac:dyDescent="0.25">
      <c r="C1837" s="5"/>
      <c r="E1837" s="10"/>
      <c r="F1837" s="8">
        <f>SUM(F1836)</f>
        <v>1400</v>
      </c>
    </row>
    <row r="1838" spans="1:6" s="9" customFormat="1" x14ac:dyDescent="0.25">
      <c r="C1838" s="5"/>
      <c r="E1838" s="10"/>
      <c r="F1838" s="10"/>
    </row>
    <row r="1839" spans="1:6" s="9" customFormat="1" x14ac:dyDescent="0.25">
      <c r="A1839" s="9" t="s">
        <v>530</v>
      </c>
      <c r="B1839" s="4">
        <v>45776</v>
      </c>
      <c r="C1839" s="5">
        <v>10</v>
      </c>
      <c r="D1839" s="9" t="s">
        <v>8</v>
      </c>
      <c r="E1839" s="10">
        <v>170</v>
      </c>
      <c r="F1839" s="10">
        <f>+C1839*E1839</f>
        <v>1700</v>
      </c>
    </row>
    <row r="1840" spans="1:6" s="9" customFormat="1" x14ac:dyDescent="0.25">
      <c r="C1840" s="5"/>
      <c r="E1840" s="10"/>
      <c r="F1840" s="8">
        <f>SUM(F1839)</f>
        <v>1700</v>
      </c>
    </row>
    <row r="1841" spans="1:6" s="9" customFormat="1" x14ac:dyDescent="0.25">
      <c r="C1841" s="5"/>
      <c r="E1841" s="10"/>
      <c r="F1841" s="10"/>
    </row>
    <row r="1842" spans="1:6" s="9" customFormat="1" x14ac:dyDescent="0.25">
      <c r="A1842" s="9" t="s">
        <v>487</v>
      </c>
      <c r="B1842" s="4">
        <v>45776</v>
      </c>
      <c r="C1842" s="5">
        <v>8</v>
      </c>
      <c r="D1842" s="9" t="s">
        <v>12</v>
      </c>
      <c r="E1842" s="10">
        <v>130</v>
      </c>
      <c r="F1842" s="10">
        <f>+C1842*E1842</f>
        <v>1040</v>
      </c>
    </row>
    <row r="1843" spans="1:6" s="9" customFormat="1" x14ac:dyDescent="0.25">
      <c r="C1843" s="5"/>
      <c r="E1843" s="10"/>
      <c r="F1843" s="8">
        <f>SUM(F1842)</f>
        <v>1040</v>
      </c>
    </row>
    <row r="1844" spans="1:6" s="9" customFormat="1" x14ac:dyDescent="0.25">
      <c r="C1844" s="5"/>
      <c r="E1844" s="10"/>
      <c r="F1844" s="10"/>
    </row>
    <row r="1845" spans="1:6" s="9" customFormat="1" x14ac:dyDescent="0.25">
      <c r="A1845" s="9" t="s">
        <v>245</v>
      </c>
      <c r="B1845" s="4">
        <v>45776</v>
      </c>
      <c r="C1845" s="5">
        <v>110</v>
      </c>
      <c r="D1845" s="9" t="s">
        <v>13</v>
      </c>
      <c r="E1845" s="10">
        <v>140</v>
      </c>
      <c r="F1845" s="10">
        <f>+C1845*E1845</f>
        <v>15400</v>
      </c>
    </row>
    <row r="1846" spans="1:6" s="9" customFormat="1" x14ac:dyDescent="0.25">
      <c r="C1846" s="5">
        <v>40</v>
      </c>
      <c r="D1846" s="9" t="s">
        <v>14</v>
      </c>
      <c r="E1846" s="10">
        <v>130</v>
      </c>
      <c r="F1846" s="10">
        <f>+C1846*E1846</f>
        <v>5200</v>
      </c>
    </row>
    <row r="1847" spans="1:6" s="9" customFormat="1" x14ac:dyDescent="0.25">
      <c r="C1847" s="5"/>
      <c r="E1847" s="10"/>
      <c r="F1847" s="8">
        <f>SUM(F1845:F1846)</f>
        <v>20600</v>
      </c>
    </row>
    <row r="1848" spans="1:6" s="9" customFormat="1" x14ac:dyDescent="0.25">
      <c r="C1848" s="5"/>
      <c r="E1848" s="10"/>
      <c r="F1848" s="10"/>
    </row>
    <row r="1849" spans="1:6" s="9" customFormat="1" x14ac:dyDescent="0.25">
      <c r="A1849" s="9" t="s">
        <v>529</v>
      </c>
      <c r="B1849" s="4">
        <v>45776</v>
      </c>
      <c r="C1849" s="5">
        <v>10</v>
      </c>
      <c r="D1849" s="9" t="s">
        <v>528</v>
      </c>
      <c r="E1849" s="10">
        <v>140</v>
      </c>
      <c r="F1849" s="10">
        <f>+C1849*E1849</f>
        <v>1400</v>
      </c>
    </row>
    <row r="1850" spans="1:6" s="9" customFormat="1" x14ac:dyDescent="0.25">
      <c r="C1850" s="5"/>
      <c r="E1850" s="10"/>
      <c r="F1850" s="8">
        <f>SUM(F1849)</f>
        <v>1400</v>
      </c>
    </row>
    <row r="1851" spans="1:6" s="9" customFormat="1" x14ac:dyDescent="0.25">
      <c r="C1851" s="5"/>
      <c r="E1851" s="10"/>
      <c r="F1851" s="10"/>
    </row>
    <row r="1852" spans="1:6" s="9" customFormat="1" x14ac:dyDescent="0.25">
      <c r="A1852" s="9" t="s">
        <v>48</v>
      </c>
      <c r="B1852" s="4">
        <v>45776</v>
      </c>
      <c r="C1852" s="5">
        <v>600</v>
      </c>
      <c r="D1852" s="9" t="s">
        <v>14</v>
      </c>
      <c r="E1852" s="10"/>
      <c r="F1852" s="10">
        <f>+C1852*E1852</f>
        <v>0</v>
      </c>
    </row>
    <row r="1853" spans="1:6" s="9" customFormat="1" x14ac:dyDescent="0.25">
      <c r="C1853" s="5">
        <v>80</v>
      </c>
      <c r="D1853" s="9" t="s">
        <v>11</v>
      </c>
      <c r="E1853" s="10"/>
      <c r="F1853" s="10">
        <f>+C1853*E1853</f>
        <v>0</v>
      </c>
    </row>
    <row r="1854" spans="1:6" s="9" customFormat="1" x14ac:dyDescent="0.25">
      <c r="C1854" s="5">
        <v>33</v>
      </c>
      <c r="D1854" s="9" t="s">
        <v>50</v>
      </c>
      <c r="E1854" s="10"/>
      <c r="F1854" s="10">
        <f>+C1854*E1854</f>
        <v>0</v>
      </c>
    </row>
    <row r="1855" spans="1:6" s="9" customFormat="1" x14ac:dyDescent="0.25">
      <c r="C1855" s="5">
        <v>43</v>
      </c>
      <c r="D1855" s="9" t="s">
        <v>22</v>
      </c>
      <c r="E1855" s="10"/>
      <c r="F1855" s="10">
        <f>+C1855*E1855</f>
        <v>0</v>
      </c>
    </row>
    <row r="1856" spans="1:6" s="9" customFormat="1" x14ac:dyDescent="0.25">
      <c r="C1856" s="5">
        <v>41</v>
      </c>
      <c r="D1856" s="9" t="s">
        <v>519</v>
      </c>
      <c r="E1856" s="10"/>
      <c r="F1856" s="10">
        <f>+C1856*E1856</f>
        <v>0</v>
      </c>
    </row>
    <row r="1857" spans="1:6" s="9" customFormat="1" x14ac:dyDescent="0.25">
      <c r="C1857" s="5"/>
      <c r="E1857" s="10"/>
      <c r="F1857" s="8">
        <f>SUM(F1852:F1856)</f>
        <v>0</v>
      </c>
    </row>
    <row r="1858" spans="1:6" s="9" customFormat="1" x14ac:dyDescent="0.25">
      <c r="C1858" s="5"/>
      <c r="E1858" s="10"/>
      <c r="F1858" s="10"/>
    </row>
    <row r="1859" spans="1:6" s="9" customFormat="1" x14ac:dyDescent="0.25">
      <c r="A1859" s="9" t="s">
        <v>51</v>
      </c>
      <c r="B1859" s="4">
        <v>45776</v>
      </c>
      <c r="C1859" s="5">
        <v>300</v>
      </c>
      <c r="D1859" s="9" t="s">
        <v>14</v>
      </c>
      <c r="E1859" s="10"/>
      <c r="F1859" s="10">
        <f>+C1859*E1859</f>
        <v>0</v>
      </c>
    </row>
    <row r="1860" spans="1:6" s="9" customFormat="1" x14ac:dyDescent="0.25">
      <c r="C1860" s="5"/>
      <c r="E1860" s="10"/>
      <c r="F1860" s="8">
        <f>SUM(F1859)</f>
        <v>0</v>
      </c>
    </row>
    <row r="1861" spans="1:6" s="9" customFormat="1" x14ac:dyDescent="0.25">
      <c r="C1861" s="5"/>
      <c r="E1861" s="10"/>
      <c r="F1861" s="10"/>
    </row>
    <row r="1862" spans="1:6" s="9" customFormat="1" x14ac:dyDescent="0.25">
      <c r="A1862" s="9" t="s">
        <v>116</v>
      </c>
      <c r="B1862" s="4">
        <v>45776</v>
      </c>
      <c r="C1862" s="5">
        <v>400</v>
      </c>
      <c r="D1862" s="9" t="s">
        <v>14</v>
      </c>
      <c r="E1862" s="10"/>
      <c r="F1862" s="10">
        <f>+C1862*E1862</f>
        <v>0</v>
      </c>
    </row>
    <row r="1863" spans="1:6" s="9" customFormat="1" x14ac:dyDescent="0.25">
      <c r="C1863" s="5">
        <v>120</v>
      </c>
      <c r="D1863" s="9" t="s">
        <v>98</v>
      </c>
      <c r="E1863" s="10"/>
      <c r="F1863" s="10">
        <f>+C1863*E1863</f>
        <v>0</v>
      </c>
    </row>
    <row r="1864" spans="1:6" s="9" customFormat="1" x14ac:dyDescent="0.25">
      <c r="C1864" s="5"/>
      <c r="E1864" s="10"/>
      <c r="F1864" s="8">
        <f>SUM(F1862:F1863)</f>
        <v>0</v>
      </c>
    </row>
    <row r="1865" spans="1:6" s="9" customFormat="1" x14ac:dyDescent="0.25">
      <c r="C1865" s="5"/>
      <c r="E1865" s="10"/>
      <c r="F1865" s="10"/>
    </row>
    <row r="1866" spans="1:6" s="9" customFormat="1" x14ac:dyDescent="0.25">
      <c r="A1866" s="9" t="s">
        <v>29</v>
      </c>
      <c r="B1866" s="4">
        <v>45776</v>
      </c>
      <c r="C1866" s="5">
        <v>6</v>
      </c>
      <c r="D1866" s="9" t="s">
        <v>78</v>
      </c>
      <c r="E1866" s="10">
        <v>100</v>
      </c>
      <c r="F1866" s="10">
        <f>+C1866*E1866</f>
        <v>600</v>
      </c>
    </row>
    <row r="1867" spans="1:6" s="9" customFormat="1" x14ac:dyDescent="0.25">
      <c r="C1867" s="5">
        <v>10</v>
      </c>
      <c r="D1867" s="9" t="s">
        <v>527</v>
      </c>
      <c r="E1867" s="10">
        <v>135</v>
      </c>
      <c r="F1867" s="10">
        <f>+C1867*E1867</f>
        <v>1350</v>
      </c>
    </row>
    <row r="1868" spans="1:6" s="9" customFormat="1" x14ac:dyDescent="0.25">
      <c r="C1868" s="5">
        <v>1</v>
      </c>
      <c r="D1868" s="9" t="s">
        <v>13</v>
      </c>
      <c r="E1868" s="10">
        <v>160</v>
      </c>
      <c r="F1868" s="10">
        <f>+C1868*E1868</f>
        <v>160</v>
      </c>
    </row>
    <row r="1869" spans="1:6" s="9" customFormat="1" x14ac:dyDescent="0.25">
      <c r="C1869" s="5"/>
      <c r="E1869" s="10"/>
      <c r="F1869" s="8">
        <f>SUM(F1866:F1868)</f>
        <v>2110</v>
      </c>
    </row>
    <row r="1870" spans="1:6" s="9" customFormat="1" x14ac:dyDescent="0.25">
      <c r="C1870" s="5"/>
      <c r="E1870" s="10"/>
      <c r="F1870" s="10"/>
    </row>
    <row r="1871" spans="1:6" s="9" customFormat="1" x14ac:dyDescent="0.25">
      <c r="A1871" s="9" t="s">
        <v>7</v>
      </c>
      <c r="B1871" s="4">
        <v>45776</v>
      </c>
      <c r="C1871" s="5">
        <v>2</v>
      </c>
      <c r="D1871" s="9" t="s">
        <v>13</v>
      </c>
      <c r="E1871" s="10">
        <v>160</v>
      </c>
      <c r="F1871" s="10">
        <f>+C1871*E1871</f>
        <v>320</v>
      </c>
    </row>
    <row r="1872" spans="1:6" s="9" customFormat="1" x14ac:dyDescent="0.25">
      <c r="C1872" s="5">
        <v>9</v>
      </c>
      <c r="D1872" s="9" t="s">
        <v>526</v>
      </c>
      <c r="E1872" s="10">
        <v>3.3332999999999999</v>
      </c>
      <c r="F1872" s="10">
        <f>+C1872*E1872</f>
        <v>29.999700000000001</v>
      </c>
    </row>
    <row r="1873" spans="1:6" s="9" customFormat="1" x14ac:dyDescent="0.25">
      <c r="C1873" s="5">
        <v>3</v>
      </c>
      <c r="D1873" s="9" t="s">
        <v>8</v>
      </c>
      <c r="E1873" s="10">
        <v>170</v>
      </c>
      <c r="F1873" s="10">
        <f>+C1873*E1873</f>
        <v>510</v>
      </c>
    </row>
    <row r="1874" spans="1:6" s="9" customFormat="1" x14ac:dyDescent="0.25">
      <c r="C1874" s="5"/>
      <c r="E1874" s="10"/>
      <c r="F1874" s="8">
        <f>SUM(F1871:F1873)</f>
        <v>859.99970000000008</v>
      </c>
    </row>
    <row r="1875" spans="1:6" s="9" customFormat="1" x14ac:dyDescent="0.25">
      <c r="C1875" s="5"/>
      <c r="E1875" s="10"/>
      <c r="F1875" s="10"/>
    </row>
    <row r="1876" spans="1:6" s="9" customFormat="1" x14ac:dyDescent="0.25">
      <c r="A1876" s="9" t="s">
        <v>211</v>
      </c>
      <c r="B1876" s="4">
        <v>45777</v>
      </c>
      <c r="C1876" s="5">
        <v>12</v>
      </c>
      <c r="D1876" s="9" t="s">
        <v>98</v>
      </c>
      <c r="E1876" s="10">
        <v>100</v>
      </c>
      <c r="F1876" s="10">
        <f>+C1876*E1876</f>
        <v>1200</v>
      </c>
    </row>
    <row r="1877" spans="1:6" s="9" customFormat="1" x14ac:dyDescent="0.25">
      <c r="C1877" s="5"/>
      <c r="E1877" s="10"/>
      <c r="F1877" s="8">
        <f>SUM(F1876)</f>
        <v>1200</v>
      </c>
    </row>
    <row r="1878" spans="1:6" s="9" customFormat="1" x14ac:dyDescent="0.25">
      <c r="C1878" s="5"/>
      <c r="E1878" s="10"/>
      <c r="F1878" s="10"/>
    </row>
    <row r="1879" spans="1:6" s="9" customFormat="1" x14ac:dyDescent="0.25">
      <c r="A1879" s="9" t="s">
        <v>270</v>
      </c>
      <c r="B1879" s="4">
        <v>45777</v>
      </c>
      <c r="C1879" s="5">
        <v>10</v>
      </c>
      <c r="D1879" s="9" t="s">
        <v>98</v>
      </c>
      <c r="E1879" s="10">
        <v>100</v>
      </c>
      <c r="F1879" s="10">
        <f>+C1879*E1879</f>
        <v>1000</v>
      </c>
    </row>
    <row r="1880" spans="1:6" s="9" customFormat="1" x14ac:dyDescent="0.25">
      <c r="C1880" s="5"/>
      <c r="E1880" s="10"/>
      <c r="F1880" s="8">
        <f>SUM(F1879)</f>
        <v>1000</v>
      </c>
    </row>
    <row r="1881" spans="1:6" s="9" customFormat="1" x14ac:dyDescent="0.25">
      <c r="C1881" s="5"/>
      <c r="E1881" s="10"/>
      <c r="F1881" s="10"/>
    </row>
    <row r="1882" spans="1:6" s="9" customFormat="1" x14ac:dyDescent="0.25">
      <c r="A1882" s="9" t="s">
        <v>15</v>
      </c>
      <c r="B1882" s="4">
        <v>45777</v>
      </c>
      <c r="C1882" s="5">
        <v>60</v>
      </c>
      <c r="D1882" s="9" t="s">
        <v>98</v>
      </c>
      <c r="E1882" s="10">
        <v>80</v>
      </c>
      <c r="F1882" s="10">
        <f>+C1882*E1882</f>
        <v>4800</v>
      </c>
    </row>
    <row r="1883" spans="1:6" s="9" customFormat="1" x14ac:dyDescent="0.25">
      <c r="C1883" s="5"/>
      <c r="E1883" s="10"/>
      <c r="F1883" s="8">
        <f>SUM(F1882)</f>
        <v>4800</v>
      </c>
    </row>
    <row r="1884" spans="1:6" s="9" customFormat="1" x14ac:dyDescent="0.25">
      <c r="C1884" s="5"/>
      <c r="E1884" s="10"/>
      <c r="F1884" s="10"/>
    </row>
    <row r="1885" spans="1:6" s="9" customFormat="1" x14ac:dyDescent="0.25">
      <c r="A1885" s="9" t="s">
        <v>525</v>
      </c>
      <c r="B1885" s="4">
        <v>45777</v>
      </c>
      <c r="C1885" s="5">
        <v>16</v>
      </c>
      <c r="D1885" s="9" t="s">
        <v>22</v>
      </c>
      <c r="E1885" s="10">
        <v>100</v>
      </c>
      <c r="F1885" s="10">
        <f>+C1885*E1885</f>
        <v>1600</v>
      </c>
    </row>
    <row r="1886" spans="1:6" s="9" customFormat="1" x14ac:dyDescent="0.25">
      <c r="C1886" s="5"/>
      <c r="E1886" s="10"/>
      <c r="F1886" s="8">
        <f>SUM(F1885)</f>
        <v>1600</v>
      </c>
    </row>
    <row r="1887" spans="1:6" s="9" customFormat="1" x14ac:dyDescent="0.25">
      <c r="C1887" s="5"/>
      <c r="E1887" s="10"/>
      <c r="F1887" s="10"/>
    </row>
    <row r="1888" spans="1:6" s="9" customFormat="1" x14ac:dyDescent="0.25">
      <c r="A1888" s="9" t="s">
        <v>58</v>
      </c>
      <c r="B1888" s="4">
        <v>45777</v>
      </c>
      <c r="C1888" s="5">
        <v>13</v>
      </c>
      <c r="D1888" s="9" t="s">
        <v>13</v>
      </c>
      <c r="E1888" s="10">
        <v>140</v>
      </c>
      <c r="F1888" s="10">
        <f>+C1888*E1888</f>
        <v>1820</v>
      </c>
    </row>
    <row r="1889" spans="1:6" s="9" customFormat="1" x14ac:dyDescent="0.25">
      <c r="C1889" s="5"/>
      <c r="E1889" s="10"/>
      <c r="F1889" s="8">
        <f>SUM(F1888)</f>
        <v>1820</v>
      </c>
    </row>
    <row r="1890" spans="1:6" s="9" customFormat="1" x14ac:dyDescent="0.25">
      <c r="C1890" s="5"/>
      <c r="E1890" s="10"/>
      <c r="F1890" s="10"/>
    </row>
    <row r="1891" spans="1:6" s="9" customFormat="1" x14ac:dyDescent="0.25">
      <c r="A1891" s="9" t="s">
        <v>37</v>
      </c>
      <c r="B1891" s="4">
        <v>45777</v>
      </c>
      <c r="C1891" s="5">
        <v>15</v>
      </c>
      <c r="D1891" s="9" t="s">
        <v>12</v>
      </c>
      <c r="E1891" s="10">
        <v>130</v>
      </c>
      <c r="F1891" s="10">
        <f>+C1891*E1891</f>
        <v>1950</v>
      </c>
    </row>
    <row r="1892" spans="1:6" s="9" customFormat="1" x14ac:dyDescent="0.25">
      <c r="C1892" s="5"/>
      <c r="E1892" s="10"/>
      <c r="F1892" s="8">
        <f>SUM(F1891)</f>
        <v>1950</v>
      </c>
    </row>
    <row r="1893" spans="1:6" s="9" customFormat="1" x14ac:dyDescent="0.25">
      <c r="C1893" s="5"/>
      <c r="E1893" s="10"/>
      <c r="F1893" s="10"/>
    </row>
    <row r="1894" spans="1:6" s="9" customFormat="1" x14ac:dyDescent="0.25">
      <c r="A1894" s="9" t="s">
        <v>17</v>
      </c>
      <c r="B1894" s="4">
        <v>45777</v>
      </c>
      <c r="C1894" s="5">
        <v>10</v>
      </c>
      <c r="D1894" s="9" t="s">
        <v>524</v>
      </c>
      <c r="E1894" s="10">
        <v>140</v>
      </c>
      <c r="F1894" s="10">
        <f>+C1894*E1894</f>
        <v>1400</v>
      </c>
    </row>
    <row r="1895" spans="1:6" s="9" customFormat="1" x14ac:dyDescent="0.25">
      <c r="C1895" s="5"/>
      <c r="E1895" s="10"/>
      <c r="F1895" s="8">
        <f>SUM(F1894)</f>
        <v>1400</v>
      </c>
    </row>
    <row r="1896" spans="1:6" s="9" customFormat="1" x14ac:dyDescent="0.25">
      <c r="C1896" s="5"/>
      <c r="E1896" s="10"/>
      <c r="F1896" s="10"/>
    </row>
    <row r="1897" spans="1:6" s="9" customFormat="1" x14ac:dyDescent="0.25">
      <c r="A1897" s="9" t="s">
        <v>21</v>
      </c>
      <c r="B1897" s="4">
        <v>45777</v>
      </c>
      <c r="C1897" s="5">
        <v>30</v>
      </c>
      <c r="D1897" s="9" t="s">
        <v>12</v>
      </c>
      <c r="E1897" s="10">
        <v>110</v>
      </c>
      <c r="F1897" s="10">
        <f>+C1897*E1897</f>
        <v>3300</v>
      </c>
    </row>
    <row r="1898" spans="1:6" s="9" customFormat="1" x14ac:dyDescent="0.25">
      <c r="C1898" s="5">
        <v>30</v>
      </c>
      <c r="D1898" s="9" t="s">
        <v>13</v>
      </c>
      <c r="E1898" s="10">
        <v>125</v>
      </c>
      <c r="F1898" s="10">
        <f>+C1898*E1898</f>
        <v>3750</v>
      </c>
    </row>
    <row r="1899" spans="1:6" s="9" customFormat="1" x14ac:dyDescent="0.25">
      <c r="C1899" s="5">
        <v>19</v>
      </c>
      <c r="D1899" s="9" t="s">
        <v>22</v>
      </c>
      <c r="E1899" s="10">
        <v>100</v>
      </c>
      <c r="F1899" s="10">
        <f>+C1899*E1899</f>
        <v>1900</v>
      </c>
    </row>
    <row r="1900" spans="1:6" s="9" customFormat="1" x14ac:dyDescent="0.25">
      <c r="C1900" s="5"/>
      <c r="E1900" s="10"/>
      <c r="F1900" s="8">
        <f>SUM(F1897:F1899)</f>
        <v>8950</v>
      </c>
    </row>
    <row r="1901" spans="1:6" s="9" customFormat="1" x14ac:dyDescent="0.25">
      <c r="C1901" s="5"/>
      <c r="E1901" s="10"/>
      <c r="F1901" s="10"/>
    </row>
    <row r="1902" spans="1:6" s="9" customFormat="1" x14ac:dyDescent="0.25">
      <c r="A1902" s="9" t="s">
        <v>427</v>
      </c>
      <c r="B1902" s="4">
        <v>45777</v>
      </c>
      <c r="C1902" s="5">
        <v>10</v>
      </c>
      <c r="D1902" s="9" t="s">
        <v>13</v>
      </c>
      <c r="E1902" s="10">
        <v>135</v>
      </c>
      <c r="F1902" s="10">
        <f>+C1902*E1902</f>
        <v>1350</v>
      </c>
    </row>
    <row r="1903" spans="1:6" s="9" customFormat="1" x14ac:dyDescent="0.25">
      <c r="C1903" s="5">
        <v>5</v>
      </c>
      <c r="D1903" s="9" t="s">
        <v>14</v>
      </c>
      <c r="E1903" s="10">
        <v>125</v>
      </c>
      <c r="F1903" s="10">
        <f>+C1903*E1903</f>
        <v>625</v>
      </c>
    </row>
    <row r="1904" spans="1:6" s="9" customFormat="1" x14ac:dyDescent="0.25">
      <c r="C1904" s="5"/>
      <c r="E1904" s="10"/>
      <c r="F1904" s="8">
        <f>SUM(F1902:F1903)</f>
        <v>1975</v>
      </c>
    </row>
    <row r="1905" spans="1:6" s="9" customFormat="1" x14ac:dyDescent="0.25">
      <c r="C1905" s="5"/>
      <c r="E1905" s="10"/>
      <c r="F1905" s="10"/>
    </row>
    <row r="1906" spans="1:6" s="9" customFormat="1" x14ac:dyDescent="0.25">
      <c r="A1906" s="9" t="s">
        <v>40</v>
      </c>
      <c r="B1906" s="4">
        <v>45777</v>
      </c>
      <c r="C1906" s="5">
        <v>10</v>
      </c>
      <c r="D1906" s="9" t="s">
        <v>13</v>
      </c>
      <c r="E1906" s="10">
        <v>125</v>
      </c>
      <c r="F1906" s="10">
        <f>+C1906*E1906</f>
        <v>1250</v>
      </c>
    </row>
    <row r="1907" spans="1:6" s="9" customFormat="1" x14ac:dyDescent="0.25">
      <c r="C1907" s="5">
        <v>10</v>
      </c>
      <c r="D1907" s="9" t="s">
        <v>11</v>
      </c>
      <c r="E1907" s="10">
        <v>100</v>
      </c>
      <c r="F1907" s="10">
        <f>+C1907*E1907</f>
        <v>1000</v>
      </c>
    </row>
    <row r="1908" spans="1:6" s="9" customFormat="1" x14ac:dyDescent="0.25">
      <c r="C1908" s="5">
        <v>15</v>
      </c>
      <c r="D1908" s="9" t="s">
        <v>14</v>
      </c>
      <c r="E1908" s="10">
        <v>120</v>
      </c>
      <c r="F1908" s="10">
        <f>+C1908*E1908</f>
        <v>1800</v>
      </c>
    </row>
    <row r="1909" spans="1:6" s="9" customFormat="1" x14ac:dyDescent="0.25">
      <c r="C1909" s="5"/>
      <c r="E1909" s="10"/>
      <c r="F1909" s="8">
        <f>SUM(F1906:F1908)</f>
        <v>4050</v>
      </c>
    </row>
    <row r="1910" spans="1:6" s="9" customFormat="1" x14ac:dyDescent="0.25">
      <c r="C1910" s="5"/>
      <c r="E1910" s="10"/>
      <c r="F1910" s="10"/>
    </row>
    <row r="1911" spans="1:6" s="9" customFormat="1" x14ac:dyDescent="0.25">
      <c r="A1911" s="9" t="s">
        <v>41</v>
      </c>
      <c r="B1911" s="4">
        <v>45777</v>
      </c>
      <c r="C1911" s="5">
        <v>30</v>
      </c>
      <c r="D1911" s="9" t="s">
        <v>14</v>
      </c>
      <c r="E1911" s="10">
        <v>130</v>
      </c>
      <c r="F1911" s="10">
        <f>+C1911*E1911</f>
        <v>3900</v>
      </c>
    </row>
    <row r="1912" spans="1:6" s="9" customFormat="1" x14ac:dyDescent="0.25">
      <c r="C1912" s="5"/>
      <c r="E1912" s="10"/>
      <c r="F1912" s="8">
        <f>SUM(F1911)</f>
        <v>3900</v>
      </c>
    </row>
    <row r="1913" spans="1:6" s="9" customFormat="1" x14ac:dyDescent="0.25">
      <c r="C1913" s="5"/>
      <c r="E1913" s="10"/>
      <c r="F1913" s="10"/>
    </row>
    <row r="1914" spans="1:6" s="9" customFormat="1" x14ac:dyDescent="0.25">
      <c r="A1914" s="9" t="s">
        <v>107</v>
      </c>
      <c r="B1914" s="4">
        <v>45777</v>
      </c>
      <c r="C1914" s="5">
        <v>48</v>
      </c>
      <c r="D1914" s="9" t="s">
        <v>12</v>
      </c>
      <c r="E1914" s="10">
        <v>115</v>
      </c>
      <c r="F1914" s="10">
        <f>+C1914*E1914</f>
        <v>5520</v>
      </c>
    </row>
    <row r="1915" spans="1:6" s="9" customFormat="1" x14ac:dyDescent="0.25">
      <c r="C1915" s="5"/>
      <c r="E1915" s="10"/>
      <c r="F1915" s="8">
        <f>SUM(F1914)</f>
        <v>5520</v>
      </c>
    </row>
    <row r="1916" spans="1:6" s="9" customFormat="1" x14ac:dyDescent="0.25">
      <c r="C1916" s="5"/>
      <c r="E1916" s="10"/>
      <c r="F1916" s="10"/>
    </row>
    <row r="1917" spans="1:6" s="9" customFormat="1" x14ac:dyDescent="0.25">
      <c r="A1917" s="9" t="s">
        <v>43</v>
      </c>
      <c r="B1917" s="4">
        <v>45777</v>
      </c>
      <c r="C1917" s="5">
        <v>20</v>
      </c>
      <c r="D1917" s="9" t="s">
        <v>523</v>
      </c>
      <c r="E1917" s="10">
        <v>125</v>
      </c>
      <c r="F1917" s="10">
        <f>+C1917*E1917</f>
        <v>2500</v>
      </c>
    </row>
    <row r="1918" spans="1:6" s="9" customFormat="1" x14ac:dyDescent="0.25">
      <c r="C1918" s="5"/>
      <c r="E1918" s="10"/>
      <c r="F1918" s="8">
        <f>SUM(F1917)</f>
        <v>2500</v>
      </c>
    </row>
    <row r="1919" spans="1:6" s="9" customFormat="1" x14ac:dyDescent="0.25">
      <c r="C1919" s="5"/>
      <c r="E1919" s="10"/>
      <c r="F1919" s="10"/>
    </row>
    <row r="1920" spans="1:6" s="9" customFormat="1" x14ac:dyDescent="0.25">
      <c r="A1920" s="9" t="s">
        <v>44</v>
      </c>
      <c r="B1920" s="4">
        <v>45777</v>
      </c>
      <c r="C1920" s="5">
        <v>50</v>
      </c>
      <c r="D1920" s="9" t="s">
        <v>14</v>
      </c>
      <c r="E1920" s="10">
        <v>125</v>
      </c>
      <c r="F1920" s="10">
        <f>+C1920*E1920</f>
        <v>6250</v>
      </c>
    </row>
    <row r="1921" spans="1:6" s="9" customFormat="1" x14ac:dyDescent="0.25">
      <c r="C1921" s="5"/>
      <c r="E1921" s="10"/>
      <c r="F1921" s="8">
        <f>SUM(F1920)</f>
        <v>6250</v>
      </c>
    </row>
    <row r="1922" spans="1:6" s="9" customFormat="1" x14ac:dyDescent="0.25">
      <c r="C1922" s="5"/>
      <c r="E1922" s="10"/>
      <c r="F1922" s="10"/>
    </row>
    <row r="1923" spans="1:6" s="9" customFormat="1" x14ac:dyDescent="0.25">
      <c r="A1923" s="9" t="s">
        <v>18</v>
      </c>
      <c r="B1923" s="4">
        <v>45777</v>
      </c>
      <c r="C1923" s="5">
        <v>20</v>
      </c>
      <c r="D1923" s="9" t="s">
        <v>14</v>
      </c>
      <c r="E1923" s="10">
        <v>125</v>
      </c>
      <c r="F1923" s="10">
        <f>+C1923*E1923</f>
        <v>2500</v>
      </c>
    </row>
    <row r="1924" spans="1:6" s="9" customFormat="1" x14ac:dyDescent="0.25">
      <c r="C1924" s="5"/>
      <c r="E1924" s="10"/>
      <c r="F1924" s="8">
        <f>SUM(F1923)</f>
        <v>2500</v>
      </c>
    </row>
    <row r="1925" spans="1:6" s="9" customFormat="1" x14ac:dyDescent="0.25">
      <c r="C1925" s="5"/>
      <c r="E1925" s="10"/>
      <c r="F1925" s="10"/>
    </row>
    <row r="1926" spans="1:6" s="9" customFormat="1" x14ac:dyDescent="0.25">
      <c r="A1926" s="9" t="s">
        <v>42</v>
      </c>
      <c r="B1926" s="4">
        <v>45777</v>
      </c>
      <c r="C1926" s="5">
        <v>22</v>
      </c>
      <c r="D1926" s="9" t="s">
        <v>14</v>
      </c>
      <c r="E1926" s="10">
        <v>120</v>
      </c>
      <c r="F1926" s="10">
        <f>+C1926*E1926</f>
        <v>2640</v>
      </c>
    </row>
    <row r="1927" spans="1:6" s="9" customFormat="1" x14ac:dyDescent="0.25">
      <c r="C1927" s="5"/>
      <c r="E1927" s="10"/>
      <c r="F1927" s="8">
        <f>SUM(F1926)</f>
        <v>2640</v>
      </c>
    </row>
    <row r="1928" spans="1:6" s="9" customFormat="1" x14ac:dyDescent="0.25">
      <c r="C1928" s="5"/>
      <c r="E1928" s="10"/>
      <c r="F1928" s="10"/>
    </row>
    <row r="1929" spans="1:6" s="9" customFormat="1" x14ac:dyDescent="0.25">
      <c r="A1929" s="9" t="s">
        <v>46</v>
      </c>
      <c r="B1929" s="4">
        <v>45777</v>
      </c>
      <c r="C1929" s="5">
        <v>20</v>
      </c>
      <c r="D1929" s="9" t="s">
        <v>14</v>
      </c>
      <c r="E1929" s="10">
        <v>125</v>
      </c>
      <c r="F1929" s="10">
        <f>+C1929*E1929</f>
        <v>2500</v>
      </c>
    </row>
    <row r="1930" spans="1:6" s="9" customFormat="1" x14ac:dyDescent="0.25">
      <c r="C1930" s="5"/>
      <c r="E1930" s="10"/>
      <c r="F1930" s="8">
        <f>SUM(F1929)</f>
        <v>2500</v>
      </c>
    </row>
    <row r="1931" spans="1:6" s="9" customFormat="1" x14ac:dyDescent="0.25">
      <c r="C1931" s="5"/>
      <c r="E1931" s="10"/>
      <c r="F1931" s="10"/>
    </row>
    <row r="1932" spans="1:6" s="9" customFormat="1" x14ac:dyDescent="0.25">
      <c r="A1932" s="9" t="s">
        <v>47</v>
      </c>
      <c r="B1932" s="4">
        <v>45777</v>
      </c>
      <c r="C1932" s="5">
        <v>40</v>
      </c>
      <c r="D1932" s="9" t="s">
        <v>14</v>
      </c>
      <c r="E1932" s="10">
        <v>125</v>
      </c>
      <c r="F1932" s="10">
        <f>+C1932*E1932</f>
        <v>5000</v>
      </c>
    </row>
    <row r="1933" spans="1:6" s="9" customFormat="1" x14ac:dyDescent="0.25">
      <c r="C1933" s="5"/>
      <c r="E1933" s="10"/>
      <c r="F1933" s="8">
        <f>SUM(F1932)</f>
        <v>5000</v>
      </c>
    </row>
    <row r="1934" spans="1:6" s="9" customFormat="1" x14ac:dyDescent="0.25">
      <c r="C1934" s="5"/>
      <c r="E1934" s="10"/>
      <c r="F1934" s="10"/>
    </row>
    <row r="1935" spans="1:6" s="9" customFormat="1" x14ac:dyDescent="0.25">
      <c r="A1935" s="9" t="s">
        <v>145</v>
      </c>
      <c r="B1935" s="4">
        <v>45777</v>
      </c>
      <c r="C1935" s="5">
        <v>1</v>
      </c>
      <c r="D1935" s="9" t="s">
        <v>13</v>
      </c>
      <c r="E1935" s="10">
        <v>120</v>
      </c>
      <c r="F1935" s="10">
        <f>+C1935*E1935</f>
        <v>120</v>
      </c>
    </row>
    <row r="1936" spans="1:6" s="9" customFormat="1" x14ac:dyDescent="0.25">
      <c r="C1936" s="5"/>
      <c r="E1936" s="10"/>
      <c r="F1936" s="8">
        <f>SUM(F1935)</f>
        <v>120</v>
      </c>
    </row>
    <row r="1937" spans="1:6" s="9" customFormat="1" x14ac:dyDescent="0.25">
      <c r="C1937" s="5"/>
      <c r="E1937" s="10"/>
      <c r="F1937" s="10"/>
    </row>
    <row r="1938" spans="1:6" s="9" customFormat="1" x14ac:dyDescent="0.25">
      <c r="A1938" s="9" t="s">
        <v>455</v>
      </c>
      <c r="B1938" s="4">
        <v>45777</v>
      </c>
      <c r="C1938" s="5">
        <v>200</v>
      </c>
      <c r="D1938" s="9" t="s">
        <v>14</v>
      </c>
      <c r="E1938" s="10">
        <v>108</v>
      </c>
      <c r="F1938" s="10">
        <f>+C1938*E1938</f>
        <v>21600</v>
      </c>
    </row>
    <row r="1939" spans="1:6" s="9" customFormat="1" x14ac:dyDescent="0.25">
      <c r="C1939" s="5">
        <v>42</v>
      </c>
      <c r="D1939" s="9" t="s">
        <v>522</v>
      </c>
      <c r="E1939" s="10">
        <v>85</v>
      </c>
      <c r="F1939" s="10">
        <f>+C1939*E1939</f>
        <v>3570</v>
      </c>
    </row>
    <row r="1940" spans="1:6" s="9" customFormat="1" x14ac:dyDescent="0.25">
      <c r="C1940" s="5"/>
      <c r="E1940" s="10"/>
      <c r="F1940" s="8">
        <f>SUM(F1938:F1939)</f>
        <v>25170</v>
      </c>
    </row>
    <row r="1941" spans="1:6" s="9" customFormat="1" x14ac:dyDescent="0.25">
      <c r="C1941" s="5"/>
      <c r="E1941" s="10"/>
      <c r="F1941" s="10"/>
    </row>
    <row r="1942" spans="1:6" s="9" customFormat="1" x14ac:dyDescent="0.25">
      <c r="A1942" s="9" t="s">
        <v>434</v>
      </c>
      <c r="B1942" s="4">
        <v>45777</v>
      </c>
      <c r="C1942" s="5">
        <v>5</v>
      </c>
      <c r="D1942" s="9" t="s">
        <v>13</v>
      </c>
      <c r="E1942" s="10">
        <v>145</v>
      </c>
      <c r="F1942" s="10">
        <f>+C1942*E1942</f>
        <v>725</v>
      </c>
    </row>
    <row r="1943" spans="1:6" s="9" customFormat="1" x14ac:dyDescent="0.25">
      <c r="C1943" s="5"/>
      <c r="E1943" s="10"/>
      <c r="F1943" s="8">
        <f>SUM(F1942)</f>
        <v>725</v>
      </c>
    </row>
    <row r="1944" spans="1:6" s="9" customFormat="1" x14ac:dyDescent="0.25">
      <c r="C1944" s="5"/>
      <c r="E1944" s="10"/>
      <c r="F1944" s="10"/>
    </row>
    <row r="1945" spans="1:6" s="9" customFormat="1" x14ac:dyDescent="0.25">
      <c r="A1945" s="9" t="s">
        <v>103</v>
      </c>
      <c r="B1945" s="4">
        <v>45777</v>
      </c>
      <c r="C1945" s="5">
        <v>4</v>
      </c>
      <c r="D1945" s="9" t="s">
        <v>13</v>
      </c>
      <c r="E1945" s="10">
        <v>150</v>
      </c>
      <c r="F1945" s="10">
        <f>+C1945*E1945</f>
        <v>600</v>
      </c>
    </row>
    <row r="1946" spans="1:6" s="9" customFormat="1" x14ac:dyDescent="0.25">
      <c r="C1946" s="5"/>
      <c r="E1946" s="10"/>
      <c r="F1946" s="8">
        <f>SUM(F1945)</f>
        <v>600</v>
      </c>
    </row>
    <row r="1947" spans="1:6" s="9" customFormat="1" x14ac:dyDescent="0.25">
      <c r="C1947" s="5"/>
      <c r="E1947" s="10"/>
      <c r="F1947" s="10"/>
    </row>
    <row r="1948" spans="1:6" s="9" customFormat="1" x14ac:dyDescent="0.25">
      <c r="A1948" s="9" t="s">
        <v>72</v>
      </c>
      <c r="B1948" s="4">
        <v>45777</v>
      </c>
      <c r="C1948" s="5">
        <v>200</v>
      </c>
      <c r="D1948" s="9" t="s">
        <v>13</v>
      </c>
      <c r="E1948" s="10">
        <v>130</v>
      </c>
      <c r="F1948" s="10">
        <f>+C1948*E1948</f>
        <v>26000</v>
      </c>
    </row>
    <row r="1949" spans="1:6" s="9" customFormat="1" x14ac:dyDescent="0.25">
      <c r="C1949" s="5">
        <v>150</v>
      </c>
      <c r="D1949" s="9" t="s">
        <v>12</v>
      </c>
      <c r="E1949" s="10">
        <v>115</v>
      </c>
      <c r="F1949" s="10">
        <f>+C1949*E1949</f>
        <v>17250</v>
      </c>
    </row>
    <row r="1950" spans="1:6" s="9" customFormat="1" x14ac:dyDescent="0.25">
      <c r="C1950" s="5">
        <v>20</v>
      </c>
      <c r="D1950" s="9" t="s">
        <v>14</v>
      </c>
      <c r="E1950" s="10">
        <v>125</v>
      </c>
      <c r="F1950" s="10">
        <f>+C1950*E1950</f>
        <v>2500</v>
      </c>
    </row>
    <row r="1951" spans="1:6" s="9" customFormat="1" x14ac:dyDescent="0.25">
      <c r="C1951" s="5">
        <v>80</v>
      </c>
      <c r="D1951" s="9" t="s">
        <v>11</v>
      </c>
      <c r="E1951" s="10">
        <v>110</v>
      </c>
      <c r="F1951" s="10">
        <f>+C1951*E1951</f>
        <v>8800</v>
      </c>
    </row>
    <row r="1952" spans="1:6" s="9" customFormat="1" x14ac:dyDescent="0.25">
      <c r="C1952" s="5"/>
      <c r="E1952" s="10"/>
      <c r="F1952" s="8">
        <f>SUM(F1948:F1951)</f>
        <v>54550</v>
      </c>
    </row>
    <row r="1953" spans="1:7" s="9" customFormat="1" x14ac:dyDescent="0.25">
      <c r="C1953" s="5"/>
      <c r="E1953" s="10"/>
      <c r="F1953" s="10"/>
    </row>
    <row r="1954" spans="1:7" s="9" customFormat="1" x14ac:dyDescent="0.25">
      <c r="A1954" s="9" t="s">
        <v>32</v>
      </c>
      <c r="B1954" s="4">
        <v>45777</v>
      </c>
      <c r="C1954" s="5">
        <v>20</v>
      </c>
      <c r="D1954" s="9" t="s">
        <v>13</v>
      </c>
      <c r="E1954" s="10">
        <v>135</v>
      </c>
      <c r="F1954" s="10">
        <f>+C1954*E1954</f>
        <v>2700</v>
      </c>
    </row>
    <row r="1955" spans="1:7" s="9" customFormat="1" x14ac:dyDescent="0.25">
      <c r="C1955" s="5"/>
      <c r="E1955" s="10"/>
      <c r="F1955" s="8">
        <f>SUM(F1954)</f>
        <v>2700</v>
      </c>
    </row>
    <row r="1956" spans="1:7" s="9" customFormat="1" x14ac:dyDescent="0.25">
      <c r="C1956" s="5"/>
      <c r="E1956" s="10"/>
      <c r="F1956" s="10"/>
    </row>
    <row r="1957" spans="1:7" s="9" customFormat="1" x14ac:dyDescent="0.25">
      <c r="A1957" s="9" t="s">
        <v>245</v>
      </c>
      <c r="B1957" s="4">
        <v>45777</v>
      </c>
      <c r="C1957" s="5">
        <v>80</v>
      </c>
      <c r="D1957" s="9" t="s">
        <v>13</v>
      </c>
      <c r="E1957" s="10">
        <v>140</v>
      </c>
      <c r="F1957" s="10">
        <f>+C1957*E1957</f>
        <v>11200</v>
      </c>
    </row>
    <row r="1958" spans="1:7" s="9" customFormat="1" x14ac:dyDescent="0.25">
      <c r="C1958" s="5">
        <v>20</v>
      </c>
      <c r="D1958" s="9" t="s">
        <v>14</v>
      </c>
      <c r="E1958" s="10">
        <v>130</v>
      </c>
      <c r="F1958" s="10">
        <f>+C1958*E1958</f>
        <v>2600</v>
      </c>
    </row>
    <row r="1959" spans="1:7" s="9" customFormat="1" x14ac:dyDescent="0.25">
      <c r="C1959" s="5">
        <v>3.02</v>
      </c>
      <c r="D1959" s="9" t="s">
        <v>318</v>
      </c>
      <c r="E1959" s="10">
        <v>0</v>
      </c>
      <c r="F1959" s="10">
        <f>+C1959*E1959</f>
        <v>0</v>
      </c>
    </row>
    <row r="1960" spans="1:7" s="9" customFormat="1" x14ac:dyDescent="0.25">
      <c r="C1960" s="5"/>
      <c r="E1960" s="10"/>
      <c r="F1960" s="8">
        <f>SUM(F1957:F1959)</f>
        <v>13800</v>
      </c>
    </row>
    <row r="1961" spans="1:7" s="9" customFormat="1" x14ac:dyDescent="0.25">
      <c r="C1961" s="5"/>
      <c r="E1961" s="10"/>
      <c r="F1961" s="10"/>
    </row>
    <row r="1962" spans="1:7" s="9" customFormat="1" x14ac:dyDescent="0.25">
      <c r="A1962" s="9" t="s">
        <v>521</v>
      </c>
      <c r="B1962" s="4">
        <v>45777</v>
      </c>
      <c r="C1962" s="5">
        <v>200</v>
      </c>
      <c r="D1962" s="9" t="s">
        <v>12</v>
      </c>
      <c r="E1962" s="10">
        <v>120</v>
      </c>
      <c r="F1962" s="10">
        <f>+C1962*E1962</f>
        <v>24000</v>
      </c>
    </row>
    <row r="1963" spans="1:7" s="9" customFormat="1" x14ac:dyDescent="0.25">
      <c r="C1963" s="5">
        <v>200</v>
      </c>
      <c r="D1963" s="9" t="s">
        <v>13</v>
      </c>
      <c r="E1963" s="10">
        <v>130</v>
      </c>
      <c r="F1963" s="10">
        <f>+C1963*E1963</f>
        <v>26000</v>
      </c>
    </row>
    <row r="1964" spans="1:7" s="9" customFormat="1" x14ac:dyDescent="0.25">
      <c r="C1964" s="5">
        <v>150</v>
      </c>
      <c r="D1964" s="9" t="s">
        <v>14</v>
      </c>
      <c r="E1964" s="10">
        <v>120</v>
      </c>
      <c r="F1964" s="10">
        <f>+C1964*E1964</f>
        <v>18000</v>
      </c>
    </row>
    <row r="1965" spans="1:7" s="9" customFormat="1" x14ac:dyDescent="0.25">
      <c r="C1965" s="5">
        <v>100</v>
      </c>
      <c r="D1965" s="9" t="s">
        <v>520</v>
      </c>
      <c r="E1965" s="10">
        <v>130</v>
      </c>
      <c r="F1965" s="10">
        <f>+C1965*E1965</f>
        <v>13000</v>
      </c>
    </row>
    <row r="1966" spans="1:7" s="9" customFormat="1" x14ac:dyDescent="0.25">
      <c r="C1966" s="5"/>
      <c r="E1966" s="10"/>
      <c r="F1966" s="8">
        <f>SUM(F1962:F1965)</f>
        <v>81000</v>
      </c>
    </row>
    <row r="1967" spans="1:7" s="9" customFormat="1" x14ac:dyDescent="0.25">
      <c r="C1967" s="5"/>
      <c r="E1967" s="10"/>
      <c r="F1967" s="10"/>
    </row>
    <row r="1968" spans="1:7" s="9" customFormat="1" x14ac:dyDescent="0.25">
      <c r="A1968" s="9" t="s">
        <v>151</v>
      </c>
      <c r="B1968" s="4">
        <v>45777</v>
      </c>
      <c r="C1968" s="5">
        <v>60</v>
      </c>
      <c r="D1968" s="9" t="s">
        <v>14</v>
      </c>
      <c r="E1968" s="10">
        <v>110</v>
      </c>
      <c r="F1968" s="10">
        <f>+C1968*E1968</f>
        <v>6600</v>
      </c>
      <c r="G1968" s="9" t="s">
        <v>587</v>
      </c>
    </row>
    <row r="1969" spans="1:7" s="9" customFormat="1" x14ac:dyDescent="0.25">
      <c r="C1969" s="5">
        <v>40</v>
      </c>
      <c r="D1969" s="9" t="s">
        <v>50</v>
      </c>
      <c r="E1969" s="10">
        <v>85</v>
      </c>
      <c r="F1969" s="10">
        <f>+C1969*E1969</f>
        <v>3400</v>
      </c>
    </row>
    <row r="1970" spans="1:7" s="9" customFormat="1" x14ac:dyDescent="0.25">
      <c r="C1970" s="5">
        <v>100</v>
      </c>
      <c r="D1970" s="9" t="s">
        <v>22</v>
      </c>
      <c r="E1970" s="10">
        <v>90</v>
      </c>
      <c r="F1970" s="10">
        <f>+C1970*E1970</f>
        <v>9000</v>
      </c>
    </row>
    <row r="1971" spans="1:7" s="9" customFormat="1" x14ac:dyDescent="0.25">
      <c r="C1971" s="5"/>
      <c r="E1971" s="10"/>
      <c r="F1971" s="8">
        <f>SUM(F1968:F1970)</f>
        <v>19000</v>
      </c>
    </row>
    <row r="1972" spans="1:7" s="9" customFormat="1" x14ac:dyDescent="0.25">
      <c r="C1972" s="5"/>
      <c r="E1972" s="10"/>
      <c r="F1972" s="10"/>
    </row>
    <row r="1973" spans="1:7" s="9" customFormat="1" x14ac:dyDescent="0.25">
      <c r="A1973" s="9" t="s">
        <v>29</v>
      </c>
      <c r="B1973" s="4">
        <v>45777</v>
      </c>
      <c r="C1973" s="5">
        <v>1</v>
      </c>
      <c r="D1973" s="9" t="s">
        <v>519</v>
      </c>
      <c r="E1973" s="10">
        <v>170</v>
      </c>
      <c r="F1973" s="10">
        <f>+C1973*E1973</f>
        <v>170</v>
      </c>
    </row>
    <row r="1974" spans="1:7" s="9" customFormat="1" x14ac:dyDescent="0.25">
      <c r="C1974" s="5">
        <v>6</v>
      </c>
      <c r="D1974" s="9" t="s">
        <v>518</v>
      </c>
      <c r="E1974" s="10">
        <v>5</v>
      </c>
      <c r="F1974" s="10">
        <f>+C1974*E1974</f>
        <v>30</v>
      </c>
    </row>
    <row r="1975" spans="1:7" s="9" customFormat="1" x14ac:dyDescent="0.25">
      <c r="C1975" s="5">
        <v>6</v>
      </c>
      <c r="D1975" s="9" t="s">
        <v>13</v>
      </c>
      <c r="E1975" s="10">
        <v>135</v>
      </c>
      <c r="F1975" s="10">
        <f>+C1975*E1975</f>
        <v>810</v>
      </c>
    </row>
    <row r="1976" spans="1:7" s="9" customFormat="1" x14ac:dyDescent="0.25">
      <c r="C1976" s="5"/>
      <c r="E1976" s="10"/>
      <c r="F1976" s="8">
        <f>SUM(F1973:F1975)</f>
        <v>1010</v>
      </c>
    </row>
    <row r="1977" spans="1:7" s="9" customFormat="1" x14ac:dyDescent="0.25">
      <c r="C1977" s="5"/>
      <c r="E1977" s="10"/>
      <c r="F1977" s="10"/>
    </row>
    <row r="1978" spans="1:7" s="9" customFormat="1" x14ac:dyDescent="0.25">
      <c r="A1978" s="9" t="s">
        <v>7</v>
      </c>
      <c r="B1978" s="4">
        <v>45777</v>
      </c>
      <c r="C1978" s="5">
        <v>1</v>
      </c>
      <c r="D1978" s="9" t="s">
        <v>8</v>
      </c>
      <c r="E1978" s="10">
        <v>170</v>
      </c>
      <c r="F1978" s="10">
        <f>+C1978*E1978</f>
        <v>170</v>
      </c>
    </row>
    <row r="1979" spans="1:7" s="9" customFormat="1" x14ac:dyDescent="0.25">
      <c r="C1979" s="5">
        <v>2.06</v>
      </c>
      <c r="D1979" s="9" t="s">
        <v>8</v>
      </c>
      <c r="E1979" s="10">
        <v>170</v>
      </c>
      <c r="F1979" s="10">
        <f>+C1979*E1979</f>
        <v>350.2</v>
      </c>
    </row>
    <row r="1980" spans="1:7" s="9" customFormat="1" x14ac:dyDescent="0.25">
      <c r="C1980" s="5"/>
      <c r="E1980" s="10"/>
      <c r="F1980" s="8">
        <f>SUM(F1978:F1979)</f>
        <v>520.20000000000005</v>
      </c>
    </row>
    <row r="1981" spans="1:7" s="9" customFormat="1" x14ac:dyDescent="0.25">
      <c r="B1981" s="4"/>
      <c r="C1981" s="5"/>
      <c r="E1981" s="10"/>
      <c r="F1981" s="10"/>
    </row>
    <row r="1982" spans="1:7" ht="15.75" x14ac:dyDescent="0.25">
      <c r="D1982" s="9"/>
      <c r="F1982" s="7" t="s">
        <v>294</v>
      </c>
      <c r="G1982" s="7">
        <f>+F10+F15+F19+F22+F25+F28+F31+F34+F37+F40+F46+F50+F57+F60+F63+F66+F71+F74+F77+F80+F83+F86+F92+F96+F99+F102+F106+F109+F113+F116+F121+F126+F129+F132+F136+F142+F145+F148+F152+F155+F158+F162+F165+F168+F171+F174+F180+F183+F186+F190+F193+F196+F199+F202+F205+F208+F211+F215+F220+F223+F226+F229+F232+F235+F242+F245+F249+F255+F258+F261+F264+F268+F273+F280+F288+F292+F296+F300+F304+F310+F315+F318+F321+F325+F329+F334+F340+F343+F346+F350+F353+F356+F359+F362+F365+F368+F371+F374+F377+F380+F383+F386+F389+F395+F398+F404+F408+F411+F414+F417+F420+F423+F427+F432+F435+F439+F446+F450+F454+F458+F462+F465+F473+F476+F479+F482+F486+F489+F494+F500+F506+F510+F515+F521+F525+F528+F531+F534+F537+F540+F544+F547+F550+F556+F559+F562+F566+F569+F572+F575+F581+F585+F588+F592+F595+F600+F604+F608+F612+F618+F621+F624+F627+F630+F633+F640+F645+F648+F651+F654+F657+F660+F663+F666+F669+F672+F675+F678+F681+F684+F687+F691+F695+F701+F704+F707+F710+F713+F718+F722+F727+F730+F733+F738+F742+F746+F750+F753+F757+F763+F766+F769+F777+F780+F783+F786+F789+F792+F795+F798+F804+F807+F810+F816+F820+F825+F828+F831+F834+F838+F841+F844+F847+F850+F853+F856+F860+F863+F866+F871+F874+F879+F887+F890+F894+F898+F903+F908+F911+F914+F919+F925+F929+F933+F938+F941+F944+F947+F955+F960+F964+F967+F970+F973+F976+F979+F982+F985+F988+F991+F997+F1001+F1005+F1008+F1011+F1014+F1017+F1020+F1023+F1026+F1029+F1032+F1035+F1038+F1044+F1049+F1052+F1056+F1059+F1065+F1071+F1077+F1080+F1083+F1088+F1093+F1097+F1101+F1104+F1107+F1113+F1119+F1123+F1128+F1131+F1134+F1138+F1146+F1150+F1156+F1159+F1163+F1166+F1170+F1175+F1178+F1181+F1187+F1190+F1193+F1196+F1199+F1202+F1205+F1208+F1211+F1217+F1220+F1223+F1227+F1230+F1233+F1236+F1241+F1244+F1248+F1251+F1255+F1258+F1261+F1266+F1269+F1272+F1275+F1278+F1283+F1288+F1291+F1294+F1298+F1301+F1307+F1313+F1323+F1326+F1329+F1332+F1336+F1343+F1346+F1353+F1356+F1361+F1366+F1371+F1375+F1379+F1382+F1385+F1388+F1391+F1396+F1402+F1408+F1411+F1414+F1417+F1420+F1423+F1426+F1430+F1433+F1436+F1439+F1442+F1445+F1448+F1451+F1455+F1458+F1462+F1465+F1473+F1476+F1482+F1485+F1489+F1495+F1498+F1501+F1508+F1511+F1515+F1518+F1521+F1524+F1528+F1532+F1536+F1542+F1547+F1552+F1555+F1558+F1562+F1567+F1570+F1573+F1576+F1579+F1584+F1587+F1590+F1594+F1597+F1601+F1604+F1607+F1610+F1615+F1618+F1621+F1624+F1629+F1633+F1637+F1640+F1643+F1646+F1649+F1652+F1658+F1662+F1668+F1674+F1677+F1681+F1685+F1689+F1692+F1696+F1702+F1707+F1710+F1714+F1717+F1724+F1720+F1732+F1735+F1738+F1741+F1744+F1747+F1752+F1756+F1759+F1765+F1768+F1771+F1774+F1778+F1781+F1784+F1787+F1790+F1793+F1796+F1799+F1805+F1808+F1812+F1815+F1818+F1821+F1824+F1828+F1831+F1834+F1837+F1840+F1843+F1847+F1850+F1857+F1860+F1864+F1869+F1874+F1877+F1880+F1883+F1886+F1889+F1892+F1895+F1900+F1904+F1909+F1912+F1915+F1918+F1921+F1924+F1927+F1930+F1933+F1936+F1940+F1943+F1946+F1952+F1955+F1960+F1966+F1971+F1976+F1980</f>
        <v>5079352.199697</v>
      </c>
    </row>
    <row r="1983" spans="1:7" x14ac:dyDescent="0.25">
      <c r="D1983" s="9"/>
      <c r="G1983" s="10">
        <v>5079352.2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F942-3AA4-4025-B529-CEC8101D9073}">
  <dimension ref="A1:N2343"/>
  <sheetViews>
    <sheetView workbookViewId="0">
      <selection activeCell="F18" sqref="F18"/>
    </sheetView>
  </sheetViews>
  <sheetFormatPr baseColWidth="10" defaultRowHeight="15" x14ac:dyDescent="0.25"/>
  <cols>
    <col min="1" max="1" width="22" style="9" bestFit="1" customWidth="1"/>
    <col min="2" max="2" width="11.42578125" style="9"/>
    <col min="3" max="3" width="12.85546875" style="5" customWidth="1"/>
    <col min="4" max="4" width="44.7109375" style="9" customWidth="1"/>
    <col min="5" max="5" width="18.140625" style="10" bestFit="1" customWidth="1"/>
    <col min="6" max="6" width="16.28515625" style="9" customWidth="1"/>
    <col min="7" max="7" width="19.42578125" style="9" customWidth="1"/>
    <col min="8" max="16384" width="11.42578125" style="9"/>
  </cols>
  <sheetData>
    <row r="1" spans="1:11" ht="15.75" x14ac:dyDescent="0.25">
      <c r="A1" s="30" t="s">
        <v>0</v>
      </c>
      <c r="B1" s="30"/>
      <c r="C1" s="30"/>
      <c r="D1" s="30"/>
      <c r="E1" s="30"/>
      <c r="F1" s="30"/>
    </row>
    <row r="2" spans="1:11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11" x14ac:dyDescent="0.25">
      <c r="A3" s="4" t="s">
        <v>64</v>
      </c>
      <c r="B3" s="4">
        <v>45778</v>
      </c>
      <c r="C3" s="5">
        <v>30</v>
      </c>
      <c r="D3" s="9" t="s">
        <v>13</v>
      </c>
      <c r="E3" s="10">
        <v>135</v>
      </c>
      <c r="F3" s="10">
        <f t="shared" ref="F3:F9" si="0">+C3*E3</f>
        <v>4050</v>
      </c>
    </row>
    <row r="4" spans="1:11" x14ac:dyDescent="0.25">
      <c r="C4" s="5">
        <v>20</v>
      </c>
      <c r="D4" s="9" t="s">
        <v>12</v>
      </c>
      <c r="E4" s="10">
        <v>125</v>
      </c>
      <c r="F4" s="10">
        <f t="shared" si="0"/>
        <v>2500</v>
      </c>
    </row>
    <row r="5" spans="1:11" x14ac:dyDescent="0.25">
      <c r="C5" s="5">
        <v>40</v>
      </c>
      <c r="D5" s="9" t="s">
        <v>22</v>
      </c>
      <c r="E5" s="10">
        <v>105</v>
      </c>
      <c r="F5" s="10">
        <f t="shared" si="0"/>
        <v>4200</v>
      </c>
    </row>
    <row r="6" spans="1:11" x14ac:dyDescent="0.25">
      <c r="C6" s="5">
        <v>20</v>
      </c>
      <c r="D6" s="9" t="s">
        <v>49</v>
      </c>
      <c r="E6" s="10">
        <v>145</v>
      </c>
      <c r="F6" s="10">
        <f t="shared" si="0"/>
        <v>2900</v>
      </c>
    </row>
    <row r="7" spans="1:11" x14ac:dyDescent="0.25">
      <c r="C7" s="5">
        <v>20</v>
      </c>
      <c r="D7" s="9" t="s">
        <v>14</v>
      </c>
      <c r="E7" s="10">
        <v>125</v>
      </c>
      <c r="F7" s="10">
        <f t="shared" si="0"/>
        <v>2500</v>
      </c>
    </row>
    <row r="8" spans="1:11" x14ac:dyDescent="0.25">
      <c r="C8" s="5">
        <v>20</v>
      </c>
      <c r="D8" s="9" t="s">
        <v>547</v>
      </c>
      <c r="E8" s="10">
        <v>100</v>
      </c>
      <c r="F8" s="10">
        <f t="shared" si="0"/>
        <v>2000</v>
      </c>
    </row>
    <row r="9" spans="1:11" x14ac:dyDescent="0.25">
      <c r="C9" s="5">
        <v>10</v>
      </c>
      <c r="D9" s="9" t="s">
        <v>8</v>
      </c>
      <c r="E9" s="10">
        <v>155</v>
      </c>
      <c r="F9" s="10">
        <f t="shared" si="0"/>
        <v>1550</v>
      </c>
    </row>
    <row r="10" spans="1:11" x14ac:dyDescent="0.25">
      <c r="F10" s="8">
        <f>SUM(F3:F9)</f>
        <v>19700</v>
      </c>
    </row>
    <row r="11" spans="1:11" x14ac:dyDescent="0.25">
      <c r="F11" s="10"/>
    </row>
    <row r="12" spans="1:11" x14ac:dyDescent="0.25">
      <c r="A12" s="9" t="s">
        <v>546</v>
      </c>
      <c r="B12" s="4">
        <v>45778</v>
      </c>
      <c r="C12" s="5">
        <v>30</v>
      </c>
      <c r="D12" s="9" t="s">
        <v>13</v>
      </c>
      <c r="E12" s="10">
        <v>140</v>
      </c>
      <c r="F12" s="10">
        <f>+C12*E12</f>
        <v>4200</v>
      </c>
      <c r="K12" s="9" t="s">
        <v>588</v>
      </c>
    </row>
    <row r="13" spans="1:11" x14ac:dyDescent="0.25">
      <c r="F13" s="8">
        <f>SUM(F12)</f>
        <v>4200</v>
      </c>
    </row>
    <row r="14" spans="1:11" x14ac:dyDescent="0.25">
      <c r="F14" s="10"/>
    </row>
    <row r="15" spans="1:11" x14ac:dyDescent="0.25">
      <c r="A15" s="9" t="s">
        <v>545</v>
      </c>
      <c r="B15" s="4">
        <v>45778</v>
      </c>
      <c r="C15" s="5">
        <v>20</v>
      </c>
      <c r="D15" s="9" t="s">
        <v>14</v>
      </c>
      <c r="E15" s="10">
        <v>120</v>
      </c>
      <c r="F15" s="10">
        <f>+C15*E15</f>
        <v>2400</v>
      </c>
    </row>
    <row r="16" spans="1:11" x14ac:dyDescent="0.25">
      <c r="C16" s="5">
        <v>30</v>
      </c>
      <c r="D16" s="9" t="s">
        <v>13</v>
      </c>
      <c r="E16" s="10">
        <v>130</v>
      </c>
      <c r="F16" s="10">
        <f>+C16*E16</f>
        <v>3900</v>
      </c>
    </row>
    <row r="17" spans="1:6" x14ac:dyDescent="0.25">
      <c r="F17" s="8">
        <f>SUM(F15:F16)</f>
        <v>6300</v>
      </c>
    </row>
    <row r="18" spans="1:6" x14ac:dyDescent="0.25">
      <c r="F18" s="10"/>
    </row>
    <row r="19" spans="1:6" x14ac:dyDescent="0.25">
      <c r="A19" s="9" t="s">
        <v>26</v>
      </c>
      <c r="B19" s="4">
        <v>45778</v>
      </c>
      <c r="C19" s="5">
        <v>60</v>
      </c>
      <c r="D19" s="9" t="s">
        <v>13</v>
      </c>
      <c r="E19" s="10">
        <v>140</v>
      </c>
      <c r="F19" s="10">
        <f>+C19*E19</f>
        <v>8400</v>
      </c>
    </row>
    <row r="20" spans="1:6" x14ac:dyDescent="0.25">
      <c r="C20" s="5">
        <v>10</v>
      </c>
      <c r="D20" s="9" t="s">
        <v>14</v>
      </c>
      <c r="E20" s="10">
        <v>130</v>
      </c>
      <c r="F20" s="10">
        <f>+C20*E20</f>
        <v>1300</v>
      </c>
    </row>
    <row r="21" spans="1:6" x14ac:dyDescent="0.25">
      <c r="C21" s="5">
        <v>2.0499999999999998</v>
      </c>
      <c r="F21" s="8">
        <f>SUM(F19:F20)</f>
        <v>9700</v>
      </c>
    </row>
    <row r="22" spans="1:6" x14ac:dyDescent="0.25">
      <c r="F22" s="10"/>
    </row>
    <row r="23" spans="1:6" x14ac:dyDescent="0.25">
      <c r="A23" s="9" t="s">
        <v>502</v>
      </c>
      <c r="B23" s="4">
        <v>45778</v>
      </c>
      <c r="C23" s="5">
        <v>10</v>
      </c>
      <c r="D23" s="9" t="s">
        <v>98</v>
      </c>
      <c r="E23" s="10">
        <v>100</v>
      </c>
      <c r="F23" s="10">
        <f>+C23*E23</f>
        <v>1000</v>
      </c>
    </row>
    <row r="24" spans="1:6" x14ac:dyDescent="0.25">
      <c r="F24" s="8">
        <f>SUM(F23)</f>
        <v>1000</v>
      </c>
    </row>
    <row r="25" spans="1:6" x14ac:dyDescent="0.25">
      <c r="F25" s="10"/>
    </row>
    <row r="26" spans="1:6" x14ac:dyDescent="0.25">
      <c r="A26" s="9" t="s">
        <v>362</v>
      </c>
      <c r="B26" s="4">
        <v>45778</v>
      </c>
      <c r="C26" s="5">
        <v>10</v>
      </c>
      <c r="D26" s="9" t="s">
        <v>13</v>
      </c>
      <c r="E26" s="10">
        <v>140</v>
      </c>
      <c r="F26" s="10">
        <f>+C26*E26</f>
        <v>1400</v>
      </c>
    </row>
    <row r="27" spans="1:6" x14ac:dyDescent="0.25">
      <c r="F27" s="10">
        <f>SUM(F26)</f>
        <v>1400</v>
      </c>
    </row>
    <row r="28" spans="1:6" x14ac:dyDescent="0.25">
      <c r="F28" s="10"/>
    </row>
    <row r="29" spans="1:6" x14ac:dyDescent="0.25">
      <c r="A29" s="9" t="s">
        <v>487</v>
      </c>
      <c r="B29" s="4">
        <v>45778</v>
      </c>
      <c r="C29" s="5">
        <v>8</v>
      </c>
      <c r="D29" s="9" t="s">
        <v>12</v>
      </c>
      <c r="E29" s="10">
        <v>130</v>
      </c>
      <c r="F29" s="10">
        <f>+C29*E29</f>
        <v>1040</v>
      </c>
    </row>
    <row r="30" spans="1:6" x14ac:dyDescent="0.25">
      <c r="F30" s="8">
        <f>SUM(F29)</f>
        <v>1040</v>
      </c>
    </row>
    <row r="31" spans="1:6" x14ac:dyDescent="0.25">
      <c r="F31" s="10"/>
    </row>
    <row r="32" spans="1:6" x14ac:dyDescent="0.25">
      <c r="A32" s="9" t="s">
        <v>544</v>
      </c>
      <c r="B32" s="4">
        <v>45778</v>
      </c>
      <c r="C32" s="5">
        <v>5</v>
      </c>
      <c r="D32" s="9" t="s">
        <v>12</v>
      </c>
      <c r="E32" s="10">
        <v>140</v>
      </c>
      <c r="F32" s="10">
        <f>+C32*E32</f>
        <v>700</v>
      </c>
    </row>
    <row r="33" spans="1:6" x14ac:dyDescent="0.25">
      <c r="F33" s="8">
        <f>SUM(F32)</f>
        <v>700</v>
      </c>
    </row>
    <row r="34" spans="1:6" x14ac:dyDescent="0.25">
      <c r="F34" s="10"/>
    </row>
    <row r="35" spans="1:6" x14ac:dyDescent="0.25">
      <c r="A35" s="9" t="s">
        <v>133</v>
      </c>
      <c r="B35" s="4">
        <v>45778</v>
      </c>
      <c r="C35" s="5">
        <v>7</v>
      </c>
      <c r="D35" s="9" t="s">
        <v>524</v>
      </c>
      <c r="E35" s="10">
        <v>155</v>
      </c>
      <c r="F35" s="10">
        <f>+C35*E35</f>
        <v>1085</v>
      </c>
    </row>
    <row r="36" spans="1:6" x14ac:dyDescent="0.25">
      <c r="F36" s="8">
        <f>SUM(F35)</f>
        <v>1085</v>
      </c>
    </row>
    <row r="37" spans="1:6" x14ac:dyDescent="0.25">
      <c r="F37" s="10"/>
    </row>
    <row r="38" spans="1:6" x14ac:dyDescent="0.25">
      <c r="A38" s="9" t="s">
        <v>87</v>
      </c>
      <c r="B38" s="4">
        <v>45778</v>
      </c>
      <c r="C38" s="5">
        <v>2</v>
      </c>
      <c r="D38" s="9" t="s">
        <v>524</v>
      </c>
      <c r="E38" s="10">
        <v>140</v>
      </c>
      <c r="F38" s="10">
        <f>+C38*E38</f>
        <v>280</v>
      </c>
    </row>
    <row r="39" spans="1:6" x14ac:dyDescent="0.25">
      <c r="C39" s="5">
        <v>2</v>
      </c>
      <c r="D39" s="9" t="s">
        <v>12</v>
      </c>
      <c r="E39" s="10">
        <v>135</v>
      </c>
      <c r="F39" s="10">
        <f>+C39*E39</f>
        <v>270</v>
      </c>
    </row>
    <row r="40" spans="1:6" x14ac:dyDescent="0.25">
      <c r="F40" s="8">
        <f>SUM(F38:F39)</f>
        <v>550</v>
      </c>
    </row>
    <row r="41" spans="1:6" x14ac:dyDescent="0.25">
      <c r="F41" s="10"/>
    </row>
    <row r="42" spans="1:6" x14ac:dyDescent="0.25">
      <c r="A42" s="9" t="s">
        <v>160</v>
      </c>
      <c r="B42" s="4">
        <v>45778</v>
      </c>
      <c r="C42" s="5">
        <v>5</v>
      </c>
      <c r="D42" s="9" t="s">
        <v>12</v>
      </c>
      <c r="E42" s="10">
        <v>130</v>
      </c>
      <c r="F42" s="10">
        <f>+C42*E42</f>
        <v>650</v>
      </c>
    </row>
    <row r="43" spans="1:6" x14ac:dyDescent="0.25">
      <c r="F43" s="8">
        <f>SUM(F42)</f>
        <v>650</v>
      </c>
    </row>
    <row r="44" spans="1:6" x14ac:dyDescent="0.25">
      <c r="F44" s="10"/>
    </row>
    <row r="45" spans="1:6" x14ac:dyDescent="0.25">
      <c r="A45" s="9" t="s">
        <v>117</v>
      </c>
      <c r="B45" s="4">
        <v>45778</v>
      </c>
      <c r="C45" s="5">
        <v>5</v>
      </c>
      <c r="D45" s="9" t="s">
        <v>524</v>
      </c>
      <c r="E45" s="10">
        <v>150</v>
      </c>
      <c r="F45" s="10">
        <f>+C45*E45</f>
        <v>750</v>
      </c>
    </row>
    <row r="46" spans="1:6" x14ac:dyDescent="0.25">
      <c r="F46" s="8">
        <f>SUM(F45)</f>
        <v>750</v>
      </c>
    </row>
    <row r="47" spans="1:6" x14ac:dyDescent="0.25">
      <c r="F47" s="10"/>
    </row>
    <row r="48" spans="1:6" x14ac:dyDescent="0.25">
      <c r="A48" s="9" t="s">
        <v>88</v>
      </c>
      <c r="B48" s="4">
        <v>45778</v>
      </c>
      <c r="C48" s="5">
        <v>10</v>
      </c>
      <c r="D48" s="9" t="s">
        <v>14</v>
      </c>
      <c r="E48" s="10">
        <v>145</v>
      </c>
      <c r="F48" s="10">
        <f>+C48*E48</f>
        <v>1450</v>
      </c>
    </row>
    <row r="49" spans="1:6" x14ac:dyDescent="0.25">
      <c r="C49" s="5">
        <v>7</v>
      </c>
      <c r="D49" s="9" t="s">
        <v>13</v>
      </c>
      <c r="E49" s="10">
        <v>135</v>
      </c>
      <c r="F49" s="10">
        <f>+C49*E49</f>
        <v>945</v>
      </c>
    </row>
    <row r="50" spans="1:6" x14ac:dyDescent="0.25">
      <c r="F50" s="8">
        <f>SUM(F48:F49)</f>
        <v>2395</v>
      </c>
    </row>
    <row r="51" spans="1:6" x14ac:dyDescent="0.25">
      <c r="F51" s="10"/>
    </row>
    <row r="52" spans="1:6" x14ac:dyDescent="0.25">
      <c r="A52" s="9" t="s">
        <v>51</v>
      </c>
      <c r="B52" s="4">
        <v>45778</v>
      </c>
      <c r="C52" s="5">
        <v>100</v>
      </c>
      <c r="D52" s="9" t="s">
        <v>50</v>
      </c>
      <c r="E52" s="10">
        <v>85</v>
      </c>
      <c r="F52" s="10">
        <f>+C52*E52</f>
        <v>8500</v>
      </c>
    </row>
    <row r="53" spans="1:6" x14ac:dyDescent="0.25">
      <c r="F53" s="8">
        <f>SUM(F52)</f>
        <v>8500</v>
      </c>
    </row>
    <row r="54" spans="1:6" x14ac:dyDescent="0.25">
      <c r="F54" s="10"/>
    </row>
    <row r="55" spans="1:6" x14ac:dyDescent="0.25">
      <c r="A55" s="9" t="s">
        <v>194</v>
      </c>
      <c r="B55" s="4">
        <v>45778</v>
      </c>
      <c r="C55" s="5">
        <v>500</v>
      </c>
      <c r="D55" s="9" t="s">
        <v>14</v>
      </c>
      <c r="E55" s="10">
        <v>108</v>
      </c>
      <c r="F55" s="10">
        <f>+C55*E55</f>
        <v>54000</v>
      </c>
    </row>
    <row r="56" spans="1:6" x14ac:dyDescent="0.25">
      <c r="F56" s="8">
        <f>SUM(F55)</f>
        <v>54000</v>
      </c>
    </row>
    <row r="57" spans="1:6" x14ac:dyDescent="0.25">
      <c r="F57" s="10"/>
    </row>
    <row r="58" spans="1:6" x14ac:dyDescent="0.25">
      <c r="A58" s="9" t="s">
        <v>29</v>
      </c>
      <c r="B58" s="4">
        <v>45778</v>
      </c>
      <c r="C58" s="5">
        <v>1</v>
      </c>
      <c r="D58" s="9" t="s">
        <v>13</v>
      </c>
      <c r="E58" s="10">
        <v>160</v>
      </c>
      <c r="F58" s="10">
        <f>+C58*E58</f>
        <v>160</v>
      </c>
    </row>
    <row r="59" spans="1:6" x14ac:dyDescent="0.25">
      <c r="C59" s="5">
        <v>2</v>
      </c>
      <c r="D59" s="9" t="s">
        <v>12</v>
      </c>
      <c r="E59" s="10">
        <v>14</v>
      </c>
      <c r="F59" s="10">
        <f>+C59*E59</f>
        <v>28</v>
      </c>
    </row>
    <row r="60" spans="1:6" x14ac:dyDescent="0.25">
      <c r="F60" s="8">
        <f>SUM(F58:F59)</f>
        <v>188</v>
      </c>
    </row>
    <row r="61" spans="1:6" x14ac:dyDescent="0.25">
      <c r="F61" s="10"/>
    </row>
    <row r="62" spans="1:6" x14ac:dyDescent="0.25">
      <c r="A62" s="9" t="s">
        <v>7</v>
      </c>
      <c r="B62" s="4">
        <v>45778</v>
      </c>
      <c r="C62" s="5">
        <v>1</v>
      </c>
      <c r="D62" s="9" t="s">
        <v>13</v>
      </c>
      <c r="E62" s="10">
        <v>150</v>
      </c>
      <c r="F62" s="10">
        <f>+C62*E62</f>
        <v>150</v>
      </c>
    </row>
    <row r="63" spans="1:6" x14ac:dyDescent="0.25">
      <c r="C63" s="5">
        <v>1</v>
      </c>
      <c r="D63" s="9" t="s">
        <v>54</v>
      </c>
      <c r="E63" s="10">
        <v>0</v>
      </c>
      <c r="F63" s="10">
        <f>+C63*E63</f>
        <v>0</v>
      </c>
    </row>
    <row r="64" spans="1:6" x14ac:dyDescent="0.25">
      <c r="C64" s="5">
        <v>2</v>
      </c>
      <c r="D64" s="9" t="s">
        <v>13</v>
      </c>
      <c r="E64" s="10">
        <v>140</v>
      </c>
      <c r="F64" s="10">
        <f>+C64*E64</f>
        <v>280</v>
      </c>
    </row>
    <row r="65" spans="1:6" x14ac:dyDescent="0.25">
      <c r="C65" s="5">
        <v>1</v>
      </c>
      <c r="D65" s="9" t="s">
        <v>8</v>
      </c>
      <c r="E65" s="10">
        <v>170</v>
      </c>
      <c r="F65" s="10">
        <f>+C65*E65</f>
        <v>170</v>
      </c>
    </row>
    <row r="66" spans="1:6" x14ac:dyDescent="0.25">
      <c r="C66" s="5">
        <v>1</v>
      </c>
      <c r="D66" s="9" t="s">
        <v>8</v>
      </c>
      <c r="E66" s="10">
        <v>150</v>
      </c>
      <c r="F66" s="10">
        <f>+C66*E66</f>
        <v>150</v>
      </c>
    </row>
    <row r="67" spans="1:6" x14ac:dyDescent="0.25">
      <c r="F67" s="8">
        <f>SUM(F62:F66)</f>
        <v>750</v>
      </c>
    </row>
    <row r="68" spans="1:6" x14ac:dyDescent="0.25">
      <c r="F68" s="10"/>
    </row>
    <row r="69" spans="1:6" x14ac:dyDescent="0.25">
      <c r="A69" s="9" t="s">
        <v>15</v>
      </c>
      <c r="B69" s="4">
        <v>45779</v>
      </c>
      <c r="C69" s="5">
        <v>13</v>
      </c>
      <c r="D69" s="9" t="s">
        <v>543</v>
      </c>
      <c r="E69" s="10">
        <v>80</v>
      </c>
      <c r="F69" s="10">
        <f>+C69*E69</f>
        <v>1040</v>
      </c>
    </row>
    <row r="70" spans="1:6" x14ac:dyDescent="0.25">
      <c r="F70" s="8">
        <f>SUM(F69)</f>
        <v>1040</v>
      </c>
    </row>
    <row r="71" spans="1:6" x14ac:dyDescent="0.25">
      <c r="F71" s="10"/>
    </row>
    <row r="72" spans="1:6" x14ac:dyDescent="0.25">
      <c r="A72" s="9" t="s">
        <v>69</v>
      </c>
      <c r="B72" s="4">
        <v>45779</v>
      </c>
      <c r="C72" s="5">
        <v>7</v>
      </c>
      <c r="D72" s="9" t="s">
        <v>98</v>
      </c>
      <c r="E72" s="10">
        <v>100</v>
      </c>
      <c r="F72" s="10">
        <f>+C72*E72</f>
        <v>700</v>
      </c>
    </row>
    <row r="73" spans="1:6" x14ac:dyDescent="0.25">
      <c r="F73" s="8">
        <f>SUM(F72)</f>
        <v>700</v>
      </c>
    </row>
    <row r="74" spans="1:6" x14ac:dyDescent="0.25">
      <c r="F74" s="10"/>
    </row>
    <row r="75" spans="1:6" x14ac:dyDescent="0.25">
      <c r="A75" s="9" t="s">
        <v>58</v>
      </c>
      <c r="B75" s="4">
        <v>45779</v>
      </c>
      <c r="C75" s="5">
        <v>13</v>
      </c>
      <c r="D75" s="9" t="s">
        <v>13</v>
      </c>
      <c r="E75" s="10">
        <v>140</v>
      </c>
      <c r="F75" s="10">
        <f>+C75*E75</f>
        <v>1820</v>
      </c>
    </row>
    <row r="76" spans="1:6" x14ac:dyDescent="0.25">
      <c r="F76" s="8">
        <f>SUM(F75)</f>
        <v>1820</v>
      </c>
    </row>
    <row r="77" spans="1:6" x14ac:dyDescent="0.25">
      <c r="F77" s="10"/>
    </row>
    <row r="78" spans="1:6" x14ac:dyDescent="0.25">
      <c r="A78" s="9" t="s">
        <v>442</v>
      </c>
      <c r="B78" s="4">
        <v>45779</v>
      </c>
      <c r="C78" s="5">
        <v>15</v>
      </c>
      <c r="D78" s="9" t="s">
        <v>22</v>
      </c>
      <c r="E78" s="10">
        <v>105</v>
      </c>
      <c r="F78" s="10">
        <f>+C78*E78</f>
        <v>1575</v>
      </c>
    </row>
    <row r="79" spans="1:6" x14ac:dyDescent="0.25">
      <c r="C79" s="5">
        <v>10</v>
      </c>
      <c r="D79" s="9" t="s">
        <v>13</v>
      </c>
      <c r="E79" s="10">
        <v>140</v>
      </c>
      <c r="F79" s="10">
        <f>+C79*E79</f>
        <v>1400</v>
      </c>
    </row>
    <row r="80" spans="1:6" x14ac:dyDescent="0.25">
      <c r="F80" s="8">
        <f>SUM(F78:F79)</f>
        <v>2975</v>
      </c>
    </row>
    <row r="81" spans="1:6" x14ac:dyDescent="0.25">
      <c r="F81" s="10"/>
    </row>
    <row r="82" spans="1:6" x14ac:dyDescent="0.25">
      <c r="A82" s="9" t="s">
        <v>17</v>
      </c>
      <c r="B82" s="4">
        <v>45779</v>
      </c>
      <c r="C82" s="5">
        <v>10</v>
      </c>
      <c r="D82" s="9" t="s">
        <v>13</v>
      </c>
      <c r="E82" s="10">
        <v>135</v>
      </c>
      <c r="F82" s="10">
        <f>+C82*E82</f>
        <v>1350</v>
      </c>
    </row>
    <row r="83" spans="1:6" x14ac:dyDescent="0.25">
      <c r="F83" s="8">
        <f>SUM(F82)</f>
        <v>1350</v>
      </c>
    </row>
    <row r="84" spans="1:6" x14ac:dyDescent="0.25">
      <c r="F84" s="10"/>
    </row>
    <row r="85" spans="1:6" x14ac:dyDescent="0.25">
      <c r="A85" s="9" t="s">
        <v>18</v>
      </c>
      <c r="B85" s="4">
        <v>45779</v>
      </c>
      <c r="C85" s="5">
        <v>5</v>
      </c>
      <c r="D85" s="9" t="s">
        <v>542</v>
      </c>
      <c r="E85" s="10">
        <v>140</v>
      </c>
      <c r="F85" s="10">
        <f>+C85*E85</f>
        <v>700</v>
      </c>
    </row>
    <row r="86" spans="1:6" x14ac:dyDescent="0.25">
      <c r="F86" s="8">
        <f>SUM(F85)</f>
        <v>700</v>
      </c>
    </row>
    <row r="87" spans="1:6" x14ac:dyDescent="0.25">
      <c r="F87" s="10"/>
    </row>
    <row r="88" spans="1:6" x14ac:dyDescent="0.25">
      <c r="A88" s="9" t="s">
        <v>157</v>
      </c>
      <c r="B88" s="4">
        <v>45779</v>
      </c>
      <c r="C88" s="5">
        <v>10</v>
      </c>
      <c r="D88" s="9" t="s">
        <v>524</v>
      </c>
      <c r="E88" s="10">
        <v>135</v>
      </c>
      <c r="F88" s="10">
        <f>+C88*E88</f>
        <v>1350</v>
      </c>
    </row>
    <row r="89" spans="1:6" x14ac:dyDescent="0.25">
      <c r="F89" s="8">
        <f>SUM(F88)</f>
        <v>1350</v>
      </c>
    </row>
    <row r="90" spans="1:6" x14ac:dyDescent="0.25">
      <c r="F90" s="10"/>
    </row>
    <row r="91" spans="1:6" x14ac:dyDescent="0.25">
      <c r="A91" s="9" t="s">
        <v>20</v>
      </c>
      <c r="B91" s="4">
        <v>45779</v>
      </c>
      <c r="C91" s="5">
        <v>30</v>
      </c>
      <c r="D91" s="9" t="s">
        <v>13</v>
      </c>
      <c r="E91" s="10">
        <v>135</v>
      </c>
      <c r="F91" s="10">
        <f>+C91*E91</f>
        <v>4050</v>
      </c>
    </row>
    <row r="92" spans="1:6" x14ac:dyDescent="0.25">
      <c r="F92" s="8">
        <f>SUM(F91)</f>
        <v>4050</v>
      </c>
    </row>
    <row r="93" spans="1:6" x14ac:dyDescent="0.25">
      <c r="F93" s="10"/>
    </row>
    <row r="94" spans="1:6" x14ac:dyDescent="0.25">
      <c r="A94" s="9" t="s">
        <v>427</v>
      </c>
      <c r="B94" s="4">
        <v>45779</v>
      </c>
      <c r="C94" s="5">
        <v>20</v>
      </c>
      <c r="D94" s="9" t="s">
        <v>13</v>
      </c>
      <c r="E94" s="10">
        <v>135</v>
      </c>
      <c r="F94" s="10">
        <f>+C94*E94</f>
        <v>2700</v>
      </c>
    </row>
    <row r="95" spans="1:6" x14ac:dyDescent="0.25">
      <c r="C95" s="5">
        <v>5</v>
      </c>
      <c r="D95" s="9" t="s">
        <v>14</v>
      </c>
      <c r="E95" s="10">
        <v>125</v>
      </c>
      <c r="F95" s="10">
        <f>+C95*E95</f>
        <v>625</v>
      </c>
    </row>
    <row r="96" spans="1:6" x14ac:dyDescent="0.25">
      <c r="F96" s="8">
        <f>SUM(F94:F95)</f>
        <v>3325</v>
      </c>
    </row>
    <row r="97" spans="1:6" x14ac:dyDescent="0.25">
      <c r="F97" s="10"/>
    </row>
    <row r="98" spans="1:6" x14ac:dyDescent="0.25">
      <c r="A98" s="9" t="s">
        <v>21</v>
      </c>
      <c r="B98" s="4">
        <v>45779</v>
      </c>
      <c r="C98" s="5">
        <v>10</v>
      </c>
      <c r="D98" s="9" t="s">
        <v>22</v>
      </c>
      <c r="E98" s="10">
        <v>105</v>
      </c>
      <c r="F98" s="10">
        <f>+C98*E98</f>
        <v>1050</v>
      </c>
    </row>
    <row r="99" spans="1:6" x14ac:dyDescent="0.25">
      <c r="C99" s="5">
        <v>20</v>
      </c>
      <c r="D99" s="9" t="s">
        <v>12</v>
      </c>
      <c r="E99" s="10">
        <v>115</v>
      </c>
      <c r="F99" s="10">
        <f>+C99*E99</f>
        <v>2300</v>
      </c>
    </row>
    <row r="100" spans="1:6" x14ac:dyDescent="0.25">
      <c r="C100" s="5">
        <v>10</v>
      </c>
      <c r="D100" s="9" t="s">
        <v>542</v>
      </c>
      <c r="E100" s="10">
        <v>125</v>
      </c>
      <c r="F100" s="10">
        <f>+C100*E100</f>
        <v>1250</v>
      </c>
    </row>
    <row r="101" spans="1:6" x14ac:dyDescent="0.25">
      <c r="C101" s="5">
        <v>10</v>
      </c>
      <c r="D101" s="9" t="s">
        <v>14</v>
      </c>
      <c r="E101" s="10">
        <v>120</v>
      </c>
      <c r="F101" s="10">
        <f>+C101*E101</f>
        <v>1200</v>
      </c>
    </row>
    <row r="102" spans="1:6" x14ac:dyDescent="0.25">
      <c r="F102" s="8">
        <f>SUM(F98:F101)</f>
        <v>5800</v>
      </c>
    </row>
    <row r="103" spans="1:6" x14ac:dyDescent="0.25">
      <c r="F103" s="10"/>
    </row>
    <row r="104" spans="1:6" x14ac:dyDescent="0.25">
      <c r="A104" s="9" t="s">
        <v>148</v>
      </c>
      <c r="B104" s="4">
        <v>45779</v>
      </c>
      <c r="C104" s="5">
        <v>20</v>
      </c>
      <c r="D104" s="9" t="s">
        <v>13</v>
      </c>
      <c r="E104" s="10">
        <v>135</v>
      </c>
      <c r="F104" s="10">
        <f>+C104*E104</f>
        <v>2700</v>
      </c>
    </row>
    <row r="105" spans="1:6" x14ac:dyDescent="0.25">
      <c r="C105" s="5">
        <v>15</v>
      </c>
      <c r="D105" s="9" t="s">
        <v>14</v>
      </c>
      <c r="E105" s="10">
        <v>120</v>
      </c>
      <c r="F105" s="10">
        <f>+C105*E105</f>
        <v>1800</v>
      </c>
    </row>
    <row r="106" spans="1:6" x14ac:dyDescent="0.25">
      <c r="F106" s="8">
        <f>SUM(F104:F105)</f>
        <v>4500</v>
      </c>
    </row>
    <row r="107" spans="1:6" x14ac:dyDescent="0.25">
      <c r="F107" s="10"/>
    </row>
    <row r="108" spans="1:6" x14ac:dyDescent="0.25">
      <c r="A108" s="9" t="s">
        <v>25</v>
      </c>
      <c r="B108" s="4">
        <v>45779</v>
      </c>
      <c r="C108" s="5">
        <v>10</v>
      </c>
      <c r="D108" s="9" t="s">
        <v>13</v>
      </c>
      <c r="E108" s="10">
        <v>135</v>
      </c>
      <c r="F108" s="10">
        <f>+C108*E108</f>
        <v>1350</v>
      </c>
    </row>
    <row r="109" spans="1:6" x14ac:dyDescent="0.25">
      <c r="F109" s="8">
        <f>SUM(F108)</f>
        <v>1350</v>
      </c>
    </row>
    <row r="110" spans="1:6" x14ac:dyDescent="0.25">
      <c r="F110" s="10"/>
    </row>
    <row r="111" spans="1:6" x14ac:dyDescent="0.25">
      <c r="A111" s="9" t="s">
        <v>40</v>
      </c>
      <c r="B111" s="4">
        <v>45779</v>
      </c>
      <c r="C111" s="5">
        <v>15</v>
      </c>
      <c r="D111" s="9" t="s">
        <v>13</v>
      </c>
      <c r="E111" s="10">
        <v>125</v>
      </c>
      <c r="F111" s="10">
        <f>+C111*E111</f>
        <v>1875</v>
      </c>
    </row>
    <row r="112" spans="1:6" x14ac:dyDescent="0.25">
      <c r="C112" s="5">
        <v>5</v>
      </c>
      <c r="D112" s="9" t="s">
        <v>14</v>
      </c>
      <c r="E112" s="10">
        <v>120</v>
      </c>
      <c r="F112" s="10">
        <f>+C112*E112</f>
        <v>600</v>
      </c>
    </row>
    <row r="113" spans="1:6" x14ac:dyDescent="0.25">
      <c r="C113" s="5">
        <v>10</v>
      </c>
      <c r="D113" s="9" t="s">
        <v>12</v>
      </c>
      <c r="E113" s="10">
        <v>110</v>
      </c>
      <c r="F113" s="10">
        <f>+C113*E113</f>
        <v>1100</v>
      </c>
    </row>
    <row r="114" spans="1:6" x14ac:dyDescent="0.25">
      <c r="C114" s="5">
        <v>10</v>
      </c>
      <c r="D114" s="9" t="s">
        <v>99</v>
      </c>
      <c r="E114" s="10">
        <v>105</v>
      </c>
      <c r="F114" s="10">
        <f>+C114*E114</f>
        <v>1050</v>
      </c>
    </row>
    <row r="115" spans="1:6" x14ac:dyDescent="0.25">
      <c r="F115" s="8">
        <f>SUM(F111:F114)</f>
        <v>4625</v>
      </c>
    </row>
    <row r="116" spans="1:6" x14ac:dyDescent="0.25">
      <c r="F116" s="10"/>
    </row>
    <row r="117" spans="1:6" x14ac:dyDescent="0.25">
      <c r="A117" s="9" t="s">
        <v>80</v>
      </c>
      <c r="B117" s="4">
        <v>45779</v>
      </c>
      <c r="C117" s="5">
        <v>10</v>
      </c>
      <c r="D117" s="9" t="s">
        <v>542</v>
      </c>
      <c r="E117" s="10">
        <v>140</v>
      </c>
      <c r="F117" s="10">
        <f>+C117*E117</f>
        <v>1400</v>
      </c>
    </row>
    <row r="118" spans="1:6" x14ac:dyDescent="0.25">
      <c r="F118" s="8">
        <f>SUM(F117)</f>
        <v>1400</v>
      </c>
    </row>
    <row r="119" spans="1:6" x14ac:dyDescent="0.25">
      <c r="F119" s="10"/>
    </row>
    <row r="120" spans="1:6" x14ac:dyDescent="0.25">
      <c r="A120" s="9" t="s">
        <v>541</v>
      </c>
      <c r="B120" s="4">
        <v>45779</v>
      </c>
      <c r="C120" s="5">
        <v>10</v>
      </c>
      <c r="D120" s="9" t="s">
        <v>98</v>
      </c>
      <c r="E120" s="10">
        <v>100</v>
      </c>
      <c r="F120" s="10">
        <f>+C120*E120</f>
        <v>1000</v>
      </c>
    </row>
    <row r="121" spans="1:6" x14ac:dyDescent="0.25">
      <c r="F121" s="8">
        <f>SUM(F120)</f>
        <v>1000</v>
      </c>
    </row>
    <row r="122" spans="1:6" x14ac:dyDescent="0.25">
      <c r="F122" s="10"/>
    </row>
    <row r="123" spans="1:6" x14ac:dyDescent="0.25">
      <c r="A123" s="9" t="s">
        <v>41</v>
      </c>
      <c r="B123" s="4">
        <v>45779</v>
      </c>
      <c r="C123" s="5">
        <v>35</v>
      </c>
      <c r="D123" s="9" t="s">
        <v>14</v>
      </c>
      <c r="E123" s="10">
        <v>130</v>
      </c>
      <c r="F123" s="10">
        <f>+C123*E123</f>
        <v>4550</v>
      </c>
    </row>
    <row r="124" spans="1:6" x14ac:dyDescent="0.25">
      <c r="F124" s="8">
        <f>SUM(F123)</f>
        <v>4550</v>
      </c>
    </row>
    <row r="125" spans="1:6" x14ac:dyDescent="0.25">
      <c r="F125" s="10"/>
    </row>
    <row r="126" spans="1:6" x14ac:dyDescent="0.25">
      <c r="A126" s="9" t="s">
        <v>455</v>
      </c>
      <c r="B126" s="4">
        <v>45779</v>
      </c>
      <c r="C126" s="5">
        <v>200</v>
      </c>
      <c r="D126" s="9" t="s">
        <v>14</v>
      </c>
      <c r="E126" s="10">
        <v>108</v>
      </c>
      <c r="F126" s="10">
        <f>+C126*E126</f>
        <v>21600</v>
      </c>
    </row>
    <row r="127" spans="1:6" x14ac:dyDescent="0.25">
      <c r="F127" s="8">
        <f>SUM(F126)</f>
        <v>21600</v>
      </c>
    </row>
    <row r="128" spans="1:6" x14ac:dyDescent="0.25">
      <c r="F128" s="10"/>
    </row>
    <row r="129" spans="1:6" x14ac:dyDescent="0.25">
      <c r="A129" s="9" t="s">
        <v>106</v>
      </c>
      <c r="B129" s="4">
        <v>45779</v>
      </c>
      <c r="C129" s="5">
        <v>56</v>
      </c>
      <c r="D129" s="9" t="s">
        <v>12</v>
      </c>
      <c r="E129" s="10">
        <v>125</v>
      </c>
      <c r="F129" s="10">
        <f>+C129*E129</f>
        <v>7000</v>
      </c>
    </row>
    <row r="130" spans="1:6" x14ac:dyDescent="0.25">
      <c r="F130" s="8">
        <f>SUM(F129)</f>
        <v>7000</v>
      </c>
    </row>
    <row r="131" spans="1:6" x14ac:dyDescent="0.25">
      <c r="F131" s="10"/>
    </row>
    <row r="132" spans="1:6" x14ac:dyDescent="0.25">
      <c r="A132" s="9" t="s">
        <v>43</v>
      </c>
      <c r="B132" s="4">
        <v>45779</v>
      </c>
      <c r="C132" s="5">
        <v>30</v>
      </c>
      <c r="D132" s="9" t="s">
        <v>49</v>
      </c>
      <c r="E132" s="10">
        <v>135</v>
      </c>
      <c r="F132" s="10">
        <f>+C132*E132</f>
        <v>4050</v>
      </c>
    </row>
    <row r="133" spans="1:6" x14ac:dyDescent="0.25">
      <c r="F133" s="8">
        <f>SUM(F132)</f>
        <v>4050</v>
      </c>
    </row>
    <row r="134" spans="1:6" x14ac:dyDescent="0.25">
      <c r="F134" s="10"/>
    </row>
    <row r="135" spans="1:6" x14ac:dyDescent="0.25">
      <c r="A135" s="9" t="s">
        <v>44</v>
      </c>
      <c r="B135" s="4">
        <v>45779</v>
      </c>
      <c r="C135" s="5">
        <v>100</v>
      </c>
      <c r="D135" s="9" t="s">
        <v>14</v>
      </c>
      <c r="E135" s="10">
        <v>125</v>
      </c>
      <c r="F135" s="10">
        <f>+C135*E135</f>
        <v>12500</v>
      </c>
    </row>
    <row r="136" spans="1:6" x14ac:dyDescent="0.25">
      <c r="F136" s="8">
        <f>SUM(F135)</f>
        <v>12500</v>
      </c>
    </row>
    <row r="137" spans="1:6" x14ac:dyDescent="0.25">
      <c r="F137" s="10"/>
    </row>
    <row r="138" spans="1:6" x14ac:dyDescent="0.25">
      <c r="A138" s="9" t="s">
        <v>18</v>
      </c>
      <c r="B138" s="4">
        <v>45779</v>
      </c>
      <c r="C138" s="5">
        <v>10</v>
      </c>
      <c r="D138" s="9" t="s">
        <v>13</v>
      </c>
      <c r="E138" s="10">
        <v>140</v>
      </c>
      <c r="F138" s="10">
        <f>+C138*E138</f>
        <v>1400</v>
      </c>
    </row>
    <row r="139" spans="1:6" x14ac:dyDescent="0.25">
      <c r="C139" s="5">
        <v>20</v>
      </c>
      <c r="D139" s="9" t="s">
        <v>14</v>
      </c>
      <c r="E139" s="10">
        <v>120</v>
      </c>
      <c r="F139" s="10">
        <f>+C139*E139</f>
        <v>2400</v>
      </c>
    </row>
    <row r="140" spans="1:6" x14ac:dyDescent="0.25">
      <c r="F140" s="8">
        <f>SUM(F138:F139)</f>
        <v>3800</v>
      </c>
    </row>
    <row r="141" spans="1:6" x14ac:dyDescent="0.25">
      <c r="F141" s="10"/>
    </row>
    <row r="142" spans="1:6" x14ac:dyDescent="0.25">
      <c r="A142" s="9" t="s">
        <v>45</v>
      </c>
      <c r="B142" s="4">
        <v>45779</v>
      </c>
      <c r="C142" s="5">
        <v>16</v>
      </c>
      <c r="D142" s="9" t="s">
        <v>14</v>
      </c>
      <c r="E142" s="10">
        <v>125</v>
      </c>
      <c r="F142" s="10">
        <f>+C142*E142</f>
        <v>2000</v>
      </c>
    </row>
    <row r="143" spans="1:6" x14ac:dyDescent="0.25">
      <c r="F143" s="8">
        <f>SUM(F142)</f>
        <v>2000</v>
      </c>
    </row>
    <row r="144" spans="1:6" x14ac:dyDescent="0.25">
      <c r="F144" s="10"/>
    </row>
    <row r="145" spans="1:6" x14ac:dyDescent="0.25">
      <c r="A145" s="9" t="s">
        <v>46</v>
      </c>
      <c r="B145" s="4">
        <v>45779</v>
      </c>
      <c r="C145" s="5">
        <v>25</v>
      </c>
      <c r="D145" s="9" t="s">
        <v>13</v>
      </c>
      <c r="E145" s="10">
        <v>125</v>
      </c>
      <c r="F145" s="10">
        <f>+C145*E145</f>
        <v>3125</v>
      </c>
    </row>
    <row r="146" spans="1:6" x14ac:dyDescent="0.25">
      <c r="F146" s="8">
        <f>SUM(F145)</f>
        <v>3125</v>
      </c>
    </row>
    <row r="147" spans="1:6" x14ac:dyDescent="0.25">
      <c r="F147" s="10"/>
    </row>
    <row r="148" spans="1:6" x14ac:dyDescent="0.25">
      <c r="A148" s="9" t="s">
        <v>47</v>
      </c>
      <c r="B148" s="4">
        <v>45779</v>
      </c>
      <c r="C148" s="5">
        <v>20</v>
      </c>
      <c r="D148" s="9" t="s">
        <v>14</v>
      </c>
      <c r="E148" s="10">
        <v>125</v>
      </c>
      <c r="F148" s="10">
        <f>+C148*E148</f>
        <v>2500</v>
      </c>
    </row>
    <row r="149" spans="1:6" x14ac:dyDescent="0.25">
      <c r="C149" s="5">
        <v>14</v>
      </c>
      <c r="D149" s="9" t="s">
        <v>11</v>
      </c>
      <c r="E149" s="10">
        <v>125</v>
      </c>
      <c r="F149" s="10">
        <f>+C149*E149</f>
        <v>1750</v>
      </c>
    </row>
    <row r="150" spans="1:6" x14ac:dyDescent="0.25">
      <c r="F150" s="8">
        <f>SUM(F148:F149)</f>
        <v>4250</v>
      </c>
    </row>
    <row r="151" spans="1:6" x14ac:dyDescent="0.25">
      <c r="F151" s="10"/>
    </row>
    <row r="152" spans="1:6" x14ac:dyDescent="0.25">
      <c r="A152" s="9" t="s">
        <v>145</v>
      </c>
      <c r="B152" s="4">
        <v>45779</v>
      </c>
      <c r="C152" s="5">
        <v>70</v>
      </c>
      <c r="D152" s="9" t="s">
        <v>263</v>
      </c>
      <c r="E152" s="10">
        <v>120</v>
      </c>
      <c r="F152" s="10">
        <f>+C152*E152</f>
        <v>8400</v>
      </c>
    </row>
    <row r="153" spans="1:6" x14ac:dyDescent="0.25">
      <c r="F153" s="8">
        <f>SUM(F152)</f>
        <v>8400</v>
      </c>
    </row>
    <row r="154" spans="1:6" x14ac:dyDescent="0.25">
      <c r="F154" s="10"/>
    </row>
    <row r="155" spans="1:6" x14ac:dyDescent="0.25">
      <c r="A155" s="9" t="s">
        <v>216</v>
      </c>
      <c r="B155" s="4">
        <v>45779</v>
      </c>
      <c r="C155" s="5">
        <v>160</v>
      </c>
      <c r="D155" s="9" t="s">
        <v>49</v>
      </c>
      <c r="E155" s="10">
        <v>130</v>
      </c>
      <c r="F155" s="10">
        <f>+C155*E155</f>
        <v>20800</v>
      </c>
    </row>
    <row r="156" spans="1:6" x14ac:dyDescent="0.25">
      <c r="C156" s="5">
        <v>50</v>
      </c>
      <c r="D156" s="9" t="s">
        <v>13</v>
      </c>
      <c r="E156" s="10">
        <v>125</v>
      </c>
      <c r="F156" s="10">
        <f>+C156*E156</f>
        <v>6250</v>
      </c>
    </row>
    <row r="157" spans="1:6" x14ac:dyDescent="0.25">
      <c r="C157" s="5">
        <v>96</v>
      </c>
      <c r="D157" s="9" t="s">
        <v>540</v>
      </c>
      <c r="E157" s="10">
        <v>70</v>
      </c>
      <c r="F157" s="10">
        <f>+C157*E157</f>
        <v>6720</v>
      </c>
    </row>
    <row r="158" spans="1:6" x14ac:dyDescent="0.25">
      <c r="F158" s="8">
        <f>SUM(F155:F157)</f>
        <v>33770</v>
      </c>
    </row>
    <row r="159" spans="1:6" x14ac:dyDescent="0.25">
      <c r="F159" s="10"/>
    </row>
    <row r="160" spans="1:6" x14ac:dyDescent="0.25">
      <c r="A160" s="9" t="s">
        <v>26</v>
      </c>
      <c r="B160" s="4">
        <v>45779</v>
      </c>
      <c r="C160" s="5">
        <v>80</v>
      </c>
      <c r="D160" s="9" t="s">
        <v>13</v>
      </c>
      <c r="E160" s="10">
        <v>140</v>
      </c>
      <c r="F160" s="10">
        <f>+C160*E160</f>
        <v>11200</v>
      </c>
    </row>
    <row r="161" spans="1:6" x14ac:dyDescent="0.25">
      <c r="C161" s="5">
        <v>40</v>
      </c>
      <c r="D161" s="9" t="s">
        <v>14</v>
      </c>
      <c r="E161" s="10">
        <v>130</v>
      </c>
      <c r="F161" s="10">
        <f>+C161*E161</f>
        <v>5200</v>
      </c>
    </row>
    <row r="162" spans="1:6" x14ac:dyDescent="0.25">
      <c r="C162" s="5">
        <v>2.25</v>
      </c>
      <c r="D162" s="9" t="s">
        <v>318</v>
      </c>
      <c r="F162" s="10">
        <f>+C162*E162</f>
        <v>0</v>
      </c>
    </row>
    <row r="163" spans="1:6" x14ac:dyDescent="0.25">
      <c r="F163" s="8">
        <f>SUM(F160:F162)</f>
        <v>16400</v>
      </c>
    </row>
    <row r="164" spans="1:6" x14ac:dyDescent="0.25">
      <c r="F164" s="10"/>
    </row>
    <row r="165" spans="1:6" x14ac:dyDescent="0.25">
      <c r="A165" s="9" t="s">
        <v>67</v>
      </c>
      <c r="B165" s="4">
        <v>45779</v>
      </c>
      <c r="C165" s="5">
        <v>10</v>
      </c>
      <c r="D165" s="9" t="s">
        <v>13</v>
      </c>
      <c r="E165" s="10">
        <v>140</v>
      </c>
      <c r="F165" s="10">
        <f>+C165*E165</f>
        <v>1400</v>
      </c>
    </row>
    <row r="166" spans="1:6" x14ac:dyDescent="0.25">
      <c r="F166" s="8">
        <f>SUM(F165)</f>
        <v>1400</v>
      </c>
    </row>
    <row r="167" spans="1:6" x14ac:dyDescent="0.25">
      <c r="F167" s="10"/>
    </row>
    <row r="168" spans="1:6" x14ac:dyDescent="0.25">
      <c r="A168" s="9" t="s">
        <v>539</v>
      </c>
      <c r="B168" s="4">
        <v>45779</v>
      </c>
      <c r="C168" s="5">
        <v>10</v>
      </c>
      <c r="D168" s="9" t="s">
        <v>13</v>
      </c>
      <c r="E168" s="10">
        <v>140</v>
      </c>
      <c r="F168" s="10">
        <f>+C168*E168</f>
        <v>1400</v>
      </c>
    </row>
    <row r="169" spans="1:6" x14ac:dyDescent="0.25">
      <c r="F169" s="8">
        <f>SUM(F168)</f>
        <v>1400</v>
      </c>
    </row>
    <row r="170" spans="1:6" x14ac:dyDescent="0.25">
      <c r="F170" s="10"/>
    </row>
    <row r="171" spans="1:6" x14ac:dyDescent="0.25">
      <c r="A171" s="9" t="s">
        <v>538</v>
      </c>
      <c r="B171" s="4">
        <v>45779</v>
      </c>
      <c r="C171" s="5">
        <v>150</v>
      </c>
      <c r="D171" s="9" t="s">
        <v>13</v>
      </c>
      <c r="E171" s="10">
        <v>130</v>
      </c>
      <c r="F171" s="10">
        <f>+C171*E171</f>
        <v>19500</v>
      </c>
    </row>
    <row r="172" spans="1:6" x14ac:dyDescent="0.25">
      <c r="C172" s="5">
        <v>50</v>
      </c>
      <c r="D172" s="9" t="s">
        <v>22</v>
      </c>
      <c r="E172" s="10">
        <v>90</v>
      </c>
      <c r="F172" s="10">
        <f>+C172*E172</f>
        <v>4500</v>
      </c>
    </row>
    <row r="173" spans="1:6" x14ac:dyDescent="0.25">
      <c r="F173" s="8">
        <f>SUM(F171:F172)</f>
        <v>24000</v>
      </c>
    </row>
    <row r="174" spans="1:6" x14ac:dyDescent="0.25">
      <c r="F174" s="10"/>
    </row>
    <row r="175" spans="1:6" x14ac:dyDescent="0.25">
      <c r="A175" s="9" t="s">
        <v>537</v>
      </c>
      <c r="B175" s="4">
        <v>45779</v>
      </c>
      <c r="C175" s="5">
        <v>5</v>
      </c>
      <c r="D175" s="9" t="s">
        <v>12</v>
      </c>
      <c r="E175" s="10">
        <v>130</v>
      </c>
      <c r="F175" s="10">
        <f t="shared" ref="F175:F180" si="1">+C175*E175</f>
        <v>650</v>
      </c>
    </row>
    <row r="176" spans="1:6" x14ac:dyDescent="0.25">
      <c r="C176" s="5">
        <v>14</v>
      </c>
      <c r="D176" s="9" t="s">
        <v>536</v>
      </c>
      <c r="E176" s="10">
        <v>160</v>
      </c>
      <c r="F176" s="10">
        <f t="shared" si="1"/>
        <v>2240</v>
      </c>
    </row>
    <row r="177" spans="1:6" x14ac:dyDescent="0.25">
      <c r="C177" s="5">
        <v>10</v>
      </c>
      <c r="D177" s="9" t="s">
        <v>524</v>
      </c>
      <c r="E177" s="10">
        <v>140</v>
      </c>
      <c r="F177" s="10">
        <f t="shared" si="1"/>
        <v>1400</v>
      </c>
    </row>
    <row r="178" spans="1:6" x14ac:dyDescent="0.25">
      <c r="C178" s="5">
        <v>25</v>
      </c>
      <c r="D178" s="9" t="s">
        <v>49</v>
      </c>
      <c r="E178" s="10">
        <v>155</v>
      </c>
      <c r="F178" s="10">
        <f t="shared" si="1"/>
        <v>3875</v>
      </c>
    </row>
    <row r="179" spans="1:6" x14ac:dyDescent="0.25">
      <c r="C179" s="5">
        <v>10</v>
      </c>
      <c r="D179" s="9" t="s">
        <v>14</v>
      </c>
      <c r="E179" s="10">
        <v>135</v>
      </c>
      <c r="F179" s="10">
        <f t="shared" si="1"/>
        <v>1350</v>
      </c>
    </row>
    <row r="180" spans="1:6" x14ac:dyDescent="0.25">
      <c r="C180" s="5">
        <v>8</v>
      </c>
      <c r="D180" s="9" t="s">
        <v>99</v>
      </c>
      <c r="E180" s="10">
        <v>125</v>
      </c>
      <c r="F180" s="10">
        <f t="shared" si="1"/>
        <v>1000</v>
      </c>
    </row>
    <row r="181" spans="1:6" x14ac:dyDescent="0.25">
      <c r="F181" s="8">
        <f>SUM(F175:F180)</f>
        <v>10515</v>
      </c>
    </row>
    <row r="182" spans="1:6" x14ac:dyDescent="0.25">
      <c r="F182" s="10"/>
    </row>
    <row r="183" spans="1:6" x14ac:dyDescent="0.25">
      <c r="A183" s="9" t="s">
        <v>535</v>
      </c>
      <c r="B183" s="4">
        <v>45779</v>
      </c>
      <c r="C183" s="5">
        <v>14</v>
      </c>
      <c r="D183" s="9" t="s">
        <v>13</v>
      </c>
      <c r="E183" s="10">
        <v>140</v>
      </c>
      <c r="F183" s="10">
        <f>+C183*E183</f>
        <v>1960</v>
      </c>
    </row>
    <row r="184" spans="1:6" x14ac:dyDescent="0.25">
      <c r="C184" s="5">
        <v>30</v>
      </c>
      <c r="D184" s="9" t="s">
        <v>12</v>
      </c>
      <c r="E184" s="10">
        <v>130</v>
      </c>
      <c r="F184" s="10">
        <f>+C184*E184</f>
        <v>3900</v>
      </c>
    </row>
    <row r="185" spans="1:6" x14ac:dyDescent="0.25">
      <c r="F185" s="8">
        <f>SUM(F183:F184)</f>
        <v>5860</v>
      </c>
    </row>
    <row r="186" spans="1:6" x14ac:dyDescent="0.25">
      <c r="F186" s="10"/>
    </row>
    <row r="187" spans="1:6" x14ac:dyDescent="0.25">
      <c r="A187" s="9" t="s">
        <v>29</v>
      </c>
      <c r="B187" s="4">
        <v>45779</v>
      </c>
      <c r="C187" s="5">
        <v>1</v>
      </c>
      <c r="D187" s="9" t="s">
        <v>13</v>
      </c>
      <c r="E187" s="10">
        <v>140</v>
      </c>
      <c r="F187" s="10">
        <f>+C187*E187</f>
        <v>140</v>
      </c>
    </row>
    <row r="188" spans="1:6" x14ac:dyDescent="0.25">
      <c r="F188" s="8">
        <f>SUM(F187)</f>
        <v>140</v>
      </c>
    </row>
    <row r="189" spans="1:6" x14ac:dyDescent="0.25">
      <c r="F189" s="10"/>
    </row>
    <row r="190" spans="1:6" x14ac:dyDescent="0.25">
      <c r="A190" s="9" t="s">
        <v>181</v>
      </c>
      <c r="B190" s="4">
        <v>45779</v>
      </c>
      <c r="C190" s="5">
        <v>2</v>
      </c>
      <c r="D190" s="9" t="s">
        <v>534</v>
      </c>
      <c r="E190" s="10">
        <v>140</v>
      </c>
      <c r="F190" s="10">
        <f>+C190*E190</f>
        <v>280</v>
      </c>
    </row>
    <row r="191" spans="1:6" x14ac:dyDescent="0.25">
      <c r="C191" s="5">
        <v>3</v>
      </c>
      <c r="D191" s="9" t="s">
        <v>8</v>
      </c>
      <c r="E191" s="10">
        <v>170</v>
      </c>
      <c r="F191" s="10">
        <f>+C191*E191</f>
        <v>510</v>
      </c>
    </row>
    <row r="192" spans="1:6" x14ac:dyDescent="0.25">
      <c r="C192" s="5">
        <v>14</v>
      </c>
      <c r="D192" s="9" t="s">
        <v>161</v>
      </c>
      <c r="E192" s="10">
        <v>140</v>
      </c>
      <c r="F192" s="10">
        <f>+C192*E192</f>
        <v>1960</v>
      </c>
    </row>
    <row r="193" spans="1:6" x14ac:dyDescent="0.25">
      <c r="C193" s="5">
        <v>2</v>
      </c>
      <c r="D193" s="9" t="s">
        <v>13</v>
      </c>
      <c r="E193" s="10">
        <v>140</v>
      </c>
      <c r="F193" s="10">
        <f>+C193*E193</f>
        <v>280</v>
      </c>
    </row>
    <row r="194" spans="1:6" x14ac:dyDescent="0.25">
      <c r="C194" s="5">
        <v>1</v>
      </c>
      <c r="D194" s="9" t="s">
        <v>8</v>
      </c>
      <c r="E194" s="10">
        <v>170</v>
      </c>
      <c r="F194" s="10">
        <f>+C194*E194</f>
        <v>170</v>
      </c>
    </row>
    <row r="195" spans="1:6" x14ac:dyDescent="0.25">
      <c r="F195" s="8">
        <f>SUM(F190:F194)</f>
        <v>3200</v>
      </c>
    </row>
    <row r="196" spans="1:6" x14ac:dyDescent="0.25">
      <c r="F196" s="10"/>
    </row>
    <row r="197" spans="1:6" x14ac:dyDescent="0.25">
      <c r="A197" s="9" t="s">
        <v>58</v>
      </c>
      <c r="B197" s="4">
        <v>45780</v>
      </c>
      <c r="C197" s="5">
        <v>2</v>
      </c>
      <c r="D197" s="9" t="s">
        <v>13</v>
      </c>
      <c r="E197" s="10">
        <v>140</v>
      </c>
      <c r="F197" s="10">
        <f>+C197*E197</f>
        <v>280</v>
      </c>
    </row>
    <row r="198" spans="1:6" x14ac:dyDescent="0.25">
      <c r="F198" s="8">
        <f>SUM(F197)</f>
        <v>280</v>
      </c>
    </row>
    <row r="199" spans="1:6" x14ac:dyDescent="0.25">
      <c r="F199" s="10"/>
    </row>
    <row r="200" spans="1:6" x14ac:dyDescent="0.25">
      <c r="A200" s="9" t="s">
        <v>17</v>
      </c>
      <c r="B200" s="4">
        <v>45780</v>
      </c>
      <c r="C200" s="5">
        <v>5</v>
      </c>
      <c r="D200" s="9" t="s">
        <v>13</v>
      </c>
      <c r="E200" s="10">
        <v>135</v>
      </c>
      <c r="F200" s="10">
        <f>+C200*E200</f>
        <v>675</v>
      </c>
    </row>
    <row r="201" spans="1:6" x14ac:dyDescent="0.25">
      <c r="F201" s="8">
        <f>SUM(F200)</f>
        <v>675</v>
      </c>
    </row>
    <row r="202" spans="1:6" x14ac:dyDescent="0.25">
      <c r="F202" s="10"/>
    </row>
    <row r="203" spans="1:6" x14ac:dyDescent="0.25">
      <c r="A203" s="9" t="s">
        <v>548</v>
      </c>
      <c r="B203" s="4">
        <v>45780</v>
      </c>
      <c r="C203" s="5">
        <v>10</v>
      </c>
      <c r="D203" s="9" t="s">
        <v>13</v>
      </c>
      <c r="E203" s="10">
        <v>135</v>
      </c>
      <c r="F203" s="10">
        <f>+C203*E203</f>
        <v>1350</v>
      </c>
    </row>
    <row r="204" spans="1:6" x14ac:dyDescent="0.25">
      <c r="F204" s="8">
        <f>SUM(F203)</f>
        <v>1350</v>
      </c>
    </row>
    <row r="205" spans="1:6" x14ac:dyDescent="0.25">
      <c r="F205" s="10"/>
    </row>
    <row r="206" spans="1:6" x14ac:dyDescent="0.25">
      <c r="A206" s="9" t="s">
        <v>549</v>
      </c>
      <c r="B206" s="4">
        <v>45780</v>
      </c>
      <c r="C206" s="5">
        <v>10</v>
      </c>
      <c r="D206" s="9" t="s">
        <v>13</v>
      </c>
      <c r="E206" s="10">
        <v>135</v>
      </c>
      <c r="F206" s="10">
        <f>+C206*E206</f>
        <v>1350</v>
      </c>
    </row>
    <row r="207" spans="1:6" x14ac:dyDescent="0.25">
      <c r="F207" s="8">
        <f>SUM(F206)</f>
        <v>1350</v>
      </c>
    </row>
    <row r="208" spans="1:6" x14ac:dyDescent="0.25">
      <c r="F208" s="10"/>
    </row>
    <row r="209" spans="1:6" x14ac:dyDescent="0.25">
      <c r="A209" s="9" t="s">
        <v>20</v>
      </c>
      <c r="B209" s="4">
        <v>45780</v>
      </c>
      <c r="C209" s="5">
        <v>30</v>
      </c>
      <c r="D209" s="9" t="s">
        <v>13</v>
      </c>
      <c r="E209" s="10">
        <v>135</v>
      </c>
      <c r="F209" s="10">
        <f>+C209*E209</f>
        <v>4050</v>
      </c>
    </row>
    <row r="210" spans="1:6" x14ac:dyDescent="0.25">
      <c r="F210" s="8">
        <f>SUM(F209)</f>
        <v>4050</v>
      </c>
    </row>
    <row r="211" spans="1:6" x14ac:dyDescent="0.25">
      <c r="F211" s="10"/>
    </row>
    <row r="212" spans="1:6" x14ac:dyDescent="0.25">
      <c r="A212" s="9" t="s">
        <v>112</v>
      </c>
      <c r="B212" s="4">
        <v>45780</v>
      </c>
      <c r="C212" s="5">
        <v>20</v>
      </c>
      <c r="D212" s="9" t="s">
        <v>14</v>
      </c>
      <c r="E212" s="10">
        <v>125</v>
      </c>
      <c r="F212" s="10">
        <f>+C212*E212</f>
        <v>2500</v>
      </c>
    </row>
    <row r="213" spans="1:6" x14ac:dyDescent="0.25">
      <c r="C213" s="5">
        <v>30</v>
      </c>
      <c r="D213" s="9" t="s">
        <v>12</v>
      </c>
      <c r="E213" s="10">
        <v>115</v>
      </c>
      <c r="F213" s="10">
        <f>+C213*E213</f>
        <v>3450</v>
      </c>
    </row>
    <row r="214" spans="1:6" x14ac:dyDescent="0.25">
      <c r="C214" s="5">
        <v>30</v>
      </c>
      <c r="D214" s="9" t="s">
        <v>13</v>
      </c>
      <c r="E214" s="10">
        <v>135</v>
      </c>
      <c r="F214" s="10">
        <f>+C214*E214</f>
        <v>4050</v>
      </c>
    </row>
    <row r="215" spans="1:6" x14ac:dyDescent="0.25">
      <c r="F215" s="8">
        <f>SUM(F212:F214)</f>
        <v>10000</v>
      </c>
    </row>
    <row r="216" spans="1:6" x14ac:dyDescent="0.25">
      <c r="F216" s="10"/>
    </row>
    <row r="217" spans="1:6" x14ac:dyDescent="0.25">
      <c r="A217" s="9" t="s">
        <v>325</v>
      </c>
      <c r="B217" s="4">
        <v>45780</v>
      </c>
      <c r="C217" s="5">
        <v>20</v>
      </c>
      <c r="D217" s="9" t="s">
        <v>121</v>
      </c>
      <c r="E217" s="10">
        <v>125</v>
      </c>
      <c r="F217" s="10">
        <f>+C217*E217</f>
        <v>2500</v>
      </c>
    </row>
    <row r="218" spans="1:6" x14ac:dyDescent="0.25">
      <c r="C218" s="5">
        <v>20</v>
      </c>
      <c r="D218" s="9" t="s">
        <v>11</v>
      </c>
      <c r="E218" s="10">
        <v>115</v>
      </c>
      <c r="F218" s="10">
        <f>+C218*E218</f>
        <v>2300</v>
      </c>
    </row>
    <row r="219" spans="1:6" x14ac:dyDescent="0.25">
      <c r="F219" s="8">
        <f>SUM(F217:F218)</f>
        <v>4800</v>
      </c>
    </row>
    <row r="220" spans="1:6" x14ac:dyDescent="0.25">
      <c r="F220" s="10"/>
    </row>
    <row r="221" spans="1:6" x14ac:dyDescent="0.25">
      <c r="A221" s="9" t="s">
        <v>25</v>
      </c>
      <c r="B221" s="4">
        <v>45780</v>
      </c>
      <c r="C221" s="5">
        <v>20</v>
      </c>
      <c r="D221" s="9" t="s">
        <v>13</v>
      </c>
      <c r="E221" s="10">
        <v>135</v>
      </c>
      <c r="F221" s="10">
        <f>+C221*E221</f>
        <v>2700</v>
      </c>
    </row>
    <row r="222" spans="1:6" x14ac:dyDescent="0.25">
      <c r="C222" s="5">
        <v>20</v>
      </c>
      <c r="D222" s="9" t="s">
        <v>14</v>
      </c>
      <c r="E222" s="10">
        <v>125</v>
      </c>
      <c r="F222" s="10">
        <f>+C222*E222</f>
        <v>2500</v>
      </c>
    </row>
    <row r="223" spans="1:6" x14ac:dyDescent="0.25">
      <c r="F223" s="8">
        <f>SUM(F221:F222)</f>
        <v>5200</v>
      </c>
    </row>
    <row r="224" spans="1:6" x14ac:dyDescent="0.25">
      <c r="F224" s="10"/>
    </row>
    <row r="225" spans="1:6" x14ac:dyDescent="0.25">
      <c r="A225" s="9" t="s">
        <v>211</v>
      </c>
      <c r="B225" s="4">
        <v>45780</v>
      </c>
      <c r="C225" s="5">
        <v>8</v>
      </c>
      <c r="D225" s="9" t="s">
        <v>98</v>
      </c>
      <c r="E225" s="10">
        <v>100</v>
      </c>
      <c r="F225" s="10">
        <f>+C225*E225</f>
        <v>800</v>
      </c>
    </row>
    <row r="226" spans="1:6" x14ac:dyDescent="0.25">
      <c r="F226" s="8">
        <f>SUM(F225)</f>
        <v>800</v>
      </c>
    </row>
    <row r="227" spans="1:6" x14ac:dyDescent="0.25">
      <c r="F227" s="10"/>
    </row>
    <row r="228" spans="1:6" x14ac:dyDescent="0.25">
      <c r="A228" s="9" t="s">
        <v>550</v>
      </c>
      <c r="B228" s="4">
        <v>45780</v>
      </c>
      <c r="C228" s="5">
        <v>4</v>
      </c>
      <c r="D228" s="9" t="s">
        <v>98</v>
      </c>
      <c r="E228" s="10">
        <v>100</v>
      </c>
      <c r="F228" s="10">
        <f>+C228*E228</f>
        <v>400</v>
      </c>
    </row>
    <row r="229" spans="1:6" x14ac:dyDescent="0.25">
      <c r="F229" s="8">
        <f>SUM(F228)</f>
        <v>400</v>
      </c>
    </row>
    <row r="230" spans="1:6" x14ac:dyDescent="0.25">
      <c r="F230" s="10"/>
    </row>
    <row r="231" spans="1:6" x14ac:dyDescent="0.25">
      <c r="A231" s="9" t="s">
        <v>371</v>
      </c>
      <c r="B231" s="4">
        <v>45780</v>
      </c>
      <c r="C231" s="5">
        <v>2</v>
      </c>
      <c r="D231" s="9" t="s">
        <v>14</v>
      </c>
      <c r="E231" s="10">
        <v>140</v>
      </c>
      <c r="F231" s="10">
        <f>+C231*E231</f>
        <v>280</v>
      </c>
    </row>
    <row r="232" spans="1:6" x14ac:dyDescent="0.25">
      <c r="F232" s="8">
        <f>SUM(F231)</f>
        <v>280</v>
      </c>
    </row>
    <row r="233" spans="1:6" x14ac:dyDescent="0.25">
      <c r="F233" s="10"/>
    </row>
    <row r="234" spans="1:6" x14ac:dyDescent="0.25">
      <c r="A234" s="9" t="s">
        <v>65</v>
      </c>
      <c r="B234" s="4">
        <v>45780</v>
      </c>
      <c r="C234" s="5">
        <v>1500</v>
      </c>
      <c r="D234" s="9" t="s">
        <v>12</v>
      </c>
      <c r="E234" s="10">
        <v>115</v>
      </c>
      <c r="F234" s="10">
        <f>+C234*E234</f>
        <v>172500</v>
      </c>
    </row>
    <row r="235" spans="1:6" x14ac:dyDescent="0.25">
      <c r="C235" s="5">
        <v>360</v>
      </c>
      <c r="D235" s="9" t="s">
        <v>11</v>
      </c>
      <c r="E235" s="10">
        <v>110</v>
      </c>
      <c r="F235" s="10">
        <f>+C235*E235</f>
        <v>39600</v>
      </c>
    </row>
    <row r="236" spans="1:6" x14ac:dyDescent="0.25">
      <c r="C236" s="5">
        <v>90</v>
      </c>
      <c r="D236" s="9" t="s">
        <v>14</v>
      </c>
      <c r="E236" s="10">
        <v>125</v>
      </c>
      <c r="F236" s="10">
        <f>+C236*E236</f>
        <v>11250</v>
      </c>
    </row>
    <row r="237" spans="1:6" x14ac:dyDescent="0.25">
      <c r="C237" s="5">
        <v>300</v>
      </c>
      <c r="D237" s="9" t="s">
        <v>13</v>
      </c>
      <c r="E237" s="10">
        <v>125</v>
      </c>
      <c r="F237" s="10">
        <f>+C237*E237</f>
        <v>37500</v>
      </c>
    </row>
    <row r="238" spans="1:6" x14ac:dyDescent="0.25">
      <c r="C238" s="5">
        <v>100</v>
      </c>
      <c r="D238" s="9" t="s">
        <v>551</v>
      </c>
      <c r="E238" s="10">
        <v>95</v>
      </c>
      <c r="F238" s="10">
        <f>+C238*E238</f>
        <v>9500</v>
      </c>
    </row>
    <row r="239" spans="1:6" x14ac:dyDescent="0.25">
      <c r="F239" s="8">
        <f>SUM(F234:F238)</f>
        <v>270350</v>
      </c>
    </row>
    <row r="240" spans="1:6" x14ac:dyDescent="0.25">
      <c r="F240" s="10"/>
    </row>
    <row r="241" spans="1:6" x14ac:dyDescent="0.25">
      <c r="A241" s="9" t="s">
        <v>61</v>
      </c>
      <c r="B241" s="4">
        <v>45780</v>
      </c>
      <c r="C241" s="5">
        <v>80</v>
      </c>
      <c r="D241" s="9" t="s">
        <v>13</v>
      </c>
      <c r="E241" s="10">
        <v>130</v>
      </c>
      <c r="F241" s="10">
        <f>+C241*E241</f>
        <v>10400</v>
      </c>
    </row>
    <row r="242" spans="1:6" x14ac:dyDescent="0.25">
      <c r="F242" s="8">
        <f>SUM(F241)</f>
        <v>10400</v>
      </c>
    </row>
    <row r="243" spans="1:6" x14ac:dyDescent="0.25">
      <c r="F243" s="10"/>
    </row>
    <row r="244" spans="1:6" x14ac:dyDescent="0.25">
      <c r="A244" s="9" t="s">
        <v>60</v>
      </c>
      <c r="B244" s="4">
        <v>45780</v>
      </c>
      <c r="C244" s="5">
        <v>20</v>
      </c>
      <c r="D244" s="9" t="s">
        <v>13</v>
      </c>
      <c r="E244" s="10">
        <v>140</v>
      </c>
      <c r="F244" s="10">
        <f>+C244*E244</f>
        <v>2800</v>
      </c>
    </row>
    <row r="245" spans="1:6" x14ac:dyDescent="0.25">
      <c r="F245" s="8">
        <f>SUM(F244)</f>
        <v>2800</v>
      </c>
    </row>
    <row r="246" spans="1:6" x14ac:dyDescent="0.25">
      <c r="F246" s="10"/>
    </row>
    <row r="247" spans="1:6" x14ac:dyDescent="0.25">
      <c r="A247" s="9" t="s">
        <v>59</v>
      </c>
      <c r="B247" s="4">
        <v>45780</v>
      </c>
      <c r="C247" s="5">
        <v>40</v>
      </c>
      <c r="D247" s="9" t="s">
        <v>524</v>
      </c>
      <c r="E247" s="10">
        <v>130</v>
      </c>
      <c r="F247" s="10">
        <f>+C247*E247</f>
        <v>5200</v>
      </c>
    </row>
    <row r="248" spans="1:6" x14ac:dyDescent="0.25">
      <c r="F248" s="8">
        <f>SUM(F247)</f>
        <v>5200</v>
      </c>
    </row>
    <row r="249" spans="1:6" x14ac:dyDescent="0.25">
      <c r="F249" s="10"/>
    </row>
    <row r="250" spans="1:6" x14ac:dyDescent="0.25">
      <c r="A250" s="9" t="s">
        <v>66</v>
      </c>
      <c r="B250" s="4">
        <v>45780</v>
      </c>
      <c r="C250" s="5">
        <v>20</v>
      </c>
      <c r="D250" s="9" t="s">
        <v>8</v>
      </c>
      <c r="E250" s="10">
        <v>160</v>
      </c>
      <c r="F250" s="10">
        <f>+C250*E250</f>
        <v>3200</v>
      </c>
    </row>
    <row r="251" spans="1:6" x14ac:dyDescent="0.25">
      <c r="F251" s="8">
        <f>SUM(F250)</f>
        <v>3200</v>
      </c>
    </row>
    <row r="252" spans="1:6" x14ac:dyDescent="0.25">
      <c r="F252" s="10"/>
    </row>
    <row r="253" spans="1:6" x14ac:dyDescent="0.25">
      <c r="A253" s="9" t="s">
        <v>552</v>
      </c>
      <c r="B253" s="4">
        <v>45780</v>
      </c>
      <c r="C253" s="5">
        <v>10</v>
      </c>
      <c r="D253" s="9" t="s">
        <v>13</v>
      </c>
      <c r="E253" s="10">
        <v>140</v>
      </c>
      <c r="F253" s="10">
        <f>+C253*E253</f>
        <v>1400</v>
      </c>
    </row>
    <row r="254" spans="1:6" x14ac:dyDescent="0.25">
      <c r="C254" s="5">
        <v>10</v>
      </c>
      <c r="D254" s="9" t="s">
        <v>12</v>
      </c>
      <c r="E254" s="10">
        <v>130</v>
      </c>
      <c r="F254" s="10">
        <f>+C254*E254</f>
        <v>1300</v>
      </c>
    </row>
    <row r="255" spans="1:6" x14ac:dyDescent="0.25">
      <c r="F255" s="8">
        <f>SUM(F253:F254)</f>
        <v>2700</v>
      </c>
    </row>
    <row r="256" spans="1:6" x14ac:dyDescent="0.25">
      <c r="F256" s="10"/>
    </row>
    <row r="257" spans="1:6" x14ac:dyDescent="0.25">
      <c r="A257" s="9" t="s">
        <v>72</v>
      </c>
      <c r="B257" s="4">
        <v>45780</v>
      </c>
      <c r="C257" s="5">
        <v>250</v>
      </c>
      <c r="D257" s="9" t="s">
        <v>13</v>
      </c>
      <c r="E257" s="10">
        <v>130</v>
      </c>
      <c r="F257" s="10">
        <f>+C257*E257</f>
        <v>32500</v>
      </c>
    </row>
    <row r="258" spans="1:6" x14ac:dyDescent="0.25">
      <c r="C258" s="5">
        <v>200</v>
      </c>
      <c r="D258" s="9" t="s">
        <v>12</v>
      </c>
      <c r="E258" s="10">
        <v>115</v>
      </c>
      <c r="F258" s="10">
        <f>+C258*E258</f>
        <v>23000</v>
      </c>
    </row>
    <row r="259" spans="1:6" x14ac:dyDescent="0.25">
      <c r="C259" s="5">
        <v>50</v>
      </c>
      <c r="D259" s="9" t="s">
        <v>14</v>
      </c>
      <c r="E259" s="10">
        <v>125</v>
      </c>
      <c r="F259" s="10">
        <f>+C259*E259</f>
        <v>6250</v>
      </c>
    </row>
    <row r="260" spans="1:6" x14ac:dyDescent="0.25">
      <c r="C260" s="5">
        <v>100</v>
      </c>
      <c r="D260" s="9" t="s">
        <v>11</v>
      </c>
      <c r="E260" s="10">
        <v>115</v>
      </c>
      <c r="F260" s="10">
        <f>+C260*E260</f>
        <v>11500</v>
      </c>
    </row>
    <row r="261" spans="1:6" x14ac:dyDescent="0.25">
      <c r="F261" s="8">
        <f>SUM(F257:F260)</f>
        <v>73250</v>
      </c>
    </row>
    <row r="262" spans="1:6" x14ac:dyDescent="0.25">
      <c r="F262" s="10"/>
    </row>
    <row r="263" spans="1:6" x14ac:dyDescent="0.25">
      <c r="A263" s="9" t="s">
        <v>32</v>
      </c>
      <c r="B263" s="4">
        <v>45780</v>
      </c>
      <c r="C263" s="5">
        <v>15</v>
      </c>
      <c r="D263" s="9" t="s">
        <v>449</v>
      </c>
      <c r="E263" s="10">
        <v>135</v>
      </c>
      <c r="F263" s="10">
        <f>+C263*E263</f>
        <v>2025</v>
      </c>
    </row>
    <row r="264" spans="1:6" x14ac:dyDescent="0.25">
      <c r="F264" s="8">
        <f>SUM(F263)</f>
        <v>2025</v>
      </c>
    </row>
    <row r="265" spans="1:6" x14ac:dyDescent="0.25">
      <c r="F265" s="10"/>
    </row>
    <row r="266" spans="1:6" x14ac:dyDescent="0.25">
      <c r="A266" s="9" t="s">
        <v>259</v>
      </c>
      <c r="B266" s="4">
        <v>45780</v>
      </c>
      <c r="C266" s="5">
        <v>10</v>
      </c>
      <c r="D266" s="9" t="s">
        <v>8</v>
      </c>
      <c r="E266" s="10">
        <v>160</v>
      </c>
      <c r="F266" s="10">
        <f>+C266*E266</f>
        <v>1600</v>
      </c>
    </row>
    <row r="267" spans="1:6" x14ac:dyDescent="0.25">
      <c r="F267" s="8">
        <f>SUM(F266)</f>
        <v>1600</v>
      </c>
    </row>
    <row r="268" spans="1:6" x14ac:dyDescent="0.25">
      <c r="F268" s="10"/>
    </row>
    <row r="269" spans="1:6" x14ac:dyDescent="0.25">
      <c r="A269" s="9" t="s">
        <v>174</v>
      </c>
      <c r="B269" s="4">
        <v>45780</v>
      </c>
      <c r="C269" s="5">
        <v>100</v>
      </c>
      <c r="D269" s="9" t="s">
        <v>12</v>
      </c>
      <c r="E269" s="10">
        <v>140</v>
      </c>
      <c r="F269" s="10">
        <f>+C269*E269</f>
        <v>14000</v>
      </c>
    </row>
    <row r="270" spans="1:6" x14ac:dyDescent="0.25">
      <c r="C270" s="5">
        <v>50</v>
      </c>
      <c r="D270" s="9" t="s">
        <v>22</v>
      </c>
      <c r="E270" s="10">
        <v>120</v>
      </c>
      <c r="F270" s="10">
        <f>+C270*E270</f>
        <v>6000</v>
      </c>
    </row>
    <row r="271" spans="1:6" x14ac:dyDescent="0.25">
      <c r="F271" s="8">
        <f>SUM(F269:F270)</f>
        <v>20000</v>
      </c>
    </row>
    <row r="272" spans="1:6" x14ac:dyDescent="0.25">
      <c r="F272" s="10"/>
    </row>
    <row r="273" spans="1:6" x14ac:dyDescent="0.25">
      <c r="A273" s="9" t="s">
        <v>26</v>
      </c>
      <c r="B273" s="4">
        <v>45780</v>
      </c>
      <c r="C273" s="5">
        <v>100</v>
      </c>
      <c r="D273" s="9" t="s">
        <v>479</v>
      </c>
      <c r="E273" s="10">
        <v>140</v>
      </c>
      <c r="F273" s="10">
        <f>+C273*E273</f>
        <v>14000</v>
      </c>
    </row>
    <row r="274" spans="1:6" x14ac:dyDescent="0.25">
      <c r="C274" s="5">
        <v>3</v>
      </c>
      <c r="D274" s="9" t="s">
        <v>318</v>
      </c>
      <c r="E274" s="10">
        <v>0</v>
      </c>
      <c r="F274" s="10">
        <f>+C274*E274</f>
        <v>0</v>
      </c>
    </row>
    <row r="275" spans="1:6" x14ac:dyDescent="0.25">
      <c r="F275" s="8">
        <f>SUM(F273:F274)</f>
        <v>14000</v>
      </c>
    </row>
    <row r="276" spans="1:6" x14ac:dyDescent="0.25">
      <c r="F276" s="10"/>
    </row>
    <row r="277" spans="1:6" x14ac:dyDescent="0.25">
      <c r="A277" s="9" t="s">
        <v>259</v>
      </c>
      <c r="B277" s="4">
        <v>45780</v>
      </c>
      <c r="C277" s="5">
        <v>1000</v>
      </c>
      <c r="D277" s="9" t="s">
        <v>14</v>
      </c>
      <c r="F277" s="10">
        <f>+C277*E277</f>
        <v>0</v>
      </c>
    </row>
    <row r="278" spans="1:6" x14ac:dyDescent="0.25">
      <c r="C278" s="5">
        <v>120</v>
      </c>
      <c r="D278" s="9" t="s">
        <v>98</v>
      </c>
      <c r="F278" s="10">
        <f>+C278*E278</f>
        <v>0</v>
      </c>
    </row>
    <row r="279" spans="1:6" x14ac:dyDescent="0.25">
      <c r="F279" s="8">
        <f>SUM(F277:F278)</f>
        <v>0</v>
      </c>
    </row>
    <row r="280" spans="1:6" x14ac:dyDescent="0.25">
      <c r="F280" s="10"/>
    </row>
    <row r="281" spans="1:6" x14ac:dyDescent="0.25">
      <c r="A281" s="9" t="s">
        <v>29</v>
      </c>
      <c r="B281" s="4">
        <v>45780</v>
      </c>
      <c r="C281" s="5">
        <v>2</v>
      </c>
      <c r="D281" s="9" t="s">
        <v>13</v>
      </c>
      <c r="E281" s="10">
        <v>160</v>
      </c>
      <c r="F281" s="10">
        <f>+C281*E281</f>
        <v>320</v>
      </c>
    </row>
    <row r="282" spans="1:6" x14ac:dyDescent="0.25">
      <c r="C282" s="5">
        <v>1</v>
      </c>
      <c r="D282" s="9" t="s">
        <v>483</v>
      </c>
      <c r="E282" s="10">
        <v>160</v>
      </c>
      <c r="F282" s="10">
        <f>+C282*E282</f>
        <v>160</v>
      </c>
    </row>
    <row r="283" spans="1:6" x14ac:dyDescent="0.25">
      <c r="C283" s="5">
        <v>3</v>
      </c>
      <c r="D283" s="9" t="s">
        <v>8</v>
      </c>
      <c r="E283" s="10">
        <v>150</v>
      </c>
      <c r="F283" s="10">
        <f>+C283*E283</f>
        <v>450</v>
      </c>
    </row>
    <row r="284" spans="1:6" x14ac:dyDescent="0.25">
      <c r="C284" s="5">
        <v>1</v>
      </c>
      <c r="D284" s="9" t="s">
        <v>13</v>
      </c>
      <c r="E284" s="10">
        <v>150</v>
      </c>
      <c r="F284" s="10">
        <f>+C284*E284</f>
        <v>150</v>
      </c>
    </row>
    <row r="285" spans="1:6" x14ac:dyDescent="0.25">
      <c r="F285" s="8">
        <f>SUM(F281:F284)</f>
        <v>1080</v>
      </c>
    </row>
    <row r="286" spans="1:6" x14ac:dyDescent="0.25">
      <c r="F286" s="10"/>
    </row>
    <row r="287" spans="1:6" x14ac:dyDescent="0.25">
      <c r="A287" s="9" t="s">
        <v>7</v>
      </c>
      <c r="B287" s="4">
        <v>45780</v>
      </c>
      <c r="C287" s="5">
        <v>1</v>
      </c>
      <c r="D287" s="9" t="s">
        <v>8</v>
      </c>
      <c r="E287" s="10">
        <v>170</v>
      </c>
      <c r="F287" s="10">
        <f>+C287*E287</f>
        <v>170</v>
      </c>
    </row>
    <row r="288" spans="1:6" x14ac:dyDescent="0.25">
      <c r="C288" s="5">
        <v>1</v>
      </c>
      <c r="D288" s="9" t="s">
        <v>519</v>
      </c>
      <c r="E288" s="10">
        <v>170</v>
      </c>
      <c r="F288" s="10">
        <f>+C288*E288</f>
        <v>170</v>
      </c>
    </row>
    <row r="289" spans="1:14" x14ac:dyDescent="0.25">
      <c r="F289" s="8">
        <f>SUM(F287:F288)</f>
        <v>340</v>
      </c>
      <c r="N289" s="9" t="s">
        <v>554</v>
      </c>
    </row>
    <row r="290" spans="1:14" x14ac:dyDescent="0.25">
      <c r="F290" s="10"/>
    </row>
    <row r="291" spans="1:14" x14ac:dyDescent="0.25">
      <c r="A291" s="9" t="s">
        <v>553</v>
      </c>
      <c r="B291" s="4">
        <v>45782</v>
      </c>
      <c r="C291" s="5">
        <v>20</v>
      </c>
      <c r="D291" s="9" t="s">
        <v>8</v>
      </c>
      <c r="E291" s="10">
        <v>145</v>
      </c>
      <c r="F291" s="10">
        <f>+C291*E291</f>
        <v>2900</v>
      </c>
    </row>
    <row r="292" spans="1:14" x14ac:dyDescent="0.25">
      <c r="F292" s="8">
        <f>SUM(F291)</f>
        <v>2900</v>
      </c>
    </row>
    <row r="293" spans="1:14" x14ac:dyDescent="0.25">
      <c r="F293" s="10"/>
    </row>
    <row r="294" spans="1:14" x14ac:dyDescent="0.25">
      <c r="A294" s="9" t="s">
        <v>79</v>
      </c>
      <c r="B294" s="4">
        <v>45782</v>
      </c>
      <c r="C294" s="5">
        <v>30</v>
      </c>
      <c r="D294" s="9" t="s">
        <v>488</v>
      </c>
      <c r="E294" s="10">
        <v>140</v>
      </c>
      <c r="F294" s="10">
        <f>+C294*E294</f>
        <v>4200</v>
      </c>
    </row>
    <row r="295" spans="1:14" x14ac:dyDescent="0.25">
      <c r="F295" s="8">
        <f>SUM(F294)</f>
        <v>4200</v>
      </c>
    </row>
    <row r="296" spans="1:14" x14ac:dyDescent="0.25">
      <c r="F296" s="10"/>
    </row>
    <row r="297" spans="1:14" x14ac:dyDescent="0.25">
      <c r="A297" s="9" t="s">
        <v>69</v>
      </c>
      <c r="B297" s="4">
        <v>45782</v>
      </c>
      <c r="C297" s="5">
        <v>15</v>
      </c>
      <c r="D297" s="9" t="s">
        <v>98</v>
      </c>
      <c r="E297" s="10">
        <v>100</v>
      </c>
      <c r="F297" s="10">
        <f>+C297*E297</f>
        <v>1500</v>
      </c>
    </row>
    <row r="298" spans="1:14" x14ac:dyDescent="0.25">
      <c r="F298" s="8">
        <f>SUM(F297)</f>
        <v>1500</v>
      </c>
    </row>
    <row r="299" spans="1:14" x14ac:dyDescent="0.25">
      <c r="F299" s="10"/>
    </row>
    <row r="300" spans="1:14" x14ac:dyDescent="0.25">
      <c r="A300" s="9" t="s">
        <v>18</v>
      </c>
      <c r="B300" s="4">
        <v>45782</v>
      </c>
      <c r="C300" s="5">
        <v>10</v>
      </c>
      <c r="D300" s="9" t="s">
        <v>13</v>
      </c>
      <c r="E300" s="10">
        <v>140</v>
      </c>
      <c r="F300" s="10">
        <f>+C300*E300</f>
        <v>1400</v>
      </c>
    </row>
    <row r="301" spans="1:14" x14ac:dyDescent="0.25">
      <c r="F301" s="8">
        <f>SUM(F300)</f>
        <v>1400</v>
      </c>
    </row>
    <row r="302" spans="1:14" x14ac:dyDescent="0.25">
      <c r="F302" s="10"/>
    </row>
    <row r="303" spans="1:14" x14ac:dyDescent="0.25">
      <c r="A303" s="9" t="s">
        <v>157</v>
      </c>
      <c r="B303" s="4">
        <v>45782</v>
      </c>
      <c r="C303" s="5">
        <v>10</v>
      </c>
      <c r="D303" s="9" t="s">
        <v>13</v>
      </c>
      <c r="E303" s="10">
        <v>135</v>
      </c>
      <c r="F303" s="10">
        <f>+C303*E303</f>
        <v>1350</v>
      </c>
    </row>
    <row r="304" spans="1:14" x14ac:dyDescent="0.25">
      <c r="F304" s="8">
        <f>SUM(F303)</f>
        <v>1350</v>
      </c>
    </row>
    <row r="305" spans="1:6" x14ac:dyDescent="0.25">
      <c r="F305" s="10"/>
    </row>
    <row r="306" spans="1:6" x14ac:dyDescent="0.25">
      <c r="A306" s="9" t="s">
        <v>20</v>
      </c>
      <c r="B306" s="4">
        <v>45782</v>
      </c>
      <c r="C306" s="5">
        <v>20</v>
      </c>
      <c r="D306" s="9" t="s">
        <v>13</v>
      </c>
      <c r="E306" s="10">
        <v>135</v>
      </c>
      <c r="F306" s="10">
        <f>+C306*E306</f>
        <v>2700</v>
      </c>
    </row>
    <row r="307" spans="1:6" x14ac:dyDescent="0.25">
      <c r="F307" s="8">
        <f>SUM(F306)</f>
        <v>2700</v>
      </c>
    </row>
    <row r="308" spans="1:6" x14ac:dyDescent="0.25">
      <c r="F308" s="10"/>
    </row>
    <row r="309" spans="1:6" x14ac:dyDescent="0.25">
      <c r="A309" s="9" t="s">
        <v>253</v>
      </c>
      <c r="B309" s="4">
        <v>45782</v>
      </c>
      <c r="C309" s="5">
        <v>10</v>
      </c>
      <c r="D309" s="9" t="s">
        <v>13</v>
      </c>
      <c r="E309" s="10">
        <v>135</v>
      </c>
      <c r="F309" s="10">
        <f>+C309*E309</f>
        <v>1350</v>
      </c>
    </row>
    <row r="310" spans="1:6" x14ac:dyDescent="0.25">
      <c r="C310" s="5">
        <v>10</v>
      </c>
      <c r="D310" s="9" t="s">
        <v>11</v>
      </c>
      <c r="E310" s="10">
        <v>115</v>
      </c>
      <c r="F310" s="10">
        <f>+C310*E310</f>
        <v>1150</v>
      </c>
    </row>
    <row r="311" spans="1:6" x14ac:dyDescent="0.25">
      <c r="F311" s="8">
        <f>SUM(F309:F310)</f>
        <v>2500</v>
      </c>
    </row>
    <row r="312" spans="1:6" x14ac:dyDescent="0.25">
      <c r="F312" s="10"/>
    </row>
    <row r="313" spans="1:6" x14ac:dyDescent="0.25">
      <c r="A313" s="9" t="s">
        <v>21</v>
      </c>
      <c r="B313" s="4">
        <v>45782</v>
      </c>
      <c r="C313" s="5">
        <v>10</v>
      </c>
      <c r="D313" s="9" t="s">
        <v>8</v>
      </c>
      <c r="E313" s="10">
        <v>155</v>
      </c>
      <c r="F313" s="10">
        <f>+C313*E313</f>
        <v>1550</v>
      </c>
    </row>
    <row r="314" spans="1:6" x14ac:dyDescent="0.25">
      <c r="C314" s="5">
        <v>20</v>
      </c>
      <c r="D314" s="9" t="s">
        <v>13</v>
      </c>
      <c r="E314" s="10">
        <v>130</v>
      </c>
      <c r="F314" s="10">
        <f>+C314*E314</f>
        <v>2600</v>
      </c>
    </row>
    <row r="315" spans="1:6" x14ac:dyDescent="0.25">
      <c r="F315" s="8">
        <f>SUM(F313:F314)</f>
        <v>4150</v>
      </c>
    </row>
    <row r="316" spans="1:6" x14ac:dyDescent="0.25">
      <c r="F316" s="10"/>
    </row>
    <row r="317" spans="1:6" x14ac:dyDescent="0.25">
      <c r="A317" s="9" t="s">
        <v>371</v>
      </c>
      <c r="B317" s="4">
        <v>45782</v>
      </c>
      <c r="C317" s="5">
        <v>7</v>
      </c>
      <c r="D317" s="9" t="s">
        <v>13</v>
      </c>
      <c r="E317" s="10">
        <v>140</v>
      </c>
      <c r="F317" s="10">
        <f>+C317*E317</f>
        <v>980</v>
      </c>
    </row>
    <row r="318" spans="1:6" x14ac:dyDescent="0.25">
      <c r="F318" s="8">
        <f>SUM(F317)</f>
        <v>980</v>
      </c>
    </row>
    <row r="319" spans="1:6" x14ac:dyDescent="0.25">
      <c r="F319" s="10"/>
    </row>
    <row r="320" spans="1:6" x14ac:dyDescent="0.25">
      <c r="A320" s="9" t="s">
        <v>111</v>
      </c>
      <c r="B320" s="4">
        <v>45782</v>
      </c>
      <c r="C320" s="5">
        <v>30</v>
      </c>
      <c r="D320" s="9" t="s">
        <v>13</v>
      </c>
      <c r="E320" s="10">
        <v>140</v>
      </c>
      <c r="F320" s="10">
        <f>+C320*E320</f>
        <v>4200</v>
      </c>
    </row>
    <row r="321" spans="1:6" x14ac:dyDescent="0.25">
      <c r="F321" s="8">
        <f>SUM(F320)</f>
        <v>4200</v>
      </c>
    </row>
    <row r="322" spans="1:6" x14ac:dyDescent="0.25">
      <c r="F322" s="10"/>
    </row>
    <row r="323" spans="1:6" x14ac:dyDescent="0.25">
      <c r="A323" s="9" t="s">
        <v>112</v>
      </c>
      <c r="B323" s="4">
        <v>45782</v>
      </c>
      <c r="C323" s="5">
        <v>60</v>
      </c>
      <c r="D323" s="9" t="s">
        <v>14</v>
      </c>
      <c r="E323" s="10">
        <v>110</v>
      </c>
      <c r="F323" s="10">
        <f>+C323*E323</f>
        <v>6600</v>
      </c>
    </row>
    <row r="324" spans="1:6" x14ac:dyDescent="0.25">
      <c r="C324" s="5">
        <v>30</v>
      </c>
      <c r="D324" s="9" t="s">
        <v>50</v>
      </c>
      <c r="E324" s="10">
        <v>80</v>
      </c>
      <c r="F324" s="10">
        <f>+C324*E324</f>
        <v>2400</v>
      </c>
    </row>
    <row r="325" spans="1:6" x14ac:dyDescent="0.25">
      <c r="C325" s="5">
        <v>20</v>
      </c>
      <c r="D325" s="9" t="s">
        <v>22</v>
      </c>
      <c r="E325" s="10">
        <v>90</v>
      </c>
      <c r="F325" s="10">
        <f>+C325*E325</f>
        <v>1800</v>
      </c>
    </row>
    <row r="326" spans="1:6" x14ac:dyDescent="0.25">
      <c r="F326" s="8">
        <f>SUM(F323:F325)</f>
        <v>10800</v>
      </c>
    </row>
    <row r="327" spans="1:6" x14ac:dyDescent="0.25">
      <c r="F327" s="10"/>
    </row>
    <row r="328" spans="1:6" x14ac:dyDescent="0.25">
      <c r="A328" s="9" t="s">
        <v>270</v>
      </c>
      <c r="B328" s="4">
        <v>45782</v>
      </c>
      <c r="C328" s="5">
        <v>10</v>
      </c>
      <c r="D328" s="9" t="s">
        <v>275</v>
      </c>
      <c r="E328" s="10">
        <v>100</v>
      </c>
      <c r="F328" s="10">
        <f>+C328*E328</f>
        <v>1000</v>
      </c>
    </row>
    <row r="329" spans="1:6" x14ac:dyDescent="0.25">
      <c r="F329" s="8">
        <f>SUM(F328)</f>
        <v>1000</v>
      </c>
    </row>
    <row r="330" spans="1:6" x14ac:dyDescent="0.25">
      <c r="F330" s="10"/>
    </row>
    <row r="331" spans="1:6" x14ac:dyDescent="0.25">
      <c r="A331" s="9" t="s">
        <v>41</v>
      </c>
      <c r="B331" s="4">
        <v>45782</v>
      </c>
      <c r="C331" s="5">
        <v>30</v>
      </c>
      <c r="D331" s="9" t="s">
        <v>403</v>
      </c>
      <c r="E331" s="10">
        <v>130</v>
      </c>
      <c r="F331" s="10">
        <f>+C331*E331</f>
        <v>3900</v>
      </c>
    </row>
    <row r="332" spans="1:6" x14ac:dyDescent="0.25">
      <c r="F332" s="8">
        <f>SUM(F331)</f>
        <v>3900</v>
      </c>
    </row>
    <row r="333" spans="1:6" x14ac:dyDescent="0.25">
      <c r="F333" s="10"/>
    </row>
    <row r="334" spans="1:6" x14ac:dyDescent="0.25">
      <c r="A334" s="9" t="s">
        <v>555</v>
      </c>
      <c r="B334" s="4">
        <v>45782</v>
      </c>
      <c r="C334" s="5">
        <v>50</v>
      </c>
      <c r="D334" s="9" t="s">
        <v>12</v>
      </c>
      <c r="E334" s="10">
        <v>120</v>
      </c>
      <c r="F334" s="10">
        <f>+C334*E334</f>
        <v>6000</v>
      </c>
    </row>
    <row r="335" spans="1:6" x14ac:dyDescent="0.25">
      <c r="C335" s="5">
        <v>10</v>
      </c>
      <c r="D335" s="9" t="s">
        <v>14</v>
      </c>
      <c r="E335" s="10">
        <v>120</v>
      </c>
      <c r="F335" s="10">
        <f>+C335*E335</f>
        <v>1200</v>
      </c>
    </row>
    <row r="336" spans="1:6" x14ac:dyDescent="0.25">
      <c r="F336" s="8">
        <f>SUM(F334:F335)</f>
        <v>7200</v>
      </c>
    </row>
    <row r="337" spans="1:6" x14ac:dyDescent="0.25">
      <c r="F337" s="10"/>
    </row>
    <row r="338" spans="1:6" x14ac:dyDescent="0.25">
      <c r="A338" s="9" t="s">
        <v>455</v>
      </c>
      <c r="B338" s="4">
        <v>45782</v>
      </c>
      <c r="C338" s="5">
        <v>50</v>
      </c>
      <c r="D338" s="9" t="s">
        <v>522</v>
      </c>
      <c r="E338" s="10">
        <v>90</v>
      </c>
      <c r="F338" s="10">
        <f>+C338*E338</f>
        <v>4500</v>
      </c>
    </row>
    <row r="339" spans="1:6" x14ac:dyDescent="0.25">
      <c r="F339" s="8">
        <f>SUM(F338)</f>
        <v>4500</v>
      </c>
    </row>
    <row r="340" spans="1:6" x14ac:dyDescent="0.25">
      <c r="F340" s="10"/>
    </row>
    <row r="341" spans="1:6" x14ac:dyDescent="0.25">
      <c r="A341" s="9" t="s">
        <v>43</v>
      </c>
      <c r="B341" s="4">
        <v>45782</v>
      </c>
      <c r="C341" s="5">
        <v>20</v>
      </c>
      <c r="D341" s="9" t="s">
        <v>49</v>
      </c>
      <c r="E341" s="10">
        <v>135</v>
      </c>
      <c r="F341" s="10">
        <f>+C341*E341</f>
        <v>2700</v>
      </c>
    </row>
    <row r="342" spans="1:6" x14ac:dyDescent="0.25">
      <c r="C342" s="5">
        <v>20</v>
      </c>
      <c r="D342" s="9" t="s">
        <v>14</v>
      </c>
      <c r="E342" s="10">
        <v>125</v>
      </c>
      <c r="F342" s="10">
        <f>+C342*E342</f>
        <v>2500</v>
      </c>
    </row>
    <row r="343" spans="1:6" x14ac:dyDescent="0.25">
      <c r="F343" s="8">
        <f>SUM(F341:F342)</f>
        <v>5200</v>
      </c>
    </row>
    <row r="344" spans="1:6" x14ac:dyDescent="0.25">
      <c r="F344" s="10"/>
    </row>
    <row r="345" spans="1:6" x14ac:dyDescent="0.25">
      <c r="A345" s="9" t="s">
        <v>18</v>
      </c>
      <c r="B345" s="4">
        <v>45782</v>
      </c>
      <c r="C345" s="5">
        <v>10</v>
      </c>
      <c r="D345" s="9" t="s">
        <v>13</v>
      </c>
      <c r="E345" s="10">
        <v>140</v>
      </c>
      <c r="F345" s="10">
        <f>+C345*E345</f>
        <v>1400</v>
      </c>
    </row>
    <row r="346" spans="1:6" x14ac:dyDescent="0.25">
      <c r="C346" s="5">
        <v>30</v>
      </c>
      <c r="D346" s="9" t="s">
        <v>121</v>
      </c>
      <c r="E346" s="10">
        <v>125</v>
      </c>
      <c r="F346" s="10">
        <f>+C346*E346</f>
        <v>3750</v>
      </c>
    </row>
    <row r="347" spans="1:6" x14ac:dyDescent="0.25">
      <c r="F347" s="8">
        <f>SUM(F345:F346)</f>
        <v>5150</v>
      </c>
    </row>
    <row r="348" spans="1:6" x14ac:dyDescent="0.25">
      <c r="F348" s="10"/>
    </row>
    <row r="349" spans="1:6" x14ac:dyDescent="0.25">
      <c r="A349" s="9" t="s">
        <v>252</v>
      </c>
      <c r="B349" s="4">
        <v>45782</v>
      </c>
      <c r="C349" s="5">
        <v>11</v>
      </c>
      <c r="D349" s="9" t="s">
        <v>13</v>
      </c>
      <c r="E349" s="10">
        <v>125</v>
      </c>
      <c r="F349" s="10">
        <f>+C349*E349</f>
        <v>1375</v>
      </c>
    </row>
    <row r="350" spans="1:6" x14ac:dyDescent="0.25">
      <c r="F350" s="8">
        <f>SUM(F349)</f>
        <v>1375</v>
      </c>
    </row>
    <row r="351" spans="1:6" x14ac:dyDescent="0.25">
      <c r="F351" s="10"/>
    </row>
    <row r="352" spans="1:6" x14ac:dyDescent="0.25">
      <c r="A352" s="9" t="s">
        <v>138</v>
      </c>
      <c r="B352" s="4">
        <v>45782</v>
      </c>
      <c r="C352" s="5">
        <v>20</v>
      </c>
      <c r="D352" s="9" t="s">
        <v>14</v>
      </c>
      <c r="E352" s="10">
        <v>125</v>
      </c>
      <c r="F352" s="10">
        <f>+C352*E352</f>
        <v>2500</v>
      </c>
    </row>
    <row r="353" spans="1:6" x14ac:dyDescent="0.25">
      <c r="F353" s="8">
        <f>SUM(F352)</f>
        <v>2500</v>
      </c>
    </row>
    <row r="354" spans="1:6" x14ac:dyDescent="0.25">
      <c r="F354" s="10"/>
    </row>
    <row r="355" spans="1:6" x14ac:dyDescent="0.25">
      <c r="A355" s="9" t="s">
        <v>47</v>
      </c>
      <c r="B355" s="4">
        <v>45782</v>
      </c>
      <c r="C355" s="5">
        <v>28</v>
      </c>
      <c r="D355" s="9" t="s">
        <v>14</v>
      </c>
      <c r="E355" s="10">
        <v>125</v>
      </c>
      <c r="F355" s="10">
        <f>+C355*E355</f>
        <v>3500</v>
      </c>
    </row>
    <row r="356" spans="1:6" x14ac:dyDescent="0.25">
      <c r="F356" s="8">
        <f>SUM(F355)</f>
        <v>3500</v>
      </c>
    </row>
    <row r="357" spans="1:6" x14ac:dyDescent="0.25">
      <c r="F357" s="10"/>
    </row>
    <row r="358" spans="1:6" x14ac:dyDescent="0.25">
      <c r="A358" s="9" t="s">
        <v>145</v>
      </c>
      <c r="B358" s="4">
        <v>45782</v>
      </c>
      <c r="C358" s="5">
        <v>30</v>
      </c>
      <c r="D358" s="9" t="s">
        <v>14</v>
      </c>
      <c r="E358" s="10">
        <v>120</v>
      </c>
      <c r="F358" s="10">
        <f>+C358*E358</f>
        <v>3600</v>
      </c>
    </row>
    <row r="359" spans="1:6" x14ac:dyDescent="0.25">
      <c r="F359" s="8">
        <f>SUM(F358)</f>
        <v>3600</v>
      </c>
    </row>
    <row r="360" spans="1:6" x14ac:dyDescent="0.25">
      <c r="F360" s="10"/>
    </row>
    <row r="361" spans="1:6" x14ac:dyDescent="0.25">
      <c r="A361" s="9" t="s">
        <v>90</v>
      </c>
      <c r="B361" s="4">
        <v>45782</v>
      </c>
      <c r="C361" s="5">
        <v>30</v>
      </c>
      <c r="D361" s="9" t="s">
        <v>12</v>
      </c>
      <c r="E361" s="10">
        <v>130</v>
      </c>
      <c r="F361" s="10">
        <f>+C361*E361</f>
        <v>3900</v>
      </c>
    </row>
    <row r="362" spans="1:6" x14ac:dyDescent="0.25">
      <c r="F362" s="8">
        <f>SUM(F361)</f>
        <v>3900</v>
      </c>
    </row>
    <row r="363" spans="1:6" x14ac:dyDescent="0.25">
      <c r="F363" s="10"/>
    </row>
    <row r="364" spans="1:6" x14ac:dyDescent="0.25">
      <c r="A364" s="9" t="s">
        <v>487</v>
      </c>
      <c r="B364" s="4">
        <v>45782</v>
      </c>
      <c r="C364" s="5">
        <v>6</v>
      </c>
      <c r="D364" s="9" t="s">
        <v>12</v>
      </c>
      <c r="E364" s="10">
        <v>130</v>
      </c>
      <c r="F364" s="10">
        <f>+C364*E364</f>
        <v>780</v>
      </c>
    </row>
    <row r="365" spans="1:6" x14ac:dyDescent="0.25">
      <c r="F365" s="8">
        <f>SUM(F364)</f>
        <v>780</v>
      </c>
    </row>
    <row r="366" spans="1:6" x14ac:dyDescent="0.25">
      <c r="F366" s="10"/>
    </row>
    <row r="367" spans="1:6" x14ac:dyDescent="0.25">
      <c r="A367" s="9" t="s">
        <v>164</v>
      </c>
      <c r="B367" s="4">
        <v>45782</v>
      </c>
      <c r="C367" s="5">
        <v>5</v>
      </c>
      <c r="D367" s="9" t="s">
        <v>8</v>
      </c>
      <c r="E367" s="10">
        <v>170</v>
      </c>
      <c r="F367" s="10">
        <f>+C367*E367</f>
        <v>850</v>
      </c>
    </row>
    <row r="368" spans="1:6" x14ac:dyDescent="0.25">
      <c r="F368" s="8">
        <f>SUM(F367)</f>
        <v>850</v>
      </c>
    </row>
    <row r="369" spans="1:6" x14ac:dyDescent="0.25">
      <c r="F369" s="10"/>
    </row>
    <row r="370" spans="1:6" x14ac:dyDescent="0.25">
      <c r="A370" s="9" t="s">
        <v>553</v>
      </c>
      <c r="B370" s="4">
        <v>45782</v>
      </c>
      <c r="C370" s="5">
        <v>20</v>
      </c>
      <c r="D370" s="9" t="s">
        <v>8</v>
      </c>
      <c r="E370" s="10">
        <v>145</v>
      </c>
      <c r="F370" s="10">
        <f>+C370*E370</f>
        <v>2900</v>
      </c>
    </row>
    <row r="371" spans="1:6" x14ac:dyDescent="0.25">
      <c r="F371" s="8">
        <f>SUM(F370)</f>
        <v>2900</v>
      </c>
    </row>
    <row r="372" spans="1:6" x14ac:dyDescent="0.25">
      <c r="F372" s="10"/>
    </row>
    <row r="373" spans="1:6" x14ac:dyDescent="0.25">
      <c r="A373" s="9" t="s">
        <v>556</v>
      </c>
      <c r="B373" s="4">
        <v>45782</v>
      </c>
      <c r="C373" s="5">
        <v>4</v>
      </c>
      <c r="D373" s="9" t="s">
        <v>12</v>
      </c>
      <c r="E373" s="10">
        <v>130</v>
      </c>
      <c r="F373" s="10">
        <f>+C373*E373</f>
        <v>520</v>
      </c>
    </row>
    <row r="374" spans="1:6" x14ac:dyDescent="0.25">
      <c r="F374" s="8">
        <f>SUM(F373)</f>
        <v>520</v>
      </c>
    </row>
    <row r="375" spans="1:6" x14ac:dyDescent="0.25">
      <c r="F375" s="10"/>
    </row>
    <row r="376" spans="1:6" x14ac:dyDescent="0.25">
      <c r="A376" s="9" t="s">
        <v>89</v>
      </c>
      <c r="B376" s="4">
        <v>45782</v>
      </c>
      <c r="C376" s="5">
        <v>11</v>
      </c>
      <c r="D376" s="9" t="s">
        <v>557</v>
      </c>
      <c r="E376" s="10">
        <v>110</v>
      </c>
      <c r="F376" s="10">
        <f>+C376*E376</f>
        <v>1210</v>
      </c>
    </row>
    <row r="377" spans="1:6" x14ac:dyDescent="0.25">
      <c r="C377" s="5">
        <v>40</v>
      </c>
      <c r="D377" s="9" t="s">
        <v>12</v>
      </c>
      <c r="E377" s="10">
        <v>115</v>
      </c>
      <c r="F377" s="10">
        <f>+C377*E377</f>
        <v>4600</v>
      </c>
    </row>
    <row r="378" spans="1:6" x14ac:dyDescent="0.25">
      <c r="C378" s="5">
        <v>33</v>
      </c>
      <c r="D378" s="9" t="s">
        <v>13</v>
      </c>
      <c r="E378" s="10">
        <v>130</v>
      </c>
      <c r="F378" s="10">
        <f>+C378*E378</f>
        <v>4290</v>
      </c>
    </row>
    <row r="379" spans="1:6" x14ac:dyDescent="0.25">
      <c r="F379" s="8">
        <f>SUM(F376:F378)</f>
        <v>10100</v>
      </c>
    </row>
    <row r="380" spans="1:6" x14ac:dyDescent="0.25">
      <c r="F380" s="10"/>
    </row>
    <row r="381" spans="1:6" x14ac:dyDescent="0.25">
      <c r="A381" s="9" t="s">
        <v>26</v>
      </c>
      <c r="B381" s="4">
        <v>45782</v>
      </c>
      <c r="C381" s="5">
        <v>30</v>
      </c>
      <c r="D381" s="9" t="s">
        <v>13</v>
      </c>
      <c r="E381" s="10">
        <v>140</v>
      </c>
      <c r="F381" s="10">
        <f t="shared" ref="F381:F442" si="2">+C381*E381</f>
        <v>4200</v>
      </c>
    </row>
    <row r="382" spans="1:6" x14ac:dyDescent="0.25">
      <c r="C382" s="5">
        <v>1.02</v>
      </c>
      <c r="D382" s="9" t="s">
        <v>318</v>
      </c>
      <c r="E382" s="10">
        <v>0</v>
      </c>
      <c r="F382" s="10">
        <f t="shared" si="2"/>
        <v>0</v>
      </c>
    </row>
    <row r="383" spans="1:6" x14ac:dyDescent="0.25">
      <c r="F383" s="8">
        <f>SUM(F381:F382)</f>
        <v>4200</v>
      </c>
    </row>
    <row r="384" spans="1:6" x14ac:dyDescent="0.25">
      <c r="F384" s="10"/>
    </row>
    <row r="385" spans="1:6" x14ac:dyDescent="0.25">
      <c r="A385" s="9" t="s">
        <v>558</v>
      </c>
      <c r="B385" s="4">
        <v>45782</v>
      </c>
      <c r="C385" s="5">
        <v>5</v>
      </c>
      <c r="D385" s="9" t="s">
        <v>13</v>
      </c>
      <c r="E385" s="10">
        <v>150</v>
      </c>
      <c r="F385" s="10">
        <f t="shared" si="2"/>
        <v>750</v>
      </c>
    </row>
    <row r="386" spans="1:6" x14ac:dyDescent="0.25">
      <c r="F386" s="8">
        <f>SUM(F385)</f>
        <v>750</v>
      </c>
    </row>
    <row r="387" spans="1:6" x14ac:dyDescent="0.25">
      <c r="F387" s="10"/>
    </row>
    <row r="388" spans="1:6" x14ac:dyDescent="0.25">
      <c r="A388" s="9" t="s">
        <v>101</v>
      </c>
      <c r="B388" s="4">
        <v>45782</v>
      </c>
      <c r="C388" s="5">
        <v>7</v>
      </c>
      <c r="D388" s="9" t="s">
        <v>13</v>
      </c>
      <c r="E388" s="10">
        <v>140</v>
      </c>
      <c r="F388" s="10">
        <f t="shared" si="2"/>
        <v>980</v>
      </c>
    </row>
    <row r="389" spans="1:6" x14ac:dyDescent="0.25">
      <c r="F389" s="8">
        <f>SUM(F388)</f>
        <v>980</v>
      </c>
    </row>
    <row r="390" spans="1:6" x14ac:dyDescent="0.25">
      <c r="F390" s="10"/>
    </row>
    <row r="391" spans="1:6" x14ac:dyDescent="0.25">
      <c r="A391" s="9" t="s">
        <v>7</v>
      </c>
      <c r="B391" s="4">
        <v>45782</v>
      </c>
      <c r="C391" s="5">
        <v>1</v>
      </c>
      <c r="D391" s="9" t="s">
        <v>12</v>
      </c>
      <c r="E391" s="10">
        <v>150</v>
      </c>
      <c r="F391" s="10">
        <f t="shared" si="2"/>
        <v>150</v>
      </c>
    </row>
    <row r="392" spans="1:6" x14ac:dyDescent="0.25">
      <c r="C392" s="5">
        <v>3</v>
      </c>
      <c r="D392" s="9" t="s">
        <v>229</v>
      </c>
      <c r="E392" s="10">
        <v>3.3332999999999999</v>
      </c>
      <c r="F392" s="10">
        <f t="shared" si="2"/>
        <v>9.9999000000000002</v>
      </c>
    </row>
    <row r="393" spans="1:6" x14ac:dyDescent="0.25">
      <c r="C393" s="5">
        <v>1</v>
      </c>
      <c r="D393" s="9" t="s">
        <v>559</v>
      </c>
      <c r="E393" s="10">
        <v>100</v>
      </c>
      <c r="F393" s="10">
        <f t="shared" si="2"/>
        <v>100</v>
      </c>
    </row>
    <row r="394" spans="1:6" x14ac:dyDescent="0.25">
      <c r="C394" s="5">
        <v>2</v>
      </c>
      <c r="D394" s="9" t="s">
        <v>12</v>
      </c>
      <c r="E394" s="10">
        <v>140</v>
      </c>
      <c r="F394" s="10">
        <f t="shared" si="2"/>
        <v>280</v>
      </c>
    </row>
    <row r="395" spans="1:6" x14ac:dyDescent="0.25">
      <c r="C395" s="5">
        <v>1</v>
      </c>
      <c r="D395" s="9" t="s">
        <v>8</v>
      </c>
      <c r="E395" s="10">
        <v>170</v>
      </c>
      <c r="F395" s="10">
        <f t="shared" si="2"/>
        <v>170</v>
      </c>
    </row>
    <row r="396" spans="1:6" x14ac:dyDescent="0.25">
      <c r="F396" s="8">
        <f>SUM(F391:F395)</f>
        <v>709.99990000000003</v>
      </c>
    </row>
    <row r="397" spans="1:6" x14ac:dyDescent="0.25">
      <c r="F397" s="10"/>
    </row>
    <row r="398" spans="1:6" x14ac:dyDescent="0.25">
      <c r="A398" s="9" t="s">
        <v>37</v>
      </c>
      <c r="B398" s="4">
        <v>45783</v>
      </c>
      <c r="C398" s="5">
        <v>15</v>
      </c>
      <c r="D398" s="9" t="s">
        <v>12</v>
      </c>
      <c r="E398" s="10">
        <v>130</v>
      </c>
      <c r="F398" s="10">
        <f t="shared" si="2"/>
        <v>1950</v>
      </c>
    </row>
    <row r="399" spans="1:6" x14ac:dyDescent="0.25">
      <c r="F399" s="8">
        <f>SUM(F398)</f>
        <v>1950</v>
      </c>
    </row>
    <row r="400" spans="1:6" x14ac:dyDescent="0.25">
      <c r="F400" s="10"/>
    </row>
    <row r="401" spans="1:6" x14ac:dyDescent="0.25">
      <c r="A401" s="9" t="s">
        <v>69</v>
      </c>
      <c r="B401" s="4">
        <v>45783</v>
      </c>
      <c r="C401" s="5">
        <v>8</v>
      </c>
      <c r="D401" s="9" t="s">
        <v>98</v>
      </c>
      <c r="E401" s="10">
        <v>100</v>
      </c>
      <c r="F401" s="10">
        <f t="shared" si="2"/>
        <v>800</v>
      </c>
    </row>
    <row r="402" spans="1:6" x14ac:dyDescent="0.25">
      <c r="F402" s="8">
        <f>SUM(F401)</f>
        <v>800</v>
      </c>
    </row>
    <row r="403" spans="1:6" x14ac:dyDescent="0.25">
      <c r="F403" s="10"/>
    </row>
    <row r="404" spans="1:6" x14ac:dyDescent="0.25">
      <c r="A404" s="9" t="s">
        <v>181</v>
      </c>
      <c r="B404" s="4">
        <v>45783</v>
      </c>
      <c r="C404" s="5">
        <v>8</v>
      </c>
      <c r="D404" s="9" t="s">
        <v>12</v>
      </c>
      <c r="E404" s="10">
        <v>130</v>
      </c>
      <c r="F404" s="10">
        <f t="shared" si="2"/>
        <v>1040</v>
      </c>
    </row>
    <row r="405" spans="1:6" x14ac:dyDescent="0.25">
      <c r="F405" s="8">
        <f>SUM(F404)</f>
        <v>1040</v>
      </c>
    </row>
    <row r="406" spans="1:6" x14ac:dyDescent="0.25">
      <c r="F406" s="10"/>
    </row>
    <row r="407" spans="1:6" x14ac:dyDescent="0.25">
      <c r="A407" s="9" t="s">
        <v>103</v>
      </c>
      <c r="B407" s="4">
        <v>45783</v>
      </c>
      <c r="C407" s="5">
        <v>5</v>
      </c>
      <c r="D407" s="9" t="s">
        <v>13</v>
      </c>
      <c r="E407" s="10">
        <v>150</v>
      </c>
      <c r="F407" s="10">
        <f t="shared" si="2"/>
        <v>750</v>
      </c>
    </row>
    <row r="408" spans="1:6" x14ac:dyDescent="0.25">
      <c r="F408" s="8">
        <f>SUM(F407)</f>
        <v>750</v>
      </c>
    </row>
    <row r="409" spans="1:6" x14ac:dyDescent="0.25">
      <c r="F409" s="10"/>
    </row>
    <row r="410" spans="1:6" x14ac:dyDescent="0.25">
      <c r="A410" s="9" t="s">
        <v>114</v>
      </c>
      <c r="B410" s="4">
        <v>45783</v>
      </c>
      <c r="C410" s="5">
        <v>3</v>
      </c>
      <c r="D410" s="9" t="s">
        <v>13</v>
      </c>
      <c r="E410" s="10">
        <v>145</v>
      </c>
      <c r="F410" s="10">
        <f t="shared" si="2"/>
        <v>435</v>
      </c>
    </row>
    <row r="411" spans="1:6" x14ac:dyDescent="0.25">
      <c r="F411" s="8">
        <f>SUM(F410)</f>
        <v>435</v>
      </c>
    </row>
    <row r="412" spans="1:6" x14ac:dyDescent="0.25">
      <c r="F412" s="10"/>
    </row>
    <row r="413" spans="1:6" x14ac:dyDescent="0.25">
      <c r="A413" s="9" t="s">
        <v>62</v>
      </c>
      <c r="B413" s="4">
        <v>45783</v>
      </c>
      <c r="C413" s="5">
        <v>100</v>
      </c>
      <c r="D413" s="9" t="s">
        <v>8</v>
      </c>
      <c r="E413" s="10">
        <v>160</v>
      </c>
      <c r="F413" s="10">
        <f t="shared" si="2"/>
        <v>16000</v>
      </c>
    </row>
    <row r="414" spans="1:6" x14ac:dyDescent="0.25">
      <c r="F414" s="8">
        <f>SUM(F413)</f>
        <v>16000</v>
      </c>
    </row>
    <row r="415" spans="1:6" x14ac:dyDescent="0.25">
      <c r="F415" s="10"/>
    </row>
    <row r="416" spans="1:6" x14ac:dyDescent="0.25">
      <c r="A416" s="9" t="s">
        <v>245</v>
      </c>
      <c r="B416" s="4">
        <v>45783</v>
      </c>
      <c r="C416" s="5">
        <v>60</v>
      </c>
      <c r="D416" s="9" t="s">
        <v>13</v>
      </c>
      <c r="E416" s="10">
        <v>140</v>
      </c>
      <c r="F416" s="10">
        <f t="shared" si="2"/>
        <v>8400</v>
      </c>
    </row>
    <row r="417" spans="1:6" x14ac:dyDescent="0.25">
      <c r="C417" s="5">
        <v>30</v>
      </c>
      <c r="D417" s="9" t="s">
        <v>14</v>
      </c>
      <c r="E417" s="10">
        <v>130</v>
      </c>
      <c r="F417" s="10">
        <f t="shared" si="2"/>
        <v>3900</v>
      </c>
    </row>
    <row r="418" spans="1:6" x14ac:dyDescent="0.25">
      <c r="F418" s="8">
        <f>SUM(F416:F417)</f>
        <v>12300</v>
      </c>
    </row>
    <row r="419" spans="1:6" x14ac:dyDescent="0.25">
      <c r="F419" s="10"/>
    </row>
    <row r="420" spans="1:6" x14ac:dyDescent="0.25">
      <c r="A420" s="9" t="s">
        <v>67</v>
      </c>
      <c r="B420" s="4">
        <v>45783</v>
      </c>
      <c r="C420" s="5">
        <v>10</v>
      </c>
      <c r="D420" s="9" t="s">
        <v>13</v>
      </c>
      <c r="E420" s="10">
        <v>140</v>
      </c>
      <c r="F420" s="10">
        <f t="shared" si="2"/>
        <v>1400</v>
      </c>
    </row>
    <row r="421" spans="1:6" x14ac:dyDescent="0.25">
      <c r="F421" s="8">
        <f>SUM(F420)</f>
        <v>1400</v>
      </c>
    </row>
    <row r="422" spans="1:6" x14ac:dyDescent="0.25">
      <c r="F422" s="10"/>
    </row>
    <row r="423" spans="1:6" x14ac:dyDescent="0.25">
      <c r="A423" s="9" t="s">
        <v>88</v>
      </c>
      <c r="B423" s="4">
        <v>45783</v>
      </c>
      <c r="C423" s="5">
        <v>5</v>
      </c>
      <c r="D423" s="9" t="s">
        <v>13</v>
      </c>
      <c r="E423" s="10">
        <v>145</v>
      </c>
      <c r="F423" s="10">
        <f t="shared" si="2"/>
        <v>725</v>
      </c>
    </row>
    <row r="424" spans="1:6" x14ac:dyDescent="0.25">
      <c r="F424" s="8">
        <f>SUM(F423)</f>
        <v>725</v>
      </c>
    </row>
    <row r="425" spans="1:6" x14ac:dyDescent="0.25">
      <c r="F425" s="10"/>
    </row>
    <row r="426" spans="1:6" x14ac:dyDescent="0.25">
      <c r="A426" s="9" t="s">
        <v>191</v>
      </c>
      <c r="B426" s="4">
        <v>45783</v>
      </c>
      <c r="C426" s="5">
        <v>150</v>
      </c>
      <c r="D426" s="9" t="s">
        <v>11</v>
      </c>
      <c r="E426" s="10">
        <v>105</v>
      </c>
      <c r="F426" s="10">
        <f t="shared" si="2"/>
        <v>15750</v>
      </c>
    </row>
    <row r="427" spans="1:6" x14ac:dyDescent="0.25">
      <c r="C427" s="5">
        <v>300</v>
      </c>
      <c r="D427" s="9" t="s">
        <v>82</v>
      </c>
      <c r="E427" s="10">
        <v>115</v>
      </c>
      <c r="F427" s="10">
        <f t="shared" si="2"/>
        <v>34500</v>
      </c>
    </row>
    <row r="428" spans="1:6" x14ac:dyDescent="0.25">
      <c r="C428" s="5">
        <v>100</v>
      </c>
      <c r="D428" s="9" t="s">
        <v>13</v>
      </c>
      <c r="E428" s="10">
        <v>125</v>
      </c>
      <c r="F428" s="10">
        <f t="shared" si="2"/>
        <v>12500</v>
      </c>
    </row>
    <row r="429" spans="1:6" x14ac:dyDescent="0.25">
      <c r="F429" s="8">
        <f>SUM(F426:F428)</f>
        <v>62750</v>
      </c>
    </row>
    <row r="430" spans="1:6" x14ac:dyDescent="0.25">
      <c r="F430" s="10"/>
    </row>
    <row r="431" spans="1:6" x14ac:dyDescent="0.25">
      <c r="A431" s="9" t="s">
        <v>61</v>
      </c>
      <c r="B431" s="4">
        <v>45783</v>
      </c>
      <c r="C431" s="5">
        <v>80</v>
      </c>
      <c r="D431" s="9" t="s">
        <v>13</v>
      </c>
      <c r="E431" s="10">
        <v>130</v>
      </c>
      <c r="F431" s="10">
        <f t="shared" si="2"/>
        <v>10400</v>
      </c>
    </row>
    <row r="432" spans="1:6" x14ac:dyDescent="0.25">
      <c r="F432" s="8">
        <f>SUM(F431)</f>
        <v>10400</v>
      </c>
    </row>
    <row r="433" spans="1:6" x14ac:dyDescent="0.25">
      <c r="F433" s="10"/>
    </row>
    <row r="434" spans="1:6" x14ac:dyDescent="0.25">
      <c r="A434" s="9" t="s">
        <v>535</v>
      </c>
      <c r="B434" s="4">
        <v>45783</v>
      </c>
      <c r="C434" s="5">
        <v>31</v>
      </c>
      <c r="D434" s="9" t="s">
        <v>13</v>
      </c>
      <c r="E434" s="10">
        <v>140</v>
      </c>
      <c r="F434" s="10">
        <f t="shared" si="2"/>
        <v>4340</v>
      </c>
    </row>
    <row r="435" spans="1:6" x14ac:dyDescent="0.25">
      <c r="C435" s="5">
        <v>12</v>
      </c>
      <c r="D435" s="9" t="s">
        <v>8</v>
      </c>
      <c r="E435" s="10">
        <v>160</v>
      </c>
      <c r="F435" s="10">
        <f t="shared" si="2"/>
        <v>1920</v>
      </c>
    </row>
    <row r="436" spans="1:6" x14ac:dyDescent="0.25">
      <c r="C436" s="5">
        <v>46</v>
      </c>
      <c r="D436" s="9" t="s">
        <v>12</v>
      </c>
      <c r="E436" s="10">
        <v>130</v>
      </c>
      <c r="F436" s="10">
        <f t="shared" si="2"/>
        <v>5980</v>
      </c>
    </row>
    <row r="437" spans="1:6" x14ac:dyDescent="0.25">
      <c r="C437" s="5">
        <v>3</v>
      </c>
      <c r="D437" s="9" t="s">
        <v>14</v>
      </c>
      <c r="E437" s="10">
        <v>135</v>
      </c>
      <c r="F437" s="10">
        <f t="shared" si="2"/>
        <v>405</v>
      </c>
    </row>
    <row r="438" spans="1:6" x14ac:dyDescent="0.25">
      <c r="F438" s="8">
        <f>SUM(F434:F437)</f>
        <v>12645</v>
      </c>
    </row>
    <row r="439" spans="1:6" x14ac:dyDescent="0.25">
      <c r="F439" s="10"/>
    </row>
    <row r="440" spans="1:6" x14ac:dyDescent="0.25">
      <c r="A440" s="9" t="s">
        <v>101</v>
      </c>
      <c r="B440" s="4">
        <v>45783</v>
      </c>
      <c r="C440" s="5">
        <v>1</v>
      </c>
      <c r="D440" s="9" t="s">
        <v>13</v>
      </c>
      <c r="E440" s="10">
        <v>160</v>
      </c>
      <c r="F440" s="10">
        <f t="shared" si="2"/>
        <v>160</v>
      </c>
    </row>
    <row r="441" spans="1:6" x14ac:dyDescent="0.25">
      <c r="C441" s="5">
        <v>1</v>
      </c>
      <c r="D441" s="9" t="s">
        <v>13</v>
      </c>
      <c r="E441" s="10">
        <v>160</v>
      </c>
      <c r="F441" s="10">
        <f t="shared" si="2"/>
        <v>160</v>
      </c>
    </row>
    <row r="442" spans="1:6" x14ac:dyDescent="0.25">
      <c r="C442" s="5">
        <v>1</v>
      </c>
      <c r="D442" s="9" t="s">
        <v>13</v>
      </c>
      <c r="E442" s="10">
        <v>160</v>
      </c>
      <c r="F442" s="10">
        <f t="shared" si="2"/>
        <v>160</v>
      </c>
    </row>
    <row r="443" spans="1:6" x14ac:dyDescent="0.25">
      <c r="F443" s="8">
        <f>SUM(F440:F442)</f>
        <v>480</v>
      </c>
    </row>
    <row r="444" spans="1:6" x14ac:dyDescent="0.25">
      <c r="F444" s="10"/>
    </row>
    <row r="445" spans="1:6" x14ac:dyDescent="0.25">
      <c r="A445" s="9" t="s">
        <v>181</v>
      </c>
      <c r="B445" s="4">
        <v>45783</v>
      </c>
      <c r="C445" s="5">
        <v>1</v>
      </c>
      <c r="D445" s="9" t="s">
        <v>12</v>
      </c>
      <c r="E445" s="10">
        <v>150</v>
      </c>
      <c r="F445" s="10">
        <f t="shared" ref="F445:F508" si="3">+C445*E445</f>
        <v>150</v>
      </c>
    </row>
    <row r="446" spans="1:6" x14ac:dyDescent="0.25">
      <c r="C446" s="5">
        <v>2</v>
      </c>
      <c r="D446" s="9" t="s">
        <v>12</v>
      </c>
      <c r="E446" s="10">
        <v>150</v>
      </c>
      <c r="F446" s="10">
        <f t="shared" si="3"/>
        <v>300</v>
      </c>
    </row>
    <row r="447" spans="1:6" x14ac:dyDescent="0.25">
      <c r="C447" s="5">
        <v>1</v>
      </c>
      <c r="D447" s="9" t="s">
        <v>560</v>
      </c>
      <c r="E447" s="10">
        <v>170</v>
      </c>
      <c r="F447" s="10">
        <f t="shared" si="3"/>
        <v>170</v>
      </c>
    </row>
    <row r="448" spans="1:6" x14ac:dyDescent="0.25">
      <c r="F448" s="8">
        <f>SUM(F445:F447)</f>
        <v>620</v>
      </c>
    </row>
    <row r="449" spans="1:6" x14ac:dyDescent="0.25">
      <c r="F449" s="10"/>
    </row>
    <row r="450" spans="1:6" x14ac:dyDescent="0.25">
      <c r="A450" s="9" t="s">
        <v>44</v>
      </c>
      <c r="B450" s="4">
        <v>45784</v>
      </c>
      <c r="C450" s="5">
        <v>10</v>
      </c>
      <c r="D450" s="9" t="s">
        <v>323</v>
      </c>
      <c r="E450" s="10">
        <v>140</v>
      </c>
      <c r="F450" s="10">
        <f t="shared" si="3"/>
        <v>1400</v>
      </c>
    </row>
    <row r="451" spans="1:6" x14ac:dyDescent="0.25">
      <c r="F451" s="8">
        <f>SUM(F450)</f>
        <v>1400</v>
      </c>
    </row>
    <row r="452" spans="1:6" x14ac:dyDescent="0.25">
      <c r="F452" s="10"/>
    </row>
    <row r="453" spans="1:6" x14ac:dyDescent="0.25">
      <c r="A453" s="9" t="s">
        <v>334</v>
      </c>
      <c r="B453" s="4">
        <v>45784</v>
      </c>
      <c r="C453" s="5">
        <v>6</v>
      </c>
      <c r="D453" s="9" t="s">
        <v>98</v>
      </c>
      <c r="E453" s="10">
        <v>100</v>
      </c>
      <c r="F453" s="10">
        <f t="shared" si="3"/>
        <v>600</v>
      </c>
    </row>
    <row r="454" spans="1:6" x14ac:dyDescent="0.25">
      <c r="F454" s="8">
        <f>SUM(F453)</f>
        <v>600</v>
      </c>
    </row>
    <row r="455" spans="1:6" x14ac:dyDescent="0.25">
      <c r="F455" s="10"/>
    </row>
    <row r="456" spans="1:6" x14ac:dyDescent="0.25">
      <c r="A456" s="9" t="s">
        <v>15</v>
      </c>
      <c r="B456" s="4">
        <v>45784</v>
      </c>
      <c r="C456" s="5">
        <v>50</v>
      </c>
      <c r="D456" s="9" t="s">
        <v>98</v>
      </c>
      <c r="E456" s="10">
        <v>80</v>
      </c>
      <c r="F456" s="10">
        <f t="shared" si="3"/>
        <v>4000</v>
      </c>
    </row>
    <row r="457" spans="1:6" x14ac:dyDescent="0.25">
      <c r="F457" s="8">
        <f>SUM(F456)</f>
        <v>4000</v>
      </c>
    </row>
    <row r="458" spans="1:6" x14ac:dyDescent="0.25">
      <c r="F458" s="10"/>
    </row>
    <row r="459" spans="1:6" x14ac:dyDescent="0.25">
      <c r="A459" s="9" t="s">
        <v>58</v>
      </c>
      <c r="B459" s="4">
        <v>45784</v>
      </c>
      <c r="C459" s="5">
        <v>6</v>
      </c>
      <c r="D459" s="9" t="s">
        <v>13</v>
      </c>
      <c r="E459" s="10">
        <v>140</v>
      </c>
      <c r="F459" s="10">
        <f t="shared" si="3"/>
        <v>840</v>
      </c>
    </row>
    <row r="460" spans="1:6" x14ac:dyDescent="0.25">
      <c r="F460" s="8">
        <f>SUM(F459)</f>
        <v>840</v>
      </c>
    </row>
    <row r="461" spans="1:6" x14ac:dyDescent="0.25">
      <c r="F461" s="10"/>
    </row>
    <row r="462" spans="1:6" x14ac:dyDescent="0.25">
      <c r="A462" s="9" t="s">
        <v>427</v>
      </c>
      <c r="B462" s="4">
        <v>45784</v>
      </c>
      <c r="C462" s="5">
        <v>10</v>
      </c>
      <c r="D462" s="9" t="s">
        <v>13</v>
      </c>
      <c r="E462" s="10">
        <v>135</v>
      </c>
      <c r="F462" s="10">
        <f t="shared" si="3"/>
        <v>1350</v>
      </c>
    </row>
    <row r="463" spans="1:6" x14ac:dyDescent="0.25">
      <c r="C463" s="5">
        <v>5</v>
      </c>
      <c r="D463" s="9" t="s">
        <v>14</v>
      </c>
      <c r="E463" s="10">
        <v>125</v>
      </c>
      <c r="F463" s="10">
        <f t="shared" si="3"/>
        <v>625</v>
      </c>
    </row>
    <row r="464" spans="1:6" x14ac:dyDescent="0.25">
      <c r="F464" s="8">
        <f>SUM(F462:F463)</f>
        <v>1975</v>
      </c>
    </row>
    <row r="465" spans="1:6" x14ac:dyDescent="0.25">
      <c r="F465" s="10"/>
    </row>
    <row r="466" spans="1:6" x14ac:dyDescent="0.25">
      <c r="A466" s="9" t="s">
        <v>157</v>
      </c>
      <c r="B466" s="4">
        <v>45784</v>
      </c>
      <c r="C466" s="5">
        <v>15</v>
      </c>
      <c r="D466" s="9" t="s">
        <v>13</v>
      </c>
      <c r="E466" s="10">
        <v>135</v>
      </c>
      <c r="F466" s="10">
        <f t="shared" si="3"/>
        <v>2025</v>
      </c>
    </row>
    <row r="467" spans="1:6" x14ac:dyDescent="0.25">
      <c r="F467" s="8">
        <f>SUM(F466)</f>
        <v>2025</v>
      </c>
    </row>
    <row r="468" spans="1:6" x14ac:dyDescent="0.25">
      <c r="F468" s="10"/>
    </row>
    <row r="469" spans="1:6" x14ac:dyDescent="0.25">
      <c r="A469" s="9" t="s">
        <v>17</v>
      </c>
      <c r="B469" s="4">
        <v>45784</v>
      </c>
      <c r="C469" s="5">
        <v>10</v>
      </c>
      <c r="D469" s="9" t="s">
        <v>13</v>
      </c>
      <c r="E469" s="10">
        <v>135</v>
      </c>
      <c r="F469" s="10">
        <f t="shared" si="3"/>
        <v>1350</v>
      </c>
    </row>
    <row r="470" spans="1:6" x14ac:dyDescent="0.25">
      <c r="F470" s="8">
        <f>SUM(F469)</f>
        <v>1350</v>
      </c>
    </row>
    <row r="471" spans="1:6" x14ac:dyDescent="0.25">
      <c r="F471" s="10"/>
    </row>
    <row r="472" spans="1:6" x14ac:dyDescent="0.25">
      <c r="A472" s="9" t="s">
        <v>20</v>
      </c>
      <c r="B472" s="4">
        <v>45784</v>
      </c>
      <c r="C472" s="5">
        <v>10</v>
      </c>
      <c r="D472" s="9" t="s">
        <v>13</v>
      </c>
      <c r="E472" s="10">
        <v>135</v>
      </c>
      <c r="F472" s="10">
        <f t="shared" si="3"/>
        <v>1350</v>
      </c>
    </row>
    <row r="473" spans="1:6" x14ac:dyDescent="0.25">
      <c r="F473" s="8">
        <f>SUM(F472)</f>
        <v>1350</v>
      </c>
    </row>
    <row r="474" spans="1:6" x14ac:dyDescent="0.25">
      <c r="F474" s="10"/>
    </row>
    <row r="475" spans="1:6" x14ac:dyDescent="0.25">
      <c r="A475" s="9" t="s">
        <v>253</v>
      </c>
      <c r="B475" s="4">
        <v>45784</v>
      </c>
      <c r="C475" s="5">
        <v>5</v>
      </c>
      <c r="D475" s="9" t="s">
        <v>542</v>
      </c>
      <c r="E475" s="10">
        <v>135</v>
      </c>
      <c r="F475" s="10">
        <f t="shared" si="3"/>
        <v>675</v>
      </c>
    </row>
    <row r="476" spans="1:6" x14ac:dyDescent="0.25">
      <c r="F476" s="8">
        <f>SUM(F475)</f>
        <v>675</v>
      </c>
    </row>
    <row r="477" spans="1:6" x14ac:dyDescent="0.25">
      <c r="F477" s="10"/>
    </row>
    <row r="478" spans="1:6" x14ac:dyDescent="0.25">
      <c r="A478" s="9" t="s">
        <v>211</v>
      </c>
      <c r="B478" s="4">
        <v>45784</v>
      </c>
      <c r="C478" s="5">
        <v>12</v>
      </c>
      <c r="D478" s="9" t="s">
        <v>561</v>
      </c>
      <c r="E478" s="10">
        <v>100</v>
      </c>
      <c r="F478" s="10">
        <f t="shared" si="3"/>
        <v>1200</v>
      </c>
    </row>
    <row r="479" spans="1:6" x14ac:dyDescent="0.25">
      <c r="F479" s="8">
        <f>SUM(F478)</f>
        <v>1200</v>
      </c>
    </row>
    <row r="480" spans="1:6" x14ac:dyDescent="0.25">
      <c r="F480" s="10"/>
    </row>
    <row r="481" spans="1:6" x14ac:dyDescent="0.25">
      <c r="A481" s="9" t="s">
        <v>455</v>
      </c>
      <c r="B481" s="4">
        <v>45784</v>
      </c>
      <c r="C481" s="5">
        <v>100</v>
      </c>
      <c r="D481" s="9" t="s">
        <v>562</v>
      </c>
      <c r="E481" s="10">
        <v>115</v>
      </c>
      <c r="F481" s="10">
        <f t="shared" si="3"/>
        <v>11500</v>
      </c>
    </row>
    <row r="482" spans="1:6" x14ac:dyDescent="0.25">
      <c r="C482" s="5">
        <v>200</v>
      </c>
      <c r="D482" s="9" t="s">
        <v>475</v>
      </c>
      <c r="E482" s="10">
        <v>110</v>
      </c>
      <c r="F482" s="10">
        <f t="shared" si="3"/>
        <v>22000</v>
      </c>
    </row>
    <row r="483" spans="1:6" x14ac:dyDescent="0.25">
      <c r="C483" s="5">
        <v>30</v>
      </c>
      <c r="D483" s="9" t="s">
        <v>522</v>
      </c>
      <c r="E483" s="10">
        <v>95</v>
      </c>
      <c r="F483" s="10">
        <f t="shared" si="3"/>
        <v>2850</v>
      </c>
    </row>
    <row r="484" spans="1:6" x14ac:dyDescent="0.25">
      <c r="F484" s="8">
        <f>SUM(F481:F483)</f>
        <v>36350</v>
      </c>
    </row>
    <row r="485" spans="1:6" x14ac:dyDescent="0.25">
      <c r="F485" s="10"/>
    </row>
    <row r="486" spans="1:6" x14ac:dyDescent="0.25">
      <c r="A486" s="9" t="s">
        <v>41</v>
      </c>
      <c r="B486" s="4">
        <v>45784</v>
      </c>
      <c r="C486" s="5">
        <v>35</v>
      </c>
      <c r="D486" s="9" t="s">
        <v>14</v>
      </c>
      <c r="E486" s="10">
        <v>130</v>
      </c>
      <c r="F486" s="10">
        <f t="shared" si="3"/>
        <v>4550</v>
      </c>
    </row>
    <row r="487" spans="1:6" x14ac:dyDescent="0.25">
      <c r="F487" s="8">
        <f>SUM(F486)</f>
        <v>4550</v>
      </c>
    </row>
    <row r="488" spans="1:6" x14ac:dyDescent="0.25">
      <c r="F488" s="10"/>
    </row>
    <row r="489" spans="1:6" x14ac:dyDescent="0.25">
      <c r="A489" s="9" t="s">
        <v>45</v>
      </c>
      <c r="B489" s="4">
        <v>45784</v>
      </c>
      <c r="C489" s="5">
        <v>4</v>
      </c>
      <c r="D489" s="9" t="s">
        <v>14</v>
      </c>
      <c r="E489" s="10">
        <v>1425</v>
      </c>
      <c r="F489" s="10">
        <f t="shared" si="3"/>
        <v>5700</v>
      </c>
    </row>
    <row r="490" spans="1:6" x14ac:dyDescent="0.25">
      <c r="F490" s="8">
        <f>SUM(F489)</f>
        <v>5700</v>
      </c>
    </row>
    <row r="491" spans="1:6" x14ac:dyDescent="0.25">
      <c r="F491" s="10"/>
    </row>
    <row r="492" spans="1:6" x14ac:dyDescent="0.25">
      <c r="A492" s="9" t="s">
        <v>43</v>
      </c>
      <c r="B492" s="4">
        <v>45784</v>
      </c>
      <c r="C492" s="5">
        <v>40</v>
      </c>
      <c r="D492" s="9" t="s">
        <v>563</v>
      </c>
      <c r="E492" s="10">
        <v>125</v>
      </c>
      <c r="F492" s="10">
        <f t="shared" si="3"/>
        <v>5000</v>
      </c>
    </row>
    <row r="493" spans="1:6" x14ac:dyDescent="0.25">
      <c r="F493" s="8">
        <f>SUM(F492)</f>
        <v>5000</v>
      </c>
    </row>
    <row r="494" spans="1:6" x14ac:dyDescent="0.25">
      <c r="F494" s="10"/>
    </row>
    <row r="495" spans="1:6" x14ac:dyDescent="0.25">
      <c r="A495" s="9" t="s">
        <v>107</v>
      </c>
      <c r="B495" s="4">
        <v>45784</v>
      </c>
      <c r="C495" s="5">
        <v>30</v>
      </c>
      <c r="D495" s="9" t="s">
        <v>11</v>
      </c>
      <c r="E495" s="10">
        <v>115</v>
      </c>
      <c r="F495" s="10">
        <f t="shared" si="3"/>
        <v>3450</v>
      </c>
    </row>
    <row r="496" spans="1:6" x14ac:dyDescent="0.25">
      <c r="C496" s="5">
        <v>18</v>
      </c>
      <c r="D496" s="9" t="s">
        <v>14</v>
      </c>
      <c r="E496" s="10">
        <v>115</v>
      </c>
      <c r="F496" s="10">
        <f t="shared" si="3"/>
        <v>2070</v>
      </c>
    </row>
    <row r="497" spans="1:6" x14ac:dyDescent="0.25">
      <c r="F497" s="8">
        <f>SUM(F495:F496)</f>
        <v>5520</v>
      </c>
    </row>
    <row r="498" spans="1:6" x14ac:dyDescent="0.25">
      <c r="F498" s="10"/>
    </row>
    <row r="499" spans="1:6" x14ac:dyDescent="0.25">
      <c r="A499" s="9" t="s">
        <v>44</v>
      </c>
      <c r="B499" s="4">
        <v>45784</v>
      </c>
      <c r="C499" s="5">
        <v>40</v>
      </c>
      <c r="D499" s="9" t="s">
        <v>14</v>
      </c>
      <c r="E499" s="10">
        <v>125</v>
      </c>
      <c r="F499" s="10">
        <f t="shared" si="3"/>
        <v>5000</v>
      </c>
    </row>
    <row r="500" spans="1:6" x14ac:dyDescent="0.25">
      <c r="F500" s="8">
        <f>SUM(F499)</f>
        <v>5000</v>
      </c>
    </row>
    <row r="501" spans="1:6" x14ac:dyDescent="0.25">
      <c r="F501" s="10"/>
    </row>
    <row r="502" spans="1:6" x14ac:dyDescent="0.25">
      <c r="A502" s="9" t="s">
        <v>46</v>
      </c>
      <c r="B502" s="4">
        <v>45784</v>
      </c>
      <c r="C502" s="5">
        <v>20</v>
      </c>
      <c r="D502" s="9" t="s">
        <v>14</v>
      </c>
      <c r="E502" s="10">
        <v>125</v>
      </c>
      <c r="F502" s="10">
        <f t="shared" si="3"/>
        <v>2500</v>
      </c>
    </row>
    <row r="503" spans="1:6" x14ac:dyDescent="0.25">
      <c r="F503" s="8">
        <f>SUM(F502)</f>
        <v>2500</v>
      </c>
    </row>
    <row r="504" spans="1:6" x14ac:dyDescent="0.25">
      <c r="F504" s="10"/>
    </row>
    <row r="505" spans="1:6" x14ac:dyDescent="0.25">
      <c r="A505" s="9" t="s">
        <v>47</v>
      </c>
      <c r="B505" s="4">
        <v>45784</v>
      </c>
      <c r="C505" s="5">
        <v>26</v>
      </c>
      <c r="D505" s="9" t="s">
        <v>14</v>
      </c>
      <c r="E505" s="10">
        <v>125</v>
      </c>
      <c r="F505" s="10">
        <f t="shared" si="3"/>
        <v>3250</v>
      </c>
    </row>
    <row r="506" spans="1:6" x14ac:dyDescent="0.25">
      <c r="F506" s="8">
        <f>SUM(F505)</f>
        <v>3250</v>
      </c>
    </row>
    <row r="507" spans="1:6" x14ac:dyDescent="0.25">
      <c r="F507" s="10"/>
    </row>
    <row r="508" spans="1:6" x14ac:dyDescent="0.25">
      <c r="A508" s="9" t="s">
        <v>145</v>
      </c>
      <c r="B508" s="4">
        <v>45784</v>
      </c>
      <c r="C508" s="5">
        <v>40</v>
      </c>
      <c r="D508" s="9" t="s">
        <v>14</v>
      </c>
      <c r="E508" s="10">
        <v>120</v>
      </c>
      <c r="F508" s="10">
        <f t="shared" si="3"/>
        <v>4800</v>
      </c>
    </row>
    <row r="509" spans="1:6" x14ac:dyDescent="0.25">
      <c r="F509" s="8">
        <f>SUM(F508)</f>
        <v>4800</v>
      </c>
    </row>
    <row r="510" spans="1:6" x14ac:dyDescent="0.25">
      <c r="F510" s="10"/>
    </row>
    <row r="511" spans="1:6" x14ac:dyDescent="0.25">
      <c r="A511" s="9" t="s">
        <v>18</v>
      </c>
      <c r="B511" s="4">
        <v>45784</v>
      </c>
      <c r="C511" s="5">
        <v>10</v>
      </c>
      <c r="D511" s="9" t="s">
        <v>13</v>
      </c>
      <c r="E511" s="10">
        <v>140</v>
      </c>
      <c r="F511" s="10">
        <f t="shared" ref="F511:F572" si="4">+C511*E511</f>
        <v>1400</v>
      </c>
    </row>
    <row r="512" spans="1:6" x14ac:dyDescent="0.25">
      <c r="C512" s="5">
        <v>30</v>
      </c>
      <c r="D512" s="9" t="s">
        <v>14</v>
      </c>
      <c r="E512" s="10">
        <v>125</v>
      </c>
      <c r="F512" s="10">
        <f t="shared" si="4"/>
        <v>3750</v>
      </c>
    </row>
    <row r="513" spans="1:6" x14ac:dyDescent="0.25">
      <c r="F513" s="8">
        <f>SUM(F511:F512)</f>
        <v>5150</v>
      </c>
    </row>
    <row r="514" spans="1:6" x14ac:dyDescent="0.25">
      <c r="F514" s="10"/>
    </row>
    <row r="515" spans="1:6" x14ac:dyDescent="0.25">
      <c r="A515" s="9" t="s">
        <v>112</v>
      </c>
      <c r="B515" s="4">
        <v>45784</v>
      </c>
      <c r="C515" s="5">
        <v>50</v>
      </c>
      <c r="D515" s="9" t="s">
        <v>8</v>
      </c>
      <c r="E515" s="10">
        <v>150</v>
      </c>
      <c r="F515" s="10">
        <f t="shared" si="4"/>
        <v>7500</v>
      </c>
    </row>
    <row r="516" spans="1:6" x14ac:dyDescent="0.25">
      <c r="F516" s="8">
        <f>SUM(F515)</f>
        <v>7500</v>
      </c>
    </row>
    <row r="517" spans="1:6" x14ac:dyDescent="0.25">
      <c r="F517" s="10"/>
    </row>
    <row r="518" spans="1:6" x14ac:dyDescent="0.25">
      <c r="A518" s="9" t="s">
        <v>60</v>
      </c>
      <c r="B518" s="4">
        <v>45784</v>
      </c>
      <c r="C518" s="5">
        <v>30</v>
      </c>
      <c r="D518" s="9" t="s">
        <v>13</v>
      </c>
      <c r="E518" s="10">
        <v>140</v>
      </c>
      <c r="F518" s="10">
        <f t="shared" si="4"/>
        <v>4200</v>
      </c>
    </row>
    <row r="519" spans="1:6" x14ac:dyDescent="0.25">
      <c r="C519" s="5">
        <v>1</v>
      </c>
      <c r="D519" s="9" t="s">
        <v>318</v>
      </c>
      <c r="E519" s="10">
        <v>0</v>
      </c>
      <c r="F519" s="10">
        <f t="shared" si="4"/>
        <v>0</v>
      </c>
    </row>
    <row r="520" spans="1:6" x14ac:dyDescent="0.25">
      <c r="F520" s="8">
        <f>SUM(F518:F519)</f>
        <v>4200</v>
      </c>
    </row>
    <row r="521" spans="1:6" x14ac:dyDescent="0.25">
      <c r="F521" s="10"/>
    </row>
    <row r="522" spans="1:6" x14ac:dyDescent="0.25">
      <c r="A522" s="9" t="s">
        <v>76</v>
      </c>
      <c r="B522" s="4">
        <v>45784</v>
      </c>
      <c r="C522" s="5">
        <v>120</v>
      </c>
      <c r="D522" s="9" t="s">
        <v>49</v>
      </c>
      <c r="E522" s="10">
        <v>130</v>
      </c>
      <c r="F522" s="10">
        <f t="shared" si="4"/>
        <v>15600</v>
      </c>
    </row>
    <row r="523" spans="1:6" x14ac:dyDescent="0.25">
      <c r="C523" s="5">
        <v>70</v>
      </c>
      <c r="D523" s="9" t="s">
        <v>564</v>
      </c>
      <c r="E523" s="10">
        <v>117</v>
      </c>
      <c r="F523" s="10">
        <f t="shared" si="4"/>
        <v>8190</v>
      </c>
    </row>
    <row r="524" spans="1:6" x14ac:dyDescent="0.25">
      <c r="C524" s="5">
        <v>100</v>
      </c>
      <c r="D524" s="9" t="s">
        <v>13</v>
      </c>
      <c r="E524" s="10">
        <v>125</v>
      </c>
      <c r="F524" s="10">
        <f t="shared" si="4"/>
        <v>12500</v>
      </c>
    </row>
    <row r="525" spans="1:6" x14ac:dyDescent="0.25">
      <c r="C525" s="5">
        <v>150</v>
      </c>
      <c r="D525" s="9" t="s">
        <v>565</v>
      </c>
      <c r="E525" s="10">
        <v>112</v>
      </c>
      <c r="F525" s="10">
        <f t="shared" si="4"/>
        <v>16800</v>
      </c>
    </row>
    <row r="526" spans="1:6" x14ac:dyDescent="0.25">
      <c r="C526" s="5">
        <v>55</v>
      </c>
      <c r="D526" s="9" t="s">
        <v>50</v>
      </c>
      <c r="E526" s="10">
        <v>70</v>
      </c>
      <c r="F526" s="10">
        <f t="shared" si="4"/>
        <v>3850</v>
      </c>
    </row>
    <row r="527" spans="1:6" x14ac:dyDescent="0.25">
      <c r="C527" s="5">
        <v>30</v>
      </c>
      <c r="D527" s="9" t="s">
        <v>566</v>
      </c>
      <c r="E527" s="10">
        <v>70</v>
      </c>
      <c r="F527" s="10">
        <f t="shared" si="4"/>
        <v>2100</v>
      </c>
    </row>
    <row r="528" spans="1:6" x14ac:dyDescent="0.25">
      <c r="F528" s="8">
        <f>SUM(F522:F527)</f>
        <v>59040</v>
      </c>
    </row>
    <row r="529" spans="1:6" x14ac:dyDescent="0.25">
      <c r="F529" s="10"/>
    </row>
    <row r="530" spans="1:6" x14ac:dyDescent="0.25">
      <c r="A530" s="9" t="s">
        <v>72</v>
      </c>
      <c r="B530" s="4">
        <v>45784</v>
      </c>
      <c r="C530" s="5">
        <v>250</v>
      </c>
      <c r="D530" s="9" t="s">
        <v>13</v>
      </c>
      <c r="E530" s="10">
        <v>130</v>
      </c>
      <c r="F530" s="10">
        <f t="shared" si="4"/>
        <v>32500</v>
      </c>
    </row>
    <row r="531" spans="1:6" x14ac:dyDescent="0.25">
      <c r="C531" s="5">
        <v>100</v>
      </c>
      <c r="D531" s="9" t="s">
        <v>12</v>
      </c>
      <c r="E531" s="10">
        <v>115</v>
      </c>
      <c r="F531" s="10">
        <f t="shared" si="4"/>
        <v>11500</v>
      </c>
    </row>
    <row r="532" spans="1:6" x14ac:dyDescent="0.25">
      <c r="C532" s="5">
        <v>80</v>
      </c>
      <c r="D532" s="9" t="s">
        <v>11</v>
      </c>
      <c r="E532" s="10">
        <v>115</v>
      </c>
      <c r="F532" s="10">
        <f t="shared" si="4"/>
        <v>9200</v>
      </c>
    </row>
    <row r="533" spans="1:6" x14ac:dyDescent="0.25">
      <c r="C533" s="5">
        <v>20</v>
      </c>
      <c r="D533" s="9" t="s">
        <v>14</v>
      </c>
      <c r="E533" s="10">
        <v>125</v>
      </c>
      <c r="F533" s="10">
        <f t="shared" si="4"/>
        <v>2500</v>
      </c>
    </row>
    <row r="534" spans="1:6" x14ac:dyDescent="0.25">
      <c r="F534" s="8">
        <f>SUM(F530:F533)</f>
        <v>55700</v>
      </c>
    </row>
    <row r="535" spans="1:6" x14ac:dyDescent="0.25">
      <c r="F535" s="10"/>
    </row>
    <row r="536" spans="1:6" x14ac:dyDescent="0.25">
      <c r="A536" s="9" t="s">
        <v>26</v>
      </c>
      <c r="B536" s="4">
        <v>45784</v>
      </c>
      <c r="C536" s="5">
        <v>40</v>
      </c>
      <c r="D536" s="9" t="s">
        <v>13</v>
      </c>
      <c r="E536" s="10">
        <v>140</v>
      </c>
      <c r="F536" s="10">
        <f t="shared" si="4"/>
        <v>5600</v>
      </c>
    </row>
    <row r="537" spans="1:6" x14ac:dyDescent="0.25">
      <c r="F537" s="8">
        <f>SUM(F536)</f>
        <v>5600</v>
      </c>
    </row>
    <row r="538" spans="1:6" x14ac:dyDescent="0.25">
      <c r="F538" s="10"/>
    </row>
    <row r="539" spans="1:6" x14ac:dyDescent="0.25">
      <c r="A539" s="9" t="s">
        <v>535</v>
      </c>
      <c r="B539" s="4">
        <v>45784</v>
      </c>
      <c r="C539" s="5">
        <v>103</v>
      </c>
      <c r="D539" s="9" t="s">
        <v>13</v>
      </c>
      <c r="E539" s="10">
        <v>140</v>
      </c>
      <c r="F539" s="10">
        <f t="shared" si="4"/>
        <v>14420</v>
      </c>
    </row>
    <row r="540" spans="1:6" x14ac:dyDescent="0.25">
      <c r="C540" s="5">
        <v>25</v>
      </c>
      <c r="D540" s="9" t="s">
        <v>12</v>
      </c>
      <c r="E540" s="10">
        <v>130</v>
      </c>
      <c r="F540" s="10">
        <f t="shared" si="4"/>
        <v>3250</v>
      </c>
    </row>
    <row r="541" spans="1:6" x14ac:dyDescent="0.25">
      <c r="C541" s="5">
        <v>21</v>
      </c>
      <c r="D541" s="9" t="s">
        <v>8</v>
      </c>
      <c r="E541" s="10">
        <v>160</v>
      </c>
      <c r="F541" s="10">
        <f t="shared" si="4"/>
        <v>3360</v>
      </c>
    </row>
    <row r="542" spans="1:6" x14ac:dyDescent="0.25">
      <c r="C542" s="5">
        <v>2</v>
      </c>
      <c r="D542" s="9" t="s">
        <v>14</v>
      </c>
      <c r="E542" s="10">
        <v>135</v>
      </c>
      <c r="F542" s="10">
        <f t="shared" si="4"/>
        <v>270</v>
      </c>
    </row>
    <row r="543" spans="1:6" x14ac:dyDescent="0.25">
      <c r="F543" s="8">
        <f>SUM(F539:F542)</f>
        <v>21300</v>
      </c>
    </row>
    <row r="544" spans="1:6" x14ac:dyDescent="0.25">
      <c r="F544" s="10"/>
    </row>
    <row r="545" spans="1:6" x14ac:dyDescent="0.25">
      <c r="A545" s="9" t="s">
        <v>48</v>
      </c>
      <c r="B545" s="4">
        <v>45784</v>
      </c>
      <c r="C545" s="5">
        <v>130</v>
      </c>
      <c r="D545" s="9" t="s">
        <v>49</v>
      </c>
      <c r="F545" s="10">
        <f t="shared" si="4"/>
        <v>0</v>
      </c>
    </row>
    <row r="546" spans="1:6" x14ac:dyDescent="0.25">
      <c r="C546" s="5">
        <v>70</v>
      </c>
      <c r="D546" s="9" t="s">
        <v>14</v>
      </c>
      <c r="F546" s="10">
        <f t="shared" si="4"/>
        <v>0</v>
      </c>
    </row>
    <row r="547" spans="1:6" x14ac:dyDescent="0.25">
      <c r="C547" s="5">
        <v>150</v>
      </c>
      <c r="D547" s="9" t="s">
        <v>11</v>
      </c>
      <c r="F547" s="10">
        <f t="shared" si="4"/>
        <v>0</v>
      </c>
    </row>
    <row r="548" spans="1:6" x14ac:dyDescent="0.25">
      <c r="C548" s="5">
        <v>100</v>
      </c>
      <c r="D548" s="9" t="s">
        <v>13</v>
      </c>
      <c r="F548" s="10">
        <f t="shared" si="4"/>
        <v>0</v>
      </c>
    </row>
    <row r="549" spans="1:6" x14ac:dyDescent="0.25">
      <c r="F549" s="8">
        <f>SUM(F545:F548)</f>
        <v>0</v>
      </c>
    </row>
    <row r="550" spans="1:6" x14ac:dyDescent="0.25">
      <c r="F550" s="10"/>
    </row>
    <row r="551" spans="1:6" x14ac:dyDescent="0.25">
      <c r="A551" s="9" t="s">
        <v>48</v>
      </c>
      <c r="B551" s="4">
        <v>45784</v>
      </c>
      <c r="C551" s="5">
        <v>50</v>
      </c>
      <c r="D551" s="9" t="s">
        <v>22</v>
      </c>
      <c r="F551" s="10">
        <f t="shared" si="4"/>
        <v>0</v>
      </c>
    </row>
    <row r="552" spans="1:6" x14ac:dyDescent="0.25">
      <c r="C552" s="5">
        <v>35</v>
      </c>
      <c r="D552" s="9" t="s">
        <v>567</v>
      </c>
      <c r="F552" s="10">
        <f t="shared" si="4"/>
        <v>0</v>
      </c>
    </row>
    <row r="553" spans="1:6" x14ac:dyDescent="0.25">
      <c r="F553" s="8">
        <f>SUM(F551:F552)</f>
        <v>0</v>
      </c>
    </row>
    <row r="554" spans="1:6" x14ac:dyDescent="0.25">
      <c r="F554" s="10"/>
    </row>
    <row r="555" spans="1:6" x14ac:dyDescent="0.25">
      <c r="A555" s="9" t="s">
        <v>7</v>
      </c>
      <c r="B555" s="4">
        <v>45784</v>
      </c>
      <c r="C555" s="5">
        <v>1</v>
      </c>
      <c r="D555" s="9" t="s">
        <v>8</v>
      </c>
      <c r="E555" s="10">
        <v>170</v>
      </c>
      <c r="F555" s="10">
        <f t="shared" si="4"/>
        <v>170</v>
      </c>
    </row>
    <row r="556" spans="1:6" x14ac:dyDescent="0.25">
      <c r="C556" s="5">
        <v>1</v>
      </c>
      <c r="D556" s="9" t="s">
        <v>13</v>
      </c>
      <c r="E556" s="10">
        <v>160</v>
      </c>
      <c r="F556" s="10">
        <f t="shared" si="4"/>
        <v>160</v>
      </c>
    </row>
    <row r="557" spans="1:6" x14ac:dyDescent="0.25">
      <c r="C557" s="5">
        <v>3</v>
      </c>
      <c r="D557" s="9" t="s">
        <v>75</v>
      </c>
      <c r="E557" s="10">
        <v>150</v>
      </c>
      <c r="F557" s="10">
        <f t="shared" si="4"/>
        <v>450</v>
      </c>
    </row>
    <row r="558" spans="1:6" x14ac:dyDescent="0.25">
      <c r="C558" s="5">
        <v>1</v>
      </c>
      <c r="D558" s="9" t="s">
        <v>12</v>
      </c>
      <c r="E558" s="10">
        <v>150</v>
      </c>
      <c r="F558" s="10">
        <f t="shared" si="4"/>
        <v>150</v>
      </c>
    </row>
    <row r="559" spans="1:6" x14ac:dyDescent="0.25">
      <c r="F559" s="8">
        <f>SUM(F555:F558)</f>
        <v>930</v>
      </c>
    </row>
    <row r="560" spans="1:6" x14ac:dyDescent="0.25">
      <c r="F560" s="10"/>
    </row>
    <row r="561" spans="1:6" x14ac:dyDescent="0.25">
      <c r="A561" s="9" t="s">
        <v>184</v>
      </c>
      <c r="B561" s="4">
        <v>45785</v>
      </c>
      <c r="C561" s="5">
        <v>7</v>
      </c>
      <c r="D561" s="9" t="s">
        <v>13</v>
      </c>
      <c r="E561" s="10">
        <v>150</v>
      </c>
      <c r="F561" s="10">
        <f t="shared" si="4"/>
        <v>1050</v>
      </c>
    </row>
    <row r="562" spans="1:6" x14ac:dyDescent="0.25">
      <c r="F562" s="8">
        <f>SUM(F561)</f>
        <v>1050</v>
      </c>
    </row>
    <row r="563" spans="1:6" x14ac:dyDescent="0.25">
      <c r="F563" s="10"/>
    </row>
    <row r="564" spans="1:6" x14ac:dyDescent="0.25">
      <c r="A564" s="9" t="s">
        <v>365</v>
      </c>
      <c r="B564" s="4">
        <v>45785</v>
      </c>
      <c r="C564" s="5">
        <v>15</v>
      </c>
      <c r="D564" s="9" t="s">
        <v>13</v>
      </c>
      <c r="E564" s="10">
        <v>145</v>
      </c>
      <c r="F564" s="10">
        <f t="shared" si="4"/>
        <v>2175</v>
      </c>
    </row>
    <row r="565" spans="1:6" x14ac:dyDescent="0.25">
      <c r="F565" s="8">
        <f>SUM(F564)</f>
        <v>2175</v>
      </c>
    </row>
    <row r="566" spans="1:6" x14ac:dyDescent="0.25">
      <c r="F566" s="10"/>
    </row>
    <row r="567" spans="1:6" x14ac:dyDescent="0.25">
      <c r="A567" s="9" t="s">
        <v>112</v>
      </c>
      <c r="B567" s="4">
        <v>45785</v>
      </c>
      <c r="C567" s="5">
        <v>60</v>
      </c>
      <c r="D567" s="9" t="s">
        <v>14</v>
      </c>
      <c r="E567" s="10">
        <v>110</v>
      </c>
      <c r="F567" s="10">
        <f t="shared" si="4"/>
        <v>6600</v>
      </c>
    </row>
    <row r="568" spans="1:6" x14ac:dyDescent="0.25">
      <c r="C568" s="5">
        <v>19</v>
      </c>
      <c r="D568" s="9" t="s">
        <v>50</v>
      </c>
      <c r="E568" s="10">
        <v>90</v>
      </c>
      <c r="F568" s="10">
        <f t="shared" si="4"/>
        <v>1710</v>
      </c>
    </row>
    <row r="569" spans="1:6" x14ac:dyDescent="0.25">
      <c r="C569" s="5">
        <v>21</v>
      </c>
      <c r="D569" s="9" t="s">
        <v>50</v>
      </c>
      <c r="E569" s="10">
        <v>85</v>
      </c>
      <c r="F569" s="10">
        <f t="shared" si="4"/>
        <v>1785</v>
      </c>
    </row>
    <row r="570" spans="1:6" x14ac:dyDescent="0.25">
      <c r="F570" s="8">
        <f>SUM(F567:F569)</f>
        <v>10095</v>
      </c>
    </row>
    <row r="571" spans="1:6" x14ac:dyDescent="0.25">
      <c r="F571" s="10"/>
    </row>
    <row r="572" spans="1:6" x14ac:dyDescent="0.25">
      <c r="A572" s="9" t="s">
        <v>521</v>
      </c>
      <c r="B572" s="4">
        <v>45785</v>
      </c>
      <c r="C572" s="5">
        <v>150</v>
      </c>
      <c r="D572" s="9" t="s">
        <v>13</v>
      </c>
      <c r="E572" s="10">
        <v>130</v>
      </c>
      <c r="F572" s="10">
        <f t="shared" si="4"/>
        <v>19500</v>
      </c>
    </row>
    <row r="573" spans="1:6" x14ac:dyDescent="0.25">
      <c r="C573" s="5">
        <v>200</v>
      </c>
      <c r="D573" s="9" t="s">
        <v>11</v>
      </c>
      <c r="E573" s="10">
        <v>115</v>
      </c>
      <c r="F573" s="10">
        <f t="shared" ref="F573:F658" si="5">+C573*E573</f>
        <v>23000</v>
      </c>
    </row>
    <row r="574" spans="1:6" x14ac:dyDescent="0.25">
      <c r="C574" s="5">
        <v>200</v>
      </c>
      <c r="D574" s="9" t="s">
        <v>12</v>
      </c>
      <c r="E574" s="10">
        <v>120</v>
      </c>
      <c r="F574" s="10">
        <f t="shared" si="5"/>
        <v>24000</v>
      </c>
    </row>
    <row r="575" spans="1:6" x14ac:dyDescent="0.25">
      <c r="C575" s="5">
        <v>27</v>
      </c>
      <c r="D575" s="9" t="s">
        <v>8</v>
      </c>
      <c r="E575" s="10">
        <v>150</v>
      </c>
      <c r="F575" s="10">
        <f t="shared" si="5"/>
        <v>4050</v>
      </c>
    </row>
    <row r="576" spans="1:6" x14ac:dyDescent="0.25">
      <c r="F576" s="8">
        <f>SUM(F572:F575)</f>
        <v>70550</v>
      </c>
    </row>
    <row r="577" spans="1:6" x14ac:dyDescent="0.25">
      <c r="F577" s="10"/>
    </row>
    <row r="578" spans="1:6" x14ac:dyDescent="0.25">
      <c r="A578" s="9" t="s">
        <v>7</v>
      </c>
      <c r="B578" s="4">
        <v>45785</v>
      </c>
      <c r="C578" s="5">
        <v>10</v>
      </c>
      <c r="D578" s="9" t="s">
        <v>13</v>
      </c>
      <c r="E578" s="10">
        <v>160</v>
      </c>
      <c r="F578" s="10">
        <f t="shared" si="5"/>
        <v>1600</v>
      </c>
    </row>
    <row r="579" spans="1:6" x14ac:dyDescent="0.25">
      <c r="F579" s="8">
        <f>SUM(F578)</f>
        <v>1600</v>
      </c>
    </row>
    <row r="580" spans="1:6" x14ac:dyDescent="0.25">
      <c r="F580" s="10"/>
    </row>
    <row r="581" spans="1:6" x14ac:dyDescent="0.25">
      <c r="A581" s="9" t="s">
        <v>89</v>
      </c>
      <c r="B581" s="4">
        <v>45785</v>
      </c>
      <c r="C581" s="5">
        <v>60</v>
      </c>
      <c r="D581" s="9" t="s">
        <v>22</v>
      </c>
      <c r="E581" s="10">
        <v>100</v>
      </c>
      <c r="F581" s="10">
        <f t="shared" si="5"/>
        <v>6000</v>
      </c>
    </row>
    <row r="582" spans="1:6" x14ac:dyDescent="0.25">
      <c r="C582" s="5">
        <v>40</v>
      </c>
      <c r="D582" s="9" t="s">
        <v>12</v>
      </c>
      <c r="E582" s="10">
        <v>115</v>
      </c>
      <c r="F582" s="10">
        <f t="shared" si="5"/>
        <v>4600</v>
      </c>
    </row>
    <row r="583" spans="1:6" x14ac:dyDescent="0.25">
      <c r="C583" s="5">
        <v>20</v>
      </c>
      <c r="D583" s="9" t="s">
        <v>14</v>
      </c>
      <c r="E583" s="10">
        <v>125</v>
      </c>
      <c r="F583" s="10">
        <f t="shared" si="5"/>
        <v>2500</v>
      </c>
    </row>
    <row r="584" spans="1:6" x14ac:dyDescent="0.25">
      <c r="F584" s="8">
        <f>SUM(F581:F583)</f>
        <v>13100</v>
      </c>
    </row>
    <row r="585" spans="1:6" x14ac:dyDescent="0.25">
      <c r="F585" s="10"/>
    </row>
    <row r="586" spans="1:6" x14ac:dyDescent="0.25">
      <c r="A586" s="9" t="s">
        <v>245</v>
      </c>
      <c r="B586" s="4">
        <v>45785</v>
      </c>
      <c r="C586" s="5">
        <v>60</v>
      </c>
      <c r="D586" s="9" t="s">
        <v>13</v>
      </c>
      <c r="E586" s="10">
        <v>140</v>
      </c>
      <c r="F586" s="10">
        <f t="shared" si="5"/>
        <v>8400</v>
      </c>
    </row>
    <row r="587" spans="1:6" x14ac:dyDescent="0.25">
      <c r="C587" s="5">
        <v>10</v>
      </c>
      <c r="D587" s="9" t="s">
        <v>14</v>
      </c>
      <c r="E587" s="10">
        <v>130</v>
      </c>
      <c r="F587" s="10">
        <f t="shared" si="5"/>
        <v>1300</v>
      </c>
    </row>
    <row r="588" spans="1:6" x14ac:dyDescent="0.25">
      <c r="C588" s="5">
        <v>2.0499999999999998</v>
      </c>
      <c r="D588" s="9" t="s">
        <v>568</v>
      </c>
      <c r="F588" s="8">
        <f>SUM(F586:F587)</f>
        <v>9700</v>
      </c>
    </row>
    <row r="589" spans="1:6" x14ac:dyDescent="0.25">
      <c r="F589" s="10"/>
    </row>
    <row r="590" spans="1:6" x14ac:dyDescent="0.25">
      <c r="A590" s="9" t="s">
        <v>29</v>
      </c>
      <c r="B590" s="4">
        <v>45785</v>
      </c>
      <c r="C590" s="11">
        <v>0.5</v>
      </c>
      <c r="D590" s="9" t="s">
        <v>78</v>
      </c>
      <c r="E590" s="10">
        <v>100</v>
      </c>
      <c r="F590" s="10">
        <f t="shared" si="5"/>
        <v>50</v>
      </c>
    </row>
    <row r="591" spans="1:6" x14ac:dyDescent="0.25">
      <c r="C591" s="5">
        <v>1</v>
      </c>
      <c r="D591" s="9" t="s">
        <v>8</v>
      </c>
      <c r="E591" s="10">
        <v>170</v>
      </c>
      <c r="F591" s="10">
        <f t="shared" si="5"/>
        <v>170</v>
      </c>
    </row>
    <row r="592" spans="1:6" x14ac:dyDescent="0.25">
      <c r="C592" s="5">
        <v>2</v>
      </c>
      <c r="D592" s="9" t="s">
        <v>12</v>
      </c>
      <c r="E592" s="10">
        <v>140</v>
      </c>
      <c r="F592" s="10">
        <f t="shared" si="5"/>
        <v>280</v>
      </c>
    </row>
    <row r="593" spans="1:6" x14ac:dyDescent="0.25">
      <c r="C593" s="5">
        <v>1</v>
      </c>
      <c r="D593" s="9" t="s">
        <v>49</v>
      </c>
      <c r="E593" s="10">
        <v>150</v>
      </c>
      <c r="F593" s="10">
        <f t="shared" si="5"/>
        <v>150</v>
      </c>
    </row>
    <row r="594" spans="1:6" x14ac:dyDescent="0.25">
      <c r="F594" s="8">
        <f>SUM(F590:F593)</f>
        <v>650</v>
      </c>
    </row>
    <row r="595" spans="1:6" x14ac:dyDescent="0.25">
      <c r="F595" s="10"/>
    </row>
    <row r="596" spans="1:6" x14ac:dyDescent="0.25">
      <c r="A596" s="9" t="s">
        <v>7</v>
      </c>
      <c r="B596" s="4">
        <v>45785</v>
      </c>
      <c r="C596" s="5">
        <v>20</v>
      </c>
      <c r="D596" s="9" t="s">
        <v>569</v>
      </c>
      <c r="E596" s="10">
        <v>160</v>
      </c>
      <c r="F596" s="10">
        <f t="shared" si="5"/>
        <v>3200</v>
      </c>
    </row>
    <row r="597" spans="1:6" x14ac:dyDescent="0.25">
      <c r="C597" s="5">
        <v>12</v>
      </c>
      <c r="D597" s="9" t="s">
        <v>13</v>
      </c>
      <c r="E597" s="10">
        <v>160</v>
      </c>
      <c r="F597" s="10">
        <f t="shared" si="5"/>
        <v>1920</v>
      </c>
    </row>
    <row r="598" spans="1:6" x14ac:dyDescent="0.25">
      <c r="C598" s="5">
        <v>20</v>
      </c>
      <c r="D598" s="9" t="s">
        <v>570</v>
      </c>
      <c r="E598" s="10">
        <v>125</v>
      </c>
      <c r="F598" s="10">
        <f t="shared" si="5"/>
        <v>2500</v>
      </c>
    </row>
    <row r="599" spans="1:6" x14ac:dyDescent="0.25">
      <c r="F599" s="8">
        <f>SUM(F596:F598)</f>
        <v>7620</v>
      </c>
    </row>
    <row r="600" spans="1:6" x14ac:dyDescent="0.25">
      <c r="F600" s="8"/>
    </row>
    <row r="601" spans="1:6" x14ac:dyDescent="0.25">
      <c r="A601" s="9" t="s">
        <v>15</v>
      </c>
      <c r="B601" s="4">
        <v>45786</v>
      </c>
      <c r="C601" s="5">
        <v>58</v>
      </c>
      <c r="D601" s="9" t="s">
        <v>98</v>
      </c>
      <c r="E601" s="10">
        <v>80</v>
      </c>
      <c r="F601" s="10">
        <f t="shared" si="5"/>
        <v>4640</v>
      </c>
    </row>
    <row r="602" spans="1:6" x14ac:dyDescent="0.25">
      <c r="F602" s="8">
        <f>SUM(F601)</f>
        <v>4640</v>
      </c>
    </row>
    <row r="603" spans="1:6" x14ac:dyDescent="0.25">
      <c r="F603" s="10"/>
    </row>
    <row r="604" spans="1:6" x14ac:dyDescent="0.25">
      <c r="A604" s="9" t="s">
        <v>148</v>
      </c>
      <c r="B604" s="4">
        <v>45786</v>
      </c>
      <c r="C604" s="5">
        <v>5</v>
      </c>
      <c r="D604" s="9" t="s">
        <v>14</v>
      </c>
      <c r="E604" s="10">
        <v>125</v>
      </c>
      <c r="F604" s="10">
        <f t="shared" si="5"/>
        <v>625</v>
      </c>
    </row>
    <row r="605" spans="1:6" x14ac:dyDescent="0.25">
      <c r="C605" s="5">
        <v>5</v>
      </c>
      <c r="D605" s="9" t="s">
        <v>13</v>
      </c>
      <c r="E605" s="10">
        <v>135</v>
      </c>
      <c r="F605" s="10">
        <f t="shared" si="5"/>
        <v>675</v>
      </c>
    </row>
    <row r="606" spans="1:6" x14ac:dyDescent="0.25">
      <c r="F606" s="8">
        <f>SUM(F604:F605)</f>
        <v>1300</v>
      </c>
    </row>
    <row r="607" spans="1:6" x14ac:dyDescent="0.25">
      <c r="F607" s="10"/>
    </row>
    <row r="608" spans="1:6" x14ac:dyDescent="0.25">
      <c r="A608" s="9" t="s">
        <v>20</v>
      </c>
      <c r="B608" s="4">
        <v>45786</v>
      </c>
      <c r="C608" s="5">
        <v>10</v>
      </c>
      <c r="D608" s="9" t="s">
        <v>13</v>
      </c>
      <c r="E608" s="10">
        <v>135</v>
      </c>
      <c r="F608" s="10">
        <f t="shared" si="5"/>
        <v>1350</v>
      </c>
    </row>
    <row r="609" spans="1:6" x14ac:dyDescent="0.25">
      <c r="F609" s="8">
        <f>SUM(F608)</f>
        <v>1350</v>
      </c>
    </row>
    <row r="610" spans="1:6" x14ac:dyDescent="0.25">
      <c r="F610" s="10"/>
    </row>
    <row r="611" spans="1:6" x14ac:dyDescent="0.25">
      <c r="A611" s="9" t="s">
        <v>157</v>
      </c>
      <c r="B611" s="4">
        <v>45786</v>
      </c>
      <c r="C611" s="5">
        <v>10</v>
      </c>
      <c r="D611" s="9" t="s">
        <v>13</v>
      </c>
      <c r="E611" s="10">
        <v>135</v>
      </c>
      <c r="F611" s="10">
        <f t="shared" si="5"/>
        <v>1350</v>
      </c>
    </row>
    <row r="612" spans="1:6" x14ac:dyDescent="0.25">
      <c r="F612" s="8">
        <f>SUM(F611)</f>
        <v>1350</v>
      </c>
    </row>
    <row r="613" spans="1:6" x14ac:dyDescent="0.25">
      <c r="F613" s="10"/>
    </row>
    <row r="614" spans="1:6" x14ac:dyDescent="0.25">
      <c r="A614" s="9" t="s">
        <v>366</v>
      </c>
      <c r="B614" s="4">
        <v>45786</v>
      </c>
      <c r="C614" s="5">
        <v>10</v>
      </c>
      <c r="D614" s="9" t="s">
        <v>13</v>
      </c>
      <c r="E614" s="10">
        <v>135</v>
      </c>
      <c r="F614" s="10">
        <f t="shared" si="5"/>
        <v>1350</v>
      </c>
    </row>
    <row r="615" spans="1:6" x14ac:dyDescent="0.25">
      <c r="F615" s="8">
        <f>SUM(F614)</f>
        <v>1350</v>
      </c>
    </row>
    <row r="616" spans="1:6" x14ac:dyDescent="0.25">
      <c r="F616" s="10"/>
    </row>
    <row r="617" spans="1:6" x14ac:dyDescent="0.25">
      <c r="A617" s="9" t="s">
        <v>211</v>
      </c>
      <c r="B617" s="4">
        <v>45786</v>
      </c>
      <c r="C617" s="5">
        <v>10</v>
      </c>
      <c r="D617" s="9" t="s">
        <v>275</v>
      </c>
      <c r="E617" s="10">
        <v>100</v>
      </c>
      <c r="F617" s="10">
        <f t="shared" si="5"/>
        <v>1000</v>
      </c>
    </row>
    <row r="618" spans="1:6" x14ac:dyDescent="0.25">
      <c r="F618" s="8">
        <f>SUM(F617)</f>
        <v>1000</v>
      </c>
    </row>
    <row r="619" spans="1:6" x14ac:dyDescent="0.25">
      <c r="F619" s="10"/>
    </row>
    <row r="620" spans="1:6" x14ac:dyDescent="0.25">
      <c r="A620" s="9" t="s">
        <v>58</v>
      </c>
      <c r="B620" s="4">
        <v>45786</v>
      </c>
      <c r="C620" s="5">
        <v>12</v>
      </c>
      <c r="D620" s="9" t="s">
        <v>13</v>
      </c>
      <c r="E620" s="10">
        <v>140</v>
      </c>
      <c r="F620" s="10">
        <f t="shared" si="5"/>
        <v>1680</v>
      </c>
    </row>
    <row r="621" spans="1:6" x14ac:dyDescent="0.25">
      <c r="C621" s="5">
        <v>5</v>
      </c>
      <c r="D621" s="9" t="s">
        <v>12</v>
      </c>
      <c r="E621" s="10">
        <v>120</v>
      </c>
      <c r="F621" s="10">
        <f t="shared" si="5"/>
        <v>600</v>
      </c>
    </row>
    <row r="622" spans="1:6" x14ac:dyDescent="0.25">
      <c r="F622" s="8">
        <f>SUM(F620:F621)</f>
        <v>2280</v>
      </c>
    </row>
    <row r="623" spans="1:6" x14ac:dyDescent="0.25">
      <c r="F623" s="10"/>
    </row>
    <row r="624" spans="1:6" x14ac:dyDescent="0.25">
      <c r="A624" s="9" t="s">
        <v>571</v>
      </c>
      <c r="B624" s="4">
        <v>45786</v>
      </c>
      <c r="C624" s="5">
        <v>101</v>
      </c>
      <c r="D624" s="9" t="s">
        <v>14</v>
      </c>
      <c r="E624" s="10">
        <v>130</v>
      </c>
      <c r="F624" s="10">
        <f t="shared" si="5"/>
        <v>13130</v>
      </c>
    </row>
    <row r="625" spans="1:6" x14ac:dyDescent="0.25">
      <c r="C625" s="5">
        <v>4</v>
      </c>
      <c r="D625" s="9" t="s">
        <v>483</v>
      </c>
      <c r="E625" s="10">
        <v>145</v>
      </c>
      <c r="F625" s="10">
        <f t="shared" si="5"/>
        <v>580</v>
      </c>
    </row>
    <row r="626" spans="1:6" x14ac:dyDescent="0.25">
      <c r="C626" s="5">
        <v>1</v>
      </c>
      <c r="D626" s="9" t="s">
        <v>572</v>
      </c>
      <c r="E626" s="10">
        <v>0</v>
      </c>
      <c r="F626" s="10">
        <f t="shared" si="5"/>
        <v>0</v>
      </c>
    </row>
    <row r="627" spans="1:6" x14ac:dyDescent="0.25">
      <c r="F627" s="8">
        <f>SUM(F624:F626)</f>
        <v>13710</v>
      </c>
    </row>
    <row r="628" spans="1:6" x14ac:dyDescent="0.25">
      <c r="F628" s="10"/>
    </row>
    <row r="629" spans="1:6" x14ac:dyDescent="0.25">
      <c r="A629" s="9" t="s">
        <v>41</v>
      </c>
      <c r="B629" s="4">
        <v>45786</v>
      </c>
      <c r="C629" s="5">
        <v>25</v>
      </c>
      <c r="D629" s="9" t="s">
        <v>14</v>
      </c>
      <c r="E629" s="10">
        <v>120</v>
      </c>
      <c r="F629" s="10">
        <f t="shared" si="5"/>
        <v>3000</v>
      </c>
    </row>
    <row r="630" spans="1:6" x14ac:dyDescent="0.25">
      <c r="F630" s="8">
        <f>SUM(F629)</f>
        <v>3000</v>
      </c>
    </row>
    <row r="631" spans="1:6" x14ac:dyDescent="0.25">
      <c r="F631" s="10"/>
    </row>
    <row r="632" spans="1:6" x14ac:dyDescent="0.25">
      <c r="A632" s="9" t="s">
        <v>106</v>
      </c>
      <c r="B632" s="4">
        <v>45786</v>
      </c>
      <c r="C632" s="5">
        <v>50</v>
      </c>
      <c r="D632" s="9" t="s">
        <v>12</v>
      </c>
      <c r="E632" s="10">
        <v>125</v>
      </c>
      <c r="F632" s="10">
        <f t="shared" si="5"/>
        <v>6250</v>
      </c>
    </row>
    <row r="633" spans="1:6" x14ac:dyDescent="0.25">
      <c r="F633" s="8">
        <f>SUM(F632)</f>
        <v>6250</v>
      </c>
    </row>
    <row r="634" spans="1:6" x14ac:dyDescent="0.25">
      <c r="F634" s="10"/>
    </row>
    <row r="635" spans="1:6" x14ac:dyDescent="0.25">
      <c r="A635" s="9" t="s">
        <v>262</v>
      </c>
      <c r="B635" s="4">
        <v>45786</v>
      </c>
      <c r="C635" s="5">
        <v>30</v>
      </c>
      <c r="D635" s="9" t="s">
        <v>49</v>
      </c>
      <c r="E635" s="10">
        <v>135</v>
      </c>
      <c r="F635" s="10">
        <f t="shared" si="5"/>
        <v>4050</v>
      </c>
    </row>
    <row r="636" spans="1:6" x14ac:dyDescent="0.25">
      <c r="C636" s="5">
        <v>10</v>
      </c>
      <c r="D636" s="9" t="s">
        <v>14</v>
      </c>
      <c r="E636" s="10">
        <v>125</v>
      </c>
      <c r="F636" s="10">
        <f t="shared" si="5"/>
        <v>1250</v>
      </c>
    </row>
    <row r="637" spans="1:6" x14ac:dyDescent="0.25">
      <c r="F637" s="8">
        <f>SUM(F635:F636)</f>
        <v>5300</v>
      </c>
    </row>
    <row r="638" spans="1:6" x14ac:dyDescent="0.25">
      <c r="F638" s="10"/>
    </row>
    <row r="639" spans="1:6" x14ac:dyDescent="0.25">
      <c r="A639" s="9" t="s">
        <v>85</v>
      </c>
      <c r="B639" s="4">
        <v>45786</v>
      </c>
      <c r="C639" s="5">
        <v>40</v>
      </c>
      <c r="D639" s="9" t="s">
        <v>14</v>
      </c>
      <c r="E639" s="10">
        <v>125</v>
      </c>
      <c r="F639" s="10">
        <f t="shared" si="5"/>
        <v>5000</v>
      </c>
    </row>
    <row r="640" spans="1:6" x14ac:dyDescent="0.25">
      <c r="F640" s="8">
        <f>SUM(F639)</f>
        <v>5000</v>
      </c>
    </row>
    <row r="641" spans="1:6" x14ac:dyDescent="0.25">
      <c r="F641" s="10"/>
    </row>
    <row r="642" spans="1:6" x14ac:dyDescent="0.25">
      <c r="A642" s="9" t="s">
        <v>18</v>
      </c>
      <c r="B642" s="4">
        <v>45786</v>
      </c>
      <c r="C642" s="5">
        <v>20</v>
      </c>
      <c r="D642" s="9" t="s">
        <v>14</v>
      </c>
      <c r="E642" s="10">
        <v>125</v>
      </c>
      <c r="F642" s="10">
        <f t="shared" si="5"/>
        <v>2500</v>
      </c>
    </row>
    <row r="643" spans="1:6" x14ac:dyDescent="0.25">
      <c r="F643" s="8">
        <f>SUM(F642)</f>
        <v>2500</v>
      </c>
    </row>
    <row r="644" spans="1:6" x14ac:dyDescent="0.25">
      <c r="F644" s="10"/>
    </row>
    <row r="645" spans="1:6" x14ac:dyDescent="0.25">
      <c r="A645" s="9" t="s">
        <v>138</v>
      </c>
      <c r="B645" s="4">
        <v>45786</v>
      </c>
      <c r="C645" s="5">
        <v>20</v>
      </c>
      <c r="D645" s="9" t="s">
        <v>14</v>
      </c>
      <c r="E645" s="10">
        <v>125</v>
      </c>
      <c r="F645" s="10">
        <f t="shared" si="5"/>
        <v>2500</v>
      </c>
    </row>
    <row r="646" spans="1:6" x14ac:dyDescent="0.25">
      <c r="F646" s="8">
        <f>SUM(F645)</f>
        <v>2500</v>
      </c>
    </row>
    <row r="647" spans="1:6" x14ac:dyDescent="0.25">
      <c r="F647" s="10"/>
    </row>
    <row r="648" spans="1:6" x14ac:dyDescent="0.25">
      <c r="A648" s="9" t="s">
        <v>47</v>
      </c>
      <c r="B648" s="4">
        <v>45786</v>
      </c>
      <c r="C648" s="5">
        <v>25</v>
      </c>
      <c r="D648" s="9" t="s">
        <v>14</v>
      </c>
      <c r="E648" s="10">
        <v>125</v>
      </c>
      <c r="F648" s="10">
        <f t="shared" si="5"/>
        <v>3125</v>
      </c>
    </row>
    <row r="649" spans="1:6" x14ac:dyDescent="0.25">
      <c r="F649" s="8">
        <f>SUM(F648)</f>
        <v>3125</v>
      </c>
    </row>
    <row r="650" spans="1:6" x14ac:dyDescent="0.25">
      <c r="F650" s="10"/>
    </row>
    <row r="651" spans="1:6" x14ac:dyDescent="0.25">
      <c r="A651" s="9" t="s">
        <v>145</v>
      </c>
      <c r="B651" s="4">
        <v>45786</v>
      </c>
      <c r="C651" s="5">
        <v>50</v>
      </c>
      <c r="D651" s="9" t="s">
        <v>14</v>
      </c>
      <c r="E651" s="10">
        <v>120</v>
      </c>
      <c r="F651" s="10">
        <f t="shared" si="5"/>
        <v>6000</v>
      </c>
    </row>
    <row r="652" spans="1:6" x14ac:dyDescent="0.25">
      <c r="F652" s="8">
        <f>SUM(F651)</f>
        <v>6000</v>
      </c>
    </row>
    <row r="653" spans="1:6" x14ac:dyDescent="0.25">
      <c r="F653" s="10"/>
    </row>
    <row r="654" spans="1:6" x14ac:dyDescent="0.25">
      <c r="A654" s="9" t="s">
        <v>48</v>
      </c>
      <c r="B654" s="4">
        <v>45786</v>
      </c>
      <c r="C654" s="5">
        <v>46</v>
      </c>
      <c r="D654" s="9" t="s">
        <v>49</v>
      </c>
      <c r="F654" s="10">
        <f t="shared" si="5"/>
        <v>0</v>
      </c>
    </row>
    <row r="655" spans="1:6" x14ac:dyDescent="0.25">
      <c r="C655" s="5">
        <v>665</v>
      </c>
      <c r="D655" s="9" t="s">
        <v>14</v>
      </c>
      <c r="F655" s="10">
        <f t="shared" si="5"/>
        <v>0</v>
      </c>
    </row>
    <row r="656" spans="1:6" x14ac:dyDescent="0.25">
      <c r="C656" s="5">
        <v>44</v>
      </c>
      <c r="D656" s="9" t="s">
        <v>50</v>
      </c>
      <c r="F656" s="10">
        <f t="shared" si="5"/>
        <v>0</v>
      </c>
    </row>
    <row r="657" spans="1:6" x14ac:dyDescent="0.25">
      <c r="C657" s="5">
        <v>55</v>
      </c>
      <c r="D657" s="9" t="s">
        <v>22</v>
      </c>
      <c r="F657" s="10">
        <f t="shared" si="5"/>
        <v>0</v>
      </c>
    </row>
    <row r="658" spans="1:6" x14ac:dyDescent="0.25">
      <c r="C658" s="5">
        <v>100</v>
      </c>
      <c r="D658" s="9" t="s">
        <v>11</v>
      </c>
      <c r="F658" s="10">
        <f t="shared" si="5"/>
        <v>0</v>
      </c>
    </row>
    <row r="659" spans="1:6" x14ac:dyDescent="0.25">
      <c r="F659" s="8">
        <f>SUM(F654:F658)</f>
        <v>0</v>
      </c>
    </row>
    <row r="660" spans="1:6" x14ac:dyDescent="0.25">
      <c r="F660" s="10"/>
    </row>
    <row r="661" spans="1:6" x14ac:dyDescent="0.25">
      <c r="A661" s="9" t="s">
        <v>573</v>
      </c>
      <c r="B661" s="4">
        <v>45786</v>
      </c>
      <c r="C661" s="5">
        <v>8</v>
      </c>
      <c r="D661" s="9" t="s">
        <v>12</v>
      </c>
      <c r="E661" s="10">
        <v>140</v>
      </c>
      <c r="F661" s="10">
        <f t="shared" ref="F661:F723" si="6">+C661*E661</f>
        <v>1120</v>
      </c>
    </row>
    <row r="662" spans="1:6" x14ac:dyDescent="0.25">
      <c r="C662" s="5">
        <v>5</v>
      </c>
      <c r="D662" s="9" t="s">
        <v>98</v>
      </c>
      <c r="E662" s="10">
        <v>100</v>
      </c>
      <c r="F662" s="10">
        <f t="shared" si="6"/>
        <v>500</v>
      </c>
    </row>
    <row r="663" spans="1:6" x14ac:dyDescent="0.25">
      <c r="F663" s="8">
        <f>SUM(F661:F662)</f>
        <v>1620</v>
      </c>
    </row>
    <row r="664" spans="1:6" x14ac:dyDescent="0.25">
      <c r="F664" s="10"/>
    </row>
    <row r="665" spans="1:6" x14ac:dyDescent="0.25">
      <c r="A665" s="9" t="s">
        <v>181</v>
      </c>
      <c r="B665" s="4">
        <v>45786</v>
      </c>
      <c r="C665" s="5">
        <v>4</v>
      </c>
      <c r="D665" s="9" t="s">
        <v>75</v>
      </c>
      <c r="E665" s="10">
        <v>150</v>
      </c>
      <c r="F665" s="10">
        <f t="shared" si="6"/>
        <v>600</v>
      </c>
    </row>
    <row r="666" spans="1:6" x14ac:dyDescent="0.25">
      <c r="C666" s="5">
        <v>1</v>
      </c>
      <c r="D666" s="9" t="s">
        <v>13</v>
      </c>
      <c r="E666" s="10">
        <v>160</v>
      </c>
      <c r="F666" s="10">
        <f t="shared" si="6"/>
        <v>160</v>
      </c>
    </row>
    <row r="667" spans="1:6" x14ac:dyDescent="0.25">
      <c r="F667" s="8">
        <f>SUM(F665:F666)</f>
        <v>760</v>
      </c>
    </row>
    <row r="668" spans="1:6" x14ac:dyDescent="0.25">
      <c r="F668" s="10"/>
    </row>
    <row r="669" spans="1:6" x14ac:dyDescent="0.25">
      <c r="A669" s="9" t="s">
        <v>157</v>
      </c>
      <c r="B669" s="4">
        <v>45787</v>
      </c>
      <c r="C669" s="5">
        <v>14</v>
      </c>
      <c r="D669" s="9" t="s">
        <v>13</v>
      </c>
      <c r="E669" s="10">
        <v>135</v>
      </c>
      <c r="F669" s="10">
        <f t="shared" si="6"/>
        <v>1890</v>
      </c>
    </row>
    <row r="670" spans="1:6" x14ac:dyDescent="0.25">
      <c r="F670" s="8">
        <f>SUM(F669)</f>
        <v>1890</v>
      </c>
    </row>
    <row r="671" spans="1:6" x14ac:dyDescent="0.25">
      <c r="F671" s="10"/>
    </row>
    <row r="672" spans="1:6" x14ac:dyDescent="0.25">
      <c r="A672" s="9" t="s">
        <v>20</v>
      </c>
      <c r="B672" s="4">
        <v>45787</v>
      </c>
      <c r="C672" s="5">
        <v>20</v>
      </c>
      <c r="D672" s="9" t="s">
        <v>13</v>
      </c>
      <c r="E672" s="10">
        <v>135</v>
      </c>
      <c r="F672" s="10">
        <f t="shared" si="6"/>
        <v>2700</v>
      </c>
    </row>
    <row r="673" spans="1:6" x14ac:dyDescent="0.25">
      <c r="F673" s="8">
        <f>SUM(F672)</f>
        <v>2700</v>
      </c>
    </row>
    <row r="674" spans="1:6" x14ac:dyDescent="0.25">
      <c r="F674" s="10"/>
    </row>
    <row r="675" spans="1:6" x14ac:dyDescent="0.25">
      <c r="A675" s="9" t="s">
        <v>148</v>
      </c>
      <c r="B675" s="4">
        <v>45787</v>
      </c>
      <c r="C675" s="5">
        <v>10</v>
      </c>
      <c r="D675" s="9" t="s">
        <v>13</v>
      </c>
      <c r="E675" s="10">
        <v>135</v>
      </c>
      <c r="F675" s="10">
        <f t="shared" si="6"/>
        <v>1350</v>
      </c>
    </row>
    <row r="676" spans="1:6" x14ac:dyDescent="0.25">
      <c r="C676" s="5">
        <v>10</v>
      </c>
      <c r="D676" s="9" t="s">
        <v>243</v>
      </c>
      <c r="E676" s="10">
        <v>125</v>
      </c>
      <c r="F676" s="10">
        <f t="shared" si="6"/>
        <v>1250</v>
      </c>
    </row>
    <row r="677" spans="1:6" x14ac:dyDescent="0.25">
      <c r="F677" s="8">
        <f>SUM(F675:F676)</f>
        <v>2600</v>
      </c>
    </row>
    <row r="678" spans="1:6" x14ac:dyDescent="0.25">
      <c r="F678" s="10"/>
    </row>
    <row r="679" spans="1:6" x14ac:dyDescent="0.25">
      <c r="A679" s="9" t="s">
        <v>37</v>
      </c>
      <c r="B679" s="4">
        <v>45787</v>
      </c>
      <c r="C679" s="5">
        <v>15</v>
      </c>
      <c r="D679" s="9" t="s">
        <v>12</v>
      </c>
      <c r="E679" s="10">
        <v>130</v>
      </c>
      <c r="F679" s="10">
        <f t="shared" si="6"/>
        <v>1950</v>
      </c>
    </row>
    <row r="680" spans="1:6" x14ac:dyDescent="0.25">
      <c r="F680" s="8">
        <f>SUM(F679)</f>
        <v>1950</v>
      </c>
    </row>
    <row r="681" spans="1:6" x14ac:dyDescent="0.25">
      <c r="F681" s="10"/>
    </row>
    <row r="682" spans="1:6" x14ac:dyDescent="0.25">
      <c r="A682" s="9" t="s">
        <v>112</v>
      </c>
      <c r="B682" s="4">
        <v>45787</v>
      </c>
      <c r="C682" s="5">
        <v>40</v>
      </c>
      <c r="D682" s="9" t="s">
        <v>13</v>
      </c>
      <c r="E682" s="10">
        <v>135</v>
      </c>
      <c r="F682" s="10">
        <f t="shared" si="6"/>
        <v>5400</v>
      </c>
    </row>
    <row r="683" spans="1:6" x14ac:dyDescent="0.25">
      <c r="F683" s="8">
        <f>SUM(F682)</f>
        <v>5400</v>
      </c>
    </row>
    <row r="684" spans="1:6" x14ac:dyDescent="0.25">
      <c r="F684" s="10"/>
    </row>
    <row r="685" spans="1:6" x14ac:dyDescent="0.25">
      <c r="A685" s="9" t="s">
        <v>80</v>
      </c>
      <c r="B685" s="4">
        <v>45787</v>
      </c>
      <c r="C685" s="5">
        <v>10</v>
      </c>
      <c r="D685" s="9" t="s">
        <v>13</v>
      </c>
      <c r="E685" s="10">
        <v>140</v>
      </c>
      <c r="F685" s="10">
        <f t="shared" si="6"/>
        <v>1400</v>
      </c>
    </row>
    <row r="686" spans="1:6" x14ac:dyDescent="0.25">
      <c r="F686" s="8">
        <f>SUM(F685)</f>
        <v>1400</v>
      </c>
    </row>
    <row r="687" spans="1:6" x14ac:dyDescent="0.25">
      <c r="F687" s="10"/>
    </row>
    <row r="688" spans="1:6" x14ac:dyDescent="0.25">
      <c r="A688" s="9" t="s">
        <v>18</v>
      </c>
      <c r="B688" s="4">
        <v>45787</v>
      </c>
      <c r="C688" s="5">
        <v>5</v>
      </c>
      <c r="D688" s="9" t="s">
        <v>13</v>
      </c>
      <c r="E688" s="10">
        <v>140</v>
      </c>
      <c r="F688" s="10">
        <f t="shared" si="6"/>
        <v>700</v>
      </c>
    </row>
    <row r="689" spans="1:6" x14ac:dyDescent="0.25">
      <c r="F689" s="8">
        <f>SUM(F688)</f>
        <v>700</v>
      </c>
    </row>
    <row r="690" spans="1:6" x14ac:dyDescent="0.25">
      <c r="F690" s="10"/>
    </row>
    <row r="691" spans="1:6" x14ac:dyDescent="0.25">
      <c r="A691" s="9" t="s">
        <v>371</v>
      </c>
      <c r="B691" s="4">
        <v>45787</v>
      </c>
      <c r="C691" s="5">
        <v>5</v>
      </c>
      <c r="D691" s="9" t="s">
        <v>13</v>
      </c>
      <c r="E691" s="10">
        <v>140</v>
      </c>
      <c r="F691" s="10">
        <f t="shared" si="6"/>
        <v>700</v>
      </c>
    </row>
    <row r="692" spans="1:6" x14ac:dyDescent="0.25">
      <c r="F692" s="8">
        <f>SUM(F691)</f>
        <v>700</v>
      </c>
    </row>
    <row r="693" spans="1:6" x14ac:dyDescent="0.25">
      <c r="F693" s="10"/>
    </row>
    <row r="694" spans="1:6" x14ac:dyDescent="0.25">
      <c r="A694" s="9" t="s">
        <v>334</v>
      </c>
      <c r="B694" s="4">
        <v>45787</v>
      </c>
      <c r="C694" s="5">
        <v>8</v>
      </c>
      <c r="D694" s="9" t="s">
        <v>98</v>
      </c>
      <c r="E694" s="10">
        <v>100</v>
      </c>
      <c r="F694" s="10">
        <f t="shared" si="6"/>
        <v>800</v>
      </c>
    </row>
    <row r="695" spans="1:6" x14ac:dyDescent="0.25">
      <c r="F695" s="8">
        <f>SUM(F694)</f>
        <v>800</v>
      </c>
    </row>
    <row r="696" spans="1:6" x14ac:dyDescent="0.25">
      <c r="F696" s="10"/>
    </row>
    <row r="697" spans="1:6" x14ac:dyDescent="0.25">
      <c r="A697" s="9" t="s">
        <v>211</v>
      </c>
      <c r="B697" s="4">
        <v>45787</v>
      </c>
      <c r="C697" s="5">
        <v>15</v>
      </c>
      <c r="D697" s="9" t="s">
        <v>98</v>
      </c>
      <c r="E697" s="10">
        <v>100</v>
      </c>
      <c r="F697" s="10">
        <f t="shared" si="6"/>
        <v>1500</v>
      </c>
    </row>
    <row r="698" spans="1:6" x14ac:dyDescent="0.25">
      <c r="F698" s="8">
        <f>SUM(F697)</f>
        <v>1500</v>
      </c>
    </row>
    <row r="699" spans="1:6" x14ac:dyDescent="0.25">
      <c r="F699" s="10"/>
    </row>
    <row r="700" spans="1:6" x14ac:dyDescent="0.25">
      <c r="A700" s="9" t="s">
        <v>525</v>
      </c>
      <c r="B700" s="4">
        <v>45787</v>
      </c>
      <c r="C700" s="5">
        <v>10</v>
      </c>
      <c r="D700" s="9" t="s">
        <v>356</v>
      </c>
      <c r="E700" s="10">
        <v>105</v>
      </c>
      <c r="F700" s="10">
        <f t="shared" si="6"/>
        <v>1050</v>
      </c>
    </row>
    <row r="701" spans="1:6" x14ac:dyDescent="0.25">
      <c r="F701" s="8">
        <f>SUM(F700)</f>
        <v>1050</v>
      </c>
    </row>
    <row r="702" spans="1:6" x14ac:dyDescent="0.25">
      <c r="F702" s="10"/>
    </row>
    <row r="703" spans="1:6" x14ac:dyDescent="0.25">
      <c r="A703" s="9" t="s">
        <v>58</v>
      </c>
      <c r="B703" s="4">
        <v>45787</v>
      </c>
      <c r="C703" s="5">
        <v>5</v>
      </c>
      <c r="D703" s="9" t="s">
        <v>13</v>
      </c>
      <c r="E703" s="10">
        <v>140</v>
      </c>
      <c r="F703" s="10">
        <f t="shared" si="6"/>
        <v>700</v>
      </c>
    </row>
    <row r="704" spans="1:6" x14ac:dyDescent="0.25">
      <c r="F704" s="8">
        <f>SUM(F703)</f>
        <v>700</v>
      </c>
    </row>
    <row r="705" spans="1:6" x14ac:dyDescent="0.25">
      <c r="F705" s="10"/>
    </row>
    <row r="706" spans="1:6" x14ac:dyDescent="0.25">
      <c r="A706" s="9" t="s">
        <v>32</v>
      </c>
      <c r="B706" s="4">
        <v>45787</v>
      </c>
      <c r="C706" s="5">
        <v>15</v>
      </c>
      <c r="D706" s="9" t="s">
        <v>574</v>
      </c>
      <c r="E706" s="10">
        <v>135</v>
      </c>
      <c r="F706" s="10">
        <f t="shared" si="6"/>
        <v>2025</v>
      </c>
    </row>
    <row r="707" spans="1:6" x14ac:dyDescent="0.25">
      <c r="F707" s="8">
        <f>SUM(F706)</f>
        <v>2025</v>
      </c>
    </row>
    <row r="708" spans="1:6" x14ac:dyDescent="0.25">
      <c r="F708" s="10"/>
    </row>
    <row r="709" spans="1:6" x14ac:dyDescent="0.25">
      <c r="A709" s="9" t="s">
        <v>151</v>
      </c>
      <c r="B709" s="4">
        <v>45787</v>
      </c>
      <c r="C709" s="5">
        <v>77</v>
      </c>
      <c r="D709" s="9" t="s">
        <v>8</v>
      </c>
      <c r="E709" s="10">
        <v>150</v>
      </c>
      <c r="F709" s="10">
        <f t="shared" si="6"/>
        <v>11550</v>
      </c>
    </row>
    <row r="710" spans="1:6" x14ac:dyDescent="0.25">
      <c r="C710" s="5">
        <v>50</v>
      </c>
      <c r="D710" s="9" t="s">
        <v>22</v>
      </c>
      <c r="E710" s="10">
        <v>95</v>
      </c>
      <c r="F710" s="10">
        <f t="shared" si="6"/>
        <v>4750</v>
      </c>
    </row>
    <row r="711" spans="1:6" x14ac:dyDescent="0.25">
      <c r="C711" s="5">
        <v>120</v>
      </c>
      <c r="D711" s="9" t="s">
        <v>13</v>
      </c>
      <c r="E711" s="10">
        <v>130</v>
      </c>
      <c r="F711" s="10">
        <f t="shared" si="6"/>
        <v>15600</v>
      </c>
    </row>
    <row r="712" spans="1:6" x14ac:dyDescent="0.25">
      <c r="F712" s="8">
        <f>SUM(F709:F711)</f>
        <v>31900</v>
      </c>
    </row>
    <row r="713" spans="1:6" x14ac:dyDescent="0.25">
      <c r="F713" s="10"/>
    </row>
    <row r="714" spans="1:6" x14ac:dyDescent="0.25">
      <c r="A714" s="9" t="s">
        <v>60</v>
      </c>
      <c r="B714" s="4">
        <v>45787</v>
      </c>
      <c r="C714" s="5">
        <v>30</v>
      </c>
      <c r="D714" s="9" t="s">
        <v>13</v>
      </c>
      <c r="E714" s="10">
        <v>140</v>
      </c>
      <c r="F714" s="10">
        <f t="shared" si="6"/>
        <v>4200</v>
      </c>
    </row>
    <row r="715" spans="1:6" x14ac:dyDescent="0.25">
      <c r="F715" s="8">
        <f>SUM(F714)</f>
        <v>4200</v>
      </c>
    </row>
    <row r="716" spans="1:6" x14ac:dyDescent="0.25">
      <c r="F716" s="10"/>
    </row>
    <row r="717" spans="1:6" x14ac:dyDescent="0.25">
      <c r="A717" s="9" t="s">
        <v>61</v>
      </c>
      <c r="B717" s="4">
        <v>45787</v>
      </c>
      <c r="C717" s="5">
        <v>80</v>
      </c>
      <c r="D717" s="9" t="s">
        <v>13</v>
      </c>
      <c r="E717" s="10">
        <v>130</v>
      </c>
      <c r="F717" s="10">
        <f t="shared" si="6"/>
        <v>10400</v>
      </c>
    </row>
    <row r="718" spans="1:6" x14ac:dyDescent="0.25">
      <c r="F718" s="8">
        <f>SUM(F717)</f>
        <v>10400</v>
      </c>
    </row>
    <row r="719" spans="1:6" x14ac:dyDescent="0.25">
      <c r="F719" s="10"/>
    </row>
    <row r="720" spans="1:6" x14ac:dyDescent="0.25">
      <c r="A720" s="9" t="s">
        <v>88</v>
      </c>
      <c r="B720" s="4">
        <v>45787</v>
      </c>
      <c r="C720" s="5">
        <v>10</v>
      </c>
      <c r="D720" s="9" t="s">
        <v>13</v>
      </c>
      <c r="E720" s="10">
        <v>140</v>
      </c>
      <c r="F720" s="10">
        <f t="shared" si="6"/>
        <v>1400</v>
      </c>
    </row>
    <row r="721" spans="1:6" x14ac:dyDescent="0.25">
      <c r="F721" s="8">
        <f>SUM(F720)</f>
        <v>1400</v>
      </c>
    </row>
    <row r="722" spans="1:6" x14ac:dyDescent="0.25">
      <c r="F722" s="10"/>
    </row>
    <row r="723" spans="1:6" x14ac:dyDescent="0.25">
      <c r="A723" s="9" t="s">
        <v>575</v>
      </c>
      <c r="B723" s="4">
        <v>45787</v>
      </c>
      <c r="C723" s="5">
        <v>4</v>
      </c>
      <c r="D723" s="9" t="s">
        <v>13</v>
      </c>
      <c r="E723" s="10">
        <v>145</v>
      </c>
      <c r="F723" s="10">
        <f t="shared" si="6"/>
        <v>580</v>
      </c>
    </row>
    <row r="724" spans="1:6" x14ac:dyDescent="0.25">
      <c r="F724" s="8">
        <f>SUM(F723)</f>
        <v>580</v>
      </c>
    </row>
    <row r="725" spans="1:6" x14ac:dyDescent="0.25">
      <c r="F725" s="10"/>
    </row>
    <row r="726" spans="1:6" x14ac:dyDescent="0.25">
      <c r="A726" s="9" t="s">
        <v>181</v>
      </c>
      <c r="B726" s="4">
        <v>45787</v>
      </c>
      <c r="C726" s="5">
        <v>4</v>
      </c>
      <c r="D726" s="9" t="s">
        <v>14</v>
      </c>
      <c r="E726" s="10">
        <v>130</v>
      </c>
      <c r="F726" s="10">
        <f t="shared" ref="F726:F785" si="7">+C726*E726</f>
        <v>520</v>
      </c>
    </row>
    <row r="727" spans="1:6" x14ac:dyDescent="0.25">
      <c r="F727" s="8">
        <f>SUM(F726)</f>
        <v>520</v>
      </c>
    </row>
    <row r="728" spans="1:6" x14ac:dyDescent="0.25">
      <c r="F728" s="10"/>
    </row>
    <row r="729" spans="1:6" x14ac:dyDescent="0.25">
      <c r="A729" s="9" t="s">
        <v>127</v>
      </c>
      <c r="B729" s="4">
        <v>45787</v>
      </c>
      <c r="C729" s="5">
        <v>20</v>
      </c>
      <c r="D729" s="9" t="s">
        <v>13</v>
      </c>
      <c r="E729" s="10">
        <v>130</v>
      </c>
      <c r="F729" s="10">
        <f t="shared" si="7"/>
        <v>2600</v>
      </c>
    </row>
    <row r="730" spans="1:6" x14ac:dyDescent="0.25">
      <c r="F730" s="8">
        <f>SUM(F729)</f>
        <v>2600</v>
      </c>
    </row>
    <row r="731" spans="1:6" x14ac:dyDescent="0.25">
      <c r="F731" s="10"/>
    </row>
    <row r="732" spans="1:6" x14ac:dyDescent="0.25">
      <c r="A732" s="9" t="s">
        <v>72</v>
      </c>
      <c r="B732" s="4">
        <v>45787</v>
      </c>
      <c r="C732" s="5">
        <v>290</v>
      </c>
      <c r="D732" s="9" t="s">
        <v>13</v>
      </c>
      <c r="E732" s="10">
        <v>130</v>
      </c>
      <c r="F732" s="10">
        <f t="shared" si="7"/>
        <v>37700</v>
      </c>
    </row>
    <row r="733" spans="1:6" x14ac:dyDescent="0.25">
      <c r="C733" s="5">
        <v>160</v>
      </c>
      <c r="D733" s="9" t="s">
        <v>12</v>
      </c>
      <c r="E733" s="10">
        <v>115</v>
      </c>
      <c r="F733" s="10">
        <f t="shared" si="7"/>
        <v>18400</v>
      </c>
    </row>
    <row r="734" spans="1:6" x14ac:dyDescent="0.25">
      <c r="C734" s="5">
        <v>30</v>
      </c>
      <c r="D734" s="9" t="s">
        <v>14</v>
      </c>
      <c r="E734" s="10">
        <v>125</v>
      </c>
      <c r="F734" s="10">
        <f t="shared" si="7"/>
        <v>3750</v>
      </c>
    </row>
    <row r="735" spans="1:6" x14ac:dyDescent="0.25">
      <c r="C735" s="5">
        <v>90</v>
      </c>
      <c r="D735" s="9" t="s">
        <v>11</v>
      </c>
      <c r="E735" s="10">
        <v>115</v>
      </c>
      <c r="F735" s="10">
        <f t="shared" si="7"/>
        <v>10350</v>
      </c>
    </row>
    <row r="736" spans="1:6" x14ac:dyDescent="0.25">
      <c r="F736" s="8">
        <f>SUM(F732:F735)</f>
        <v>70200</v>
      </c>
    </row>
    <row r="737" spans="1:6" x14ac:dyDescent="0.25">
      <c r="F737" s="10"/>
    </row>
    <row r="738" spans="1:6" x14ac:dyDescent="0.25">
      <c r="A738" s="9" t="s">
        <v>26</v>
      </c>
      <c r="B738" s="4">
        <v>45787</v>
      </c>
      <c r="C738" s="5">
        <v>110</v>
      </c>
      <c r="D738" s="9" t="s">
        <v>13</v>
      </c>
      <c r="E738" s="10">
        <v>140</v>
      </c>
      <c r="F738" s="10">
        <f t="shared" si="7"/>
        <v>15400</v>
      </c>
    </row>
    <row r="739" spans="1:6" x14ac:dyDescent="0.25">
      <c r="C739" s="5">
        <v>20</v>
      </c>
      <c r="D739" s="9" t="s">
        <v>14</v>
      </c>
      <c r="E739" s="10">
        <v>130</v>
      </c>
      <c r="F739" s="10">
        <f t="shared" si="7"/>
        <v>2600</v>
      </c>
    </row>
    <row r="740" spans="1:6" x14ac:dyDescent="0.25">
      <c r="F740" s="8">
        <f>SUM(F738:F739)</f>
        <v>18000</v>
      </c>
    </row>
    <row r="741" spans="1:6" x14ac:dyDescent="0.25">
      <c r="F741" s="10"/>
    </row>
    <row r="742" spans="1:6" x14ac:dyDescent="0.25">
      <c r="A742" s="9" t="s">
        <v>245</v>
      </c>
      <c r="B742" s="4">
        <v>45787</v>
      </c>
      <c r="C742" s="5">
        <v>30</v>
      </c>
      <c r="D742" s="9" t="s">
        <v>13</v>
      </c>
      <c r="E742" s="10">
        <v>140</v>
      </c>
      <c r="F742" s="10">
        <f t="shared" si="7"/>
        <v>4200</v>
      </c>
    </row>
    <row r="743" spans="1:6" x14ac:dyDescent="0.25">
      <c r="C743" s="5">
        <v>20</v>
      </c>
      <c r="D743" s="9" t="s">
        <v>14</v>
      </c>
      <c r="E743" s="10">
        <v>130</v>
      </c>
      <c r="F743" s="10">
        <f t="shared" si="7"/>
        <v>2600</v>
      </c>
    </row>
    <row r="744" spans="1:6" x14ac:dyDescent="0.25">
      <c r="F744" s="8">
        <f>SUM(F742:F743)</f>
        <v>6800</v>
      </c>
    </row>
    <row r="745" spans="1:6" x14ac:dyDescent="0.25">
      <c r="F745" s="10"/>
    </row>
    <row r="746" spans="1:6" x14ac:dyDescent="0.25">
      <c r="A746" s="9" t="s">
        <v>65</v>
      </c>
      <c r="B746" s="4">
        <v>45787</v>
      </c>
      <c r="C746" s="5">
        <v>800</v>
      </c>
      <c r="D746" s="9" t="s">
        <v>13</v>
      </c>
      <c r="E746" s="10">
        <v>125</v>
      </c>
      <c r="F746" s="10">
        <f t="shared" si="7"/>
        <v>100000</v>
      </c>
    </row>
    <row r="747" spans="1:6" x14ac:dyDescent="0.25">
      <c r="C747" s="5">
        <v>1210</v>
      </c>
      <c r="D747" s="9" t="s">
        <v>12</v>
      </c>
      <c r="E747" s="10">
        <v>115</v>
      </c>
      <c r="F747" s="10">
        <f t="shared" si="7"/>
        <v>139150</v>
      </c>
    </row>
    <row r="748" spans="1:6" x14ac:dyDescent="0.25">
      <c r="C748" s="5">
        <v>160</v>
      </c>
      <c r="D748" s="9" t="s">
        <v>11</v>
      </c>
      <c r="E748" s="10">
        <v>110</v>
      </c>
      <c r="F748" s="10">
        <f t="shared" si="7"/>
        <v>17600</v>
      </c>
    </row>
    <row r="749" spans="1:6" x14ac:dyDescent="0.25">
      <c r="C749" s="5">
        <v>250</v>
      </c>
      <c r="D749" s="9" t="s">
        <v>14</v>
      </c>
      <c r="E749" s="10">
        <v>125</v>
      </c>
      <c r="F749" s="10">
        <f t="shared" si="7"/>
        <v>31250</v>
      </c>
    </row>
    <row r="750" spans="1:6" x14ac:dyDescent="0.25">
      <c r="C750" s="5">
        <v>185</v>
      </c>
      <c r="D750" s="9" t="s">
        <v>22</v>
      </c>
      <c r="E750" s="10">
        <v>95</v>
      </c>
      <c r="F750" s="10">
        <f t="shared" si="7"/>
        <v>17575</v>
      </c>
    </row>
    <row r="751" spans="1:6" x14ac:dyDescent="0.25">
      <c r="F751" s="8">
        <f>SUM(F746:F750)</f>
        <v>305575</v>
      </c>
    </row>
    <row r="752" spans="1:6" x14ac:dyDescent="0.25">
      <c r="F752" s="10"/>
    </row>
    <row r="753" spans="1:6" x14ac:dyDescent="0.25">
      <c r="A753" s="9" t="s">
        <v>535</v>
      </c>
      <c r="B753" s="4">
        <v>45787</v>
      </c>
      <c r="C753" s="5">
        <v>61</v>
      </c>
      <c r="D753" s="9" t="s">
        <v>13</v>
      </c>
      <c r="E753" s="10">
        <v>140</v>
      </c>
      <c r="F753" s="10">
        <f t="shared" si="7"/>
        <v>8540</v>
      </c>
    </row>
    <row r="754" spans="1:6" x14ac:dyDescent="0.25">
      <c r="C754" s="5">
        <v>4</v>
      </c>
      <c r="D754" s="9" t="s">
        <v>12</v>
      </c>
      <c r="E754" s="10">
        <v>130</v>
      </c>
      <c r="F754" s="10">
        <f t="shared" si="7"/>
        <v>520</v>
      </c>
    </row>
    <row r="755" spans="1:6" x14ac:dyDescent="0.25">
      <c r="C755" s="5">
        <v>14</v>
      </c>
      <c r="D755" s="9" t="s">
        <v>8</v>
      </c>
      <c r="E755" s="10">
        <v>160</v>
      </c>
      <c r="F755" s="10">
        <f t="shared" si="7"/>
        <v>2240</v>
      </c>
    </row>
    <row r="756" spans="1:6" x14ac:dyDescent="0.25">
      <c r="C756" s="5">
        <v>3</v>
      </c>
      <c r="D756" s="9" t="s">
        <v>14</v>
      </c>
      <c r="E756" s="10">
        <v>135</v>
      </c>
      <c r="F756" s="10">
        <f t="shared" si="7"/>
        <v>405</v>
      </c>
    </row>
    <row r="757" spans="1:6" x14ac:dyDescent="0.25">
      <c r="E757" s="10">
        <v>0</v>
      </c>
      <c r="F757" s="8">
        <f>SUM(F753:F756)</f>
        <v>11705</v>
      </c>
    </row>
    <row r="758" spans="1:6" x14ac:dyDescent="0.25">
      <c r="F758" s="10"/>
    </row>
    <row r="759" spans="1:6" x14ac:dyDescent="0.25">
      <c r="A759" s="9" t="s">
        <v>101</v>
      </c>
      <c r="B759" s="4">
        <v>45787</v>
      </c>
      <c r="C759" s="5">
        <v>1</v>
      </c>
      <c r="D759" s="9" t="s">
        <v>13</v>
      </c>
      <c r="E759" s="10">
        <v>150</v>
      </c>
      <c r="F759" s="10">
        <f t="shared" si="7"/>
        <v>150</v>
      </c>
    </row>
    <row r="760" spans="1:6" x14ac:dyDescent="0.25">
      <c r="C760" s="5">
        <v>10</v>
      </c>
      <c r="D760" s="9" t="s">
        <v>8</v>
      </c>
      <c r="E760" s="10">
        <v>160</v>
      </c>
      <c r="F760" s="10">
        <f t="shared" si="7"/>
        <v>1600</v>
      </c>
    </row>
    <row r="761" spans="1:6" x14ac:dyDescent="0.25">
      <c r="C761" s="5">
        <v>4</v>
      </c>
      <c r="D761" s="9" t="s">
        <v>13</v>
      </c>
      <c r="E761" s="10">
        <v>160</v>
      </c>
      <c r="F761" s="10">
        <f t="shared" si="7"/>
        <v>640</v>
      </c>
    </row>
    <row r="762" spans="1:6" x14ac:dyDescent="0.25">
      <c r="F762" s="8">
        <f>SUM(F759:F761)</f>
        <v>2390</v>
      </c>
    </row>
    <row r="763" spans="1:6" x14ac:dyDescent="0.25">
      <c r="F763" s="10"/>
    </row>
    <row r="764" spans="1:6" x14ac:dyDescent="0.25">
      <c r="A764" s="9" t="s">
        <v>181</v>
      </c>
      <c r="B764" s="4">
        <v>45787</v>
      </c>
      <c r="C764" s="5">
        <v>1</v>
      </c>
      <c r="D764" s="9" t="s">
        <v>8</v>
      </c>
      <c r="E764" s="10">
        <v>160</v>
      </c>
      <c r="F764" s="10">
        <f t="shared" si="7"/>
        <v>160</v>
      </c>
    </row>
    <row r="765" spans="1:6" x14ac:dyDescent="0.25">
      <c r="C765" s="5">
        <v>1</v>
      </c>
      <c r="D765" s="9" t="s">
        <v>13</v>
      </c>
      <c r="E765" s="10">
        <v>140</v>
      </c>
      <c r="F765" s="10">
        <f t="shared" si="7"/>
        <v>140</v>
      </c>
    </row>
    <row r="766" spans="1:6" x14ac:dyDescent="0.25">
      <c r="C766" s="5">
        <v>1</v>
      </c>
      <c r="D766" s="9" t="s">
        <v>8</v>
      </c>
      <c r="E766" s="10">
        <v>170</v>
      </c>
      <c r="F766" s="10">
        <f t="shared" si="7"/>
        <v>170</v>
      </c>
    </row>
    <row r="767" spans="1:6" x14ac:dyDescent="0.25">
      <c r="C767" s="5">
        <v>1</v>
      </c>
      <c r="D767" s="9" t="s">
        <v>576</v>
      </c>
      <c r="E767" s="10">
        <v>160</v>
      </c>
      <c r="F767" s="10">
        <f t="shared" si="7"/>
        <v>160</v>
      </c>
    </row>
    <row r="768" spans="1:6" x14ac:dyDescent="0.25">
      <c r="C768" s="5">
        <v>4</v>
      </c>
      <c r="D768" s="9" t="s">
        <v>8</v>
      </c>
      <c r="E768" s="10">
        <v>150</v>
      </c>
      <c r="F768" s="10">
        <f t="shared" si="7"/>
        <v>600</v>
      </c>
    </row>
    <row r="769" spans="1:6" x14ac:dyDescent="0.25">
      <c r="C769" s="5">
        <v>2</v>
      </c>
      <c r="D769" s="9" t="s">
        <v>8</v>
      </c>
      <c r="E769" s="10">
        <v>160</v>
      </c>
      <c r="F769" s="10">
        <f t="shared" si="7"/>
        <v>320</v>
      </c>
    </row>
    <row r="770" spans="1:6" x14ac:dyDescent="0.25">
      <c r="F770" s="8">
        <f>SUM(F764:F769)</f>
        <v>1550</v>
      </c>
    </row>
    <row r="771" spans="1:6" x14ac:dyDescent="0.25">
      <c r="F771" s="10"/>
    </row>
    <row r="772" spans="1:6" x14ac:dyDescent="0.25">
      <c r="A772" s="9" t="s">
        <v>101</v>
      </c>
      <c r="B772" s="4">
        <v>45788</v>
      </c>
      <c r="C772" s="5">
        <v>1</v>
      </c>
      <c r="D772" s="9" t="s">
        <v>520</v>
      </c>
      <c r="E772" s="10">
        <v>170</v>
      </c>
      <c r="F772" s="10">
        <f t="shared" si="7"/>
        <v>170</v>
      </c>
    </row>
    <row r="773" spans="1:6" x14ac:dyDescent="0.25">
      <c r="F773" s="8">
        <f>SUM(F772)</f>
        <v>170</v>
      </c>
    </row>
    <row r="774" spans="1:6" x14ac:dyDescent="0.25">
      <c r="F774" s="10"/>
    </row>
    <row r="775" spans="1:6" x14ac:dyDescent="0.25">
      <c r="A775" s="9" t="s">
        <v>181</v>
      </c>
      <c r="B775" s="4">
        <v>45788</v>
      </c>
      <c r="C775" s="5">
        <v>7</v>
      </c>
      <c r="D775" s="9" t="s">
        <v>8</v>
      </c>
      <c r="E775" s="10">
        <v>160</v>
      </c>
      <c r="F775" s="10">
        <f t="shared" si="7"/>
        <v>1120</v>
      </c>
    </row>
    <row r="776" spans="1:6" x14ac:dyDescent="0.25">
      <c r="C776" s="5">
        <v>9</v>
      </c>
      <c r="D776" s="9" t="s">
        <v>577</v>
      </c>
      <c r="E776" s="10">
        <v>3.3332999999999999</v>
      </c>
      <c r="F776" s="10">
        <f t="shared" si="7"/>
        <v>29.999700000000001</v>
      </c>
    </row>
    <row r="777" spans="1:6" x14ac:dyDescent="0.25">
      <c r="F777" s="8">
        <f>SUM(F775:F776)</f>
        <v>1149.9997000000001</v>
      </c>
    </row>
    <row r="778" spans="1:6" x14ac:dyDescent="0.25">
      <c r="F778" s="10"/>
    </row>
    <row r="779" spans="1:6" x14ac:dyDescent="0.25">
      <c r="A779" s="9" t="s">
        <v>487</v>
      </c>
      <c r="B779" s="4">
        <v>45759</v>
      </c>
      <c r="C779" s="5">
        <v>7</v>
      </c>
      <c r="D779" s="9" t="s">
        <v>12</v>
      </c>
      <c r="E779" s="10">
        <v>130</v>
      </c>
      <c r="F779" s="10">
        <f t="shared" si="7"/>
        <v>910</v>
      </c>
    </row>
    <row r="780" spans="1:6" x14ac:dyDescent="0.25">
      <c r="F780" s="8">
        <f>SUM(F779)</f>
        <v>910</v>
      </c>
    </row>
    <row r="781" spans="1:6" x14ac:dyDescent="0.25">
      <c r="F781" s="10"/>
    </row>
    <row r="782" spans="1:6" x14ac:dyDescent="0.25">
      <c r="A782" s="9" t="s">
        <v>334</v>
      </c>
      <c r="B782" s="4">
        <v>45789</v>
      </c>
      <c r="C782" s="5">
        <v>5</v>
      </c>
      <c r="D782" s="9" t="s">
        <v>98</v>
      </c>
      <c r="E782" s="10">
        <v>100</v>
      </c>
      <c r="F782" s="10">
        <f t="shared" si="7"/>
        <v>500</v>
      </c>
    </row>
    <row r="783" spans="1:6" x14ac:dyDescent="0.25">
      <c r="F783" s="8">
        <f>SUM(F782)</f>
        <v>500</v>
      </c>
    </row>
    <row r="784" spans="1:6" x14ac:dyDescent="0.25">
      <c r="F784" s="10"/>
    </row>
    <row r="785" spans="1:6" x14ac:dyDescent="0.25">
      <c r="A785" s="9" t="s">
        <v>15</v>
      </c>
      <c r="B785" s="4">
        <v>45789</v>
      </c>
      <c r="C785" s="5">
        <v>65</v>
      </c>
      <c r="D785" s="9" t="s">
        <v>98</v>
      </c>
      <c r="E785" s="10">
        <v>80</v>
      </c>
      <c r="F785" s="10">
        <f t="shared" si="7"/>
        <v>5200</v>
      </c>
    </row>
    <row r="786" spans="1:6" x14ac:dyDescent="0.25">
      <c r="F786" s="8">
        <f>SUM(F785)</f>
        <v>5200</v>
      </c>
    </row>
    <row r="787" spans="1:6" x14ac:dyDescent="0.25">
      <c r="F787" s="10"/>
    </row>
    <row r="788" spans="1:6" x14ac:dyDescent="0.25">
      <c r="A788" s="9" t="s">
        <v>211</v>
      </c>
      <c r="B788" s="4">
        <v>45789</v>
      </c>
      <c r="C788" s="5">
        <v>15</v>
      </c>
      <c r="D788" s="9" t="s">
        <v>98</v>
      </c>
      <c r="E788" s="10">
        <v>100</v>
      </c>
      <c r="F788" s="10">
        <f t="shared" ref="F788:F851" si="8">+C788*E788</f>
        <v>1500</v>
      </c>
    </row>
    <row r="789" spans="1:6" x14ac:dyDescent="0.25">
      <c r="F789" s="8">
        <f>SUM(F788)</f>
        <v>1500</v>
      </c>
    </row>
    <row r="790" spans="1:6" x14ac:dyDescent="0.25">
      <c r="F790" s="10"/>
    </row>
    <row r="791" spans="1:6" x14ac:dyDescent="0.25">
      <c r="A791" s="9" t="s">
        <v>58</v>
      </c>
      <c r="B791" s="4">
        <v>45789</v>
      </c>
      <c r="C791" s="5">
        <v>5</v>
      </c>
      <c r="D791" s="9" t="s">
        <v>542</v>
      </c>
      <c r="E791" s="10">
        <v>140</v>
      </c>
      <c r="F791" s="10">
        <f t="shared" si="8"/>
        <v>700</v>
      </c>
    </row>
    <row r="792" spans="1:6" x14ac:dyDescent="0.25">
      <c r="F792" s="8">
        <f>SUM(F791)</f>
        <v>700</v>
      </c>
    </row>
    <row r="793" spans="1:6" x14ac:dyDescent="0.25">
      <c r="F793" s="10"/>
    </row>
    <row r="794" spans="1:6" x14ac:dyDescent="0.25">
      <c r="A794" s="9" t="s">
        <v>79</v>
      </c>
      <c r="B794" s="4">
        <v>45789</v>
      </c>
      <c r="C794" s="5">
        <v>20</v>
      </c>
      <c r="D794" s="9" t="s">
        <v>13</v>
      </c>
      <c r="E794" s="10">
        <v>140</v>
      </c>
      <c r="F794" s="10">
        <f t="shared" si="8"/>
        <v>2800</v>
      </c>
    </row>
    <row r="795" spans="1:6" x14ac:dyDescent="0.25">
      <c r="F795" s="8">
        <f>SUM(F794)</f>
        <v>2800</v>
      </c>
    </row>
    <row r="796" spans="1:6" x14ac:dyDescent="0.25">
      <c r="F796" s="10"/>
    </row>
    <row r="797" spans="1:6" x14ac:dyDescent="0.25">
      <c r="A797" s="9" t="s">
        <v>21</v>
      </c>
      <c r="B797" s="4">
        <v>45789</v>
      </c>
      <c r="C797" s="5">
        <v>20</v>
      </c>
      <c r="D797" s="9" t="s">
        <v>13</v>
      </c>
      <c r="E797" s="10">
        <v>130</v>
      </c>
      <c r="F797" s="10">
        <f t="shared" si="8"/>
        <v>2600</v>
      </c>
    </row>
    <row r="798" spans="1:6" x14ac:dyDescent="0.25">
      <c r="C798" s="5">
        <v>20</v>
      </c>
      <c r="D798" s="9" t="s">
        <v>12</v>
      </c>
      <c r="E798" s="10">
        <v>120</v>
      </c>
      <c r="F798" s="10">
        <f t="shared" si="8"/>
        <v>2400</v>
      </c>
    </row>
    <row r="799" spans="1:6" x14ac:dyDescent="0.25">
      <c r="C799" s="5">
        <v>20</v>
      </c>
      <c r="D799" s="9" t="s">
        <v>22</v>
      </c>
      <c r="E799" s="10">
        <v>110</v>
      </c>
      <c r="F799" s="10">
        <f t="shared" si="8"/>
        <v>2200</v>
      </c>
    </row>
    <row r="800" spans="1:6" x14ac:dyDescent="0.25">
      <c r="C800" s="5">
        <v>10</v>
      </c>
      <c r="D800" s="9" t="s">
        <v>13</v>
      </c>
      <c r="E800" s="10">
        <v>125</v>
      </c>
      <c r="F800" s="10">
        <f t="shared" si="8"/>
        <v>1250</v>
      </c>
    </row>
    <row r="801" spans="1:6" x14ac:dyDescent="0.25">
      <c r="F801" s="8">
        <f>SUM(F797:F800)</f>
        <v>8450</v>
      </c>
    </row>
    <row r="802" spans="1:6" x14ac:dyDescent="0.25">
      <c r="F802" s="10"/>
    </row>
    <row r="803" spans="1:6" x14ac:dyDescent="0.25">
      <c r="A803" s="9" t="s">
        <v>20</v>
      </c>
      <c r="B803" s="4">
        <v>45789</v>
      </c>
      <c r="C803" s="5">
        <v>11</v>
      </c>
      <c r="D803" s="9" t="s">
        <v>13</v>
      </c>
      <c r="E803" s="10">
        <v>135</v>
      </c>
      <c r="F803" s="10">
        <f t="shared" si="8"/>
        <v>1485</v>
      </c>
    </row>
    <row r="804" spans="1:6" x14ac:dyDescent="0.25">
      <c r="F804" s="8">
        <f>SUM(F803)</f>
        <v>1485</v>
      </c>
    </row>
    <row r="805" spans="1:6" x14ac:dyDescent="0.25">
      <c r="F805" s="10"/>
    </row>
    <row r="806" spans="1:6" x14ac:dyDescent="0.25">
      <c r="A806" s="9" t="s">
        <v>181</v>
      </c>
      <c r="B806" s="4">
        <v>45789</v>
      </c>
      <c r="C806" s="11">
        <v>3.5</v>
      </c>
      <c r="D806" s="9" t="s">
        <v>13</v>
      </c>
      <c r="E806" s="10">
        <v>135</v>
      </c>
      <c r="F806" s="10">
        <f t="shared" si="8"/>
        <v>472.5</v>
      </c>
    </row>
    <row r="807" spans="1:6" x14ac:dyDescent="0.25">
      <c r="F807" s="8">
        <f>SUM(F806)</f>
        <v>472.5</v>
      </c>
    </row>
    <row r="808" spans="1:6" x14ac:dyDescent="0.25">
      <c r="F808" s="10"/>
    </row>
    <row r="809" spans="1:6" x14ac:dyDescent="0.25">
      <c r="A809" s="9" t="s">
        <v>85</v>
      </c>
      <c r="B809" s="4">
        <v>45789</v>
      </c>
      <c r="C809" s="5">
        <v>10</v>
      </c>
      <c r="D809" s="9" t="s">
        <v>13</v>
      </c>
      <c r="E809" s="10">
        <v>140</v>
      </c>
      <c r="F809" s="10">
        <f t="shared" si="8"/>
        <v>1400</v>
      </c>
    </row>
    <row r="810" spans="1:6" x14ac:dyDescent="0.25">
      <c r="F810" s="8">
        <f>SUM(F809)</f>
        <v>1400</v>
      </c>
    </row>
    <row r="811" spans="1:6" x14ac:dyDescent="0.25">
      <c r="F811" s="10"/>
    </row>
    <row r="812" spans="1:6" x14ac:dyDescent="0.25">
      <c r="A812" s="9" t="s">
        <v>41</v>
      </c>
      <c r="B812" s="4">
        <v>45789</v>
      </c>
      <c r="C812" s="5">
        <v>20</v>
      </c>
      <c r="D812" s="9" t="s">
        <v>14</v>
      </c>
      <c r="E812" s="10">
        <v>130</v>
      </c>
      <c r="F812" s="10">
        <f t="shared" si="8"/>
        <v>2600</v>
      </c>
    </row>
    <row r="813" spans="1:6" x14ac:dyDescent="0.25">
      <c r="F813" s="8">
        <f>SUM(F812)</f>
        <v>2600</v>
      </c>
    </row>
    <row r="814" spans="1:6" x14ac:dyDescent="0.25">
      <c r="F814" s="10"/>
    </row>
    <row r="815" spans="1:6" x14ac:dyDescent="0.25">
      <c r="A815" s="9" t="s">
        <v>45</v>
      </c>
      <c r="B815" s="4">
        <v>45789</v>
      </c>
      <c r="C815" s="5">
        <v>11</v>
      </c>
      <c r="D815" s="9" t="s">
        <v>14</v>
      </c>
      <c r="E815" s="10">
        <v>125</v>
      </c>
      <c r="F815" s="10">
        <f t="shared" si="8"/>
        <v>1375</v>
      </c>
    </row>
    <row r="816" spans="1:6" x14ac:dyDescent="0.25">
      <c r="F816" s="8">
        <f>SUM(F815)</f>
        <v>1375</v>
      </c>
    </row>
    <row r="817" spans="1:6" x14ac:dyDescent="0.25">
      <c r="F817" s="10"/>
    </row>
    <row r="818" spans="1:6" x14ac:dyDescent="0.25">
      <c r="A818" s="9" t="s">
        <v>251</v>
      </c>
      <c r="B818" s="4">
        <v>45789</v>
      </c>
      <c r="C818" s="5">
        <v>60</v>
      </c>
      <c r="D818" s="9" t="s">
        <v>12</v>
      </c>
      <c r="E818" s="10">
        <v>120</v>
      </c>
      <c r="F818" s="10">
        <f t="shared" si="8"/>
        <v>7200</v>
      </c>
    </row>
    <row r="819" spans="1:6" x14ac:dyDescent="0.25">
      <c r="F819" s="8">
        <f>SUM(F818)</f>
        <v>7200</v>
      </c>
    </row>
    <row r="820" spans="1:6" x14ac:dyDescent="0.25">
      <c r="F820" s="10"/>
    </row>
    <row r="821" spans="1:6" x14ac:dyDescent="0.25">
      <c r="A821" s="9" t="s">
        <v>43</v>
      </c>
      <c r="B821" s="4">
        <v>45789</v>
      </c>
      <c r="C821" s="5">
        <v>30</v>
      </c>
      <c r="D821" s="9" t="s">
        <v>49</v>
      </c>
      <c r="E821" s="10">
        <v>135</v>
      </c>
      <c r="F821" s="10">
        <f t="shared" si="8"/>
        <v>4050</v>
      </c>
    </row>
    <row r="822" spans="1:6" x14ac:dyDescent="0.25">
      <c r="F822" s="8">
        <f>SUM(F821)</f>
        <v>4050</v>
      </c>
    </row>
    <row r="823" spans="1:6" x14ac:dyDescent="0.25">
      <c r="F823" s="10"/>
    </row>
    <row r="824" spans="1:6" x14ac:dyDescent="0.25">
      <c r="A824" s="9" t="s">
        <v>42</v>
      </c>
      <c r="B824" s="4">
        <v>45789</v>
      </c>
      <c r="C824" s="5">
        <v>10</v>
      </c>
      <c r="D824" s="9" t="s">
        <v>14</v>
      </c>
      <c r="E824" s="10">
        <v>120</v>
      </c>
      <c r="F824" s="10">
        <f t="shared" si="8"/>
        <v>1200</v>
      </c>
    </row>
    <row r="825" spans="1:6" x14ac:dyDescent="0.25">
      <c r="F825" s="8">
        <f>SUM(F824)</f>
        <v>1200</v>
      </c>
    </row>
    <row r="826" spans="1:6" x14ac:dyDescent="0.25">
      <c r="F826" s="10"/>
    </row>
    <row r="827" spans="1:6" x14ac:dyDescent="0.25">
      <c r="A827" s="9" t="s">
        <v>44</v>
      </c>
      <c r="B827" s="4">
        <v>45789</v>
      </c>
      <c r="C827" s="5">
        <v>60</v>
      </c>
      <c r="D827" s="9" t="s">
        <v>14</v>
      </c>
      <c r="E827" s="10">
        <v>125</v>
      </c>
      <c r="F827" s="10">
        <f t="shared" si="8"/>
        <v>7500</v>
      </c>
    </row>
    <row r="828" spans="1:6" x14ac:dyDescent="0.25">
      <c r="F828" s="8">
        <f>SUM(F827)</f>
        <v>7500</v>
      </c>
    </row>
    <row r="829" spans="1:6" x14ac:dyDescent="0.25">
      <c r="F829" s="10"/>
    </row>
    <row r="830" spans="1:6" x14ac:dyDescent="0.25">
      <c r="A830" s="9" t="s">
        <v>18</v>
      </c>
      <c r="B830" s="4">
        <v>45789</v>
      </c>
      <c r="C830" s="5">
        <v>20</v>
      </c>
      <c r="D830" s="9" t="s">
        <v>14</v>
      </c>
      <c r="E830" s="10">
        <v>125</v>
      </c>
      <c r="F830" s="10">
        <f t="shared" si="8"/>
        <v>2500</v>
      </c>
    </row>
    <row r="831" spans="1:6" x14ac:dyDescent="0.25">
      <c r="F831" s="8">
        <f>SUM(F830)</f>
        <v>2500</v>
      </c>
    </row>
    <row r="832" spans="1:6" x14ac:dyDescent="0.25">
      <c r="F832" s="10"/>
    </row>
    <row r="833" spans="1:6" x14ac:dyDescent="0.25">
      <c r="A833" s="9" t="s">
        <v>138</v>
      </c>
      <c r="B833" s="4">
        <v>45789</v>
      </c>
      <c r="C833" s="5">
        <v>15</v>
      </c>
      <c r="D833" s="9" t="s">
        <v>14</v>
      </c>
      <c r="E833" s="10">
        <v>125</v>
      </c>
      <c r="F833" s="10">
        <f t="shared" si="8"/>
        <v>1875</v>
      </c>
    </row>
    <row r="834" spans="1:6" x14ac:dyDescent="0.25">
      <c r="F834" s="8">
        <f>SUM(F833)</f>
        <v>1875</v>
      </c>
    </row>
    <row r="835" spans="1:6" x14ac:dyDescent="0.25">
      <c r="F835" s="10"/>
    </row>
    <row r="836" spans="1:6" x14ac:dyDescent="0.25">
      <c r="A836" s="9" t="s">
        <v>145</v>
      </c>
      <c r="B836" s="4">
        <v>45789</v>
      </c>
      <c r="C836" s="5">
        <v>40</v>
      </c>
      <c r="D836" s="9" t="s">
        <v>14</v>
      </c>
      <c r="E836" s="10">
        <v>1230</v>
      </c>
      <c r="F836" s="10">
        <f t="shared" si="8"/>
        <v>49200</v>
      </c>
    </row>
    <row r="837" spans="1:6" x14ac:dyDescent="0.25">
      <c r="F837" s="8">
        <f>SUM(F836)</f>
        <v>49200</v>
      </c>
    </row>
    <row r="838" spans="1:6" x14ac:dyDescent="0.25">
      <c r="F838" s="10"/>
    </row>
    <row r="839" spans="1:6" x14ac:dyDescent="0.25">
      <c r="A839" s="9" t="s">
        <v>455</v>
      </c>
      <c r="B839" s="4">
        <v>45789</v>
      </c>
      <c r="C839" s="5">
        <v>200</v>
      </c>
      <c r="D839" s="9" t="s">
        <v>14</v>
      </c>
      <c r="F839" s="10">
        <f t="shared" si="8"/>
        <v>0</v>
      </c>
    </row>
    <row r="840" spans="1:6" x14ac:dyDescent="0.25">
      <c r="F840" s="8">
        <f>SUM(F839)</f>
        <v>0</v>
      </c>
    </row>
    <row r="841" spans="1:6" x14ac:dyDescent="0.25">
      <c r="F841" s="10"/>
    </row>
    <row r="842" spans="1:6" x14ac:dyDescent="0.25">
      <c r="A842" s="9" t="s">
        <v>578</v>
      </c>
      <c r="B842" s="4">
        <v>45789</v>
      </c>
      <c r="C842" s="5">
        <v>20</v>
      </c>
      <c r="D842" s="9" t="s">
        <v>579</v>
      </c>
      <c r="E842" s="10">
        <v>105</v>
      </c>
      <c r="F842" s="10">
        <f t="shared" si="8"/>
        <v>2100</v>
      </c>
    </row>
    <row r="843" spans="1:6" x14ac:dyDescent="0.25">
      <c r="F843" s="8">
        <f>SUM(F842)</f>
        <v>2100</v>
      </c>
    </row>
    <row r="844" spans="1:6" x14ac:dyDescent="0.25">
      <c r="F844" s="10"/>
    </row>
    <row r="845" spans="1:6" x14ac:dyDescent="0.25">
      <c r="A845" s="9" t="s">
        <v>89</v>
      </c>
      <c r="B845" s="4">
        <v>45789</v>
      </c>
      <c r="C845" s="5">
        <v>10</v>
      </c>
      <c r="D845" s="9" t="s">
        <v>13</v>
      </c>
      <c r="E845" s="10">
        <v>130</v>
      </c>
      <c r="F845" s="10">
        <f t="shared" si="8"/>
        <v>1300</v>
      </c>
    </row>
    <row r="846" spans="1:6" x14ac:dyDescent="0.25">
      <c r="C846" s="5">
        <v>20</v>
      </c>
      <c r="D846" s="9" t="s">
        <v>12</v>
      </c>
      <c r="E846" s="10">
        <v>115</v>
      </c>
      <c r="F846" s="10">
        <f t="shared" si="8"/>
        <v>2300</v>
      </c>
    </row>
    <row r="847" spans="1:6" x14ac:dyDescent="0.25">
      <c r="C847" s="5">
        <v>20</v>
      </c>
      <c r="D847" s="9" t="s">
        <v>22</v>
      </c>
      <c r="E847" s="10">
        <v>100</v>
      </c>
      <c r="F847" s="10">
        <f t="shared" si="8"/>
        <v>2000</v>
      </c>
    </row>
    <row r="848" spans="1:6" x14ac:dyDescent="0.25">
      <c r="C848" s="5">
        <v>20</v>
      </c>
      <c r="D848" s="9" t="s">
        <v>11</v>
      </c>
      <c r="E848" s="10">
        <v>110</v>
      </c>
      <c r="F848" s="10">
        <f t="shared" si="8"/>
        <v>2200</v>
      </c>
    </row>
    <row r="849" spans="1:6" x14ac:dyDescent="0.25">
      <c r="F849" s="8">
        <f>SUM(F845:F848)</f>
        <v>7800</v>
      </c>
    </row>
    <row r="850" spans="1:6" x14ac:dyDescent="0.25">
      <c r="F850" s="10"/>
    </row>
    <row r="851" spans="1:6" x14ac:dyDescent="0.25">
      <c r="A851" s="9" t="s">
        <v>61</v>
      </c>
      <c r="B851" s="4">
        <v>45789</v>
      </c>
      <c r="C851" s="5">
        <v>150</v>
      </c>
      <c r="D851" s="9" t="s">
        <v>13</v>
      </c>
      <c r="E851" s="10">
        <v>130</v>
      </c>
      <c r="F851" s="10">
        <f t="shared" si="8"/>
        <v>19500</v>
      </c>
    </row>
    <row r="852" spans="1:6" x14ac:dyDescent="0.25">
      <c r="F852" s="8">
        <f>SUM(F851)</f>
        <v>19500</v>
      </c>
    </row>
    <row r="853" spans="1:6" x14ac:dyDescent="0.25">
      <c r="F853" s="10"/>
    </row>
    <row r="854" spans="1:6" x14ac:dyDescent="0.25">
      <c r="A854" s="9" t="s">
        <v>580</v>
      </c>
      <c r="B854" s="4">
        <v>45789</v>
      </c>
      <c r="C854" s="5">
        <v>10</v>
      </c>
      <c r="D854" s="9" t="s">
        <v>8</v>
      </c>
      <c r="E854" s="10">
        <v>145</v>
      </c>
      <c r="F854" s="10">
        <f t="shared" ref="F854:F914" si="9">+C854*E854</f>
        <v>1450</v>
      </c>
    </row>
    <row r="855" spans="1:6" x14ac:dyDescent="0.25">
      <c r="F855" s="8">
        <f>SUM(F854)</f>
        <v>1450</v>
      </c>
    </row>
    <row r="856" spans="1:6" x14ac:dyDescent="0.25">
      <c r="F856" s="10"/>
    </row>
    <row r="857" spans="1:6" x14ac:dyDescent="0.25">
      <c r="A857" s="9" t="s">
        <v>101</v>
      </c>
      <c r="B857" s="4">
        <v>45789</v>
      </c>
      <c r="C857" s="5">
        <v>1</v>
      </c>
      <c r="D857" s="9" t="s">
        <v>13</v>
      </c>
      <c r="E857" s="10">
        <v>160</v>
      </c>
      <c r="F857" s="10">
        <f t="shared" si="9"/>
        <v>160</v>
      </c>
    </row>
    <row r="858" spans="1:6" x14ac:dyDescent="0.25">
      <c r="C858" s="5">
        <v>2</v>
      </c>
      <c r="D858" s="9" t="s">
        <v>12</v>
      </c>
      <c r="E858" s="10">
        <v>140</v>
      </c>
      <c r="F858" s="10">
        <f t="shared" si="9"/>
        <v>280</v>
      </c>
    </row>
    <row r="859" spans="1:6" x14ac:dyDescent="0.25">
      <c r="C859" s="5">
        <v>1</v>
      </c>
      <c r="D859" s="9" t="s">
        <v>49</v>
      </c>
      <c r="E859" s="10">
        <v>170</v>
      </c>
      <c r="F859" s="10">
        <f t="shared" si="9"/>
        <v>170</v>
      </c>
    </row>
    <row r="860" spans="1:6" x14ac:dyDescent="0.25">
      <c r="C860" s="5">
        <v>1</v>
      </c>
      <c r="D860" s="9" t="s">
        <v>8</v>
      </c>
      <c r="E860" s="10">
        <v>170</v>
      </c>
      <c r="F860" s="10">
        <f t="shared" si="9"/>
        <v>170</v>
      </c>
    </row>
    <row r="861" spans="1:6" x14ac:dyDescent="0.25">
      <c r="C861" s="5">
        <v>1</v>
      </c>
      <c r="D861" s="9" t="s">
        <v>13</v>
      </c>
      <c r="E861" s="10">
        <v>160</v>
      </c>
      <c r="F861" s="10">
        <f t="shared" si="9"/>
        <v>160</v>
      </c>
    </row>
    <row r="862" spans="1:6" x14ac:dyDescent="0.25">
      <c r="C862" s="5">
        <v>3</v>
      </c>
      <c r="D862" s="9" t="s">
        <v>8</v>
      </c>
      <c r="E862" s="10">
        <v>150</v>
      </c>
      <c r="F862" s="10">
        <f t="shared" si="9"/>
        <v>450</v>
      </c>
    </row>
    <row r="863" spans="1:6" x14ac:dyDescent="0.25">
      <c r="F863" s="8">
        <f>SUM(F857:F862)</f>
        <v>1390</v>
      </c>
    </row>
    <row r="864" spans="1:6" x14ac:dyDescent="0.25">
      <c r="F864" s="10"/>
    </row>
    <row r="865" spans="1:6" x14ac:dyDescent="0.25">
      <c r="A865" s="9" t="s">
        <v>581</v>
      </c>
      <c r="B865" s="4">
        <v>45789</v>
      </c>
      <c r="C865" s="5">
        <v>1</v>
      </c>
      <c r="D865" s="9" t="s">
        <v>8</v>
      </c>
      <c r="E865" s="10">
        <v>160</v>
      </c>
      <c r="F865" s="10">
        <f t="shared" si="9"/>
        <v>160</v>
      </c>
    </row>
    <row r="866" spans="1:6" x14ac:dyDescent="0.25">
      <c r="C866" s="5">
        <v>2</v>
      </c>
      <c r="D866" s="9" t="s">
        <v>8</v>
      </c>
      <c r="E866" s="10">
        <v>170</v>
      </c>
      <c r="F866" s="10">
        <f t="shared" si="9"/>
        <v>340</v>
      </c>
    </row>
    <row r="867" spans="1:6" x14ac:dyDescent="0.25">
      <c r="F867" s="8">
        <f>SUM(F865:F866)</f>
        <v>500</v>
      </c>
    </row>
    <row r="868" spans="1:6" x14ac:dyDescent="0.25">
      <c r="F868" s="10"/>
    </row>
    <row r="869" spans="1:6" x14ac:dyDescent="0.25">
      <c r="A869" s="9" t="s">
        <v>112</v>
      </c>
      <c r="B869" s="4">
        <v>45790</v>
      </c>
      <c r="C869" s="5">
        <v>100</v>
      </c>
      <c r="D869" s="9" t="s">
        <v>22</v>
      </c>
      <c r="E869" s="10">
        <v>90</v>
      </c>
      <c r="F869" s="10">
        <f t="shared" si="9"/>
        <v>9000</v>
      </c>
    </row>
    <row r="870" spans="1:6" x14ac:dyDescent="0.25">
      <c r="C870" s="5">
        <v>40</v>
      </c>
      <c r="D870" s="9" t="s">
        <v>50</v>
      </c>
      <c r="E870" s="10">
        <v>85</v>
      </c>
      <c r="F870" s="10">
        <f t="shared" si="9"/>
        <v>3400</v>
      </c>
    </row>
    <row r="871" spans="1:6" x14ac:dyDescent="0.25">
      <c r="C871" s="5">
        <v>40</v>
      </c>
      <c r="D871" s="9" t="s">
        <v>14</v>
      </c>
      <c r="E871" s="10">
        <v>110</v>
      </c>
      <c r="F871" s="10">
        <f t="shared" si="9"/>
        <v>4400</v>
      </c>
    </row>
    <row r="872" spans="1:6" x14ac:dyDescent="0.25">
      <c r="F872" s="8">
        <f>SUM(F869:F871)</f>
        <v>16800</v>
      </c>
    </row>
    <row r="873" spans="1:6" x14ac:dyDescent="0.25">
      <c r="F873" s="10"/>
    </row>
    <row r="874" spans="1:6" x14ac:dyDescent="0.25">
      <c r="A874" s="9" t="s">
        <v>112</v>
      </c>
      <c r="B874" s="4">
        <v>45790</v>
      </c>
      <c r="C874" s="5">
        <v>7</v>
      </c>
      <c r="D874" s="9" t="s">
        <v>13</v>
      </c>
      <c r="E874" s="10">
        <v>140</v>
      </c>
      <c r="F874" s="10">
        <f t="shared" si="9"/>
        <v>980</v>
      </c>
    </row>
    <row r="875" spans="1:6" x14ac:dyDescent="0.25">
      <c r="F875" s="8">
        <f>SUM(F874)</f>
        <v>980</v>
      </c>
    </row>
    <row r="876" spans="1:6" x14ac:dyDescent="0.25">
      <c r="F876" s="10"/>
    </row>
    <row r="877" spans="1:6" x14ac:dyDescent="0.25">
      <c r="A877" s="9" t="s">
        <v>582</v>
      </c>
      <c r="B877" s="4">
        <v>45790</v>
      </c>
      <c r="C877" s="5">
        <v>166</v>
      </c>
      <c r="D877" s="9" t="s">
        <v>50</v>
      </c>
      <c r="E877" s="10">
        <v>75</v>
      </c>
      <c r="F877" s="10">
        <f t="shared" si="9"/>
        <v>12450</v>
      </c>
    </row>
    <row r="878" spans="1:6" x14ac:dyDescent="0.25">
      <c r="C878" s="5">
        <v>24</v>
      </c>
      <c r="D878" s="9" t="s">
        <v>566</v>
      </c>
      <c r="E878" s="10">
        <v>75</v>
      </c>
      <c r="F878" s="10">
        <f t="shared" si="9"/>
        <v>1800</v>
      </c>
    </row>
    <row r="879" spans="1:6" x14ac:dyDescent="0.25">
      <c r="C879" s="5">
        <v>150</v>
      </c>
      <c r="D879" s="9" t="s">
        <v>11</v>
      </c>
      <c r="E879" s="10">
        <v>112</v>
      </c>
      <c r="F879" s="10">
        <f t="shared" si="9"/>
        <v>16800</v>
      </c>
    </row>
    <row r="880" spans="1:6" x14ac:dyDescent="0.25">
      <c r="C880" s="5">
        <v>250</v>
      </c>
      <c r="D880" s="9" t="s">
        <v>14</v>
      </c>
      <c r="E880" s="10">
        <v>117</v>
      </c>
      <c r="F880" s="10">
        <f t="shared" si="9"/>
        <v>29250</v>
      </c>
    </row>
    <row r="881" spans="1:6" x14ac:dyDescent="0.25">
      <c r="F881" s="8">
        <f>SUM(F877:F880)</f>
        <v>60300</v>
      </c>
    </row>
    <row r="882" spans="1:6" x14ac:dyDescent="0.25">
      <c r="F882" s="10"/>
    </row>
    <row r="883" spans="1:6" x14ac:dyDescent="0.25">
      <c r="A883" s="9" t="s">
        <v>48</v>
      </c>
      <c r="B883" s="4">
        <v>45790</v>
      </c>
      <c r="C883" s="5">
        <v>109</v>
      </c>
      <c r="D883" s="9" t="s">
        <v>49</v>
      </c>
      <c r="F883" s="10">
        <f t="shared" si="9"/>
        <v>0</v>
      </c>
    </row>
    <row r="884" spans="1:6" x14ac:dyDescent="0.25">
      <c r="C884" s="5">
        <v>200</v>
      </c>
      <c r="D884" s="9" t="s">
        <v>14</v>
      </c>
      <c r="F884" s="10">
        <f t="shared" si="9"/>
        <v>0</v>
      </c>
    </row>
    <row r="885" spans="1:6" x14ac:dyDescent="0.25">
      <c r="C885" s="5">
        <v>82</v>
      </c>
      <c r="D885" s="9" t="s">
        <v>11</v>
      </c>
      <c r="F885" s="10">
        <f t="shared" si="9"/>
        <v>0</v>
      </c>
    </row>
    <row r="886" spans="1:6" x14ac:dyDescent="0.25">
      <c r="C886" s="5">
        <v>33</v>
      </c>
      <c r="D886" s="9" t="s">
        <v>583</v>
      </c>
      <c r="F886" s="10">
        <f t="shared" si="9"/>
        <v>0</v>
      </c>
    </row>
    <row r="887" spans="1:6" x14ac:dyDescent="0.25">
      <c r="F887" s="8">
        <f>SUM(F883:F886)</f>
        <v>0</v>
      </c>
    </row>
    <row r="888" spans="1:6" x14ac:dyDescent="0.25">
      <c r="F888" s="10"/>
    </row>
    <row r="889" spans="1:6" x14ac:dyDescent="0.25">
      <c r="A889" s="9" t="s">
        <v>103</v>
      </c>
      <c r="B889" s="4">
        <v>45790</v>
      </c>
      <c r="C889" s="5">
        <v>4</v>
      </c>
      <c r="D889" s="9" t="s">
        <v>13</v>
      </c>
      <c r="E889" s="10">
        <v>150</v>
      </c>
      <c r="F889" s="10">
        <f t="shared" si="9"/>
        <v>600</v>
      </c>
    </row>
    <row r="890" spans="1:6" x14ac:dyDescent="0.25">
      <c r="F890" s="8">
        <f>SUM(F889)</f>
        <v>600</v>
      </c>
    </row>
    <row r="891" spans="1:6" x14ac:dyDescent="0.25">
      <c r="F891" s="10"/>
    </row>
    <row r="892" spans="1:6" x14ac:dyDescent="0.25">
      <c r="A892" s="9" t="s">
        <v>584</v>
      </c>
      <c r="B892" s="4">
        <v>45790</v>
      </c>
      <c r="C892" s="5">
        <v>2</v>
      </c>
      <c r="D892" s="9" t="s">
        <v>8</v>
      </c>
      <c r="E892" s="10">
        <v>170</v>
      </c>
      <c r="F892" s="10">
        <f t="shared" si="9"/>
        <v>340</v>
      </c>
    </row>
    <row r="893" spans="1:6" x14ac:dyDescent="0.25">
      <c r="F893" s="8">
        <f>SUM(F892)</f>
        <v>340</v>
      </c>
    </row>
    <row r="894" spans="1:6" x14ac:dyDescent="0.25">
      <c r="F894" s="10"/>
    </row>
    <row r="895" spans="1:6" x14ac:dyDescent="0.25">
      <c r="A895" s="9" t="s">
        <v>26</v>
      </c>
      <c r="B895" s="4">
        <v>45790</v>
      </c>
      <c r="C895" s="5">
        <v>90</v>
      </c>
      <c r="D895" s="9" t="s">
        <v>13</v>
      </c>
      <c r="E895" s="10">
        <v>140</v>
      </c>
      <c r="F895" s="10">
        <f t="shared" si="9"/>
        <v>12600</v>
      </c>
    </row>
    <row r="896" spans="1:6" x14ac:dyDescent="0.25">
      <c r="C896" s="5">
        <v>10</v>
      </c>
      <c r="D896" s="9" t="s">
        <v>14</v>
      </c>
      <c r="E896" s="10">
        <v>130</v>
      </c>
      <c r="F896" s="10">
        <f t="shared" si="9"/>
        <v>1300</v>
      </c>
    </row>
    <row r="897" spans="1:6" x14ac:dyDescent="0.25">
      <c r="C897" s="5">
        <v>3</v>
      </c>
      <c r="D897" s="9" t="s">
        <v>585</v>
      </c>
      <c r="F897" s="13">
        <f t="shared" si="9"/>
        <v>0</v>
      </c>
    </row>
    <row r="898" spans="1:6" x14ac:dyDescent="0.25">
      <c r="F898" s="8">
        <f>SUM(F895:F897)</f>
        <v>13900</v>
      </c>
    </row>
    <row r="899" spans="1:6" x14ac:dyDescent="0.25">
      <c r="F899" s="10"/>
    </row>
    <row r="900" spans="1:6" x14ac:dyDescent="0.25">
      <c r="A900" s="9" t="s">
        <v>191</v>
      </c>
      <c r="B900" s="4">
        <v>45790</v>
      </c>
      <c r="C900" s="5">
        <v>200</v>
      </c>
      <c r="D900" s="9" t="s">
        <v>14</v>
      </c>
      <c r="E900" s="10">
        <v>115</v>
      </c>
      <c r="F900" s="10">
        <f t="shared" si="9"/>
        <v>23000</v>
      </c>
    </row>
    <row r="901" spans="1:6" x14ac:dyDescent="0.25">
      <c r="C901" s="5">
        <v>100</v>
      </c>
      <c r="D901" s="9" t="s">
        <v>13</v>
      </c>
      <c r="E901" s="10">
        <v>130</v>
      </c>
      <c r="F901" s="10">
        <f t="shared" si="9"/>
        <v>13000</v>
      </c>
    </row>
    <row r="902" spans="1:6" x14ac:dyDescent="0.25">
      <c r="C902" s="5">
        <v>200</v>
      </c>
      <c r="D902" s="9" t="s">
        <v>11</v>
      </c>
      <c r="E902" s="10">
        <v>105</v>
      </c>
      <c r="F902" s="10">
        <f t="shared" si="9"/>
        <v>21000</v>
      </c>
    </row>
    <row r="903" spans="1:6" x14ac:dyDescent="0.25">
      <c r="F903" s="8">
        <f>SUM(F900:F902)</f>
        <v>57000</v>
      </c>
    </row>
    <row r="904" spans="1:6" x14ac:dyDescent="0.25">
      <c r="F904" s="10"/>
    </row>
    <row r="905" spans="1:6" x14ac:dyDescent="0.25">
      <c r="A905" s="9" t="s">
        <v>255</v>
      </c>
      <c r="B905" s="4">
        <v>45790</v>
      </c>
      <c r="C905" s="5">
        <v>70</v>
      </c>
      <c r="D905" s="9" t="s">
        <v>8</v>
      </c>
      <c r="E905" s="10">
        <v>160</v>
      </c>
      <c r="F905" s="10">
        <f t="shared" si="9"/>
        <v>11200</v>
      </c>
    </row>
    <row r="906" spans="1:6" x14ac:dyDescent="0.25">
      <c r="F906" s="8">
        <f>SUM(F905)</f>
        <v>11200</v>
      </c>
    </row>
    <row r="907" spans="1:6" x14ac:dyDescent="0.25">
      <c r="F907" s="10"/>
    </row>
    <row r="908" spans="1:6" x14ac:dyDescent="0.25">
      <c r="A908" s="9" t="s">
        <v>111</v>
      </c>
      <c r="B908" s="4">
        <v>45790</v>
      </c>
      <c r="C908" s="5">
        <v>30</v>
      </c>
      <c r="D908" s="9" t="s">
        <v>13</v>
      </c>
      <c r="E908" s="10">
        <v>140</v>
      </c>
      <c r="F908" s="10">
        <f t="shared" si="9"/>
        <v>4200</v>
      </c>
    </row>
    <row r="909" spans="1:6" x14ac:dyDescent="0.25">
      <c r="F909" s="8">
        <f>SUM(F908)</f>
        <v>4200</v>
      </c>
    </row>
    <row r="910" spans="1:6" x14ac:dyDescent="0.25">
      <c r="F910" s="10"/>
    </row>
    <row r="911" spans="1:6" x14ac:dyDescent="0.25">
      <c r="A911" s="9" t="s">
        <v>61</v>
      </c>
      <c r="B911" s="4">
        <v>45790</v>
      </c>
      <c r="C911" s="5">
        <v>40</v>
      </c>
      <c r="D911" s="9" t="s">
        <v>13</v>
      </c>
      <c r="E911" s="10">
        <v>130</v>
      </c>
      <c r="F911" s="10">
        <f t="shared" si="9"/>
        <v>5200</v>
      </c>
    </row>
    <row r="912" spans="1:6" x14ac:dyDescent="0.25">
      <c r="F912" s="8">
        <f>SUM(F911)</f>
        <v>5200</v>
      </c>
    </row>
    <row r="913" spans="1:6" x14ac:dyDescent="0.25">
      <c r="F913" s="10"/>
    </row>
    <row r="914" spans="1:6" x14ac:dyDescent="0.25">
      <c r="A914" s="9" t="s">
        <v>117</v>
      </c>
      <c r="B914" s="4">
        <v>45790</v>
      </c>
      <c r="C914" s="5">
        <v>5</v>
      </c>
      <c r="D914" s="9" t="s">
        <v>13</v>
      </c>
      <c r="E914" s="10">
        <v>140</v>
      </c>
      <c r="F914" s="10">
        <f t="shared" si="9"/>
        <v>700</v>
      </c>
    </row>
    <row r="915" spans="1:6" x14ac:dyDescent="0.25">
      <c r="F915" s="8">
        <f>SUM(F914)</f>
        <v>700</v>
      </c>
    </row>
    <row r="916" spans="1:6" x14ac:dyDescent="0.25">
      <c r="F916" s="10"/>
    </row>
    <row r="917" spans="1:6" x14ac:dyDescent="0.25">
      <c r="A917" s="9" t="s">
        <v>586</v>
      </c>
      <c r="B917" s="4">
        <v>45790</v>
      </c>
      <c r="C917" s="5">
        <v>5</v>
      </c>
      <c r="D917" s="9" t="s">
        <v>12</v>
      </c>
      <c r="E917" s="10">
        <v>130</v>
      </c>
      <c r="F917" s="10">
        <f t="shared" ref="F917:F1019" si="10">+C917*E917</f>
        <v>650</v>
      </c>
    </row>
    <row r="918" spans="1:6" x14ac:dyDescent="0.25">
      <c r="F918" s="8">
        <f>SUM(F917)</f>
        <v>650</v>
      </c>
    </row>
    <row r="919" spans="1:6" x14ac:dyDescent="0.25">
      <c r="F919" s="10"/>
    </row>
    <row r="920" spans="1:6" x14ac:dyDescent="0.25">
      <c r="A920" s="9" t="s">
        <v>194</v>
      </c>
      <c r="B920" s="4">
        <v>45790</v>
      </c>
      <c r="C920" s="5">
        <v>870</v>
      </c>
      <c r="D920" s="9" t="s">
        <v>387</v>
      </c>
      <c r="E920" s="10">
        <v>108</v>
      </c>
      <c r="F920" s="10">
        <f t="shared" si="10"/>
        <v>93960</v>
      </c>
    </row>
    <row r="921" spans="1:6" x14ac:dyDescent="0.25">
      <c r="F921" s="8">
        <f>SUM(F920)</f>
        <v>93960</v>
      </c>
    </row>
    <row r="922" spans="1:6" x14ac:dyDescent="0.25">
      <c r="F922" s="10"/>
    </row>
    <row r="923" spans="1:6" x14ac:dyDescent="0.25">
      <c r="A923" s="9" t="s">
        <v>535</v>
      </c>
      <c r="B923" s="4">
        <v>45790</v>
      </c>
      <c r="C923" s="5">
        <v>6</v>
      </c>
      <c r="D923" s="9" t="s">
        <v>12</v>
      </c>
      <c r="E923" s="10">
        <v>130</v>
      </c>
      <c r="F923" s="10">
        <f t="shared" si="10"/>
        <v>780</v>
      </c>
    </row>
    <row r="924" spans="1:6" x14ac:dyDescent="0.25">
      <c r="C924" s="5">
        <v>42</v>
      </c>
      <c r="D924" s="9" t="s">
        <v>13</v>
      </c>
      <c r="E924" s="10">
        <v>140</v>
      </c>
      <c r="F924" s="10">
        <f t="shared" si="10"/>
        <v>5880</v>
      </c>
    </row>
    <row r="925" spans="1:6" x14ac:dyDescent="0.25">
      <c r="C925" s="5">
        <v>7</v>
      </c>
      <c r="D925" s="9" t="s">
        <v>14</v>
      </c>
      <c r="E925" s="10">
        <v>125</v>
      </c>
      <c r="F925" s="10">
        <f t="shared" si="10"/>
        <v>875</v>
      </c>
    </row>
    <row r="926" spans="1:6" x14ac:dyDescent="0.25">
      <c r="B926" s="4"/>
      <c r="C926" s="5">
        <v>7</v>
      </c>
      <c r="D926" s="9" t="s">
        <v>8</v>
      </c>
      <c r="E926" s="10">
        <v>160</v>
      </c>
      <c r="F926" s="10">
        <f t="shared" si="10"/>
        <v>1120</v>
      </c>
    </row>
    <row r="927" spans="1:6" x14ac:dyDescent="0.25">
      <c r="C927" s="5">
        <v>5</v>
      </c>
      <c r="D927" s="9" t="s">
        <v>49</v>
      </c>
      <c r="E927" s="10">
        <v>155</v>
      </c>
      <c r="F927" s="10">
        <f t="shared" si="10"/>
        <v>775</v>
      </c>
    </row>
    <row r="928" spans="1:6" x14ac:dyDescent="0.25">
      <c r="F928" s="8">
        <f>SUM(F923:F927)</f>
        <v>9430</v>
      </c>
    </row>
    <row r="929" spans="1:6" x14ac:dyDescent="0.25">
      <c r="F929" s="10"/>
    </row>
    <row r="930" spans="1:6" x14ac:dyDescent="0.25">
      <c r="A930" s="9" t="s">
        <v>259</v>
      </c>
      <c r="B930" s="4">
        <v>45790</v>
      </c>
      <c r="C930" s="5">
        <v>500</v>
      </c>
      <c r="D930" s="9" t="s">
        <v>14</v>
      </c>
      <c r="F930" s="10">
        <f t="shared" si="10"/>
        <v>0</v>
      </c>
    </row>
    <row r="931" spans="1:6" x14ac:dyDescent="0.25">
      <c r="C931" s="5">
        <v>50</v>
      </c>
      <c r="D931" s="9" t="s">
        <v>98</v>
      </c>
      <c r="F931" s="10">
        <f t="shared" si="10"/>
        <v>0</v>
      </c>
    </row>
    <row r="932" spans="1:6" x14ac:dyDescent="0.25">
      <c r="C932" s="5">
        <v>100</v>
      </c>
      <c r="D932" s="9" t="s">
        <v>606</v>
      </c>
      <c r="F932" s="10">
        <f t="shared" si="10"/>
        <v>0</v>
      </c>
    </row>
    <row r="933" spans="1:6" x14ac:dyDescent="0.25">
      <c r="F933" s="8">
        <f>SUM(F930:F932)</f>
        <v>0</v>
      </c>
    </row>
    <row r="934" spans="1:6" x14ac:dyDescent="0.25">
      <c r="F934" s="10"/>
    </row>
    <row r="935" spans="1:6" x14ac:dyDescent="0.25">
      <c r="A935" s="9" t="s">
        <v>29</v>
      </c>
      <c r="B935" s="4">
        <v>45790</v>
      </c>
      <c r="C935" s="5">
        <v>2</v>
      </c>
      <c r="D935" s="9" t="s">
        <v>13</v>
      </c>
      <c r="E935" s="10">
        <v>160</v>
      </c>
      <c r="F935" s="10">
        <f t="shared" si="10"/>
        <v>320</v>
      </c>
    </row>
    <row r="936" spans="1:6" x14ac:dyDescent="0.25">
      <c r="C936" s="5">
        <v>2</v>
      </c>
      <c r="D936" s="9" t="s">
        <v>13</v>
      </c>
      <c r="E936" s="10">
        <v>140</v>
      </c>
      <c r="F936" s="10">
        <f t="shared" si="10"/>
        <v>280</v>
      </c>
    </row>
    <row r="937" spans="1:6" x14ac:dyDescent="0.25">
      <c r="B937" s="4"/>
      <c r="C937" s="5">
        <v>1</v>
      </c>
      <c r="D937" s="9" t="s">
        <v>12</v>
      </c>
      <c r="E937" s="10">
        <v>150</v>
      </c>
      <c r="F937" s="10">
        <f t="shared" si="10"/>
        <v>150</v>
      </c>
    </row>
    <row r="938" spans="1:6" x14ac:dyDescent="0.25">
      <c r="C938" s="5">
        <v>10</v>
      </c>
      <c r="D938" s="9" t="s">
        <v>168</v>
      </c>
      <c r="E938" s="10">
        <v>135</v>
      </c>
      <c r="F938" s="10">
        <f t="shared" si="10"/>
        <v>1350</v>
      </c>
    </row>
    <row r="939" spans="1:6" x14ac:dyDescent="0.25">
      <c r="F939" s="8">
        <f>SUM(F935:F938)</f>
        <v>2100</v>
      </c>
    </row>
    <row r="940" spans="1:6" x14ac:dyDescent="0.25">
      <c r="F940" s="10"/>
    </row>
    <row r="941" spans="1:6" x14ac:dyDescent="0.25">
      <c r="A941" s="9" t="s">
        <v>181</v>
      </c>
      <c r="B941" s="4">
        <v>45790</v>
      </c>
      <c r="C941" s="5">
        <v>2</v>
      </c>
      <c r="D941" s="9" t="s">
        <v>600</v>
      </c>
      <c r="E941" s="10">
        <v>140</v>
      </c>
      <c r="F941" s="10">
        <f t="shared" si="10"/>
        <v>280</v>
      </c>
    </row>
    <row r="942" spans="1:6" x14ac:dyDescent="0.25">
      <c r="C942" s="5">
        <v>2</v>
      </c>
      <c r="D942" s="9" t="s">
        <v>75</v>
      </c>
      <c r="E942" s="10">
        <v>150</v>
      </c>
      <c r="F942" s="10">
        <f t="shared" si="10"/>
        <v>300</v>
      </c>
    </row>
    <row r="943" spans="1:6" x14ac:dyDescent="0.25">
      <c r="B943" s="4"/>
      <c r="F943" s="8">
        <f>SUM(F941:F942)</f>
        <v>580</v>
      </c>
    </row>
    <row r="944" spans="1:6" x14ac:dyDescent="0.25">
      <c r="F944" s="10"/>
    </row>
    <row r="945" spans="1:6" x14ac:dyDescent="0.25">
      <c r="A945" s="9" t="s">
        <v>69</v>
      </c>
      <c r="B945" s="4">
        <v>45791</v>
      </c>
      <c r="C945" s="5">
        <v>6</v>
      </c>
      <c r="D945" s="9" t="s">
        <v>98</v>
      </c>
      <c r="E945" s="10">
        <v>100</v>
      </c>
      <c r="F945" s="10">
        <f t="shared" si="10"/>
        <v>600</v>
      </c>
    </row>
    <row r="946" spans="1:6" x14ac:dyDescent="0.25">
      <c r="F946" s="8">
        <f>SUM(F945)</f>
        <v>600</v>
      </c>
    </row>
    <row r="947" spans="1:6" x14ac:dyDescent="0.25">
      <c r="F947" s="10"/>
    </row>
    <row r="948" spans="1:6" x14ac:dyDescent="0.25">
      <c r="A948" s="9" t="s">
        <v>15</v>
      </c>
      <c r="B948" s="4">
        <v>45791</v>
      </c>
      <c r="C948" s="5">
        <v>59</v>
      </c>
      <c r="D948" s="9" t="s">
        <v>98</v>
      </c>
      <c r="E948" s="10">
        <v>80</v>
      </c>
      <c r="F948" s="10">
        <f t="shared" si="10"/>
        <v>4720</v>
      </c>
    </row>
    <row r="949" spans="1:6" x14ac:dyDescent="0.25">
      <c r="B949" s="4"/>
      <c r="F949" s="8">
        <f>SUM(F948)</f>
        <v>4720</v>
      </c>
    </row>
    <row r="950" spans="1:6" x14ac:dyDescent="0.25">
      <c r="B950" s="4"/>
      <c r="F950" s="10"/>
    </row>
    <row r="951" spans="1:6" x14ac:dyDescent="0.25">
      <c r="A951" s="9" t="s">
        <v>270</v>
      </c>
      <c r="B951" s="4">
        <v>45791</v>
      </c>
      <c r="C951" s="5">
        <v>6</v>
      </c>
      <c r="D951" s="9" t="s">
        <v>98</v>
      </c>
      <c r="E951" s="10">
        <v>100</v>
      </c>
      <c r="F951" s="10">
        <f t="shared" si="10"/>
        <v>600</v>
      </c>
    </row>
    <row r="952" spans="1:6" x14ac:dyDescent="0.25">
      <c r="B952" s="4"/>
      <c r="F952" s="8">
        <f>SUM(F951)</f>
        <v>600</v>
      </c>
    </row>
    <row r="953" spans="1:6" x14ac:dyDescent="0.25">
      <c r="B953" s="4"/>
      <c r="F953" s="10"/>
    </row>
    <row r="954" spans="1:6" x14ac:dyDescent="0.25">
      <c r="A954" s="9" t="s">
        <v>58</v>
      </c>
      <c r="B954" s="4">
        <v>45791</v>
      </c>
      <c r="C954" s="5">
        <v>10</v>
      </c>
      <c r="D954" s="9" t="s">
        <v>13</v>
      </c>
      <c r="E954" s="10">
        <v>140</v>
      </c>
      <c r="F954" s="10">
        <f t="shared" si="10"/>
        <v>1400</v>
      </c>
    </row>
    <row r="955" spans="1:6" x14ac:dyDescent="0.25">
      <c r="B955" s="4"/>
      <c r="F955" s="8">
        <f t="shared" si="10"/>
        <v>0</v>
      </c>
    </row>
    <row r="956" spans="1:6" x14ac:dyDescent="0.25">
      <c r="B956" s="4"/>
      <c r="F956" s="8"/>
    </row>
    <row r="957" spans="1:6" x14ac:dyDescent="0.25">
      <c r="A957" s="9" t="s">
        <v>80</v>
      </c>
      <c r="B957" s="4">
        <v>45791</v>
      </c>
      <c r="C957" s="5">
        <v>5</v>
      </c>
      <c r="D957" s="9" t="s">
        <v>13</v>
      </c>
      <c r="E957" s="10">
        <v>140</v>
      </c>
      <c r="F957" s="10">
        <f t="shared" si="10"/>
        <v>700</v>
      </c>
    </row>
    <row r="958" spans="1:6" x14ac:dyDescent="0.25">
      <c r="B958" s="4"/>
      <c r="F958" s="8">
        <f>SUM(F957)</f>
        <v>700</v>
      </c>
    </row>
    <row r="959" spans="1:6" x14ac:dyDescent="0.25">
      <c r="B959" s="4"/>
      <c r="F959" s="10"/>
    </row>
    <row r="960" spans="1:6" x14ac:dyDescent="0.25">
      <c r="A960" s="9" t="s">
        <v>601</v>
      </c>
      <c r="B960" s="4">
        <v>45791</v>
      </c>
      <c r="C960" s="5">
        <v>10</v>
      </c>
      <c r="D960" s="9" t="s">
        <v>13</v>
      </c>
      <c r="E960" s="10">
        <v>135</v>
      </c>
      <c r="F960" s="10">
        <f t="shared" si="10"/>
        <v>1350</v>
      </c>
    </row>
    <row r="961" spans="1:6" x14ac:dyDescent="0.25">
      <c r="B961" s="4"/>
      <c r="C961" s="5">
        <v>5</v>
      </c>
      <c r="D961" s="9" t="s">
        <v>14</v>
      </c>
      <c r="E961" s="10">
        <v>125</v>
      </c>
      <c r="F961" s="10">
        <f t="shared" si="10"/>
        <v>625</v>
      </c>
    </row>
    <row r="962" spans="1:6" x14ac:dyDescent="0.25">
      <c r="B962" s="4"/>
      <c r="F962" s="8">
        <f>SUM(F960:F961)</f>
        <v>1975</v>
      </c>
    </row>
    <row r="963" spans="1:6" x14ac:dyDescent="0.25">
      <c r="B963" s="4"/>
      <c r="F963" s="8"/>
    </row>
    <row r="964" spans="1:6" x14ac:dyDescent="0.25">
      <c r="A964" s="9" t="s">
        <v>17</v>
      </c>
      <c r="B964" s="4">
        <v>45791</v>
      </c>
      <c r="C964" s="5">
        <v>10</v>
      </c>
      <c r="D964" s="9" t="s">
        <v>13</v>
      </c>
      <c r="E964" s="10">
        <v>135</v>
      </c>
      <c r="F964" s="10">
        <f t="shared" si="10"/>
        <v>1350</v>
      </c>
    </row>
    <row r="965" spans="1:6" x14ac:dyDescent="0.25">
      <c r="F965" s="8">
        <f>SUM(F964)</f>
        <v>1350</v>
      </c>
    </row>
    <row r="966" spans="1:6" x14ac:dyDescent="0.25">
      <c r="F966" s="10"/>
    </row>
    <row r="967" spans="1:6" x14ac:dyDescent="0.25">
      <c r="A967" s="9" t="s">
        <v>157</v>
      </c>
      <c r="B967" s="4">
        <v>45791</v>
      </c>
      <c r="C967" s="5">
        <v>10</v>
      </c>
      <c r="D967" s="9" t="s">
        <v>13</v>
      </c>
      <c r="E967" s="10">
        <v>135</v>
      </c>
      <c r="F967" s="10">
        <f t="shared" si="10"/>
        <v>1350</v>
      </c>
    </row>
    <row r="968" spans="1:6" x14ac:dyDescent="0.25">
      <c r="F968" s="8">
        <f>SUM(F967)</f>
        <v>1350</v>
      </c>
    </row>
    <row r="969" spans="1:6" x14ac:dyDescent="0.25">
      <c r="F969" s="10"/>
    </row>
    <row r="970" spans="1:6" x14ac:dyDescent="0.25">
      <c r="A970" s="9" t="s">
        <v>20</v>
      </c>
      <c r="B970" s="4">
        <v>45791</v>
      </c>
      <c r="C970" s="5">
        <v>30</v>
      </c>
      <c r="D970" s="9" t="s">
        <v>13</v>
      </c>
      <c r="E970" s="10">
        <v>135</v>
      </c>
      <c r="F970" s="10">
        <f t="shared" si="10"/>
        <v>4050</v>
      </c>
    </row>
    <row r="971" spans="1:6" x14ac:dyDescent="0.25">
      <c r="F971" s="8">
        <f>SUM(F970)</f>
        <v>4050</v>
      </c>
    </row>
    <row r="972" spans="1:6" x14ac:dyDescent="0.25">
      <c r="F972" s="10"/>
    </row>
    <row r="973" spans="1:6" x14ac:dyDescent="0.25">
      <c r="A973" s="9" t="s">
        <v>21</v>
      </c>
      <c r="B973" s="4">
        <v>45791</v>
      </c>
      <c r="C973" s="5">
        <v>20</v>
      </c>
      <c r="D973" s="9" t="s">
        <v>589</v>
      </c>
      <c r="E973" s="10">
        <v>110</v>
      </c>
      <c r="F973" s="10">
        <f t="shared" si="10"/>
        <v>2200</v>
      </c>
    </row>
    <row r="974" spans="1:6" x14ac:dyDescent="0.25">
      <c r="C974" s="5">
        <v>10</v>
      </c>
      <c r="D974" s="9" t="s">
        <v>12</v>
      </c>
      <c r="E974" s="10">
        <v>120</v>
      </c>
      <c r="F974" s="10">
        <f t="shared" si="10"/>
        <v>1200</v>
      </c>
    </row>
    <row r="975" spans="1:6" x14ac:dyDescent="0.25">
      <c r="C975" s="5">
        <v>10</v>
      </c>
      <c r="D975" s="9" t="s">
        <v>14</v>
      </c>
      <c r="E975" s="10">
        <v>125</v>
      </c>
      <c r="F975" s="10">
        <f t="shared" si="10"/>
        <v>1250</v>
      </c>
    </row>
    <row r="976" spans="1:6" x14ac:dyDescent="0.25">
      <c r="C976" s="5">
        <v>10</v>
      </c>
      <c r="D976" s="9" t="s">
        <v>8</v>
      </c>
      <c r="E976" s="10">
        <v>155</v>
      </c>
      <c r="F976" s="10">
        <f t="shared" si="10"/>
        <v>1550</v>
      </c>
    </row>
    <row r="977" spans="1:6" x14ac:dyDescent="0.25">
      <c r="C977" s="5">
        <v>20</v>
      </c>
      <c r="D977" s="9" t="s">
        <v>542</v>
      </c>
      <c r="E977" s="10">
        <v>130</v>
      </c>
      <c r="F977" s="10">
        <f t="shared" si="10"/>
        <v>2600</v>
      </c>
    </row>
    <row r="978" spans="1:6" x14ac:dyDescent="0.25">
      <c r="F978" s="8">
        <f>SUM(F973:F977)</f>
        <v>8800</v>
      </c>
    </row>
    <row r="979" spans="1:6" x14ac:dyDescent="0.25">
      <c r="F979" s="10"/>
    </row>
    <row r="980" spans="1:6" x14ac:dyDescent="0.25">
      <c r="A980" s="9" t="s">
        <v>148</v>
      </c>
      <c r="B980" s="4">
        <v>45791</v>
      </c>
      <c r="C980" s="5">
        <v>10</v>
      </c>
      <c r="D980" s="9" t="s">
        <v>13</v>
      </c>
      <c r="E980" s="10">
        <v>135</v>
      </c>
      <c r="F980" s="10">
        <f t="shared" si="10"/>
        <v>1350</v>
      </c>
    </row>
    <row r="981" spans="1:6" x14ac:dyDescent="0.25">
      <c r="C981" s="5">
        <v>10</v>
      </c>
      <c r="D981" s="9" t="s">
        <v>14</v>
      </c>
      <c r="E981" s="10">
        <v>125</v>
      </c>
      <c r="F981" s="10">
        <f t="shared" si="10"/>
        <v>1250</v>
      </c>
    </row>
    <row r="982" spans="1:6" x14ac:dyDescent="0.25">
      <c r="F982" s="8">
        <f>SUM(F980:F981)</f>
        <v>2600</v>
      </c>
    </row>
    <row r="983" spans="1:6" x14ac:dyDescent="0.25">
      <c r="F983" s="10"/>
    </row>
    <row r="984" spans="1:6" x14ac:dyDescent="0.25">
      <c r="A984" s="9" t="s">
        <v>590</v>
      </c>
      <c r="B984" s="4">
        <v>45791</v>
      </c>
      <c r="C984" s="5">
        <v>10</v>
      </c>
      <c r="D984" s="9" t="s">
        <v>13</v>
      </c>
      <c r="E984" s="10">
        <v>135</v>
      </c>
      <c r="F984" s="10">
        <f t="shared" si="10"/>
        <v>1350</v>
      </c>
    </row>
    <row r="985" spans="1:6" x14ac:dyDescent="0.25">
      <c r="C985" s="5">
        <v>30</v>
      </c>
      <c r="D985" s="9" t="s">
        <v>12</v>
      </c>
      <c r="E985" s="10">
        <v>120</v>
      </c>
      <c r="F985" s="10">
        <f t="shared" si="10"/>
        <v>3600</v>
      </c>
    </row>
    <row r="986" spans="1:6" x14ac:dyDescent="0.25">
      <c r="C986" s="5">
        <v>10</v>
      </c>
      <c r="D986" s="9" t="s">
        <v>99</v>
      </c>
      <c r="E986" s="10">
        <v>115</v>
      </c>
      <c r="F986" s="10">
        <f t="shared" si="10"/>
        <v>1150</v>
      </c>
    </row>
    <row r="987" spans="1:6" x14ac:dyDescent="0.25">
      <c r="C987" s="5">
        <v>10</v>
      </c>
      <c r="D987" s="9" t="s">
        <v>50</v>
      </c>
      <c r="E987" s="10">
        <v>105</v>
      </c>
      <c r="F987" s="10">
        <f t="shared" si="10"/>
        <v>1050</v>
      </c>
    </row>
    <row r="988" spans="1:6" x14ac:dyDescent="0.25">
      <c r="C988" s="5">
        <v>10</v>
      </c>
      <c r="D988" s="9" t="s">
        <v>14</v>
      </c>
      <c r="E988" s="10">
        <v>125</v>
      </c>
      <c r="F988" s="10">
        <f t="shared" si="10"/>
        <v>1250</v>
      </c>
    </row>
    <row r="989" spans="1:6" x14ac:dyDescent="0.25">
      <c r="F989" s="8">
        <f>SUM(F984:F988)</f>
        <v>8400</v>
      </c>
    </row>
    <row r="990" spans="1:6" x14ac:dyDescent="0.25">
      <c r="F990" s="10"/>
    </row>
    <row r="991" spans="1:6" x14ac:dyDescent="0.25">
      <c r="A991" s="9" t="s">
        <v>591</v>
      </c>
      <c r="B991" s="4">
        <v>45791</v>
      </c>
      <c r="C991" s="5">
        <v>4</v>
      </c>
      <c r="D991" s="9" t="s">
        <v>13</v>
      </c>
      <c r="E991" s="10">
        <v>140</v>
      </c>
      <c r="F991" s="10">
        <f t="shared" si="10"/>
        <v>560</v>
      </c>
    </row>
    <row r="992" spans="1:6" x14ac:dyDescent="0.25">
      <c r="F992" s="8">
        <f>SUM(F991)</f>
        <v>560</v>
      </c>
    </row>
    <row r="993" spans="1:6" x14ac:dyDescent="0.25">
      <c r="F993" s="10"/>
    </row>
    <row r="994" spans="1:6" x14ac:dyDescent="0.25">
      <c r="A994" s="9" t="s">
        <v>41</v>
      </c>
      <c r="B994" s="4">
        <v>45791</v>
      </c>
      <c r="C994" s="5">
        <v>25</v>
      </c>
      <c r="D994" s="9" t="s">
        <v>14</v>
      </c>
      <c r="E994" s="10">
        <v>130</v>
      </c>
      <c r="F994" s="10">
        <f t="shared" si="10"/>
        <v>3250</v>
      </c>
    </row>
    <row r="995" spans="1:6" x14ac:dyDescent="0.25">
      <c r="F995" s="8">
        <f>SUM(F994)</f>
        <v>3250</v>
      </c>
    </row>
    <row r="996" spans="1:6" x14ac:dyDescent="0.25">
      <c r="F996" s="10"/>
    </row>
    <row r="997" spans="1:6" x14ac:dyDescent="0.25">
      <c r="A997" s="9" t="s">
        <v>253</v>
      </c>
      <c r="B997" s="4">
        <v>45791</v>
      </c>
      <c r="C997" s="5">
        <v>12</v>
      </c>
      <c r="D997" s="9" t="s">
        <v>14</v>
      </c>
      <c r="E997" s="10">
        <v>125</v>
      </c>
      <c r="F997" s="10">
        <f t="shared" si="10"/>
        <v>1500</v>
      </c>
    </row>
    <row r="998" spans="1:6" x14ac:dyDescent="0.25">
      <c r="F998" s="8">
        <f>SUM(F997)</f>
        <v>1500</v>
      </c>
    </row>
    <row r="999" spans="1:6" x14ac:dyDescent="0.25">
      <c r="F999" s="10"/>
    </row>
    <row r="1000" spans="1:6" x14ac:dyDescent="0.25">
      <c r="A1000" s="9" t="s">
        <v>43</v>
      </c>
      <c r="B1000" s="4">
        <v>45791</v>
      </c>
      <c r="C1000" s="5">
        <v>10</v>
      </c>
      <c r="D1000" s="9" t="s">
        <v>49</v>
      </c>
      <c r="E1000" s="10">
        <v>135</v>
      </c>
      <c r="F1000" s="10">
        <f t="shared" si="10"/>
        <v>1350</v>
      </c>
    </row>
    <row r="1001" spans="1:6" x14ac:dyDescent="0.25">
      <c r="C1001" s="5">
        <v>40</v>
      </c>
      <c r="D1001" s="9" t="s">
        <v>14</v>
      </c>
      <c r="E1001" s="10">
        <v>125</v>
      </c>
      <c r="F1001" s="10">
        <f t="shared" si="10"/>
        <v>5000</v>
      </c>
    </row>
    <row r="1002" spans="1:6" x14ac:dyDescent="0.25">
      <c r="F1002" s="8">
        <f>SUM(F1000:F1001)</f>
        <v>6350</v>
      </c>
    </row>
    <row r="1003" spans="1:6" x14ac:dyDescent="0.25">
      <c r="F1003" s="10"/>
    </row>
    <row r="1004" spans="1:6" x14ac:dyDescent="0.25">
      <c r="A1004" s="9" t="s">
        <v>107</v>
      </c>
      <c r="B1004" s="4">
        <v>45791</v>
      </c>
      <c r="C1004" s="5">
        <v>32</v>
      </c>
      <c r="D1004" s="9" t="s">
        <v>14</v>
      </c>
      <c r="E1004" s="10">
        <v>115</v>
      </c>
      <c r="F1004" s="10">
        <f t="shared" si="10"/>
        <v>3680</v>
      </c>
    </row>
    <row r="1005" spans="1:6" x14ac:dyDescent="0.25">
      <c r="F1005" s="8">
        <f>SUM(F1004)</f>
        <v>3680</v>
      </c>
    </row>
    <row r="1006" spans="1:6" x14ac:dyDescent="0.25">
      <c r="F1006" s="10"/>
    </row>
    <row r="1007" spans="1:6" x14ac:dyDescent="0.25">
      <c r="A1007" s="9" t="s">
        <v>44</v>
      </c>
      <c r="B1007" s="4">
        <v>45791</v>
      </c>
      <c r="C1007" s="5">
        <v>40</v>
      </c>
      <c r="D1007" s="9" t="s">
        <v>14</v>
      </c>
      <c r="E1007" s="10">
        <v>125</v>
      </c>
      <c r="F1007" s="10">
        <f t="shared" si="10"/>
        <v>5000</v>
      </c>
    </row>
    <row r="1008" spans="1:6" x14ac:dyDescent="0.25">
      <c r="F1008" s="8">
        <f>SUM(F1007)</f>
        <v>5000</v>
      </c>
    </row>
    <row r="1009" spans="1:6" x14ac:dyDescent="0.25">
      <c r="F1009" s="10"/>
    </row>
    <row r="1010" spans="1:6" x14ac:dyDescent="0.25">
      <c r="A1010" s="9" t="s">
        <v>18</v>
      </c>
      <c r="B1010" s="4">
        <v>45791</v>
      </c>
      <c r="C1010" s="5">
        <v>10</v>
      </c>
      <c r="D1010" s="9" t="s">
        <v>14</v>
      </c>
      <c r="E1010" s="10">
        <v>125</v>
      </c>
      <c r="F1010" s="10">
        <f t="shared" si="10"/>
        <v>1250</v>
      </c>
    </row>
    <row r="1011" spans="1:6" x14ac:dyDescent="0.25">
      <c r="F1011" s="8">
        <f>SUM(F1010)</f>
        <v>1250</v>
      </c>
    </row>
    <row r="1012" spans="1:6" x14ac:dyDescent="0.25">
      <c r="F1012" s="10"/>
    </row>
    <row r="1013" spans="1:6" x14ac:dyDescent="0.25">
      <c r="A1013" s="9" t="s">
        <v>145</v>
      </c>
      <c r="B1013" s="4">
        <v>45791</v>
      </c>
      <c r="C1013" s="5">
        <v>30</v>
      </c>
      <c r="D1013" s="9" t="s">
        <v>14</v>
      </c>
      <c r="E1013" s="10">
        <v>120</v>
      </c>
      <c r="F1013" s="10">
        <f t="shared" si="10"/>
        <v>3600</v>
      </c>
    </row>
    <row r="1014" spans="1:6" x14ac:dyDescent="0.25">
      <c r="F1014" s="8">
        <f>SUM(F1013)</f>
        <v>3600</v>
      </c>
    </row>
    <row r="1015" spans="1:6" x14ac:dyDescent="0.25">
      <c r="F1015" s="10"/>
    </row>
    <row r="1016" spans="1:6" x14ac:dyDescent="0.25">
      <c r="A1016" s="9" t="s">
        <v>46</v>
      </c>
      <c r="B1016" s="4">
        <v>45791</v>
      </c>
      <c r="C1016" s="5">
        <v>20</v>
      </c>
      <c r="D1016" s="9" t="s">
        <v>14</v>
      </c>
      <c r="E1016" s="10">
        <v>125</v>
      </c>
      <c r="F1016" s="10">
        <f t="shared" si="10"/>
        <v>2500</v>
      </c>
    </row>
    <row r="1017" spans="1:6" x14ac:dyDescent="0.25">
      <c r="F1017" s="8">
        <f>SUM(F1016)</f>
        <v>2500</v>
      </c>
    </row>
    <row r="1018" spans="1:6" x14ac:dyDescent="0.25">
      <c r="F1018" s="10"/>
    </row>
    <row r="1019" spans="1:6" x14ac:dyDescent="0.25">
      <c r="A1019" s="9" t="s">
        <v>47</v>
      </c>
      <c r="B1019" s="4">
        <v>45791</v>
      </c>
      <c r="C1019" s="5">
        <v>15</v>
      </c>
      <c r="D1019" s="9" t="s">
        <v>14</v>
      </c>
      <c r="E1019" s="10">
        <v>125</v>
      </c>
      <c r="F1019" s="10">
        <f t="shared" si="10"/>
        <v>1875</v>
      </c>
    </row>
    <row r="1020" spans="1:6" x14ac:dyDescent="0.25">
      <c r="F1020" s="8">
        <f>SUM(F1019)</f>
        <v>1875</v>
      </c>
    </row>
    <row r="1021" spans="1:6" x14ac:dyDescent="0.25">
      <c r="F1021" s="10"/>
    </row>
    <row r="1022" spans="1:6" x14ac:dyDescent="0.25">
      <c r="A1022" s="9" t="s">
        <v>190</v>
      </c>
      <c r="B1022" s="4">
        <v>45791</v>
      </c>
      <c r="C1022" s="5">
        <v>4</v>
      </c>
      <c r="D1022" s="9" t="s">
        <v>14</v>
      </c>
      <c r="E1022" s="10">
        <v>135</v>
      </c>
      <c r="F1022" s="10">
        <f t="shared" ref="F1022:F1083" si="11">+C1022*E1022</f>
        <v>540</v>
      </c>
    </row>
    <row r="1023" spans="1:6" x14ac:dyDescent="0.25">
      <c r="C1023" s="5">
        <v>1</v>
      </c>
      <c r="D1023" s="9" t="s">
        <v>13</v>
      </c>
      <c r="E1023" s="10">
        <v>145</v>
      </c>
      <c r="F1023" s="10">
        <f t="shared" si="11"/>
        <v>145</v>
      </c>
    </row>
    <row r="1024" spans="1:6" x14ac:dyDescent="0.25">
      <c r="F1024" s="8">
        <f>SUM(F1022:F1023)</f>
        <v>685</v>
      </c>
    </row>
    <row r="1025" spans="1:6" x14ac:dyDescent="0.25">
      <c r="F1025" s="10"/>
    </row>
    <row r="1026" spans="1:6" x14ac:dyDescent="0.25">
      <c r="A1026" s="9" t="s">
        <v>100</v>
      </c>
      <c r="B1026" s="4">
        <v>45791</v>
      </c>
      <c r="C1026" s="5">
        <v>10</v>
      </c>
      <c r="D1026" s="9" t="s">
        <v>13</v>
      </c>
      <c r="E1026" s="10">
        <v>140</v>
      </c>
      <c r="F1026" s="10">
        <f t="shared" si="11"/>
        <v>1400</v>
      </c>
    </row>
    <row r="1027" spans="1:6" x14ac:dyDescent="0.25">
      <c r="F1027" s="8">
        <f>SUM(F1026)</f>
        <v>1400</v>
      </c>
    </row>
    <row r="1028" spans="1:6" x14ac:dyDescent="0.25">
      <c r="F1028" s="10"/>
    </row>
    <row r="1029" spans="1:6" x14ac:dyDescent="0.25">
      <c r="A1029" s="9" t="s">
        <v>184</v>
      </c>
      <c r="B1029" s="4">
        <v>45791</v>
      </c>
      <c r="C1029" s="5">
        <v>7</v>
      </c>
      <c r="D1029" s="9" t="s">
        <v>13</v>
      </c>
      <c r="E1029" s="10">
        <v>150</v>
      </c>
      <c r="F1029" s="10">
        <f t="shared" si="11"/>
        <v>1050</v>
      </c>
    </row>
    <row r="1030" spans="1:6" x14ac:dyDescent="0.25">
      <c r="F1030" s="8">
        <f>SUM(F1029)</f>
        <v>1050</v>
      </c>
    </row>
    <row r="1031" spans="1:6" x14ac:dyDescent="0.25">
      <c r="F1031" s="10"/>
    </row>
    <row r="1032" spans="1:6" x14ac:dyDescent="0.25">
      <c r="A1032" s="9" t="s">
        <v>421</v>
      </c>
      <c r="B1032" s="4">
        <v>45791</v>
      </c>
      <c r="C1032" s="5">
        <v>5</v>
      </c>
      <c r="D1032" s="9" t="s">
        <v>12</v>
      </c>
      <c r="E1032" s="10">
        <v>130</v>
      </c>
      <c r="F1032" s="10">
        <f t="shared" si="11"/>
        <v>650</v>
      </c>
    </row>
    <row r="1033" spans="1:6" x14ac:dyDescent="0.25">
      <c r="F1033" s="8">
        <f>SUM(F1032)</f>
        <v>650</v>
      </c>
    </row>
    <row r="1034" spans="1:6" x14ac:dyDescent="0.25">
      <c r="F1034" s="10"/>
    </row>
    <row r="1035" spans="1:6" x14ac:dyDescent="0.25">
      <c r="A1035" s="9" t="s">
        <v>67</v>
      </c>
      <c r="B1035" s="4">
        <v>45791</v>
      </c>
      <c r="C1035" s="5">
        <v>10</v>
      </c>
      <c r="D1035" s="9" t="s">
        <v>13</v>
      </c>
      <c r="E1035" s="10">
        <v>140</v>
      </c>
      <c r="F1035" s="10">
        <f t="shared" si="11"/>
        <v>1400</v>
      </c>
    </row>
    <row r="1036" spans="1:6" x14ac:dyDescent="0.25">
      <c r="F1036" s="8">
        <f>SUM(F1035)</f>
        <v>1400</v>
      </c>
    </row>
    <row r="1037" spans="1:6" x14ac:dyDescent="0.25">
      <c r="F1037" s="10"/>
    </row>
    <row r="1038" spans="1:6" x14ac:dyDescent="0.25">
      <c r="A1038" s="9" t="s">
        <v>151</v>
      </c>
      <c r="B1038" s="4">
        <v>45791</v>
      </c>
      <c r="C1038" s="5">
        <v>150</v>
      </c>
      <c r="D1038" s="9" t="s">
        <v>13</v>
      </c>
      <c r="E1038" s="10">
        <v>140</v>
      </c>
      <c r="F1038" s="10">
        <f t="shared" si="11"/>
        <v>21000</v>
      </c>
    </row>
    <row r="1039" spans="1:6" x14ac:dyDescent="0.25">
      <c r="F1039" s="8">
        <f>SUM(F1038)</f>
        <v>21000</v>
      </c>
    </row>
    <row r="1040" spans="1:6" x14ac:dyDescent="0.25">
      <c r="F1040" s="10"/>
    </row>
    <row r="1041" spans="1:6" x14ac:dyDescent="0.25">
      <c r="A1041" s="9" t="s">
        <v>535</v>
      </c>
      <c r="B1041" s="4">
        <v>45791</v>
      </c>
      <c r="C1041" s="5">
        <v>10</v>
      </c>
      <c r="D1041" s="9" t="s">
        <v>12</v>
      </c>
      <c r="E1041" s="10">
        <v>130</v>
      </c>
      <c r="F1041" s="10">
        <f t="shared" si="11"/>
        <v>1300</v>
      </c>
    </row>
    <row r="1042" spans="1:6" x14ac:dyDescent="0.25">
      <c r="C1042" s="5">
        <v>80</v>
      </c>
      <c r="D1042" s="9" t="s">
        <v>13</v>
      </c>
      <c r="E1042" s="10">
        <v>140</v>
      </c>
      <c r="F1042" s="10">
        <f t="shared" si="11"/>
        <v>11200</v>
      </c>
    </row>
    <row r="1043" spans="1:6" x14ac:dyDescent="0.25">
      <c r="C1043" s="5">
        <v>5</v>
      </c>
      <c r="D1043" s="9" t="s">
        <v>14</v>
      </c>
      <c r="E1043" s="10">
        <v>135</v>
      </c>
      <c r="F1043" s="10">
        <f t="shared" si="11"/>
        <v>675</v>
      </c>
    </row>
    <row r="1044" spans="1:6" x14ac:dyDescent="0.25">
      <c r="C1044" s="5">
        <v>11</v>
      </c>
      <c r="D1044" s="9" t="s">
        <v>592</v>
      </c>
      <c r="E1044" s="10">
        <v>160</v>
      </c>
      <c r="F1044" s="10">
        <f t="shared" si="11"/>
        <v>1760</v>
      </c>
    </row>
    <row r="1045" spans="1:6" x14ac:dyDescent="0.25">
      <c r="F1045" s="8">
        <f>SUM(F1041:F1044)</f>
        <v>14935</v>
      </c>
    </row>
    <row r="1046" spans="1:6" x14ac:dyDescent="0.25">
      <c r="F1046" s="10"/>
    </row>
    <row r="1047" spans="1:6" x14ac:dyDescent="0.25">
      <c r="A1047" s="9" t="s">
        <v>7</v>
      </c>
      <c r="B1047" s="4">
        <v>45791</v>
      </c>
      <c r="C1047" s="5">
        <v>500</v>
      </c>
      <c r="D1047" s="9" t="s">
        <v>22</v>
      </c>
      <c r="E1047" s="10">
        <v>95</v>
      </c>
      <c r="F1047" s="10">
        <f t="shared" si="11"/>
        <v>47500</v>
      </c>
    </row>
    <row r="1048" spans="1:6" x14ac:dyDescent="0.25">
      <c r="C1048" s="5">
        <v>150</v>
      </c>
      <c r="D1048" s="9" t="s">
        <v>50</v>
      </c>
      <c r="E1048" s="10">
        <v>90</v>
      </c>
      <c r="F1048" s="10">
        <f t="shared" si="11"/>
        <v>13500</v>
      </c>
    </row>
    <row r="1049" spans="1:6" x14ac:dyDescent="0.25">
      <c r="C1049" s="5">
        <v>250</v>
      </c>
      <c r="D1049" s="9" t="s">
        <v>22</v>
      </c>
      <c r="E1049" s="10">
        <v>100</v>
      </c>
      <c r="F1049" s="10">
        <f t="shared" si="11"/>
        <v>25000</v>
      </c>
    </row>
    <row r="1050" spans="1:6" x14ac:dyDescent="0.25">
      <c r="F1050" s="8">
        <f>SUM(F1047:F1049)</f>
        <v>86000</v>
      </c>
    </row>
    <row r="1051" spans="1:6" x14ac:dyDescent="0.25">
      <c r="F1051" s="10"/>
    </row>
    <row r="1052" spans="1:6" x14ac:dyDescent="0.25">
      <c r="A1052" s="9" t="s">
        <v>76</v>
      </c>
      <c r="B1052" s="4">
        <v>45791</v>
      </c>
      <c r="C1052" s="5">
        <v>50</v>
      </c>
      <c r="D1052" s="9" t="s">
        <v>13</v>
      </c>
      <c r="E1052" s="10">
        <v>130</v>
      </c>
      <c r="F1052" s="10">
        <f t="shared" si="11"/>
        <v>6500</v>
      </c>
    </row>
    <row r="1053" spans="1:6" x14ac:dyDescent="0.25">
      <c r="C1053" s="5">
        <v>50</v>
      </c>
      <c r="D1053" s="9" t="s">
        <v>12</v>
      </c>
      <c r="E1053" s="10">
        <v>115</v>
      </c>
      <c r="F1053" s="10">
        <f t="shared" si="11"/>
        <v>5750</v>
      </c>
    </row>
    <row r="1054" spans="1:6" x14ac:dyDescent="0.25">
      <c r="F1054" s="8">
        <f>SUM(F1052:F1053)</f>
        <v>12250</v>
      </c>
    </row>
    <row r="1055" spans="1:6" x14ac:dyDescent="0.25">
      <c r="F1055" s="10"/>
    </row>
    <row r="1056" spans="1:6" x14ac:dyDescent="0.25">
      <c r="A1056" s="9" t="s">
        <v>593</v>
      </c>
      <c r="B1056" s="4">
        <v>45791</v>
      </c>
      <c r="C1056" s="5">
        <v>10</v>
      </c>
      <c r="D1056" s="9" t="s">
        <v>13</v>
      </c>
      <c r="E1056" s="10">
        <v>140</v>
      </c>
      <c r="F1056" s="10">
        <f t="shared" si="11"/>
        <v>1400</v>
      </c>
    </row>
    <row r="1057" spans="1:6" x14ac:dyDescent="0.25">
      <c r="F1057" s="8">
        <f>SUM(F1056)</f>
        <v>1400</v>
      </c>
    </row>
    <row r="1058" spans="1:6" x14ac:dyDescent="0.25">
      <c r="F1058" s="10"/>
    </row>
    <row r="1059" spans="1:6" x14ac:dyDescent="0.25">
      <c r="A1059" s="9" t="s">
        <v>151</v>
      </c>
      <c r="B1059" s="4">
        <v>45791</v>
      </c>
      <c r="C1059" s="5">
        <v>100</v>
      </c>
      <c r="D1059" s="9" t="s">
        <v>13</v>
      </c>
      <c r="E1059" s="10">
        <v>130</v>
      </c>
      <c r="F1059" s="10">
        <f t="shared" si="11"/>
        <v>13000</v>
      </c>
    </row>
    <row r="1060" spans="1:6" x14ac:dyDescent="0.25">
      <c r="C1060" s="5">
        <v>60</v>
      </c>
      <c r="D1060" s="9" t="s">
        <v>14</v>
      </c>
      <c r="E1060" s="10">
        <v>110</v>
      </c>
      <c r="F1060" s="10">
        <f t="shared" si="11"/>
        <v>6600</v>
      </c>
    </row>
    <row r="1061" spans="1:6" x14ac:dyDescent="0.25">
      <c r="C1061" s="5">
        <v>30</v>
      </c>
      <c r="D1061" s="9" t="s">
        <v>50</v>
      </c>
      <c r="E1061" s="10">
        <v>85</v>
      </c>
      <c r="F1061" s="10">
        <f t="shared" si="11"/>
        <v>2550</v>
      </c>
    </row>
    <row r="1062" spans="1:6" x14ac:dyDescent="0.25">
      <c r="F1062" s="8">
        <f>SUM(F1059:F1061)</f>
        <v>22150</v>
      </c>
    </row>
    <row r="1063" spans="1:6" x14ac:dyDescent="0.25">
      <c r="F1063" s="10"/>
    </row>
    <row r="1064" spans="1:6" x14ac:dyDescent="0.25">
      <c r="A1064" s="9" t="s">
        <v>26</v>
      </c>
      <c r="B1064" s="4">
        <v>45791</v>
      </c>
      <c r="C1064" s="5">
        <v>110</v>
      </c>
      <c r="D1064" s="9" t="s">
        <v>13</v>
      </c>
      <c r="E1064" s="10">
        <v>140</v>
      </c>
      <c r="F1064" s="10">
        <f t="shared" si="11"/>
        <v>15400</v>
      </c>
    </row>
    <row r="1065" spans="1:6" x14ac:dyDescent="0.25">
      <c r="C1065" s="5">
        <v>20</v>
      </c>
      <c r="D1065" s="9" t="s">
        <v>14</v>
      </c>
      <c r="E1065" s="10">
        <v>130</v>
      </c>
      <c r="F1065" s="10">
        <f t="shared" si="11"/>
        <v>2600</v>
      </c>
    </row>
    <row r="1066" spans="1:6" x14ac:dyDescent="0.25">
      <c r="F1066" s="8">
        <f>SUM(F1064:F1065)</f>
        <v>18000</v>
      </c>
    </row>
    <row r="1067" spans="1:6" x14ac:dyDescent="0.25">
      <c r="F1067" s="10"/>
    </row>
    <row r="1068" spans="1:6" x14ac:dyDescent="0.25">
      <c r="A1068" s="9" t="s">
        <v>72</v>
      </c>
      <c r="B1068" s="4">
        <v>45791</v>
      </c>
      <c r="C1068" s="5">
        <v>180</v>
      </c>
      <c r="D1068" s="9" t="s">
        <v>13</v>
      </c>
      <c r="E1068" s="10">
        <v>130</v>
      </c>
      <c r="F1068" s="10">
        <f t="shared" si="11"/>
        <v>23400</v>
      </c>
    </row>
    <row r="1069" spans="1:6" x14ac:dyDescent="0.25">
      <c r="C1069" s="5">
        <v>170</v>
      </c>
      <c r="D1069" s="9" t="s">
        <v>12</v>
      </c>
      <c r="E1069" s="10">
        <v>115</v>
      </c>
      <c r="F1069" s="10">
        <f t="shared" si="11"/>
        <v>19550</v>
      </c>
    </row>
    <row r="1070" spans="1:6" x14ac:dyDescent="0.25">
      <c r="C1070" s="5">
        <v>20</v>
      </c>
      <c r="D1070" s="9" t="s">
        <v>14</v>
      </c>
      <c r="E1070" s="10">
        <v>125</v>
      </c>
      <c r="F1070" s="10">
        <f t="shared" si="11"/>
        <v>2500</v>
      </c>
    </row>
    <row r="1071" spans="1:6" x14ac:dyDescent="0.25">
      <c r="C1071" s="5">
        <v>80</v>
      </c>
      <c r="D1071" s="9" t="s">
        <v>11</v>
      </c>
      <c r="E1071" s="10">
        <v>115</v>
      </c>
      <c r="F1071" s="10">
        <f t="shared" si="11"/>
        <v>9200</v>
      </c>
    </row>
    <row r="1072" spans="1:6" x14ac:dyDescent="0.25">
      <c r="F1072" s="8">
        <f>SUM(F1068:F1071)</f>
        <v>54650</v>
      </c>
    </row>
    <row r="1073" spans="1:6" x14ac:dyDescent="0.25">
      <c r="F1073" s="10"/>
    </row>
    <row r="1074" spans="1:6" x14ac:dyDescent="0.25">
      <c r="A1074" s="9" t="s">
        <v>7</v>
      </c>
      <c r="B1074" s="4">
        <v>45791</v>
      </c>
      <c r="C1074" s="5">
        <v>3</v>
      </c>
      <c r="D1074" s="9" t="s">
        <v>13</v>
      </c>
      <c r="E1074" s="10">
        <v>140</v>
      </c>
      <c r="F1074" s="10">
        <f t="shared" si="11"/>
        <v>420</v>
      </c>
    </row>
    <row r="1075" spans="1:6" x14ac:dyDescent="0.25">
      <c r="F1075" s="8">
        <f>SUM(F1074)</f>
        <v>420</v>
      </c>
    </row>
    <row r="1076" spans="1:6" x14ac:dyDescent="0.25">
      <c r="F1076" s="10"/>
    </row>
    <row r="1077" spans="1:6" x14ac:dyDescent="0.25">
      <c r="A1077" s="9" t="s">
        <v>101</v>
      </c>
      <c r="B1077" s="4">
        <v>45791</v>
      </c>
      <c r="C1077" s="5">
        <v>1</v>
      </c>
      <c r="D1077" s="9" t="s">
        <v>74</v>
      </c>
      <c r="E1077" s="10">
        <v>150</v>
      </c>
      <c r="F1077" s="10">
        <f t="shared" si="11"/>
        <v>150</v>
      </c>
    </row>
    <row r="1078" spans="1:6" x14ac:dyDescent="0.25">
      <c r="C1078" s="5">
        <v>5</v>
      </c>
      <c r="D1078" s="9" t="s">
        <v>594</v>
      </c>
      <c r="E1078" s="10">
        <v>135</v>
      </c>
      <c r="F1078" s="10">
        <f t="shared" si="11"/>
        <v>675</v>
      </c>
    </row>
    <row r="1079" spans="1:6" x14ac:dyDescent="0.25">
      <c r="C1079" s="11">
        <v>0.5</v>
      </c>
      <c r="D1079" s="9" t="s">
        <v>91</v>
      </c>
      <c r="E1079" s="10">
        <v>100</v>
      </c>
      <c r="F1079" s="10">
        <f t="shared" si="11"/>
        <v>50</v>
      </c>
    </row>
    <row r="1080" spans="1:6" x14ac:dyDescent="0.25">
      <c r="C1080" s="5">
        <v>1</v>
      </c>
      <c r="D1080" s="9" t="s">
        <v>12</v>
      </c>
      <c r="E1080" s="10">
        <v>150</v>
      </c>
      <c r="F1080" s="13">
        <f t="shared" si="11"/>
        <v>150</v>
      </c>
    </row>
    <row r="1081" spans="1:6" x14ac:dyDescent="0.25">
      <c r="F1081" s="8">
        <f>SUM(F1077:F1080)</f>
        <v>1025</v>
      </c>
    </row>
    <row r="1082" spans="1:6" x14ac:dyDescent="0.25">
      <c r="F1082" s="10"/>
    </row>
    <row r="1083" spans="1:6" x14ac:dyDescent="0.25">
      <c r="A1083" s="9" t="s">
        <v>181</v>
      </c>
      <c r="B1083" s="4">
        <v>45791</v>
      </c>
      <c r="C1083" s="5">
        <v>1</v>
      </c>
      <c r="D1083" s="9" t="s">
        <v>511</v>
      </c>
      <c r="E1083" s="10">
        <v>140</v>
      </c>
      <c r="F1083" s="10">
        <f t="shared" si="11"/>
        <v>140</v>
      </c>
    </row>
    <row r="1084" spans="1:6" x14ac:dyDescent="0.25">
      <c r="F1084" s="8">
        <f>SUM(F1083)</f>
        <v>140</v>
      </c>
    </row>
    <row r="1085" spans="1:6" x14ac:dyDescent="0.25">
      <c r="F1085" s="10"/>
    </row>
    <row r="1086" spans="1:6" x14ac:dyDescent="0.25">
      <c r="A1086" s="9" t="s">
        <v>140</v>
      </c>
      <c r="B1086" s="4">
        <v>45792</v>
      </c>
      <c r="C1086" s="5">
        <v>150</v>
      </c>
      <c r="D1086" s="9" t="s">
        <v>13</v>
      </c>
      <c r="E1086" s="10">
        <v>130</v>
      </c>
      <c r="F1086" s="10">
        <f t="shared" ref="F1086:F1149" si="12">+C1086*E1086</f>
        <v>19500</v>
      </c>
    </row>
    <row r="1087" spans="1:6" x14ac:dyDescent="0.25">
      <c r="C1087" s="5">
        <v>200</v>
      </c>
      <c r="D1087" s="9" t="s">
        <v>12</v>
      </c>
      <c r="E1087" s="10">
        <v>120</v>
      </c>
      <c r="F1087" s="10">
        <f t="shared" si="12"/>
        <v>24000</v>
      </c>
    </row>
    <row r="1088" spans="1:6" x14ac:dyDescent="0.25">
      <c r="C1088" s="5">
        <v>150</v>
      </c>
      <c r="D1088" s="9" t="s">
        <v>11</v>
      </c>
      <c r="E1088" s="10">
        <v>115</v>
      </c>
      <c r="F1088" s="10">
        <f t="shared" si="12"/>
        <v>17250</v>
      </c>
    </row>
    <row r="1089" spans="1:6" x14ac:dyDescent="0.25">
      <c r="C1089" s="5">
        <v>50</v>
      </c>
      <c r="D1089" s="9" t="s">
        <v>14</v>
      </c>
      <c r="E1089" s="10">
        <v>120</v>
      </c>
      <c r="F1089" s="10">
        <f t="shared" si="12"/>
        <v>6000</v>
      </c>
    </row>
    <row r="1090" spans="1:6" x14ac:dyDescent="0.25">
      <c r="C1090" s="5">
        <v>50</v>
      </c>
      <c r="D1090" s="9" t="s">
        <v>22</v>
      </c>
      <c r="E1090" s="10">
        <v>100</v>
      </c>
      <c r="F1090" s="10">
        <f t="shared" si="12"/>
        <v>5000</v>
      </c>
    </row>
    <row r="1091" spans="1:6" x14ac:dyDescent="0.25">
      <c r="F1091" s="8">
        <f>SUM(F1086:F1090)</f>
        <v>71750</v>
      </c>
    </row>
    <row r="1092" spans="1:6" x14ac:dyDescent="0.25">
      <c r="F1092" s="10"/>
    </row>
    <row r="1093" spans="1:6" x14ac:dyDescent="0.25">
      <c r="A1093" s="9" t="s">
        <v>64</v>
      </c>
      <c r="B1093" s="4">
        <v>45792</v>
      </c>
      <c r="C1093" s="5">
        <v>30</v>
      </c>
      <c r="D1093" s="9" t="s">
        <v>13</v>
      </c>
      <c r="E1093" s="10">
        <v>135</v>
      </c>
      <c r="F1093" s="10">
        <f t="shared" si="12"/>
        <v>4050</v>
      </c>
    </row>
    <row r="1094" spans="1:6" x14ac:dyDescent="0.25">
      <c r="C1094" s="5">
        <v>20</v>
      </c>
      <c r="D1094" s="9" t="s">
        <v>12</v>
      </c>
      <c r="E1094" s="10">
        <v>125</v>
      </c>
      <c r="F1094" s="10">
        <f t="shared" si="12"/>
        <v>2500</v>
      </c>
    </row>
    <row r="1095" spans="1:6" x14ac:dyDescent="0.25">
      <c r="C1095" s="5">
        <v>20</v>
      </c>
      <c r="D1095" s="9" t="s">
        <v>22</v>
      </c>
      <c r="E1095" s="10">
        <v>105</v>
      </c>
      <c r="F1095" s="10">
        <f t="shared" si="12"/>
        <v>2100</v>
      </c>
    </row>
    <row r="1096" spans="1:6" x14ac:dyDescent="0.25">
      <c r="C1096" s="5">
        <v>20</v>
      </c>
      <c r="D1096" s="9" t="s">
        <v>14</v>
      </c>
      <c r="E1096" s="10">
        <v>125</v>
      </c>
      <c r="F1096" s="10">
        <f t="shared" si="12"/>
        <v>2500</v>
      </c>
    </row>
    <row r="1097" spans="1:6" x14ac:dyDescent="0.25">
      <c r="C1097" s="5">
        <v>15</v>
      </c>
      <c r="D1097" s="9" t="s">
        <v>11</v>
      </c>
      <c r="E1097" s="10">
        <v>115</v>
      </c>
      <c r="F1097" s="10">
        <f t="shared" si="12"/>
        <v>1725</v>
      </c>
    </row>
    <row r="1098" spans="1:6" x14ac:dyDescent="0.25">
      <c r="C1098" s="5">
        <v>15</v>
      </c>
      <c r="D1098" s="9" t="s">
        <v>50</v>
      </c>
      <c r="E1098" s="10">
        <v>100</v>
      </c>
      <c r="F1098" s="10">
        <f t="shared" si="12"/>
        <v>1500</v>
      </c>
    </row>
    <row r="1099" spans="1:6" x14ac:dyDescent="0.25">
      <c r="F1099" s="25">
        <f>SUM(F1093:F1098)</f>
        <v>14375</v>
      </c>
    </row>
    <row r="1100" spans="1:6" x14ac:dyDescent="0.25">
      <c r="F1100" s="10"/>
    </row>
    <row r="1101" spans="1:6" x14ac:dyDescent="0.25">
      <c r="A1101" s="9" t="s">
        <v>69</v>
      </c>
      <c r="B1101" s="4">
        <v>45792</v>
      </c>
      <c r="C1101" s="5">
        <v>10</v>
      </c>
      <c r="D1101" s="9" t="s">
        <v>8</v>
      </c>
      <c r="E1101" s="10">
        <v>160</v>
      </c>
      <c r="F1101" s="10">
        <f t="shared" si="12"/>
        <v>1600</v>
      </c>
    </row>
    <row r="1102" spans="1:6" x14ac:dyDescent="0.25">
      <c r="F1102" s="8">
        <f>SUM(F1101)</f>
        <v>1600</v>
      </c>
    </row>
    <row r="1103" spans="1:6" x14ac:dyDescent="0.25">
      <c r="F1103" s="10"/>
    </row>
    <row r="1104" spans="1:6" x14ac:dyDescent="0.25">
      <c r="A1104" s="9" t="s">
        <v>111</v>
      </c>
      <c r="B1104" s="4">
        <v>45792</v>
      </c>
      <c r="C1104" s="5">
        <v>30</v>
      </c>
      <c r="D1104" s="9" t="s">
        <v>13</v>
      </c>
      <c r="E1104" s="10">
        <v>140</v>
      </c>
      <c r="F1104" s="10">
        <f t="shared" si="12"/>
        <v>4200</v>
      </c>
    </row>
    <row r="1105" spans="1:6" x14ac:dyDescent="0.25">
      <c r="C1105" s="5">
        <v>1</v>
      </c>
      <c r="D1105" s="9" t="s">
        <v>595</v>
      </c>
      <c r="F1105" s="10">
        <f t="shared" si="12"/>
        <v>0</v>
      </c>
    </row>
    <row r="1106" spans="1:6" x14ac:dyDescent="0.25">
      <c r="F1106" s="8">
        <f>SUM(F1104:F1105)</f>
        <v>4200</v>
      </c>
    </row>
    <row r="1107" spans="1:6" x14ac:dyDescent="0.25">
      <c r="F1107" s="10"/>
    </row>
    <row r="1108" spans="1:6" x14ac:dyDescent="0.25">
      <c r="A1108" s="9" t="s">
        <v>61</v>
      </c>
      <c r="B1108" s="4">
        <v>45792</v>
      </c>
      <c r="C1108" s="5">
        <v>40</v>
      </c>
      <c r="D1108" s="9" t="s">
        <v>13</v>
      </c>
      <c r="E1108" s="10">
        <v>130</v>
      </c>
      <c r="F1108" s="10">
        <f t="shared" si="12"/>
        <v>5200</v>
      </c>
    </row>
    <row r="1109" spans="1:6" x14ac:dyDescent="0.25">
      <c r="F1109" s="8">
        <f>SUM(F1108)</f>
        <v>5200</v>
      </c>
    </row>
    <row r="1110" spans="1:6" x14ac:dyDescent="0.25">
      <c r="F1110" s="10"/>
    </row>
    <row r="1111" spans="1:6" x14ac:dyDescent="0.25">
      <c r="A1111" s="9" t="s">
        <v>89</v>
      </c>
      <c r="B1111" s="4">
        <v>45792</v>
      </c>
      <c r="C1111" s="5">
        <v>20</v>
      </c>
      <c r="D1111" s="9" t="s">
        <v>13</v>
      </c>
      <c r="E1111" s="10">
        <v>130</v>
      </c>
      <c r="F1111" s="10">
        <f t="shared" si="12"/>
        <v>2600</v>
      </c>
    </row>
    <row r="1112" spans="1:6" x14ac:dyDescent="0.25">
      <c r="C1112" s="5">
        <v>10</v>
      </c>
      <c r="D1112" s="9" t="s">
        <v>14</v>
      </c>
      <c r="E1112" s="10">
        <v>125</v>
      </c>
      <c r="F1112" s="10">
        <f t="shared" si="12"/>
        <v>1250</v>
      </c>
    </row>
    <row r="1113" spans="1:6" x14ac:dyDescent="0.25">
      <c r="C1113" s="5">
        <v>20</v>
      </c>
      <c r="D1113" s="9" t="s">
        <v>12</v>
      </c>
      <c r="E1113" s="10">
        <v>115</v>
      </c>
      <c r="F1113" s="10">
        <f t="shared" si="12"/>
        <v>2300</v>
      </c>
    </row>
    <row r="1114" spans="1:6" x14ac:dyDescent="0.25">
      <c r="F1114" s="8">
        <f>SUM(F1111:F1113)</f>
        <v>6150</v>
      </c>
    </row>
    <row r="1115" spans="1:6" x14ac:dyDescent="0.25">
      <c r="F1115" s="10"/>
    </row>
    <row r="1116" spans="1:6" x14ac:dyDescent="0.25">
      <c r="A1116" s="9" t="s">
        <v>88</v>
      </c>
      <c r="B1116" s="4">
        <v>45792</v>
      </c>
      <c r="C1116" s="5">
        <v>6</v>
      </c>
      <c r="D1116" s="9" t="s">
        <v>13</v>
      </c>
      <c r="E1116" s="10">
        <v>145</v>
      </c>
      <c r="F1116" s="10">
        <f t="shared" si="12"/>
        <v>870</v>
      </c>
    </row>
    <row r="1117" spans="1:6" x14ac:dyDescent="0.25">
      <c r="C1117" s="5">
        <v>10</v>
      </c>
      <c r="D1117" s="9" t="s">
        <v>14</v>
      </c>
      <c r="E1117" s="10">
        <v>135</v>
      </c>
      <c r="F1117" s="10">
        <f t="shared" si="12"/>
        <v>1350</v>
      </c>
    </row>
    <row r="1118" spans="1:6" x14ac:dyDescent="0.25">
      <c r="F1118" s="8">
        <f>SUM(F1116:F1117)</f>
        <v>2220</v>
      </c>
    </row>
    <row r="1119" spans="1:6" x14ac:dyDescent="0.25">
      <c r="F1119" s="10"/>
    </row>
    <row r="1120" spans="1:6" x14ac:dyDescent="0.25">
      <c r="A1120" s="9" t="s">
        <v>538</v>
      </c>
      <c r="B1120" s="4">
        <v>45792</v>
      </c>
      <c r="C1120" s="5">
        <v>100</v>
      </c>
      <c r="D1120" s="9" t="s">
        <v>22</v>
      </c>
      <c r="E1120" s="10">
        <v>93</v>
      </c>
      <c r="F1120" s="10">
        <f t="shared" si="12"/>
        <v>9300</v>
      </c>
    </row>
    <row r="1121" spans="1:6" x14ac:dyDescent="0.25">
      <c r="F1121" s="8">
        <f>SUM(F1120)</f>
        <v>9300</v>
      </c>
    </row>
    <row r="1122" spans="1:6" x14ac:dyDescent="0.25">
      <c r="F1122" s="10"/>
    </row>
    <row r="1123" spans="1:6" x14ac:dyDescent="0.25">
      <c r="A1123" s="9" t="s">
        <v>7</v>
      </c>
      <c r="B1123" s="4">
        <v>45792</v>
      </c>
      <c r="C1123" s="5">
        <v>18</v>
      </c>
      <c r="D1123" s="9" t="s">
        <v>98</v>
      </c>
      <c r="E1123" s="10">
        <v>100</v>
      </c>
      <c r="F1123" s="10">
        <f t="shared" si="12"/>
        <v>1800</v>
      </c>
    </row>
    <row r="1124" spans="1:6" x14ac:dyDescent="0.25">
      <c r="F1124" s="8">
        <f>SUM(F1123)</f>
        <v>1800</v>
      </c>
    </row>
    <row r="1125" spans="1:6" x14ac:dyDescent="0.25">
      <c r="F1125" s="10"/>
    </row>
    <row r="1126" spans="1:6" x14ac:dyDescent="0.25">
      <c r="A1126" s="9" t="s">
        <v>535</v>
      </c>
      <c r="B1126" s="4">
        <v>45792</v>
      </c>
      <c r="C1126" s="5">
        <v>75</v>
      </c>
      <c r="D1126" s="9" t="s">
        <v>13</v>
      </c>
      <c r="E1126" s="10">
        <v>140</v>
      </c>
      <c r="F1126" s="10">
        <f t="shared" si="12"/>
        <v>10500</v>
      </c>
    </row>
    <row r="1127" spans="1:6" x14ac:dyDescent="0.25">
      <c r="C1127" s="5">
        <v>1</v>
      </c>
      <c r="D1127" s="9" t="s">
        <v>8</v>
      </c>
      <c r="E1127" s="10">
        <v>160</v>
      </c>
      <c r="F1127" s="10">
        <f t="shared" si="12"/>
        <v>160</v>
      </c>
    </row>
    <row r="1128" spans="1:6" x14ac:dyDescent="0.25">
      <c r="C1128" s="5">
        <v>7</v>
      </c>
      <c r="D1128" s="9" t="s">
        <v>12</v>
      </c>
      <c r="E1128" s="10">
        <v>130</v>
      </c>
      <c r="F1128" s="10">
        <f t="shared" si="12"/>
        <v>910</v>
      </c>
    </row>
    <row r="1129" spans="1:6" x14ac:dyDescent="0.25">
      <c r="C1129" s="5">
        <v>5</v>
      </c>
      <c r="D1129" s="9" t="s">
        <v>14</v>
      </c>
      <c r="E1129" s="10">
        <v>135</v>
      </c>
      <c r="F1129" s="10">
        <f t="shared" si="12"/>
        <v>675</v>
      </c>
    </row>
    <row r="1130" spans="1:6" x14ac:dyDescent="0.25">
      <c r="F1130" s="8">
        <f>SUM(F1126:F1129)</f>
        <v>12245</v>
      </c>
    </row>
    <row r="1131" spans="1:6" x14ac:dyDescent="0.25">
      <c r="F1131" s="10"/>
    </row>
    <row r="1132" spans="1:6" x14ac:dyDescent="0.25">
      <c r="A1132" s="9" t="s">
        <v>29</v>
      </c>
      <c r="B1132" s="4">
        <v>45792</v>
      </c>
      <c r="C1132" s="5">
        <v>2</v>
      </c>
      <c r="D1132" s="9" t="s">
        <v>168</v>
      </c>
      <c r="E1132" s="10">
        <v>140</v>
      </c>
      <c r="F1132" s="10">
        <f t="shared" si="12"/>
        <v>280</v>
      </c>
    </row>
    <row r="1133" spans="1:6" x14ac:dyDescent="0.25">
      <c r="C1133" s="5">
        <v>20</v>
      </c>
      <c r="D1133" s="9" t="s">
        <v>569</v>
      </c>
      <c r="E1133" s="10">
        <v>130</v>
      </c>
      <c r="F1133" s="10">
        <f t="shared" si="12"/>
        <v>2600</v>
      </c>
    </row>
    <row r="1134" spans="1:6" x14ac:dyDescent="0.25">
      <c r="C1134" s="5">
        <v>1</v>
      </c>
      <c r="D1134" s="9" t="s">
        <v>13</v>
      </c>
      <c r="E1134" s="10">
        <v>140</v>
      </c>
      <c r="F1134" s="10">
        <f t="shared" si="12"/>
        <v>140</v>
      </c>
    </row>
    <row r="1135" spans="1:6" x14ac:dyDescent="0.25">
      <c r="F1135" s="8">
        <f>SUM(F1132:F1134)</f>
        <v>3020</v>
      </c>
    </row>
    <row r="1136" spans="1:6" x14ac:dyDescent="0.25">
      <c r="F1136" s="10"/>
    </row>
    <row r="1137" spans="1:6" x14ac:dyDescent="0.25">
      <c r="A1137" s="9" t="s">
        <v>181</v>
      </c>
      <c r="B1137" s="4">
        <v>45792</v>
      </c>
      <c r="C1137" s="5">
        <v>2</v>
      </c>
      <c r="D1137" s="9" t="s">
        <v>12</v>
      </c>
      <c r="E1137" s="10">
        <v>140</v>
      </c>
      <c r="F1137" s="10">
        <f t="shared" si="12"/>
        <v>280</v>
      </c>
    </row>
    <row r="1138" spans="1:6" x14ac:dyDescent="0.25">
      <c r="F1138" s="8">
        <f>SUM(F1137)</f>
        <v>280</v>
      </c>
    </row>
    <row r="1139" spans="1:6" x14ac:dyDescent="0.25">
      <c r="F1139" s="10"/>
    </row>
    <row r="1140" spans="1:6" x14ac:dyDescent="0.25">
      <c r="A1140" s="9" t="s">
        <v>21</v>
      </c>
      <c r="B1140" s="4">
        <v>45793</v>
      </c>
      <c r="C1140" s="5">
        <v>20</v>
      </c>
      <c r="D1140" s="9" t="s">
        <v>12</v>
      </c>
      <c r="E1140" s="10">
        <v>120</v>
      </c>
      <c r="F1140" s="10">
        <f t="shared" si="12"/>
        <v>2400</v>
      </c>
    </row>
    <row r="1141" spans="1:6" x14ac:dyDescent="0.25">
      <c r="C1141" s="5">
        <v>10</v>
      </c>
      <c r="D1141" s="9" t="s">
        <v>22</v>
      </c>
      <c r="E1141" s="10">
        <v>110</v>
      </c>
      <c r="F1141" s="10">
        <f t="shared" si="12"/>
        <v>1100</v>
      </c>
    </row>
    <row r="1142" spans="1:6" x14ac:dyDescent="0.25">
      <c r="C1142" s="5">
        <v>20</v>
      </c>
      <c r="D1142" s="9" t="s">
        <v>13</v>
      </c>
      <c r="E1142" s="10">
        <v>130</v>
      </c>
      <c r="F1142" s="10">
        <f t="shared" si="12"/>
        <v>2600</v>
      </c>
    </row>
    <row r="1143" spans="1:6" x14ac:dyDescent="0.25">
      <c r="F1143" s="8">
        <f>SUM(F1140:F1142)</f>
        <v>6100</v>
      </c>
    </row>
    <row r="1144" spans="1:6" x14ac:dyDescent="0.25">
      <c r="F1144" s="10"/>
    </row>
    <row r="1145" spans="1:6" x14ac:dyDescent="0.25">
      <c r="A1145" s="9" t="s">
        <v>57</v>
      </c>
      <c r="B1145" s="4">
        <v>45793</v>
      </c>
      <c r="C1145" s="5">
        <v>15</v>
      </c>
      <c r="D1145" s="9" t="s">
        <v>13</v>
      </c>
      <c r="E1145" s="10">
        <v>135</v>
      </c>
      <c r="F1145" s="10">
        <f t="shared" si="12"/>
        <v>2025</v>
      </c>
    </row>
    <row r="1146" spans="1:6" x14ac:dyDescent="0.25">
      <c r="C1146" s="5">
        <v>15</v>
      </c>
      <c r="D1146" s="9" t="s">
        <v>14</v>
      </c>
      <c r="E1146" s="10">
        <v>125</v>
      </c>
      <c r="F1146" s="10">
        <f t="shared" si="12"/>
        <v>1875</v>
      </c>
    </row>
    <row r="1147" spans="1:6" x14ac:dyDescent="0.25">
      <c r="F1147" s="8">
        <f>SUM(F1145:F1146)</f>
        <v>3900</v>
      </c>
    </row>
    <row r="1148" spans="1:6" x14ac:dyDescent="0.25">
      <c r="F1148" s="10"/>
    </row>
    <row r="1149" spans="1:6" x14ac:dyDescent="0.25">
      <c r="A1149" s="9" t="s">
        <v>69</v>
      </c>
      <c r="B1149" s="4">
        <v>45793</v>
      </c>
      <c r="C1149" s="5">
        <v>6</v>
      </c>
      <c r="D1149" s="9" t="s">
        <v>98</v>
      </c>
      <c r="E1149" s="10">
        <v>100</v>
      </c>
      <c r="F1149" s="10">
        <f t="shared" si="12"/>
        <v>600</v>
      </c>
    </row>
    <row r="1150" spans="1:6" x14ac:dyDescent="0.25">
      <c r="F1150" s="8">
        <f>SUM(F1149)</f>
        <v>600</v>
      </c>
    </row>
    <row r="1151" spans="1:6" x14ac:dyDescent="0.25">
      <c r="F1151" s="10"/>
    </row>
    <row r="1152" spans="1:6" x14ac:dyDescent="0.25">
      <c r="A1152" s="9" t="s">
        <v>442</v>
      </c>
      <c r="B1152" s="4">
        <v>45793</v>
      </c>
      <c r="C1152" s="5">
        <v>20</v>
      </c>
      <c r="D1152" s="9" t="s">
        <v>13</v>
      </c>
      <c r="E1152" s="10">
        <v>135</v>
      </c>
      <c r="F1152" s="10">
        <f t="shared" ref="F1152:F1205" si="13">+C1152*E1152</f>
        <v>2700</v>
      </c>
    </row>
    <row r="1153" spans="1:6" x14ac:dyDescent="0.25">
      <c r="F1153" s="8">
        <f>SUM(F1152)</f>
        <v>2700</v>
      </c>
    </row>
    <row r="1154" spans="1:6" x14ac:dyDescent="0.25">
      <c r="F1154" s="10"/>
    </row>
    <row r="1155" spans="1:6" x14ac:dyDescent="0.25">
      <c r="A1155" s="9" t="s">
        <v>334</v>
      </c>
      <c r="B1155" s="4">
        <v>45793</v>
      </c>
      <c r="C1155" s="5">
        <v>6</v>
      </c>
      <c r="D1155" s="9" t="s">
        <v>98</v>
      </c>
      <c r="E1155" s="10">
        <v>100</v>
      </c>
      <c r="F1155" s="10">
        <f t="shared" si="13"/>
        <v>600</v>
      </c>
    </row>
    <row r="1156" spans="1:6" x14ac:dyDescent="0.25">
      <c r="F1156" s="8">
        <f>SUM(F1155)</f>
        <v>600</v>
      </c>
    </row>
    <row r="1157" spans="1:6" x14ac:dyDescent="0.25">
      <c r="F1157" s="10"/>
    </row>
    <row r="1158" spans="1:6" x14ac:dyDescent="0.25">
      <c r="A1158" s="9" t="s">
        <v>15</v>
      </c>
      <c r="B1158" s="4">
        <v>45793</v>
      </c>
      <c r="C1158" s="5">
        <v>61</v>
      </c>
      <c r="D1158" s="9" t="s">
        <v>98</v>
      </c>
      <c r="E1158" s="10">
        <v>80</v>
      </c>
      <c r="F1158" s="10">
        <f t="shared" si="13"/>
        <v>4880</v>
      </c>
    </row>
    <row r="1159" spans="1:6" x14ac:dyDescent="0.25">
      <c r="F1159" s="8">
        <f>SUM(F1158)</f>
        <v>4880</v>
      </c>
    </row>
    <row r="1160" spans="1:6" x14ac:dyDescent="0.25">
      <c r="F1160" s="10"/>
    </row>
    <row r="1161" spans="1:6" x14ac:dyDescent="0.25">
      <c r="A1161" s="9" t="s">
        <v>58</v>
      </c>
      <c r="B1161" s="4">
        <v>45793</v>
      </c>
      <c r="C1161" s="5">
        <v>10</v>
      </c>
      <c r="D1161" s="9" t="s">
        <v>13</v>
      </c>
      <c r="E1161" s="10">
        <v>14</v>
      </c>
      <c r="F1161" s="10">
        <f t="shared" si="13"/>
        <v>140</v>
      </c>
    </row>
    <row r="1162" spans="1:6" x14ac:dyDescent="0.25">
      <c r="F1162" s="8">
        <f>SUM(F1161)</f>
        <v>140</v>
      </c>
    </row>
    <row r="1163" spans="1:6" x14ac:dyDescent="0.25">
      <c r="F1163" s="10"/>
    </row>
    <row r="1164" spans="1:6" x14ac:dyDescent="0.25">
      <c r="A1164" s="9" t="s">
        <v>427</v>
      </c>
      <c r="B1164" s="4">
        <v>45793</v>
      </c>
      <c r="C1164" s="5">
        <v>10</v>
      </c>
      <c r="D1164" s="9" t="s">
        <v>13</v>
      </c>
      <c r="E1164" s="10">
        <v>135</v>
      </c>
      <c r="F1164" s="10">
        <f t="shared" si="13"/>
        <v>1350</v>
      </c>
    </row>
    <row r="1165" spans="1:6" x14ac:dyDescent="0.25">
      <c r="F1165" s="8">
        <f>SUM(F1164)</f>
        <v>1350</v>
      </c>
    </row>
    <row r="1166" spans="1:6" x14ac:dyDescent="0.25">
      <c r="F1166" s="10"/>
    </row>
    <row r="1167" spans="1:6" x14ac:dyDescent="0.25">
      <c r="A1167" s="9" t="s">
        <v>157</v>
      </c>
      <c r="B1167" s="4">
        <v>45793</v>
      </c>
      <c r="C1167" s="5">
        <v>10</v>
      </c>
      <c r="D1167" s="9" t="s">
        <v>8</v>
      </c>
      <c r="E1167" s="10">
        <v>155</v>
      </c>
      <c r="F1167" s="10">
        <f t="shared" si="13"/>
        <v>1550</v>
      </c>
    </row>
    <row r="1168" spans="1:6" x14ac:dyDescent="0.25">
      <c r="F1168" s="8">
        <f>SUM(F1167)</f>
        <v>1550</v>
      </c>
    </row>
    <row r="1169" spans="1:6" x14ac:dyDescent="0.25">
      <c r="F1169" s="10"/>
    </row>
    <row r="1170" spans="1:6" x14ac:dyDescent="0.25">
      <c r="A1170" s="9" t="s">
        <v>17</v>
      </c>
      <c r="B1170" s="4">
        <v>45793</v>
      </c>
      <c r="C1170" s="5">
        <v>10</v>
      </c>
      <c r="D1170" s="9" t="s">
        <v>13</v>
      </c>
      <c r="E1170" s="10">
        <v>135</v>
      </c>
      <c r="F1170" s="10">
        <f t="shared" si="13"/>
        <v>1350</v>
      </c>
    </row>
    <row r="1171" spans="1:6" x14ac:dyDescent="0.25">
      <c r="F1171" s="8">
        <f>SUM(F1170)</f>
        <v>1350</v>
      </c>
    </row>
    <row r="1172" spans="1:6" x14ac:dyDescent="0.25">
      <c r="F1172" s="10"/>
    </row>
    <row r="1173" spans="1:6" x14ac:dyDescent="0.25">
      <c r="A1173" s="9" t="s">
        <v>40</v>
      </c>
      <c r="B1173" s="4">
        <v>45793</v>
      </c>
      <c r="C1173" s="5">
        <v>10</v>
      </c>
      <c r="D1173" s="9" t="s">
        <v>14</v>
      </c>
      <c r="E1173" s="10">
        <v>125</v>
      </c>
      <c r="F1173" s="10">
        <f t="shared" si="13"/>
        <v>1250</v>
      </c>
    </row>
    <row r="1174" spans="1:6" x14ac:dyDescent="0.25">
      <c r="F1174" s="8">
        <f>SUM(F1173)</f>
        <v>1250</v>
      </c>
    </row>
    <row r="1175" spans="1:6" x14ac:dyDescent="0.25">
      <c r="F1175" s="10"/>
    </row>
    <row r="1176" spans="1:6" x14ac:dyDescent="0.25">
      <c r="A1176" s="9" t="s">
        <v>80</v>
      </c>
      <c r="B1176" s="4">
        <v>45793</v>
      </c>
      <c r="C1176" s="5">
        <v>2</v>
      </c>
      <c r="D1176" s="9" t="s">
        <v>98</v>
      </c>
      <c r="E1176" s="10">
        <v>100</v>
      </c>
      <c r="F1176" s="10">
        <f t="shared" si="13"/>
        <v>200</v>
      </c>
    </row>
    <row r="1177" spans="1:6" x14ac:dyDescent="0.25">
      <c r="F1177" s="8">
        <f>SUM(F1176)</f>
        <v>200</v>
      </c>
    </row>
    <row r="1178" spans="1:6" x14ac:dyDescent="0.25">
      <c r="F1178" s="10"/>
    </row>
    <row r="1179" spans="1:6" x14ac:dyDescent="0.25">
      <c r="A1179" s="9" t="s">
        <v>18</v>
      </c>
      <c r="B1179" s="4">
        <v>45793</v>
      </c>
      <c r="C1179" s="5">
        <v>7</v>
      </c>
      <c r="D1179" s="9" t="s">
        <v>13</v>
      </c>
      <c r="E1179" s="10">
        <v>140</v>
      </c>
      <c r="F1179" s="10">
        <f t="shared" si="13"/>
        <v>980</v>
      </c>
    </row>
    <row r="1180" spans="1:6" x14ac:dyDescent="0.25">
      <c r="F1180" s="8">
        <f>SUM(F1179)</f>
        <v>980</v>
      </c>
    </row>
    <row r="1181" spans="1:6" x14ac:dyDescent="0.25">
      <c r="F1181" s="10"/>
    </row>
    <row r="1182" spans="1:6" x14ac:dyDescent="0.25">
      <c r="A1182" s="9" t="s">
        <v>7</v>
      </c>
      <c r="B1182" s="4">
        <v>45793</v>
      </c>
      <c r="C1182" s="5">
        <v>3</v>
      </c>
      <c r="D1182" s="9" t="s">
        <v>13</v>
      </c>
      <c r="E1182" s="10">
        <v>135</v>
      </c>
      <c r="F1182" s="10">
        <f t="shared" si="13"/>
        <v>405</v>
      </c>
    </row>
    <row r="1183" spans="1:6" x14ac:dyDescent="0.25">
      <c r="F1183" s="8">
        <f>SUM(F1182)</f>
        <v>405</v>
      </c>
    </row>
    <row r="1184" spans="1:6" x14ac:dyDescent="0.25">
      <c r="F1184" s="10"/>
    </row>
    <row r="1185" spans="1:6" x14ac:dyDescent="0.25">
      <c r="A1185" s="9" t="s">
        <v>41</v>
      </c>
      <c r="B1185" s="4">
        <v>45793</v>
      </c>
      <c r="C1185" s="5">
        <v>25</v>
      </c>
      <c r="D1185" s="9" t="s">
        <v>14</v>
      </c>
      <c r="E1185" s="10">
        <v>130</v>
      </c>
      <c r="F1185" s="10">
        <f t="shared" si="13"/>
        <v>3250</v>
      </c>
    </row>
    <row r="1186" spans="1:6" x14ac:dyDescent="0.25">
      <c r="F1186" s="8">
        <f>SUM(F1185)</f>
        <v>3250</v>
      </c>
    </row>
    <row r="1187" spans="1:6" x14ac:dyDescent="0.25">
      <c r="F1187" s="10"/>
    </row>
    <row r="1188" spans="1:6" x14ac:dyDescent="0.25">
      <c r="A1188" s="9" t="s">
        <v>106</v>
      </c>
      <c r="B1188" s="4">
        <v>45793</v>
      </c>
      <c r="C1188" s="5">
        <v>30</v>
      </c>
      <c r="D1188" s="9" t="s">
        <v>12</v>
      </c>
      <c r="E1188" s="10">
        <v>125</v>
      </c>
      <c r="F1188" s="10">
        <f t="shared" si="13"/>
        <v>3750</v>
      </c>
    </row>
    <row r="1189" spans="1:6" x14ac:dyDescent="0.25">
      <c r="F1189" s="8">
        <f>SUM(F1188)</f>
        <v>3750</v>
      </c>
    </row>
    <row r="1190" spans="1:6" x14ac:dyDescent="0.25">
      <c r="F1190" s="10"/>
    </row>
    <row r="1191" spans="1:6" x14ac:dyDescent="0.25">
      <c r="A1191" s="9" t="s">
        <v>253</v>
      </c>
      <c r="B1191" s="4">
        <v>45793</v>
      </c>
      <c r="C1191" s="5">
        <v>20</v>
      </c>
      <c r="D1191" s="9" t="s">
        <v>14</v>
      </c>
      <c r="E1191" s="10">
        <v>125</v>
      </c>
      <c r="F1191" s="10">
        <f t="shared" si="13"/>
        <v>2500</v>
      </c>
    </row>
    <row r="1192" spans="1:6" x14ac:dyDescent="0.25">
      <c r="F1192" s="8">
        <f>SUM(F1191)</f>
        <v>2500</v>
      </c>
    </row>
    <row r="1193" spans="1:6" x14ac:dyDescent="0.25">
      <c r="F1193" s="10"/>
    </row>
    <row r="1194" spans="1:6" x14ac:dyDescent="0.25">
      <c r="A1194" s="9" t="s">
        <v>43</v>
      </c>
      <c r="B1194" s="4">
        <v>45793</v>
      </c>
      <c r="C1194" s="5">
        <v>20</v>
      </c>
      <c r="D1194" s="9" t="s">
        <v>14</v>
      </c>
      <c r="E1194" s="10">
        <v>125</v>
      </c>
      <c r="F1194" s="10">
        <f t="shared" si="13"/>
        <v>2500</v>
      </c>
    </row>
    <row r="1195" spans="1:6" x14ac:dyDescent="0.25">
      <c r="C1195" s="5">
        <v>20</v>
      </c>
      <c r="D1195" s="9" t="s">
        <v>12</v>
      </c>
      <c r="E1195" s="10">
        <v>115</v>
      </c>
      <c r="F1195" s="10">
        <f t="shared" si="13"/>
        <v>2300</v>
      </c>
    </row>
    <row r="1196" spans="1:6" x14ac:dyDescent="0.25">
      <c r="F1196" s="8">
        <f>SUM(F1194:F1195)</f>
        <v>4800</v>
      </c>
    </row>
    <row r="1197" spans="1:6" x14ac:dyDescent="0.25">
      <c r="F1197" s="10"/>
    </row>
    <row r="1198" spans="1:6" x14ac:dyDescent="0.25">
      <c r="A1198" s="9" t="s">
        <v>18</v>
      </c>
      <c r="B1198" s="4">
        <v>45793</v>
      </c>
      <c r="C1198" s="5">
        <v>10</v>
      </c>
      <c r="D1198" s="9" t="s">
        <v>596</v>
      </c>
      <c r="E1198" s="10">
        <v>125</v>
      </c>
      <c r="F1198" s="10">
        <f t="shared" si="13"/>
        <v>1250</v>
      </c>
    </row>
    <row r="1199" spans="1:6" x14ac:dyDescent="0.25">
      <c r="C1199" s="5">
        <v>20</v>
      </c>
      <c r="D1199" s="9" t="s">
        <v>14</v>
      </c>
      <c r="E1199" s="10">
        <v>125</v>
      </c>
      <c r="F1199" s="10">
        <f t="shared" si="13"/>
        <v>2500</v>
      </c>
    </row>
    <row r="1200" spans="1:6" x14ac:dyDescent="0.25">
      <c r="F1200" s="8">
        <f>SUM(F1198:F1199)</f>
        <v>3750</v>
      </c>
    </row>
    <row r="1201" spans="1:6" x14ac:dyDescent="0.25">
      <c r="F1201" s="10"/>
    </row>
    <row r="1202" spans="1:6" x14ac:dyDescent="0.25">
      <c r="A1202" s="9" t="s">
        <v>44</v>
      </c>
      <c r="B1202" s="4">
        <v>45793</v>
      </c>
      <c r="C1202" s="5">
        <v>60</v>
      </c>
      <c r="D1202" s="9" t="s">
        <v>14</v>
      </c>
      <c r="E1202" s="10">
        <v>125</v>
      </c>
      <c r="F1202" s="10">
        <f t="shared" si="13"/>
        <v>7500</v>
      </c>
    </row>
    <row r="1203" spans="1:6" x14ac:dyDescent="0.25">
      <c r="F1203" s="8">
        <f>SUM(F1202)</f>
        <v>7500</v>
      </c>
    </row>
    <row r="1204" spans="1:6" x14ac:dyDescent="0.25">
      <c r="F1204" s="10"/>
    </row>
    <row r="1205" spans="1:6" x14ac:dyDescent="0.25">
      <c r="A1205" s="9" t="s">
        <v>47</v>
      </c>
      <c r="B1205" s="4">
        <v>45793</v>
      </c>
      <c r="C1205" s="5">
        <v>30</v>
      </c>
      <c r="D1205" s="9" t="s">
        <v>50</v>
      </c>
      <c r="E1205" s="10">
        <v>90</v>
      </c>
      <c r="F1205" s="10">
        <f t="shared" si="13"/>
        <v>2700</v>
      </c>
    </row>
    <row r="1206" spans="1:6" x14ac:dyDescent="0.25">
      <c r="F1206" s="8">
        <f>SUM(F1205)</f>
        <v>2700</v>
      </c>
    </row>
    <row r="1208" spans="1:6" x14ac:dyDescent="0.25">
      <c r="A1208" s="9" t="s">
        <v>145</v>
      </c>
      <c r="B1208" s="4">
        <v>45793</v>
      </c>
      <c r="C1208" s="5">
        <v>40</v>
      </c>
      <c r="D1208" s="9" t="s">
        <v>14</v>
      </c>
      <c r="E1208" s="10">
        <v>120</v>
      </c>
      <c r="F1208" s="10">
        <f>+C1208*E1208</f>
        <v>4800</v>
      </c>
    </row>
    <row r="1209" spans="1:6" x14ac:dyDescent="0.25">
      <c r="F1209" s="8">
        <f>SUM(F1208)</f>
        <v>4800</v>
      </c>
    </row>
    <row r="1210" spans="1:6" x14ac:dyDescent="0.25">
      <c r="F1210" s="10"/>
    </row>
    <row r="1211" spans="1:6" x14ac:dyDescent="0.25">
      <c r="A1211" s="9" t="s">
        <v>45</v>
      </c>
      <c r="B1211" s="4">
        <v>45793</v>
      </c>
      <c r="C1211" s="5">
        <v>4</v>
      </c>
      <c r="D1211" s="9" t="s">
        <v>14</v>
      </c>
      <c r="E1211" s="10">
        <v>125</v>
      </c>
      <c r="F1211" s="10">
        <f t="shared" ref="F1211:F1270" si="14">+C1211*E1211</f>
        <v>500</v>
      </c>
    </row>
    <row r="1212" spans="1:6" x14ac:dyDescent="0.25">
      <c r="F1212" s="8">
        <f>SUM(F1211)</f>
        <v>500</v>
      </c>
    </row>
    <row r="1213" spans="1:6" x14ac:dyDescent="0.25">
      <c r="F1213" s="10"/>
    </row>
    <row r="1214" spans="1:6" x14ac:dyDescent="0.25">
      <c r="A1214" s="9" t="s">
        <v>487</v>
      </c>
      <c r="B1214" s="4">
        <v>45793</v>
      </c>
      <c r="C1214" s="5">
        <v>7</v>
      </c>
      <c r="D1214" s="9" t="s">
        <v>12</v>
      </c>
      <c r="E1214" s="10">
        <v>130</v>
      </c>
      <c r="F1214" s="10">
        <f t="shared" si="14"/>
        <v>910</v>
      </c>
    </row>
    <row r="1215" spans="1:6" x14ac:dyDescent="0.25">
      <c r="F1215" s="8">
        <f>SUM(F1214)</f>
        <v>910</v>
      </c>
    </row>
    <row r="1216" spans="1:6" x14ac:dyDescent="0.25">
      <c r="F1216" s="10"/>
    </row>
    <row r="1217" spans="1:6" x14ac:dyDescent="0.25">
      <c r="A1217" s="9" t="s">
        <v>26</v>
      </c>
      <c r="B1217" s="4">
        <v>45793</v>
      </c>
      <c r="C1217" s="5">
        <v>90</v>
      </c>
      <c r="D1217" s="9" t="s">
        <v>13</v>
      </c>
      <c r="E1217" s="10">
        <v>140</v>
      </c>
      <c r="F1217" s="10">
        <f t="shared" si="14"/>
        <v>12600</v>
      </c>
    </row>
    <row r="1218" spans="1:6" x14ac:dyDescent="0.25">
      <c r="C1218" s="5">
        <v>30</v>
      </c>
      <c r="D1218" s="9" t="s">
        <v>14</v>
      </c>
      <c r="E1218" s="10">
        <v>130</v>
      </c>
      <c r="F1218" s="10">
        <f t="shared" si="14"/>
        <v>3900</v>
      </c>
    </row>
    <row r="1219" spans="1:6" x14ac:dyDescent="0.25">
      <c r="F1219" s="8">
        <f>SUM(F1217:F1218)</f>
        <v>16500</v>
      </c>
    </row>
    <row r="1220" spans="1:6" x14ac:dyDescent="0.25">
      <c r="F1220" s="10"/>
    </row>
    <row r="1221" spans="1:6" x14ac:dyDescent="0.25">
      <c r="A1221" s="9" t="s">
        <v>535</v>
      </c>
      <c r="B1221" s="4">
        <v>45793</v>
      </c>
      <c r="C1221" s="5">
        <v>41</v>
      </c>
      <c r="D1221" s="9" t="s">
        <v>13</v>
      </c>
      <c r="E1221" s="10">
        <v>140</v>
      </c>
      <c r="F1221" s="10">
        <f t="shared" si="14"/>
        <v>5740</v>
      </c>
    </row>
    <row r="1222" spans="1:6" x14ac:dyDescent="0.25">
      <c r="C1222" s="5">
        <v>42</v>
      </c>
      <c r="D1222" s="9" t="s">
        <v>8</v>
      </c>
      <c r="E1222" s="10">
        <v>160</v>
      </c>
      <c r="F1222" s="10">
        <f t="shared" si="14"/>
        <v>6720</v>
      </c>
    </row>
    <row r="1223" spans="1:6" x14ac:dyDescent="0.25">
      <c r="C1223" s="5">
        <v>5</v>
      </c>
      <c r="D1223" s="9" t="s">
        <v>597</v>
      </c>
      <c r="E1223" s="10">
        <v>130</v>
      </c>
      <c r="F1223" s="10">
        <f t="shared" si="14"/>
        <v>650</v>
      </c>
    </row>
    <row r="1224" spans="1:6" x14ac:dyDescent="0.25">
      <c r="F1224" s="8">
        <f>SUM(F1221:F1223)</f>
        <v>13110</v>
      </c>
    </row>
    <row r="1225" spans="1:6" x14ac:dyDescent="0.25">
      <c r="F1225" s="10"/>
    </row>
    <row r="1226" spans="1:6" x14ac:dyDescent="0.25">
      <c r="A1226" s="9" t="s">
        <v>48</v>
      </c>
      <c r="B1226" s="4">
        <v>45793</v>
      </c>
      <c r="C1226" s="5">
        <v>800</v>
      </c>
      <c r="D1226" s="9" t="s">
        <v>14</v>
      </c>
      <c r="F1226" s="10">
        <f t="shared" si="14"/>
        <v>0</v>
      </c>
    </row>
    <row r="1227" spans="1:6" x14ac:dyDescent="0.25">
      <c r="C1227" s="5">
        <v>134</v>
      </c>
      <c r="D1227" s="9" t="s">
        <v>49</v>
      </c>
      <c r="F1227" s="10">
        <f t="shared" si="14"/>
        <v>0</v>
      </c>
    </row>
    <row r="1228" spans="1:6" x14ac:dyDescent="0.25">
      <c r="C1228" s="5">
        <v>47</v>
      </c>
      <c r="D1228" s="9" t="s">
        <v>22</v>
      </c>
      <c r="F1228" s="10">
        <f t="shared" si="14"/>
        <v>0</v>
      </c>
    </row>
    <row r="1229" spans="1:6" x14ac:dyDescent="0.25">
      <c r="C1229" s="5">
        <v>27</v>
      </c>
      <c r="D1229" s="9" t="s">
        <v>50</v>
      </c>
      <c r="F1229" s="10">
        <f t="shared" si="14"/>
        <v>0</v>
      </c>
    </row>
    <row r="1230" spans="1:6" x14ac:dyDescent="0.25">
      <c r="C1230" s="5">
        <v>40</v>
      </c>
      <c r="D1230" s="9" t="s">
        <v>13</v>
      </c>
      <c r="F1230" s="10">
        <f t="shared" si="14"/>
        <v>0</v>
      </c>
    </row>
    <row r="1231" spans="1:6" x14ac:dyDescent="0.25">
      <c r="F1231" s="8">
        <f>SUM(F1226:F1230)</f>
        <v>0</v>
      </c>
    </row>
    <row r="1232" spans="1:6" x14ac:dyDescent="0.25">
      <c r="F1232" s="10"/>
    </row>
    <row r="1233" spans="1:6" x14ac:dyDescent="0.25">
      <c r="A1233" s="9" t="s">
        <v>101</v>
      </c>
      <c r="B1233" s="4">
        <v>45793</v>
      </c>
      <c r="C1233" s="5">
        <v>1</v>
      </c>
      <c r="D1233" s="9" t="s">
        <v>13</v>
      </c>
      <c r="E1233" s="10">
        <v>160</v>
      </c>
      <c r="F1233" s="10">
        <f t="shared" si="14"/>
        <v>160</v>
      </c>
    </row>
    <row r="1234" spans="1:6" x14ac:dyDescent="0.25">
      <c r="C1234" s="5">
        <v>1</v>
      </c>
      <c r="D1234" s="9" t="s">
        <v>8</v>
      </c>
      <c r="E1234" s="10">
        <v>170</v>
      </c>
      <c r="F1234" s="10">
        <f t="shared" si="14"/>
        <v>170</v>
      </c>
    </row>
    <row r="1235" spans="1:6" x14ac:dyDescent="0.25">
      <c r="C1235" s="5">
        <v>1</v>
      </c>
      <c r="D1235" s="9" t="s">
        <v>13</v>
      </c>
      <c r="E1235" s="10">
        <v>150</v>
      </c>
      <c r="F1235" s="10">
        <f t="shared" si="14"/>
        <v>150</v>
      </c>
    </row>
    <row r="1236" spans="1:6" x14ac:dyDescent="0.25">
      <c r="C1236" s="5">
        <v>3</v>
      </c>
      <c r="D1236" s="9" t="s">
        <v>8</v>
      </c>
      <c r="E1236" s="10">
        <v>170</v>
      </c>
      <c r="F1236" s="10">
        <f t="shared" si="14"/>
        <v>510</v>
      </c>
    </row>
    <row r="1237" spans="1:6" x14ac:dyDescent="0.25">
      <c r="F1237" s="8">
        <f>SUM(F1233:F1236)</f>
        <v>990</v>
      </c>
    </row>
    <row r="1238" spans="1:6" x14ac:dyDescent="0.25">
      <c r="F1238" s="10"/>
    </row>
    <row r="1239" spans="1:6" x14ac:dyDescent="0.25">
      <c r="A1239" s="9" t="s">
        <v>181</v>
      </c>
      <c r="B1239" s="4">
        <v>45793</v>
      </c>
      <c r="C1239" s="5">
        <v>2</v>
      </c>
      <c r="D1239" s="9" t="s">
        <v>598</v>
      </c>
      <c r="E1239" s="10">
        <v>145</v>
      </c>
      <c r="F1239" s="10">
        <f t="shared" si="14"/>
        <v>290</v>
      </c>
    </row>
    <row r="1240" spans="1:6" x14ac:dyDescent="0.25">
      <c r="C1240" s="5">
        <v>2</v>
      </c>
      <c r="D1240" s="9" t="s">
        <v>13</v>
      </c>
      <c r="E1240" s="10">
        <v>160</v>
      </c>
      <c r="F1240" s="10">
        <f t="shared" si="14"/>
        <v>320</v>
      </c>
    </row>
    <row r="1241" spans="1:6" x14ac:dyDescent="0.25">
      <c r="F1241" s="8">
        <f>SUM(F1239:F1240)</f>
        <v>610</v>
      </c>
    </row>
    <row r="1242" spans="1:6" x14ac:dyDescent="0.25">
      <c r="F1242" s="10"/>
    </row>
    <row r="1243" spans="1:6" x14ac:dyDescent="0.25">
      <c r="A1243" s="9" t="s">
        <v>58</v>
      </c>
      <c r="B1243" s="4">
        <v>45794</v>
      </c>
      <c r="C1243" s="5">
        <v>6</v>
      </c>
      <c r="D1243" s="9" t="s">
        <v>13</v>
      </c>
      <c r="E1243" s="10">
        <v>140</v>
      </c>
      <c r="F1243" s="10">
        <f t="shared" si="14"/>
        <v>840</v>
      </c>
    </row>
    <row r="1244" spans="1:6" x14ac:dyDescent="0.25">
      <c r="F1244" s="8">
        <f>SUM(F1243)</f>
        <v>840</v>
      </c>
    </row>
    <row r="1245" spans="1:6" x14ac:dyDescent="0.25">
      <c r="F1245" s="10"/>
    </row>
    <row r="1246" spans="1:6" x14ac:dyDescent="0.25">
      <c r="A1246" s="9" t="s">
        <v>599</v>
      </c>
      <c r="B1246" s="4">
        <v>45794</v>
      </c>
      <c r="C1246" s="5">
        <v>10</v>
      </c>
      <c r="D1246" s="9" t="s">
        <v>98</v>
      </c>
      <c r="E1246" s="10">
        <v>100</v>
      </c>
      <c r="F1246" s="10">
        <f t="shared" si="14"/>
        <v>1000</v>
      </c>
    </row>
    <row r="1247" spans="1:6" x14ac:dyDescent="0.25">
      <c r="F1247" s="8">
        <f>SUM(F1246)</f>
        <v>1000</v>
      </c>
    </row>
    <row r="1248" spans="1:6" x14ac:dyDescent="0.25">
      <c r="F1248" s="10"/>
    </row>
    <row r="1249" spans="1:6" x14ac:dyDescent="0.25">
      <c r="A1249" s="9" t="s">
        <v>69</v>
      </c>
      <c r="B1249" s="4">
        <v>45794</v>
      </c>
      <c r="C1249" s="5">
        <v>12</v>
      </c>
      <c r="D1249" s="9" t="s">
        <v>98</v>
      </c>
      <c r="E1249" s="10">
        <v>100</v>
      </c>
      <c r="F1249" s="10">
        <f t="shared" si="14"/>
        <v>1200</v>
      </c>
    </row>
    <row r="1250" spans="1:6" x14ac:dyDescent="0.25">
      <c r="F1250" s="8">
        <f>SUM(F1249)</f>
        <v>1200</v>
      </c>
    </row>
    <row r="1251" spans="1:6" x14ac:dyDescent="0.25">
      <c r="F1251" s="10"/>
    </row>
    <row r="1252" spans="1:6" x14ac:dyDescent="0.25">
      <c r="A1252" s="9" t="s">
        <v>157</v>
      </c>
      <c r="B1252" s="4">
        <v>45794</v>
      </c>
      <c r="C1252" s="5">
        <v>10</v>
      </c>
      <c r="D1252" s="9" t="s">
        <v>8</v>
      </c>
      <c r="E1252" s="10">
        <v>155</v>
      </c>
      <c r="F1252" s="10">
        <f t="shared" si="14"/>
        <v>1550</v>
      </c>
    </row>
    <row r="1253" spans="1:6" x14ac:dyDescent="0.25">
      <c r="F1253" s="8">
        <f>SUM(F1252)</f>
        <v>1550</v>
      </c>
    </row>
    <row r="1254" spans="1:6" x14ac:dyDescent="0.25">
      <c r="F1254" s="10"/>
    </row>
    <row r="1255" spans="1:6" x14ac:dyDescent="0.25">
      <c r="A1255" s="9" t="s">
        <v>366</v>
      </c>
      <c r="B1255" s="4">
        <v>45794</v>
      </c>
      <c r="C1255" s="5">
        <v>10</v>
      </c>
      <c r="D1255" s="9" t="s">
        <v>13</v>
      </c>
      <c r="E1255" s="10">
        <v>135</v>
      </c>
      <c r="F1255" s="10">
        <f>+C1255*E1255</f>
        <v>1350</v>
      </c>
    </row>
    <row r="1256" spans="1:6" x14ac:dyDescent="0.25">
      <c r="F1256" s="8">
        <f>SUM(F1255)</f>
        <v>1350</v>
      </c>
    </row>
    <row r="1257" spans="1:6" x14ac:dyDescent="0.25">
      <c r="F1257" s="10"/>
    </row>
    <row r="1258" spans="1:6" x14ac:dyDescent="0.25">
      <c r="A1258" s="9" t="s">
        <v>37</v>
      </c>
      <c r="B1258" s="4">
        <v>45794</v>
      </c>
      <c r="C1258" s="5">
        <v>15</v>
      </c>
      <c r="D1258" s="9" t="s">
        <v>12</v>
      </c>
      <c r="E1258" s="10">
        <v>130</v>
      </c>
      <c r="F1258" s="10">
        <f t="shared" si="14"/>
        <v>1950</v>
      </c>
    </row>
    <row r="1259" spans="1:6" x14ac:dyDescent="0.25">
      <c r="F1259" s="8">
        <f>SUM(F1258)</f>
        <v>1950</v>
      </c>
    </row>
    <row r="1260" spans="1:6" x14ac:dyDescent="0.25">
      <c r="F1260" s="10"/>
    </row>
    <row r="1261" spans="1:6" x14ac:dyDescent="0.25">
      <c r="A1261" s="9" t="s">
        <v>148</v>
      </c>
      <c r="B1261" s="4">
        <v>45794</v>
      </c>
      <c r="C1261" s="5">
        <v>5</v>
      </c>
      <c r="D1261" s="9" t="s">
        <v>13</v>
      </c>
      <c r="E1261" s="10">
        <v>135</v>
      </c>
      <c r="F1261" s="10">
        <f t="shared" si="14"/>
        <v>675</v>
      </c>
    </row>
    <row r="1262" spans="1:6" x14ac:dyDescent="0.25">
      <c r="C1262" s="5">
        <v>5</v>
      </c>
      <c r="D1262" s="9" t="s">
        <v>602</v>
      </c>
      <c r="E1262" s="10">
        <v>125</v>
      </c>
      <c r="F1262" s="10">
        <f t="shared" si="14"/>
        <v>625</v>
      </c>
    </row>
    <row r="1263" spans="1:6" x14ac:dyDescent="0.25">
      <c r="F1263" s="8">
        <f>SUM(F1261:F1262)</f>
        <v>1300</v>
      </c>
    </row>
    <row r="1264" spans="1:6" x14ac:dyDescent="0.25">
      <c r="F1264" s="10"/>
    </row>
    <row r="1265" spans="1:6" x14ac:dyDescent="0.25">
      <c r="A1265" s="9" t="s">
        <v>21</v>
      </c>
      <c r="B1265" s="4">
        <v>45794</v>
      </c>
      <c r="C1265" s="5">
        <v>20</v>
      </c>
      <c r="D1265" s="9" t="s">
        <v>13</v>
      </c>
      <c r="E1265" s="10">
        <v>130</v>
      </c>
      <c r="F1265" s="10">
        <f t="shared" si="14"/>
        <v>2600</v>
      </c>
    </row>
    <row r="1266" spans="1:6" x14ac:dyDescent="0.25">
      <c r="C1266" s="5">
        <v>20</v>
      </c>
      <c r="D1266" s="9" t="s">
        <v>22</v>
      </c>
      <c r="E1266" s="10">
        <v>110</v>
      </c>
      <c r="F1266" s="10">
        <f t="shared" si="14"/>
        <v>2200</v>
      </c>
    </row>
    <row r="1267" spans="1:6" x14ac:dyDescent="0.25">
      <c r="C1267" s="5">
        <v>10</v>
      </c>
      <c r="D1267" s="9" t="s">
        <v>14</v>
      </c>
      <c r="E1267" s="10">
        <v>125</v>
      </c>
      <c r="F1267" s="10">
        <f t="shared" si="14"/>
        <v>1250</v>
      </c>
    </row>
    <row r="1268" spans="1:6" x14ac:dyDescent="0.25">
      <c r="F1268" s="8">
        <f>SUM(F1265:F1267)</f>
        <v>6050</v>
      </c>
    </row>
    <row r="1269" spans="1:6" x14ac:dyDescent="0.25">
      <c r="F1269" s="10"/>
    </row>
    <row r="1270" spans="1:6" x14ac:dyDescent="0.25">
      <c r="A1270" s="9" t="s">
        <v>20</v>
      </c>
      <c r="B1270" s="4">
        <v>45794</v>
      </c>
      <c r="C1270" s="5">
        <v>20</v>
      </c>
      <c r="D1270" s="9" t="s">
        <v>13</v>
      </c>
      <c r="E1270" s="10">
        <v>135</v>
      </c>
      <c r="F1270" s="10">
        <f t="shared" si="14"/>
        <v>2700</v>
      </c>
    </row>
    <row r="1271" spans="1:6" x14ac:dyDescent="0.25">
      <c r="F1271" s="8">
        <f>SUM(F1270)</f>
        <v>2700</v>
      </c>
    </row>
    <row r="1272" spans="1:6" x14ac:dyDescent="0.25">
      <c r="F1272" s="10"/>
    </row>
    <row r="1273" spans="1:6" x14ac:dyDescent="0.25">
      <c r="A1273" s="9" t="s">
        <v>112</v>
      </c>
      <c r="B1273" s="4">
        <v>45794</v>
      </c>
      <c r="C1273" s="5">
        <v>30</v>
      </c>
      <c r="D1273" s="9" t="s">
        <v>12</v>
      </c>
      <c r="E1273" s="10">
        <v>120</v>
      </c>
      <c r="F1273" s="10">
        <f t="shared" ref="F1273:F1334" si="15">+C1273*E1273</f>
        <v>3600</v>
      </c>
    </row>
    <row r="1274" spans="1:6" x14ac:dyDescent="0.25">
      <c r="F1274" s="8">
        <f>SUM(F1273)</f>
        <v>3600</v>
      </c>
    </row>
    <row r="1275" spans="1:6" x14ac:dyDescent="0.25">
      <c r="F1275" s="10"/>
    </row>
    <row r="1276" spans="1:6" x14ac:dyDescent="0.25">
      <c r="A1276" s="9" t="s">
        <v>80</v>
      </c>
      <c r="B1276" s="4">
        <v>45794</v>
      </c>
      <c r="C1276" s="5">
        <v>5</v>
      </c>
      <c r="D1276" s="9" t="s">
        <v>13</v>
      </c>
      <c r="E1276" s="10">
        <v>140</v>
      </c>
      <c r="F1276" s="10">
        <f t="shared" si="15"/>
        <v>700</v>
      </c>
    </row>
    <row r="1277" spans="1:6" x14ac:dyDescent="0.25">
      <c r="F1277" s="8">
        <f>SUM(F1276)</f>
        <v>700</v>
      </c>
    </row>
    <row r="1278" spans="1:6" x14ac:dyDescent="0.25">
      <c r="F1278" s="10"/>
    </row>
    <row r="1279" spans="1:6" x14ac:dyDescent="0.25">
      <c r="A1279" s="9" t="s">
        <v>255</v>
      </c>
      <c r="B1279" s="4">
        <v>45794</v>
      </c>
      <c r="C1279" s="5">
        <v>100</v>
      </c>
      <c r="D1279" s="9" t="s">
        <v>8</v>
      </c>
      <c r="E1279" s="10">
        <v>160</v>
      </c>
      <c r="F1279" s="10">
        <f t="shared" si="15"/>
        <v>16000</v>
      </c>
    </row>
    <row r="1280" spans="1:6" x14ac:dyDescent="0.25">
      <c r="F1280" s="8">
        <f>SUM(F1279)</f>
        <v>16000</v>
      </c>
    </row>
    <row r="1281" spans="1:6" x14ac:dyDescent="0.25">
      <c r="F1281" s="10"/>
    </row>
    <row r="1282" spans="1:6" x14ac:dyDescent="0.25">
      <c r="A1282" s="9" t="s">
        <v>61</v>
      </c>
      <c r="B1282" s="4">
        <v>45794</v>
      </c>
      <c r="C1282" s="5">
        <v>40</v>
      </c>
      <c r="D1282" s="9" t="s">
        <v>13</v>
      </c>
      <c r="E1282" s="10">
        <v>130</v>
      </c>
      <c r="F1282" s="10">
        <f t="shared" si="15"/>
        <v>5200</v>
      </c>
    </row>
    <row r="1283" spans="1:6" x14ac:dyDescent="0.25">
      <c r="F1283" s="8">
        <f>SUM(F1282)</f>
        <v>5200</v>
      </c>
    </row>
    <row r="1284" spans="1:6" x14ac:dyDescent="0.25">
      <c r="F1284" s="10"/>
    </row>
    <row r="1285" spans="1:6" x14ac:dyDescent="0.25">
      <c r="A1285" s="9" t="s">
        <v>111</v>
      </c>
      <c r="B1285" s="4">
        <v>45794</v>
      </c>
      <c r="C1285" s="5">
        <v>30</v>
      </c>
      <c r="D1285" s="9" t="s">
        <v>13</v>
      </c>
      <c r="E1285" s="10">
        <v>140</v>
      </c>
      <c r="F1285" s="10">
        <f t="shared" si="15"/>
        <v>4200</v>
      </c>
    </row>
    <row r="1286" spans="1:6" x14ac:dyDescent="0.25">
      <c r="C1286" s="5">
        <v>1</v>
      </c>
      <c r="D1286" s="9" t="s">
        <v>318</v>
      </c>
      <c r="E1286" s="10">
        <v>0</v>
      </c>
      <c r="F1286" s="10">
        <f t="shared" si="15"/>
        <v>0</v>
      </c>
    </row>
    <row r="1287" spans="1:6" x14ac:dyDescent="0.25">
      <c r="F1287" s="8">
        <f>SUM(F1285:F1286)</f>
        <v>4200</v>
      </c>
    </row>
    <row r="1288" spans="1:6" x14ac:dyDescent="0.25">
      <c r="F1288" s="10"/>
    </row>
    <row r="1289" spans="1:6" x14ac:dyDescent="0.25">
      <c r="A1289" s="9" t="s">
        <v>127</v>
      </c>
      <c r="B1289" s="4">
        <v>45794</v>
      </c>
      <c r="C1289" s="5">
        <v>20</v>
      </c>
      <c r="D1289" s="9" t="s">
        <v>13</v>
      </c>
      <c r="E1289" s="10">
        <v>130</v>
      </c>
      <c r="F1289" s="10">
        <f t="shared" si="15"/>
        <v>2600</v>
      </c>
    </row>
    <row r="1290" spans="1:6" x14ac:dyDescent="0.25">
      <c r="F1290" s="8">
        <f>SUM(F1289)</f>
        <v>2600</v>
      </c>
    </row>
    <row r="1291" spans="1:6" x14ac:dyDescent="0.25">
      <c r="F1291" s="10"/>
    </row>
    <row r="1292" spans="1:6" x14ac:dyDescent="0.25">
      <c r="A1292" s="9" t="s">
        <v>102</v>
      </c>
      <c r="B1292" s="4">
        <v>45794</v>
      </c>
      <c r="C1292" s="5">
        <v>5</v>
      </c>
      <c r="D1292" s="9" t="s">
        <v>13</v>
      </c>
      <c r="E1292" s="10">
        <v>145</v>
      </c>
      <c r="F1292" s="10">
        <f t="shared" si="15"/>
        <v>725</v>
      </c>
    </row>
    <row r="1293" spans="1:6" x14ac:dyDescent="0.25">
      <c r="F1293" s="8">
        <f>SUM(F1292)</f>
        <v>725</v>
      </c>
    </row>
    <row r="1294" spans="1:6" x14ac:dyDescent="0.25">
      <c r="F1294" s="10"/>
    </row>
    <row r="1295" spans="1:6" x14ac:dyDescent="0.25">
      <c r="A1295" s="9" t="s">
        <v>72</v>
      </c>
      <c r="B1295" s="4">
        <v>45794</v>
      </c>
      <c r="C1295" s="5">
        <v>200</v>
      </c>
      <c r="D1295" s="9" t="s">
        <v>13</v>
      </c>
      <c r="E1295" s="10">
        <v>130</v>
      </c>
      <c r="F1295" s="10">
        <f t="shared" si="15"/>
        <v>26000</v>
      </c>
    </row>
    <row r="1296" spans="1:6" x14ac:dyDescent="0.25">
      <c r="C1296" s="5">
        <v>150</v>
      </c>
      <c r="D1296" s="9" t="s">
        <v>12</v>
      </c>
      <c r="E1296" s="10">
        <v>115</v>
      </c>
      <c r="F1296" s="10">
        <f t="shared" si="15"/>
        <v>17250</v>
      </c>
    </row>
    <row r="1297" spans="1:6" x14ac:dyDescent="0.25">
      <c r="C1297" s="5">
        <v>100</v>
      </c>
      <c r="D1297" s="9" t="s">
        <v>11</v>
      </c>
      <c r="E1297" s="10">
        <v>115</v>
      </c>
      <c r="F1297" s="10">
        <f t="shared" si="15"/>
        <v>11500</v>
      </c>
    </row>
    <row r="1298" spans="1:6" x14ac:dyDescent="0.25">
      <c r="C1298" s="5">
        <v>30</v>
      </c>
      <c r="D1298" s="9" t="s">
        <v>82</v>
      </c>
      <c r="E1298" s="10">
        <v>125</v>
      </c>
      <c r="F1298" s="10">
        <f t="shared" si="15"/>
        <v>3750</v>
      </c>
    </row>
    <row r="1299" spans="1:6" x14ac:dyDescent="0.25">
      <c r="F1299" s="8">
        <f>SUM(F1295:F1298)</f>
        <v>58500</v>
      </c>
    </row>
    <row r="1300" spans="1:6" x14ac:dyDescent="0.25">
      <c r="F1300" s="10"/>
    </row>
    <row r="1301" spans="1:6" x14ac:dyDescent="0.25">
      <c r="A1301" s="9" t="s">
        <v>26</v>
      </c>
      <c r="B1301" s="4">
        <v>45794</v>
      </c>
      <c r="C1301" s="5">
        <v>120</v>
      </c>
      <c r="D1301" s="9" t="s">
        <v>13</v>
      </c>
      <c r="E1301" s="10">
        <v>140</v>
      </c>
      <c r="F1301" s="10">
        <f t="shared" si="15"/>
        <v>16800</v>
      </c>
    </row>
    <row r="1302" spans="1:6" x14ac:dyDescent="0.25">
      <c r="C1302" s="5">
        <v>10</v>
      </c>
      <c r="D1302" s="9" t="s">
        <v>602</v>
      </c>
      <c r="E1302" s="10">
        <v>130</v>
      </c>
      <c r="F1302" s="10">
        <f t="shared" si="15"/>
        <v>1300</v>
      </c>
    </row>
    <row r="1303" spans="1:6" x14ac:dyDescent="0.25">
      <c r="F1303" s="8">
        <f>SUM(F1301:F1302)</f>
        <v>18100</v>
      </c>
    </row>
    <row r="1304" spans="1:6" x14ac:dyDescent="0.25">
      <c r="F1304" s="10"/>
    </row>
    <row r="1305" spans="1:6" x14ac:dyDescent="0.25">
      <c r="A1305" s="9" t="s">
        <v>535</v>
      </c>
      <c r="B1305" s="4">
        <v>45794</v>
      </c>
      <c r="C1305" s="5">
        <v>63</v>
      </c>
      <c r="D1305" s="9" t="s">
        <v>13</v>
      </c>
      <c r="E1305" s="10">
        <v>140</v>
      </c>
      <c r="F1305" s="10">
        <f t="shared" si="15"/>
        <v>8820</v>
      </c>
    </row>
    <row r="1306" spans="1:6" x14ac:dyDescent="0.25">
      <c r="C1306" s="5">
        <v>6</v>
      </c>
      <c r="D1306" s="9" t="s">
        <v>12</v>
      </c>
      <c r="E1306" s="10">
        <v>130</v>
      </c>
      <c r="F1306" s="10">
        <f t="shared" si="15"/>
        <v>780</v>
      </c>
    </row>
    <row r="1307" spans="1:6" x14ac:dyDescent="0.25">
      <c r="C1307" s="5">
        <v>1</v>
      </c>
      <c r="D1307" s="9" t="s">
        <v>377</v>
      </c>
      <c r="E1307" s="10">
        <v>135</v>
      </c>
      <c r="F1307" s="10">
        <f t="shared" si="15"/>
        <v>135</v>
      </c>
    </row>
    <row r="1308" spans="1:6" x14ac:dyDescent="0.25">
      <c r="F1308" s="8">
        <f>SUM(F1305:F1307)</f>
        <v>9735</v>
      </c>
    </row>
    <row r="1309" spans="1:6" x14ac:dyDescent="0.25">
      <c r="F1309" s="10"/>
    </row>
    <row r="1310" spans="1:6" x14ac:dyDescent="0.25">
      <c r="A1310" s="9" t="s">
        <v>65</v>
      </c>
      <c r="B1310" s="4">
        <v>45794</v>
      </c>
      <c r="C1310" s="5">
        <v>287</v>
      </c>
      <c r="D1310" s="9" t="s">
        <v>11</v>
      </c>
      <c r="E1310" s="10">
        <v>110</v>
      </c>
      <c r="F1310" s="10">
        <f t="shared" si="15"/>
        <v>31570</v>
      </c>
    </row>
    <row r="1311" spans="1:6" x14ac:dyDescent="0.25">
      <c r="C1311" s="5">
        <v>580</v>
      </c>
      <c r="D1311" s="9" t="s">
        <v>13</v>
      </c>
      <c r="E1311" s="10">
        <v>125</v>
      </c>
      <c r="F1311" s="10">
        <f t="shared" si="15"/>
        <v>72500</v>
      </c>
    </row>
    <row r="1312" spans="1:6" x14ac:dyDescent="0.25">
      <c r="C1312" s="5">
        <v>1400</v>
      </c>
      <c r="D1312" s="9" t="s">
        <v>12</v>
      </c>
      <c r="E1312" s="10">
        <v>115</v>
      </c>
      <c r="F1312" s="10">
        <f t="shared" si="15"/>
        <v>161000</v>
      </c>
    </row>
    <row r="1313" spans="1:6" x14ac:dyDescent="0.25">
      <c r="C1313" s="5">
        <v>130</v>
      </c>
      <c r="D1313" s="9" t="s">
        <v>50</v>
      </c>
      <c r="E1313" s="10">
        <v>90</v>
      </c>
      <c r="F1313" s="10">
        <f t="shared" si="15"/>
        <v>11700</v>
      </c>
    </row>
    <row r="1314" spans="1:6" x14ac:dyDescent="0.25">
      <c r="C1314" s="5">
        <v>300</v>
      </c>
      <c r="D1314" s="9" t="s">
        <v>22</v>
      </c>
      <c r="E1314" s="10">
        <v>95</v>
      </c>
      <c r="F1314" s="10">
        <f t="shared" si="15"/>
        <v>28500</v>
      </c>
    </row>
    <row r="1315" spans="1:6" x14ac:dyDescent="0.25">
      <c r="C1315" s="5">
        <v>50</v>
      </c>
      <c r="D1315" s="9" t="s">
        <v>387</v>
      </c>
      <c r="E1315" s="10">
        <v>125</v>
      </c>
      <c r="F1315" s="10">
        <f t="shared" si="15"/>
        <v>6250</v>
      </c>
    </row>
    <row r="1316" spans="1:6" x14ac:dyDescent="0.25">
      <c r="C1316" s="5">
        <v>250</v>
      </c>
      <c r="D1316" s="9" t="s">
        <v>603</v>
      </c>
      <c r="E1316" s="10">
        <v>100</v>
      </c>
      <c r="F1316" s="10">
        <f t="shared" si="15"/>
        <v>25000</v>
      </c>
    </row>
    <row r="1317" spans="1:6" x14ac:dyDescent="0.25">
      <c r="F1317" s="8">
        <f>SUM(F1310:F1316)</f>
        <v>336520</v>
      </c>
    </row>
    <row r="1318" spans="1:6" x14ac:dyDescent="0.25">
      <c r="F1318" s="10"/>
    </row>
    <row r="1319" spans="1:6" x14ac:dyDescent="0.25">
      <c r="A1319" s="9" t="s">
        <v>101</v>
      </c>
      <c r="B1319" s="4">
        <v>45794</v>
      </c>
      <c r="C1319" s="5">
        <v>10</v>
      </c>
      <c r="D1319" s="9" t="s">
        <v>604</v>
      </c>
      <c r="E1319" s="10">
        <v>135</v>
      </c>
      <c r="F1319" s="10">
        <f t="shared" si="15"/>
        <v>1350</v>
      </c>
    </row>
    <row r="1320" spans="1:6" x14ac:dyDescent="0.25">
      <c r="C1320" s="5">
        <v>12</v>
      </c>
      <c r="D1320" s="9" t="s">
        <v>8</v>
      </c>
      <c r="E1320" s="10">
        <v>160</v>
      </c>
      <c r="F1320" s="10">
        <f t="shared" si="15"/>
        <v>1920</v>
      </c>
    </row>
    <row r="1321" spans="1:6" x14ac:dyDescent="0.25">
      <c r="F1321" s="8">
        <f>SUM(F1319:F1320)</f>
        <v>3270</v>
      </c>
    </row>
    <row r="1322" spans="1:6" x14ac:dyDescent="0.25">
      <c r="F1322" s="10"/>
    </row>
    <row r="1323" spans="1:6" x14ac:dyDescent="0.25">
      <c r="A1323" s="9" t="s">
        <v>181</v>
      </c>
      <c r="B1323" s="4">
        <v>45794</v>
      </c>
      <c r="C1323" s="5">
        <v>1.2</v>
      </c>
      <c r="D1323" s="9" t="s">
        <v>8</v>
      </c>
      <c r="E1323" s="10">
        <v>160</v>
      </c>
      <c r="F1323" s="10">
        <f t="shared" si="15"/>
        <v>192</v>
      </c>
    </row>
    <row r="1324" spans="1:6" x14ac:dyDescent="0.25">
      <c r="C1324" s="5">
        <v>5.05</v>
      </c>
      <c r="D1324" s="9" t="s">
        <v>8</v>
      </c>
      <c r="E1324" s="10">
        <v>160</v>
      </c>
      <c r="F1324" s="10">
        <f t="shared" si="15"/>
        <v>808</v>
      </c>
    </row>
    <row r="1325" spans="1:6" x14ac:dyDescent="0.25">
      <c r="F1325" s="8">
        <f>SUM(F1323:F1324)</f>
        <v>1000</v>
      </c>
    </row>
    <row r="1326" spans="1:6" x14ac:dyDescent="0.25">
      <c r="F1326" s="10"/>
    </row>
    <row r="1327" spans="1:6" x14ac:dyDescent="0.25">
      <c r="A1327" s="9" t="s">
        <v>76</v>
      </c>
      <c r="B1327" s="4">
        <v>45795</v>
      </c>
      <c r="C1327" s="5">
        <v>150</v>
      </c>
      <c r="D1327" s="9" t="s">
        <v>13</v>
      </c>
      <c r="F1327" s="10">
        <f t="shared" si="15"/>
        <v>0</v>
      </c>
    </row>
    <row r="1328" spans="1:6" x14ac:dyDescent="0.25">
      <c r="C1328" s="5">
        <v>18</v>
      </c>
      <c r="D1328" s="9" t="s">
        <v>536</v>
      </c>
      <c r="F1328" s="10">
        <f t="shared" si="15"/>
        <v>0</v>
      </c>
    </row>
    <row r="1329" spans="1:6" x14ac:dyDescent="0.25">
      <c r="C1329" s="5">
        <v>150</v>
      </c>
      <c r="D1329" s="9" t="s">
        <v>12</v>
      </c>
      <c r="F1329" s="10">
        <f t="shared" si="15"/>
        <v>0</v>
      </c>
    </row>
    <row r="1330" spans="1:6" x14ac:dyDescent="0.25">
      <c r="C1330" s="5">
        <v>56</v>
      </c>
      <c r="D1330" s="9" t="s">
        <v>605</v>
      </c>
      <c r="F1330" s="10">
        <f t="shared" si="15"/>
        <v>0</v>
      </c>
    </row>
    <row r="1331" spans="1:6" x14ac:dyDescent="0.25">
      <c r="C1331" s="5">
        <v>20</v>
      </c>
      <c r="D1331" s="9" t="s">
        <v>566</v>
      </c>
      <c r="F1331" s="10">
        <f t="shared" si="15"/>
        <v>0</v>
      </c>
    </row>
    <row r="1332" spans="1:6" x14ac:dyDescent="0.25">
      <c r="F1332" s="8">
        <f>SUM(F1327:F1331)</f>
        <v>0</v>
      </c>
    </row>
    <row r="1333" spans="1:6" x14ac:dyDescent="0.25">
      <c r="F1333" s="10"/>
    </row>
    <row r="1334" spans="1:6" x14ac:dyDescent="0.25">
      <c r="A1334" s="9" t="s">
        <v>391</v>
      </c>
      <c r="B1334" s="4">
        <v>45795</v>
      </c>
      <c r="C1334" s="5">
        <v>15</v>
      </c>
      <c r="D1334" s="9" t="s">
        <v>13</v>
      </c>
      <c r="E1334" s="10">
        <v>135</v>
      </c>
      <c r="F1334" s="10">
        <f t="shared" si="15"/>
        <v>2025</v>
      </c>
    </row>
    <row r="1335" spans="1:6" x14ac:dyDescent="0.25">
      <c r="F1335" s="8">
        <f>SUM(F1334)</f>
        <v>2025</v>
      </c>
    </row>
    <row r="1336" spans="1:6" x14ac:dyDescent="0.25">
      <c r="F1336" s="10"/>
    </row>
    <row r="1337" spans="1:6" x14ac:dyDescent="0.25">
      <c r="A1337" s="9" t="s">
        <v>181</v>
      </c>
      <c r="B1337" s="4">
        <v>45795</v>
      </c>
      <c r="C1337" s="5">
        <v>4</v>
      </c>
      <c r="D1337" s="9" t="s">
        <v>208</v>
      </c>
      <c r="E1337" s="10">
        <v>140</v>
      </c>
      <c r="F1337" s="10">
        <f t="shared" ref="F1337:F1367" si="16">+C1337*E1337</f>
        <v>560</v>
      </c>
    </row>
    <row r="1338" spans="1:6" x14ac:dyDescent="0.25">
      <c r="C1338" s="5">
        <v>5</v>
      </c>
      <c r="D1338" s="9" t="s">
        <v>607</v>
      </c>
      <c r="E1338" s="10">
        <v>135</v>
      </c>
      <c r="F1338" s="10">
        <f t="shared" si="16"/>
        <v>675</v>
      </c>
    </row>
    <row r="1339" spans="1:6" x14ac:dyDescent="0.25">
      <c r="F1339" s="8">
        <f>SUM(F1337:F1338)</f>
        <v>1235</v>
      </c>
    </row>
    <row r="1340" spans="1:6" x14ac:dyDescent="0.25">
      <c r="F1340" s="10"/>
    </row>
    <row r="1341" spans="1:6" x14ac:dyDescent="0.25">
      <c r="A1341" s="9" t="s">
        <v>58</v>
      </c>
      <c r="B1341" s="4">
        <v>45796</v>
      </c>
      <c r="C1341" s="5">
        <v>5</v>
      </c>
      <c r="D1341" s="9" t="s">
        <v>13</v>
      </c>
      <c r="E1341" s="10">
        <v>140</v>
      </c>
      <c r="F1341" s="10">
        <f t="shared" si="16"/>
        <v>700</v>
      </c>
    </row>
    <row r="1342" spans="1:6" x14ac:dyDescent="0.25">
      <c r="F1342" s="8">
        <f>SUM(F1341)</f>
        <v>700</v>
      </c>
    </row>
    <row r="1343" spans="1:6" x14ac:dyDescent="0.25">
      <c r="F1343" s="10"/>
    </row>
    <row r="1344" spans="1:6" x14ac:dyDescent="0.25">
      <c r="A1344" s="9" t="s">
        <v>79</v>
      </c>
      <c r="B1344" s="4">
        <v>45796</v>
      </c>
      <c r="C1344" s="5">
        <v>17</v>
      </c>
      <c r="D1344" s="9" t="s">
        <v>13</v>
      </c>
      <c r="E1344" s="10">
        <v>140</v>
      </c>
      <c r="F1344" s="10">
        <f t="shared" si="16"/>
        <v>2380</v>
      </c>
    </row>
    <row r="1345" spans="1:6" x14ac:dyDescent="0.25">
      <c r="F1345" s="8">
        <f>SUM(F1344)</f>
        <v>2380</v>
      </c>
    </row>
    <row r="1346" spans="1:6" x14ac:dyDescent="0.25">
      <c r="F1346" s="10"/>
    </row>
    <row r="1347" spans="1:6" x14ac:dyDescent="0.25">
      <c r="A1347" s="9" t="s">
        <v>18</v>
      </c>
      <c r="B1347" s="4">
        <v>45796</v>
      </c>
      <c r="C1347" s="5">
        <v>10</v>
      </c>
      <c r="D1347" s="9" t="s">
        <v>488</v>
      </c>
      <c r="E1347" s="10">
        <v>140</v>
      </c>
      <c r="F1347" s="10">
        <f t="shared" si="16"/>
        <v>1400</v>
      </c>
    </row>
    <row r="1348" spans="1:6" x14ac:dyDescent="0.25">
      <c r="F1348" s="8">
        <f>SUM(F1347)</f>
        <v>1400</v>
      </c>
    </row>
    <row r="1349" spans="1:6" x14ac:dyDescent="0.25">
      <c r="F1349" s="10"/>
    </row>
    <row r="1350" spans="1:6" x14ac:dyDescent="0.25">
      <c r="A1350" s="9" t="s">
        <v>15</v>
      </c>
      <c r="B1350" s="4">
        <v>45796</v>
      </c>
      <c r="C1350" s="5">
        <v>61</v>
      </c>
      <c r="D1350" s="9" t="s">
        <v>98</v>
      </c>
      <c r="E1350" s="10">
        <v>80</v>
      </c>
      <c r="F1350" s="10">
        <f t="shared" si="16"/>
        <v>4880</v>
      </c>
    </row>
    <row r="1351" spans="1:6" x14ac:dyDescent="0.25">
      <c r="F1351" s="8">
        <f>SUM(F1350)</f>
        <v>4880</v>
      </c>
    </row>
    <row r="1352" spans="1:6" x14ac:dyDescent="0.25">
      <c r="F1352" s="10"/>
    </row>
    <row r="1353" spans="1:6" x14ac:dyDescent="0.25">
      <c r="A1353" s="9" t="s">
        <v>334</v>
      </c>
      <c r="B1353" s="4">
        <v>45796</v>
      </c>
      <c r="C1353" s="5">
        <v>6</v>
      </c>
      <c r="D1353" s="9" t="s">
        <v>98</v>
      </c>
      <c r="E1353" s="10">
        <v>100</v>
      </c>
      <c r="F1353" s="10">
        <f t="shared" si="16"/>
        <v>600</v>
      </c>
    </row>
    <row r="1354" spans="1:6" x14ac:dyDescent="0.25">
      <c r="F1354" s="8">
        <f>SUM(F1353)</f>
        <v>600</v>
      </c>
    </row>
    <row r="1355" spans="1:6" x14ac:dyDescent="0.25">
      <c r="F1355" s="10"/>
    </row>
    <row r="1356" spans="1:6" x14ac:dyDescent="0.25">
      <c r="A1356" s="9" t="s">
        <v>20</v>
      </c>
      <c r="B1356" s="4">
        <v>45796</v>
      </c>
      <c r="C1356" s="5">
        <v>10</v>
      </c>
      <c r="D1356" s="9" t="s">
        <v>13</v>
      </c>
      <c r="E1356" s="10">
        <v>135</v>
      </c>
      <c r="F1356" s="10">
        <f t="shared" si="16"/>
        <v>1350</v>
      </c>
    </row>
    <row r="1357" spans="1:6" x14ac:dyDescent="0.25">
      <c r="F1357" s="8">
        <f>SUM(F1356)</f>
        <v>1350</v>
      </c>
    </row>
    <row r="1358" spans="1:6" x14ac:dyDescent="0.25">
      <c r="F1358" s="10"/>
    </row>
    <row r="1359" spans="1:6" x14ac:dyDescent="0.25">
      <c r="A1359" s="9" t="s">
        <v>427</v>
      </c>
      <c r="B1359" s="4">
        <v>45796</v>
      </c>
      <c r="C1359" s="5">
        <v>10</v>
      </c>
      <c r="D1359" s="9" t="s">
        <v>13</v>
      </c>
      <c r="E1359" s="10">
        <v>135</v>
      </c>
      <c r="F1359" s="10">
        <f t="shared" si="16"/>
        <v>1350</v>
      </c>
    </row>
    <row r="1360" spans="1:6" x14ac:dyDescent="0.25">
      <c r="C1360" s="5">
        <v>5</v>
      </c>
      <c r="D1360" s="9" t="s">
        <v>14</v>
      </c>
      <c r="E1360" s="10">
        <v>125</v>
      </c>
      <c r="F1360" s="10">
        <f t="shared" si="16"/>
        <v>625</v>
      </c>
    </row>
    <row r="1361" spans="1:6" x14ac:dyDescent="0.25">
      <c r="F1361" s="8">
        <f>SUM(F1359:F1360)</f>
        <v>1975</v>
      </c>
    </row>
    <row r="1362" spans="1:6" x14ac:dyDescent="0.25">
      <c r="F1362" s="10"/>
    </row>
    <row r="1363" spans="1:6" x14ac:dyDescent="0.25">
      <c r="A1363" s="9" t="s">
        <v>21</v>
      </c>
      <c r="B1363" s="4">
        <v>45796</v>
      </c>
      <c r="C1363" s="5">
        <v>15</v>
      </c>
      <c r="D1363" s="9" t="s">
        <v>12</v>
      </c>
      <c r="E1363" s="10">
        <v>120</v>
      </c>
      <c r="F1363" s="10">
        <f t="shared" si="16"/>
        <v>1800</v>
      </c>
    </row>
    <row r="1364" spans="1:6" x14ac:dyDescent="0.25">
      <c r="C1364" s="5">
        <v>10</v>
      </c>
      <c r="D1364" s="9" t="s">
        <v>8</v>
      </c>
      <c r="E1364" s="10">
        <v>155</v>
      </c>
      <c r="F1364" s="10">
        <f t="shared" si="16"/>
        <v>1550</v>
      </c>
    </row>
    <row r="1365" spans="1:6" x14ac:dyDescent="0.25">
      <c r="F1365" s="8">
        <f>SUM(F1363:F1364)</f>
        <v>3350</v>
      </c>
    </row>
    <row r="1366" spans="1:6" x14ac:dyDescent="0.25">
      <c r="F1366" s="10"/>
    </row>
    <row r="1367" spans="1:6" x14ac:dyDescent="0.25">
      <c r="A1367" s="9" t="s">
        <v>57</v>
      </c>
      <c r="B1367" s="4">
        <v>45796</v>
      </c>
      <c r="C1367" s="5">
        <v>10</v>
      </c>
      <c r="D1367" s="9" t="s">
        <v>13</v>
      </c>
      <c r="E1367" s="10">
        <v>135</v>
      </c>
      <c r="F1367" s="10">
        <f t="shared" si="16"/>
        <v>1350</v>
      </c>
    </row>
    <row r="1368" spans="1:6" x14ac:dyDescent="0.25">
      <c r="F1368" s="8">
        <f>SUM(F1367)</f>
        <v>1350</v>
      </c>
    </row>
    <row r="1369" spans="1:6" x14ac:dyDescent="0.25">
      <c r="F1369" s="10"/>
    </row>
    <row r="1370" spans="1:6" x14ac:dyDescent="0.25">
      <c r="A1370" s="9" t="s">
        <v>40</v>
      </c>
      <c r="B1370" s="4">
        <v>45796</v>
      </c>
      <c r="C1370" s="5">
        <v>15</v>
      </c>
      <c r="D1370" s="9" t="s">
        <v>14</v>
      </c>
      <c r="E1370" s="10">
        <v>125</v>
      </c>
      <c r="F1370" s="10">
        <f>+C1370*E1370</f>
        <v>1875</v>
      </c>
    </row>
    <row r="1371" spans="1:6" x14ac:dyDescent="0.25">
      <c r="C1371" s="5">
        <v>10</v>
      </c>
      <c r="D1371" s="9" t="s">
        <v>11</v>
      </c>
      <c r="E1371" s="10">
        <v>115</v>
      </c>
      <c r="F1371" s="10">
        <f t="shared" ref="F1371:F1433" si="17">+C1371*E1371</f>
        <v>1150</v>
      </c>
    </row>
    <row r="1372" spans="1:6" x14ac:dyDescent="0.25">
      <c r="F1372" s="8">
        <f>SUM(F1370:F1371)</f>
        <v>3025</v>
      </c>
    </row>
    <row r="1373" spans="1:6" x14ac:dyDescent="0.25">
      <c r="F1373" s="10"/>
    </row>
    <row r="1374" spans="1:6" x14ac:dyDescent="0.25">
      <c r="A1374" s="9" t="s">
        <v>69</v>
      </c>
      <c r="B1374" s="4">
        <v>45796</v>
      </c>
      <c r="C1374" s="5">
        <v>12</v>
      </c>
      <c r="D1374" s="9" t="s">
        <v>98</v>
      </c>
      <c r="E1374" s="10">
        <v>100</v>
      </c>
      <c r="F1374" s="10">
        <f t="shared" si="17"/>
        <v>1200</v>
      </c>
    </row>
    <row r="1375" spans="1:6" x14ac:dyDescent="0.25">
      <c r="F1375" s="8">
        <f>SUM(F1374)</f>
        <v>1200</v>
      </c>
    </row>
    <row r="1376" spans="1:6" x14ac:dyDescent="0.25">
      <c r="F1376" s="10"/>
    </row>
    <row r="1377" spans="1:6" x14ac:dyDescent="0.25">
      <c r="A1377" s="9" t="s">
        <v>41</v>
      </c>
      <c r="B1377" s="4">
        <v>45796</v>
      </c>
      <c r="C1377" s="5">
        <v>20</v>
      </c>
      <c r="D1377" s="9" t="s">
        <v>377</v>
      </c>
      <c r="E1377" s="10">
        <v>130</v>
      </c>
      <c r="F1377" s="10">
        <f t="shared" si="17"/>
        <v>2600</v>
      </c>
    </row>
    <row r="1378" spans="1:6" x14ac:dyDescent="0.25">
      <c r="F1378" s="8">
        <f>SUM(F1377)</f>
        <v>2600</v>
      </c>
    </row>
    <row r="1379" spans="1:6" x14ac:dyDescent="0.25">
      <c r="F1379" s="10"/>
    </row>
    <row r="1380" spans="1:6" x14ac:dyDescent="0.25">
      <c r="A1380" s="9" t="s">
        <v>555</v>
      </c>
      <c r="B1380" s="4">
        <v>45796</v>
      </c>
      <c r="C1380" s="5">
        <v>30</v>
      </c>
      <c r="D1380" s="9" t="s">
        <v>12</v>
      </c>
      <c r="E1380" s="10">
        <v>120</v>
      </c>
      <c r="F1380" s="10">
        <f t="shared" si="17"/>
        <v>3600</v>
      </c>
    </row>
    <row r="1381" spans="1:6" x14ac:dyDescent="0.25">
      <c r="F1381" s="8">
        <f>SUM(F1380)</f>
        <v>3600</v>
      </c>
    </row>
    <row r="1382" spans="1:6" x14ac:dyDescent="0.25">
      <c r="F1382" s="10"/>
    </row>
    <row r="1383" spans="1:6" x14ac:dyDescent="0.25">
      <c r="A1383" s="9" t="s">
        <v>45</v>
      </c>
      <c r="B1383" s="4">
        <v>45796</v>
      </c>
      <c r="C1383" s="5">
        <v>10</v>
      </c>
      <c r="D1383" s="9" t="s">
        <v>14</v>
      </c>
      <c r="E1383" s="10">
        <v>125</v>
      </c>
      <c r="F1383" s="10">
        <f t="shared" si="17"/>
        <v>1250</v>
      </c>
    </row>
    <row r="1384" spans="1:6" x14ac:dyDescent="0.25">
      <c r="F1384" s="8">
        <f>SUM(F1383)</f>
        <v>1250</v>
      </c>
    </row>
    <row r="1385" spans="1:6" x14ac:dyDescent="0.25">
      <c r="F1385" s="10"/>
    </row>
    <row r="1386" spans="1:6" x14ac:dyDescent="0.25">
      <c r="A1386" s="9" t="s">
        <v>43</v>
      </c>
      <c r="B1386" s="4">
        <v>45796</v>
      </c>
      <c r="C1386" s="5">
        <v>20</v>
      </c>
      <c r="D1386" s="9" t="s">
        <v>14</v>
      </c>
      <c r="E1386" s="10">
        <v>125</v>
      </c>
      <c r="F1386" s="10">
        <f t="shared" si="17"/>
        <v>2500</v>
      </c>
    </row>
    <row r="1387" spans="1:6" x14ac:dyDescent="0.25">
      <c r="F1387" s="8">
        <f>SUM(F1386)</f>
        <v>2500</v>
      </c>
    </row>
    <row r="1388" spans="1:6" x14ac:dyDescent="0.25">
      <c r="F1388" s="10"/>
    </row>
    <row r="1389" spans="1:6" x14ac:dyDescent="0.25">
      <c r="A1389" s="9" t="s">
        <v>18</v>
      </c>
      <c r="B1389" s="4">
        <v>45796</v>
      </c>
      <c r="C1389" s="5">
        <v>10</v>
      </c>
      <c r="D1389" s="9" t="s">
        <v>13</v>
      </c>
      <c r="E1389" s="10">
        <v>125</v>
      </c>
      <c r="F1389" s="10">
        <f t="shared" si="17"/>
        <v>1250</v>
      </c>
    </row>
    <row r="1390" spans="1:6" x14ac:dyDescent="0.25">
      <c r="C1390" s="5">
        <v>30</v>
      </c>
      <c r="D1390" s="9" t="s">
        <v>14</v>
      </c>
      <c r="E1390" s="10">
        <v>125</v>
      </c>
      <c r="F1390" s="10">
        <f t="shared" si="17"/>
        <v>3750</v>
      </c>
    </row>
    <row r="1391" spans="1:6" x14ac:dyDescent="0.25">
      <c r="F1391" s="8">
        <f>SUM(F1389:F1390)</f>
        <v>5000</v>
      </c>
    </row>
    <row r="1392" spans="1:6" x14ac:dyDescent="0.25">
      <c r="F1392" s="10"/>
    </row>
    <row r="1393" spans="1:6" x14ac:dyDescent="0.25">
      <c r="A1393" s="9" t="s">
        <v>46</v>
      </c>
      <c r="B1393" s="4">
        <v>45796</v>
      </c>
      <c r="C1393" s="5">
        <v>20</v>
      </c>
      <c r="D1393" s="9" t="s">
        <v>14</v>
      </c>
      <c r="E1393" s="10">
        <v>125</v>
      </c>
      <c r="F1393" s="10">
        <f t="shared" si="17"/>
        <v>2500</v>
      </c>
    </row>
    <row r="1394" spans="1:6" x14ac:dyDescent="0.25">
      <c r="F1394" s="8">
        <f>SUM(F1393)</f>
        <v>2500</v>
      </c>
    </row>
    <row r="1395" spans="1:6" x14ac:dyDescent="0.25">
      <c r="F1395" s="10"/>
    </row>
    <row r="1396" spans="1:6" x14ac:dyDescent="0.25">
      <c r="A1396" s="9" t="s">
        <v>145</v>
      </c>
      <c r="B1396" s="4">
        <v>45796</v>
      </c>
      <c r="C1396" s="5">
        <v>50</v>
      </c>
      <c r="D1396" s="9" t="s">
        <v>14</v>
      </c>
      <c r="E1396" s="10">
        <v>120</v>
      </c>
      <c r="F1396" s="10">
        <f t="shared" si="17"/>
        <v>6000</v>
      </c>
    </row>
    <row r="1397" spans="1:6" x14ac:dyDescent="0.25">
      <c r="F1397" s="8">
        <f>SUM(F1396)</f>
        <v>6000</v>
      </c>
    </row>
    <row r="1398" spans="1:6" x14ac:dyDescent="0.25">
      <c r="F1398" s="10"/>
    </row>
    <row r="1399" spans="1:6" x14ac:dyDescent="0.25">
      <c r="A1399" s="9" t="s">
        <v>455</v>
      </c>
      <c r="B1399" s="4">
        <v>45796</v>
      </c>
      <c r="C1399" s="5">
        <v>200</v>
      </c>
      <c r="D1399" s="9" t="s">
        <v>14</v>
      </c>
      <c r="F1399" s="10">
        <f t="shared" si="17"/>
        <v>0</v>
      </c>
    </row>
    <row r="1400" spans="1:6" x14ac:dyDescent="0.25">
      <c r="F1400" s="8">
        <f>SUM(F1399)</f>
        <v>0</v>
      </c>
    </row>
    <row r="1401" spans="1:6" x14ac:dyDescent="0.25">
      <c r="F1401" s="10"/>
    </row>
    <row r="1402" spans="1:6" x14ac:dyDescent="0.25">
      <c r="A1402" s="9" t="s">
        <v>586</v>
      </c>
      <c r="B1402" s="4">
        <v>45796</v>
      </c>
      <c r="C1402" s="5">
        <v>7</v>
      </c>
      <c r="D1402" s="9" t="s">
        <v>12</v>
      </c>
      <c r="E1402" s="10">
        <v>130</v>
      </c>
      <c r="F1402" s="10">
        <f t="shared" si="17"/>
        <v>910</v>
      </c>
    </row>
    <row r="1403" spans="1:6" x14ac:dyDescent="0.25">
      <c r="F1403" s="8">
        <f>SUM(F1402)</f>
        <v>910</v>
      </c>
    </row>
    <row r="1404" spans="1:6" x14ac:dyDescent="0.25">
      <c r="F1404" s="10"/>
    </row>
    <row r="1405" spans="1:6" x14ac:dyDescent="0.25">
      <c r="A1405" s="9" t="s">
        <v>27</v>
      </c>
      <c r="B1405" s="4">
        <v>45796</v>
      </c>
      <c r="C1405" s="5">
        <v>5</v>
      </c>
      <c r="D1405" s="9" t="s">
        <v>12</v>
      </c>
      <c r="E1405" s="10">
        <v>130</v>
      </c>
      <c r="F1405" s="10">
        <f t="shared" si="17"/>
        <v>650</v>
      </c>
    </row>
    <row r="1406" spans="1:6" x14ac:dyDescent="0.25">
      <c r="F1406" s="8">
        <f>SUM(F1405)</f>
        <v>650</v>
      </c>
    </row>
    <row r="1407" spans="1:6" x14ac:dyDescent="0.25">
      <c r="F1407" s="10"/>
    </row>
    <row r="1408" spans="1:6" x14ac:dyDescent="0.25">
      <c r="A1408" s="9" t="s">
        <v>89</v>
      </c>
      <c r="B1408" s="4">
        <v>45796</v>
      </c>
      <c r="C1408" s="5">
        <v>52</v>
      </c>
      <c r="D1408" s="9" t="s">
        <v>12</v>
      </c>
      <c r="E1408" s="10">
        <v>115</v>
      </c>
      <c r="F1408" s="10">
        <f t="shared" si="17"/>
        <v>5980</v>
      </c>
    </row>
    <row r="1409" spans="1:6" x14ac:dyDescent="0.25">
      <c r="C1409" s="5">
        <v>18</v>
      </c>
      <c r="D1409" s="9" t="s">
        <v>13</v>
      </c>
      <c r="E1409" s="10">
        <v>130</v>
      </c>
      <c r="F1409" s="10">
        <f t="shared" si="17"/>
        <v>2340</v>
      </c>
    </row>
    <row r="1410" spans="1:6" x14ac:dyDescent="0.25">
      <c r="C1410" s="5">
        <v>20</v>
      </c>
      <c r="D1410" s="9" t="s">
        <v>11</v>
      </c>
      <c r="E1410" s="10">
        <v>110</v>
      </c>
      <c r="F1410" s="10">
        <f t="shared" si="17"/>
        <v>2200</v>
      </c>
    </row>
    <row r="1411" spans="1:6" x14ac:dyDescent="0.25">
      <c r="F1411" s="8">
        <f>SUM(F1408:F1410)</f>
        <v>10520</v>
      </c>
    </row>
    <row r="1412" spans="1:6" x14ac:dyDescent="0.25">
      <c r="F1412" s="10"/>
    </row>
    <row r="1413" spans="1:6" x14ac:dyDescent="0.25">
      <c r="A1413" s="9" t="s">
        <v>112</v>
      </c>
      <c r="B1413" s="4">
        <v>45796</v>
      </c>
      <c r="C1413" s="5">
        <v>60</v>
      </c>
      <c r="D1413" s="9" t="s">
        <v>14</v>
      </c>
      <c r="E1413" s="10">
        <v>110</v>
      </c>
      <c r="F1413" s="10">
        <f t="shared" si="17"/>
        <v>6600</v>
      </c>
    </row>
    <row r="1414" spans="1:6" x14ac:dyDescent="0.25">
      <c r="C1414" s="5">
        <v>40</v>
      </c>
      <c r="D1414" s="9" t="s">
        <v>50</v>
      </c>
      <c r="E1414" s="10">
        <v>88</v>
      </c>
      <c r="F1414" s="10">
        <f t="shared" si="17"/>
        <v>3520</v>
      </c>
    </row>
    <row r="1415" spans="1:6" x14ac:dyDescent="0.25">
      <c r="F1415" s="8">
        <f>SUM(F1413:F1414)</f>
        <v>10120</v>
      </c>
    </row>
    <row r="1416" spans="1:6" x14ac:dyDescent="0.25">
      <c r="F1416" s="10"/>
    </row>
    <row r="1417" spans="1:6" x14ac:dyDescent="0.25">
      <c r="A1417" s="9" t="s">
        <v>245</v>
      </c>
      <c r="B1417" s="4">
        <v>45796</v>
      </c>
      <c r="C1417" s="5">
        <v>70</v>
      </c>
      <c r="D1417" s="9" t="s">
        <v>449</v>
      </c>
      <c r="E1417" s="10">
        <v>140</v>
      </c>
      <c r="F1417" s="10">
        <f t="shared" si="17"/>
        <v>9800</v>
      </c>
    </row>
    <row r="1418" spans="1:6" x14ac:dyDescent="0.25">
      <c r="C1418" s="5">
        <v>10</v>
      </c>
      <c r="D1418" s="9" t="s">
        <v>14</v>
      </c>
      <c r="E1418" s="10">
        <v>130</v>
      </c>
      <c r="F1418" s="10">
        <f t="shared" si="17"/>
        <v>1300</v>
      </c>
    </row>
    <row r="1419" spans="1:6" x14ac:dyDescent="0.25">
      <c r="F1419" s="8">
        <f>SUM(F1417:F1418)</f>
        <v>11100</v>
      </c>
    </row>
    <row r="1420" spans="1:6" x14ac:dyDescent="0.25">
      <c r="F1420" s="10"/>
    </row>
    <row r="1421" spans="1:6" x14ac:dyDescent="0.25">
      <c r="A1421" s="9" t="s">
        <v>535</v>
      </c>
      <c r="B1421" s="4">
        <v>45796</v>
      </c>
      <c r="C1421" s="5">
        <v>64</v>
      </c>
      <c r="D1421" s="9" t="s">
        <v>13</v>
      </c>
      <c r="E1421" s="10">
        <v>140</v>
      </c>
      <c r="F1421" s="10">
        <f t="shared" si="17"/>
        <v>8960</v>
      </c>
    </row>
    <row r="1422" spans="1:6" x14ac:dyDescent="0.25">
      <c r="C1422" s="5">
        <v>20</v>
      </c>
      <c r="D1422" s="9" t="s">
        <v>12</v>
      </c>
      <c r="E1422" s="10">
        <v>130</v>
      </c>
      <c r="F1422" s="10">
        <f t="shared" si="17"/>
        <v>2600</v>
      </c>
    </row>
    <row r="1423" spans="1:6" x14ac:dyDescent="0.25">
      <c r="C1423" s="5">
        <v>5</v>
      </c>
      <c r="D1423" s="9" t="s">
        <v>14</v>
      </c>
      <c r="E1423" s="10">
        <v>135</v>
      </c>
      <c r="F1423" s="10">
        <f t="shared" si="17"/>
        <v>675</v>
      </c>
    </row>
    <row r="1424" spans="1:6" x14ac:dyDescent="0.25">
      <c r="C1424" s="5">
        <v>15</v>
      </c>
      <c r="D1424" s="9" t="s">
        <v>8</v>
      </c>
      <c r="E1424" s="10">
        <v>160</v>
      </c>
      <c r="F1424" s="10">
        <f t="shared" si="17"/>
        <v>2400</v>
      </c>
    </row>
    <row r="1425" spans="1:6" x14ac:dyDescent="0.25">
      <c r="F1425" s="8">
        <f>SUM(F1421:F1424)</f>
        <v>14635</v>
      </c>
    </row>
    <row r="1426" spans="1:6" x14ac:dyDescent="0.25">
      <c r="F1426" s="10"/>
    </row>
    <row r="1427" spans="1:6" x14ac:dyDescent="0.25">
      <c r="A1427" s="9" t="s">
        <v>553</v>
      </c>
      <c r="B1427" s="4">
        <v>45796</v>
      </c>
      <c r="C1427" s="5">
        <v>20</v>
      </c>
      <c r="D1427" s="9" t="s">
        <v>12</v>
      </c>
      <c r="E1427" s="10">
        <v>120</v>
      </c>
      <c r="F1427" s="10">
        <f t="shared" si="17"/>
        <v>2400</v>
      </c>
    </row>
    <row r="1428" spans="1:6" x14ac:dyDescent="0.25">
      <c r="F1428" s="8">
        <f>SUM(F1427)</f>
        <v>2400</v>
      </c>
    </row>
    <row r="1429" spans="1:6" x14ac:dyDescent="0.25">
      <c r="F1429" s="10"/>
    </row>
    <row r="1430" spans="1:6" x14ac:dyDescent="0.25">
      <c r="A1430" s="9" t="s">
        <v>101</v>
      </c>
      <c r="B1430" s="4">
        <v>45796</v>
      </c>
      <c r="C1430" s="5">
        <v>6</v>
      </c>
      <c r="D1430" s="9" t="s">
        <v>78</v>
      </c>
      <c r="E1430" s="10">
        <v>100</v>
      </c>
      <c r="F1430" s="10">
        <f t="shared" si="17"/>
        <v>600</v>
      </c>
    </row>
    <row r="1431" spans="1:6" x14ac:dyDescent="0.25">
      <c r="C1431" s="5">
        <v>10</v>
      </c>
      <c r="D1431" s="9" t="s">
        <v>50</v>
      </c>
      <c r="E1431" s="10">
        <v>90</v>
      </c>
      <c r="F1431" s="10">
        <f t="shared" si="17"/>
        <v>900</v>
      </c>
    </row>
    <row r="1432" spans="1:6" x14ac:dyDescent="0.25">
      <c r="C1432" s="5">
        <v>6</v>
      </c>
      <c r="D1432" s="9" t="s">
        <v>9</v>
      </c>
      <c r="E1432" s="10">
        <v>3.3330000000000002</v>
      </c>
      <c r="F1432" s="10">
        <f t="shared" si="17"/>
        <v>19.998000000000001</v>
      </c>
    </row>
    <row r="1433" spans="1:6" x14ac:dyDescent="0.25">
      <c r="C1433" s="5">
        <v>1</v>
      </c>
      <c r="D1433" s="9" t="s">
        <v>12</v>
      </c>
      <c r="E1433" s="10">
        <v>150</v>
      </c>
      <c r="F1433" s="10">
        <f t="shared" si="17"/>
        <v>150</v>
      </c>
    </row>
    <row r="1434" spans="1:6" x14ac:dyDescent="0.25">
      <c r="F1434" s="8">
        <f>SUM(F1430:F1433)</f>
        <v>1669.998</v>
      </c>
    </row>
    <row r="1435" spans="1:6" x14ac:dyDescent="0.25">
      <c r="F1435" s="10"/>
    </row>
    <row r="1436" spans="1:6" x14ac:dyDescent="0.25">
      <c r="A1436" s="9" t="s">
        <v>608</v>
      </c>
      <c r="B1436" s="4">
        <v>45797</v>
      </c>
      <c r="C1436" s="5">
        <v>35</v>
      </c>
      <c r="D1436" s="9" t="s">
        <v>13</v>
      </c>
      <c r="E1436" s="10">
        <v>135</v>
      </c>
      <c r="F1436" s="10">
        <f t="shared" ref="F1436:F1513" si="18">+C1436*E1436</f>
        <v>4725</v>
      </c>
    </row>
    <row r="1437" spans="1:6" x14ac:dyDescent="0.25">
      <c r="F1437" s="8">
        <f>SUM(F1436)</f>
        <v>4725</v>
      </c>
    </row>
    <row r="1438" spans="1:6" x14ac:dyDescent="0.25">
      <c r="F1438" s="10"/>
    </row>
    <row r="1439" spans="1:6" x14ac:dyDescent="0.25">
      <c r="A1439" s="9" t="s">
        <v>111</v>
      </c>
      <c r="B1439" s="4">
        <v>45797</v>
      </c>
      <c r="C1439" s="5">
        <v>30</v>
      </c>
      <c r="D1439" s="9" t="s">
        <v>13</v>
      </c>
      <c r="E1439" s="10">
        <v>140</v>
      </c>
      <c r="F1439" s="10">
        <f t="shared" si="18"/>
        <v>4200</v>
      </c>
    </row>
    <row r="1440" spans="1:6" x14ac:dyDescent="0.25">
      <c r="C1440" s="5">
        <v>1</v>
      </c>
      <c r="D1440" s="9" t="s">
        <v>135</v>
      </c>
      <c r="E1440" s="10">
        <v>0</v>
      </c>
      <c r="F1440" s="10">
        <f t="shared" si="18"/>
        <v>0</v>
      </c>
    </row>
    <row r="1441" spans="1:6" x14ac:dyDescent="0.25">
      <c r="F1441" s="8">
        <f>SUM(F1439:F1440)</f>
        <v>4200</v>
      </c>
    </row>
    <row r="1442" spans="1:6" x14ac:dyDescent="0.25">
      <c r="F1442" s="10"/>
    </row>
    <row r="1443" spans="1:6" x14ac:dyDescent="0.25">
      <c r="A1443" s="9" t="s">
        <v>61</v>
      </c>
      <c r="B1443" s="4">
        <v>45797</v>
      </c>
      <c r="C1443" s="5">
        <v>50</v>
      </c>
      <c r="D1443" s="9" t="s">
        <v>13</v>
      </c>
      <c r="E1443" s="10">
        <v>130</v>
      </c>
      <c r="F1443" s="10">
        <f t="shared" si="18"/>
        <v>6500</v>
      </c>
    </row>
    <row r="1444" spans="1:6" x14ac:dyDescent="0.25">
      <c r="F1444" s="8">
        <f>SUM(F1443)</f>
        <v>6500</v>
      </c>
    </row>
    <row r="1445" spans="1:6" x14ac:dyDescent="0.25">
      <c r="F1445" s="10"/>
    </row>
    <row r="1446" spans="1:6" x14ac:dyDescent="0.25">
      <c r="A1446" s="9" t="s">
        <v>255</v>
      </c>
      <c r="B1446" s="4">
        <v>45797</v>
      </c>
      <c r="C1446" s="5">
        <v>30</v>
      </c>
      <c r="D1446" s="9" t="s">
        <v>12</v>
      </c>
      <c r="E1446" s="10">
        <v>120</v>
      </c>
      <c r="F1446" s="10">
        <f t="shared" si="18"/>
        <v>3600</v>
      </c>
    </row>
    <row r="1447" spans="1:6" x14ac:dyDescent="0.25">
      <c r="C1447" s="5">
        <v>77</v>
      </c>
      <c r="D1447" s="9" t="s">
        <v>8</v>
      </c>
      <c r="E1447" s="10">
        <v>160</v>
      </c>
      <c r="F1447" s="10">
        <f t="shared" si="18"/>
        <v>12320</v>
      </c>
    </row>
    <row r="1448" spans="1:6" x14ac:dyDescent="0.25">
      <c r="F1448" s="8">
        <f>SUM(F1446:F1447)</f>
        <v>15920</v>
      </c>
    </row>
    <row r="1449" spans="1:6" x14ac:dyDescent="0.25">
      <c r="F1449" s="10"/>
    </row>
    <row r="1450" spans="1:6" x14ac:dyDescent="0.25">
      <c r="A1450" s="9" t="s">
        <v>365</v>
      </c>
      <c r="B1450" s="4">
        <v>45797</v>
      </c>
      <c r="C1450" s="5">
        <v>15</v>
      </c>
      <c r="D1450" s="9" t="s">
        <v>13</v>
      </c>
      <c r="E1450" s="10">
        <v>140</v>
      </c>
      <c r="F1450" s="10">
        <f t="shared" si="18"/>
        <v>2100</v>
      </c>
    </row>
    <row r="1451" spans="1:6" x14ac:dyDescent="0.25">
      <c r="F1451" s="8">
        <f>SUM(F1450)</f>
        <v>2100</v>
      </c>
    </row>
    <row r="1452" spans="1:6" x14ac:dyDescent="0.25">
      <c r="F1452" s="10"/>
    </row>
    <row r="1453" spans="1:6" x14ac:dyDescent="0.25">
      <c r="A1453" s="9" t="s">
        <v>609</v>
      </c>
      <c r="B1453" s="4">
        <v>45797</v>
      </c>
      <c r="C1453" s="5">
        <v>100</v>
      </c>
      <c r="D1453" s="9" t="s">
        <v>22</v>
      </c>
      <c r="E1453" s="10">
        <v>90</v>
      </c>
      <c r="F1453" s="10">
        <f t="shared" si="18"/>
        <v>9000</v>
      </c>
    </row>
    <row r="1454" spans="1:6" x14ac:dyDescent="0.25">
      <c r="F1454" s="8">
        <f>SUM(F1453)</f>
        <v>9000</v>
      </c>
    </row>
    <row r="1455" spans="1:6" x14ac:dyDescent="0.25">
      <c r="F1455" s="10"/>
    </row>
    <row r="1456" spans="1:6" x14ac:dyDescent="0.25">
      <c r="A1456" s="9" t="s">
        <v>610</v>
      </c>
      <c r="B1456" s="4">
        <v>45797</v>
      </c>
      <c r="C1456" s="5">
        <v>6</v>
      </c>
      <c r="D1456" s="9" t="s">
        <v>13</v>
      </c>
      <c r="E1456" s="10">
        <v>145</v>
      </c>
      <c r="F1456" s="10">
        <f t="shared" si="18"/>
        <v>870</v>
      </c>
    </row>
    <row r="1457" spans="1:6" x14ac:dyDescent="0.25">
      <c r="C1457" s="5">
        <v>5</v>
      </c>
      <c r="D1457" s="9" t="s">
        <v>14</v>
      </c>
      <c r="E1457" s="10">
        <v>135</v>
      </c>
      <c r="F1457" s="10">
        <f t="shared" si="18"/>
        <v>675</v>
      </c>
    </row>
    <row r="1458" spans="1:6" x14ac:dyDescent="0.25">
      <c r="F1458" s="8">
        <f>SUM(F1456:F1457)</f>
        <v>1545</v>
      </c>
    </row>
    <row r="1459" spans="1:6" x14ac:dyDescent="0.25">
      <c r="F1459" s="10"/>
    </row>
    <row r="1460" spans="1:6" x14ac:dyDescent="0.25">
      <c r="A1460" s="9" t="s">
        <v>245</v>
      </c>
      <c r="B1460" s="4">
        <v>45797</v>
      </c>
      <c r="C1460" s="5">
        <v>30</v>
      </c>
      <c r="D1460" s="9" t="s">
        <v>13</v>
      </c>
      <c r="E1460" s="10">
        <v>140</v>
      </c>
      <c r="F1460" s="10">
        <f t="shared" si="18"/>
        <v>4200</v>
      </c>
    </row>
    <row r="1461" spans="1:6" x14ac:dyDescent="0.25">
      <c r="C1461" s="5">
        <v>1.07</v>
      </c>
      <c r="D1461" s="9" t="s">
        <v>135</v>
      </c>
      <c r="E1461" s="10">
        <v>0</v>
      </c>
      <c r="F1461" s="10">
        <f t="shared" si="18"/>
        <v>0</v>
      </c>
    </row>
    <row r="1462" spans="1:6" x14ac:dyDescent="0.25">
      <c r="F1462" s="8">
        <f>SUM(F1460:F1461)</f>
        <v>4200</v>
      </c>
    </row>
    <row r="1463" spans="1:6" x14ac:dyDescent="0.25">
      <c r="F1463" s="10"/>
    </row>
    <row r="1464" spans="1:6" x14ac:dyDescent="0.25">
      <c r="A1464" s="9" t="s">
        <v>32</v>
      </c>
      <c r="B1464" s="4">
        <v>45797</v>
      </c>
      <c r="C1464" s="5">
        <v>20</v>
      </c>
      <c r="D1464" s="9" t="s">
        <v>13</v>
      </c>
      <c r="E1464" s="10">
        <v>135</v>
      </c>
      <c r="F1464" s="10">
        <f t="shared" si="18"/>
        <v>2700</v>
      </c>
    </row>
    <row r="1465" spans="1:6" x14ac:dyDescent="0.25">
      <c r="F1465" s="8">
        <f>SUM(F1464)</f>
        <v>2700</v>
      </c>
    </row>
    <row r="1466" spans="1:6" x14ac:dyDescent="0.25">
      <c r="F1466" s="10"/>
    </row>
    <row r="1467" spans="1:6" x14ac:dyDescent="0.25">
      <c r="A1467" s="9" t="s">
        <v>150</v>
      </c>
      <c r="B1467" s="4">
        <v>45797</v>
      </c>
      <c r="C1467" s="5">
        <v>100</v>
      </c>
      <c r="D1467" s="9" t="s">
        <v>619</v>
      </c>
      <c r="F1467" s="10">
        <f t="shared" si="18"/>
        <v>0</v>
      </c>
    </row>
    <row r="1468" spans="1:6" x14ac:dyDescent="0.25">
      <c r="C1468" s="5">
        <v>400</v>
      </c>
      <c r="D1468" s="9" t="s">
        <v>14</v>
      </c>
      <c r="F1468" s="10">
        <f t="shared" si="18"/>
        <v>0</v>
      </c>
    </row>
    <row r="1469" spans="1:6" x14ac:dyDescent="0.25">
      <c r="C1469" s="5">
        <v>32</v>
      </c>
      <c r="D1469" s="9" t="s">
        <v>50</v>
      </c>
      <c r="F1469" s="10">
        <f t="shared" si="18"/>
        <v>0</v>
      </c>
    </row>
    <row r="1470" spans="1:6" x14ac:dyDescent="0.25">
      <c r="C1470" s="5">
        <v>125</v>
      </c>
      <c r="D1470" s="9" t="s">
        <v>11</v>
      </c>
      <c r="F1470" s="10">
        <f t="shared" si="18"/>
        <v>0</v>
      </c>
    </row>
    <row r="1471" spans="1:6" x14ac:dyDescent="0.25">
      <c r="C1471" s="5">
        <v>100</v>
      </c>
      <c r="D1471" s="9" t="s">
        <v>49</v>
      </c>
      <c r="F1471" s="10">
        <f t="shared" si="18"/>
        <v>0</v>
      </c>
    </row>
    <row r="1472" spans="1:6" x14ac:dyDescent="0.25">
      <c r="F1472" s="8">
        <f>SUM(F1467:F1471)</f>
        <v>0</v>
      </c>
    </row>
    <row r="1473" spans="1:6" x14ac:dyDescent="0.25">
      <c r="F1473" s="8"/>
    </row>
    <row r="1474" spans="1:6" x14ac:dyDescent="0.25">
      <c r="A1474" s="9" t="s">
        <v>259</v>
      </c>
      <c r="B1474" s="4">
        <v>45797</v>
      </c>
      <c r="C1474" s="5">
        <v>400</v>
      </c>
      <c r="D1474" s="9" t="s">
        <v>602</v>
      </c>
      <c r="F1474" s="10">
        <f t="shared" si="18"/>
        <v>0</v>
      </c>
    </row>
    <row r="1475" spans="1:6" x14ac:dyDescent="0.25">
      <c r="C1475" s="5">
        <v>103</v>
      </c>
      <c r="D1475" s="9" t="s">
        <v>620</v>
      </c>
      <c r="F1475" s="10">
        <f t="shared" si="18"/>
        <v>0</v>
      </c>
    </row>
    <row r="1476" spans="1:6" x14ac:dyDescent="0.25">
      <c r="C1476" s="5">
        <v>150</v>
      </c>
      <c r="D1476" s="9" t="s">
        <v>98</v>
      </c>
      <c r="F1476" s="10">
        <f t="shared" si="18"/>
        <v>0</v>
      </c>
    </row>
    <row r="1477" spans="1:6" x14ac:dyDescent="0.25">
      <c r="F1477" s="8">
        <f t="shared" si="18"/>
        <v>0</v>
      </c>
    </row>
    <row r="1478" spans="1:6" x14ac:dyDescent="0.25">
      <c r="F1478" s="8"/>
    </row>
    <row r="1479" spans="1:6" x14ac:dyDescent="0.25">
      <c r="A1479" s="9" t="s">
        <v>621</v>
      </c>
      <c r="B1479" s="4">
        <v>45797</v>
      </c>
      <c r="C1479" s="5">
        <v>199</v>
      </c>
      <c r="D1479" s="9" t="s">
        <v>14</v>
      </c>
      <c r="F1479" s="10">
        <f t="shared" si="18"/>
        <v>0</v>
      </c>
    </row>
    <row r="1480" spans="1:6" x14ac:dyDescent="0.25">
      <c r="F1480" s="8">
        <f>SUM(F1479)</f>
        <v>0</v>
      </c>
    </row>
    <row r="1481" spans="1:6" x14ac:dyDescent="0.25">
      <c r="F1481" s="10"/>
    </row>
    <row r="1482" spans="1:6" x14ac:dyDescent="0.25">
      <c r="A1482" s="9" t="s">
        <v>29</v>
      </c>
      <c r="B1482" s="4">
        <v>45797</v>
      </c>
      <c r="C1482" s="5">
        <v>3</v>
      </c>
      <c r="D1482" s="9" t="s">
        <v>8</v>
      </c>
      <c r="E1482" s="10">
        <v>150</v>
      </c>
      <c r="F1482" s="10">
        <f t="shared" si="18"/>
        <v>450</v>
      </c>
    </row>
    <row r="1483" spans="1:6" x14ac:dyDescent="0.25">
      <c r="C1483" s="5">
        <v>1</v>
      </c>
      <c r="D1483" s="9" t="s">
        <v>511</v>
      </c>
      <c r="E1483" s="10">
        <v>140</v>
      </c>
      <c r="F1483" s="10">
        <f t="shared" si="18"/>
        <v>140</v>
      </c>
    </row>
    <row r="1484" spans="1:6" x14ac:dyDescent="0.25">
      <c r="F1484" s="8">
        <f>SUM(F1482:F1483)</f>
        <v>590</v>
      </c>
    </row>
    <row r="1485" spans="1:6" x14ac:dyDescent="0.25">
      <c r="F1485" s="10"/>
    </row>
    <row r="1486" spans="1:6" x14ac:dyDescent="0.25">
      <c r="A1486" s="9" t="s">
        <v>181</v>
      </c>
      <c r="B1486" s="4">
        <v>45797</v>
      </c>
      <c r="C1486" s="5">
        <v>1</v>
      </c>
      <c r="D1486" s="9" t="s">
        <v>8</v>
      </c>
      <c r="E1486" s="10">
        <v>170</v>
      </c>
      <c r="F1486" s="10">
        <f t="shared" si="18"/>
        <v>170</v>
      </c>
    </row>
    <row r="1487" spans="1:6" x14ac:dyDescent="0.25">
      <c r="F1487" s="8">
        <f>SUM(F1486)</f>
        <v>170</v>
      </c>
    </row>
    <row r="1488" spans="1:6" x14ac:dyDescent="0.25">
      <c r="F1488" s="10"/>
    </row>
    <row r="1489" spans="1:6" x14ac:dyDescent="0.25">
      <c r="A1489" s="9" t="s">
        <v>334</v>
      </c>
      <c r="B1489" s="4">
        <v>45798</v>
      </c>
      <c r="C1489" s="5">
        <v>10</v>
      </c>
      <c r="D1489" s="9" t="s">
        <v>98</v>
      </c>
      <c r="E1489" s="10">
        <v>100</v>
      </c>
      <c r="F1489" s="10">
        <f t="shared" si="18"/>
        <v>1000</v>
      </c>
    </row>
    <row r="1490" spans="1:6" x14ac:dyDescent="0.25">
      <c r="F1490" s="8">
        <f>SUM(F1489)</f>
        <v>1000</v>
      </c>
    </row>
    <row r="1491" spans="1:6" x14ac:dyDescent="0.25">
      <c r="F1491" s="10"/>
    </row>
    <row r="1492" spans="1:6" x14ac:dyDescent="0.25">
      <c r="A1492" s="9" t="s">
        <v>15</v>
      </c>
      <c r="B1492" s="4">
        <v>45798</v>
      </c>
      <c r="C1492" s="5">
        <v>61</v>
      </c>
      <c r="D1492" s="9" t="s">
        <v>98</v>
      </c>
      <c r="E1492" s="10">
        <v>80</v>
      </c>
      <c r="F1492" s="10">
        <f t="shared" si="18"/>
        <v>4880</v>
      </c>
    </row>
    <row r="1493" spans="1:6" x14ac:dyDescent="0.25">
      <c r="F1493" s="8">
        <f>SUM(F1492)</f>
        <v>4880</v>
      </c>
    </row>
    <row r="1494" spans="1:6" x14ac:dyDescent="0.25">
      <c r="F1494" s="10"/>
    </row>
    <row r="1495" spans="1:6" x14ac:dyDescent="0.25">
      <c r="A1495" s="9" t="s">
        <v>69</v>
      </c>
      <c r="B1495" s="4">
        <v>45798</v>
      </c>
      <c r="C1495" s="5">
        <v>12</v>
      </c>
      <c r="D1495" s="9" t="s">
        <v>98</v>
      </c>
      <c r="E1495" s="10">
        <v>100</v>
      </c>
      <c r="F1495" s="10">
        <f t="shared" si="18"/>
        <v>1200</v>
      </c>
    </row>
    <row r="1496" spans="1:6" x14ac:dyDescent="0.25">
      <c r="F1496" s="8">
        <f>SUM(F1495)</f>
        <v>1200</v>
      </c>
    </row>
    <row r="1497" spans="1:6" x14ac:dyDescent="0.25">
      <c r="F1497" s="10"/>
    </row>
    <row r="1498" spans="1:6" x14ac:dyDescent="0.25">
      <c r="A1498" s="9" t="s">
        <v>40</v>
      </c>
      <c r="B1498" s="4">
        <v>45798</v>
      </c>
      <c r="C1498" s="5">
        <v>15</v>
      </c>
      <c r="D1498" s="9" t="s">
        <v>14</v>
      </c>
      <c r="E1498" s="10">
        <v>125</v>
      </c>
      <c r="F1498" s="10">
        <f t="shared" si="18"/>
        <v>1875</v>
      </c>
    </row>
    <row r="1499" spans="1:6" x14ac:dyDescent="0.25">
      <c r="C1499" s="5">
        <v>15</v>
      </c>
      <c r="D1499" s="9" t="s">
        <v>11</v>
      </c>
      <c r="E1499" s="10">
        <v>1154</v>
      </c>
      <c r="F1499" s="10">
        <f t="shared" si="18"/>
        <v>17310</v>
      </c>
    </row>
    <row r="1500" spans="1:6" x14ac:dyDescent="0.25">
      <c r="F1500" s="8">
        <f>SUM(F1498:F1499)</f>
        <v>19185</v>
      </c>
    </row>
    <row r="1501" spans="1:6" x14ac:dyDescent="0.25">
      <c r="F1501" s="10"/>
    </row>
    <row r="1502" spans="1:6" x14ac:dyDescent="0.25">
      <c r="A1502" s="9" t="s">
        <v>112</v>
      </c>
      <c r="B1502" s="4">
        <v>45798</v>
      </c>
      <c r="C1502" s="5">
        <v>20</v>
      </c>
      <c r="D1502" s="9" t="s">
        <v>12</v>
      </c>
      <c r="E1502" s="10">
        <v>120</v>
      </c>
      <c r="F1502" s="10">
        <f t="shared" si="18"/>
        <v>2400</v>
      </c>
    </row>
    <row r="1503" spans="1:6" x14ac:dyDescent="0.25">
      <c r="C1503" s="5">
        <v>10</v>
      </c>
      <c r="D1503" s="9" t="s">
        <v>13</v>
      </c>
      <c r="E1503" s="10">
        <v>135</v>
      </c>
      <c r="F1503" s="10">
        <f t="shared" si="18"/>
        <v>1350</v>
      </c>
    </row>
    <row r="1504" spans="1:6" x14ac:dyDescent="0.25">
      <c r="C1504" s="5">
        <v>10</v>
      </c>
      <c r="D1504" s="9" t="s">
        <v>50</v>
      </c>
      <c r="E1504" s="10">
        <v>105</v>
      </c>
      <c r="F1504" s="10">
        <f t="shared" si="18"/>
        <v>1050</v>
      </c>
    </row>
    <row r="1505" spans="1:6" x14ac:dyDescent="0.25">
      <c r="C1505" s="5">
        <v>10</v>
      </c>
      <c r="D1505" s="9" t="s">
        <v>121</v>
      </c>
      <c r="E1505" s="10">
        <v>125</v>
      </c>
      <c r="F1505" s="10">
        <f t="shared" si="18"/>
        <v>1250</v>
      </c>
    </row>
    <row r="1506" spans="1:6" x14ac:dyDescent="0.25">
      <c r="F1506" s="8">
        <f>SUM(F1502:F1505)</f>
        <v>6050</v>
      </c>
    </row>
    <row r="1507" spans="1:6" x14ac:dyDescent="0.25">
      <c r="F1507" s="10"/>
    </row>
    <row r="1508" spans="1:6" x14ac:dyDescent="0.25">
      <c r="A1508" s="9" t="s">
        <v>148</v>
      </c>
      <c r="B1508" s="4">
        <v>45798</v>
      </c>
      <c r="C1508" s="5">
        <v>10</v>
      </c>
      <c r="D1508" s="9" t="s">
        <v>13</v>
      </c>
      <c r="E1508" s="10">
        <v>135</v>
      </c>
      <c r="F1508" s="10">
        <f t="shared" si="18"/>
        <v>1350</v>
      </c>
    </row>
    <row r="1509" spans="1:6" x14ac:dyDescent="0.25">
      <c r="C1509" s="5">
        <v>10</v>
      </c>
      <c r="D1509" s="9" t="s">
        <v>14</v>
      </c>
      <c r="E1509" s="10">
        <v>125</v>
      </c>
      <c r="F1509" s="10">
        <f t="shared" si="18"/>
        <v>1250</v>
      </c>
    </row>
    <row r="1510" spans="1:6" x14ac:dyDescent="0.25">
      <c r="F1510" s="8">
        <f>SUM(F1508:F1509)</f>
        <v>2600</v>
      </c>
    </row>
    <row r="1511" spans="1:6" x14ac:dyDescent="0.25">
      <c r="F1511" s="10"/>
    </row>
    <row r="1512" spans="1:6" x14ac:dyDescent="0.25">
      <c r="A1512" s="9" t="s">
        <v>21</v>
      </c>
      <c r="B1512" s="4">
        <v>45798</v>
      </c>
      <c r="C1512" s="5">
        <v>20</v>
      </c>
      <c r="D1512" s="9" t="s">
        <v>13</v>
      </c>
      <c r="E1512" s="10">
        <v>135</v>
      </c>
      <c r="F1512" s="10">
        <f t="shared" si="18"/>
        <v>2700</v>
      </c>
    </row>
    <row r="1513" spans="1:6" x14ac:dyDescent="0.25">
      <c r="C1513" s="5">
        <v>10</v>
      </c>
      <c r="D1513" s="9" t="s">
        <v>14</v>
      </c>
      <c r="E1513" s="10">
        <v>125</v>
      </c>
      <c r="F1513" s="10">
        <f t="shared" si="18"/>
        <v>1250</v>
      </c>
    </row>
    <row r="1514" spans="1:6" x14ac:dyDescent="0.25">
      <c r="C1514" s="5">
        <v>20</v>
      </c>
      <c r="D1514" s="9" t="s">
        <v>22</v>
      </c>
      <c r="E1514" s="10">
        <v>110</v>
      </c>
      <c r="F1514" s="10">
        <f t="shared" ref="F1514:F1576" si="19">+C1514*E1514</f>
        <v>2200</v>
      </c>
    </row>
    <row r="1515" spans="1:6" x14ac:dyDescent="0.25">
      <c r="C1515" s="5">
        <v>10</v>
      </c>
      <c r="D1515" s="9" t="s">
        <v>12</v>
      </c>
      <c r="E1515" s="10">
        <v>120</v>
      </c>
      <c r="F1515" s="10">
        <f t="shared" si="19"/>
        <v>1200</v>
      </c>
    </row>
    <row r="1516" spans="1:6" x14ac:dyDescent="0.25">
      <c r="C1516" s="5">
        <v>10</v>
      </c>
      <c r="D1516" s="9" t="s">
        <v>8</v>
      </c>
      <c r="E1516" s="10">
        <v>155</v>
      </c>
      <c r="F1516" s="10">
        <f t="shared" si="19"/>
        <v>1550</v>
      </c>
    </row>
    <row r="1517" spans="1:6" x14ac:dyDescent="0.25">
      <c r="F1517" s="8">
        <f>SUM(F1512:F1516)</f>
        <v>8900</v>
      </c>
    </row>
    <row r="1518" spans="1:6" x14ac:dyDescent="0.25">
      <c r="F1518" s="10"/>
    </row>
    <row r="1519" spans="1:6" x14ac:dyDescent="0.25">
      <c r="A1519" s="9" t="s">
        <v>427</v>
      </c>
      <c r="B1519" s="4">
        <v>45798</v>
      </c>
      <c r="C1519" s="5">
        <v>10</v>
      </c>
      <c r="D1519" s="9" t="s">
        <v>14</v>
      </c>
      <c r="E1519" s="10">
        <v>125</v>
      </c>
      <c r="F1519" s="10">
        <f t="shared" si="19"/>
        <v>1250</v>
      </c>
    </row>
    <row r="1520" spans="1:6" x14ac:dyDescent="0.25">
      <c r="F1520" s="8">
        <f>SUM(F1519)</f>
        <v>1250</v>
      </c>
    </row>
    <row r="1521" spans="1:6" x14ac:dyDescent="0.25">
      <c r="F1521" s="10"/>
    </row>
    <row r="1522" spans="1:6" x14ac:dyDescent="0.25">
      <c r="A1522" s="9" t="s">
        <v>157</v>
      </c>
      <c r="B1522" s="4">
        <v>45798</v>
      </c>
      <c r="C1522" s="5">
        <v>10</v>
      </c>
      <c r="D1522" s="9" t="s">
        <v>8</v>
      </c>
      <c r="E1522" s="10">
        <v>155</v>
      </c>
      <c r="F1522" s="10">
        <f t="shared" si="19"/>
        <v>1550</v>
      </c>
    </row>
    <row r="1523" spans="1:6" x14ac:dyDescent="0.25">
      <c r="F1523" s="8">
        <f>SUM(F1522)</f>
        <v>1550</v>
      </c>
    </row>
    <row r="1524" spans="1:6" x14ac:dyDescent="0.25">
      <c r="F1524" s="10"/>
    </row>
    <row r="1525" spans="1:6" x14ac:dyDescent="0.25">
      <c r="A1525" s="9" t="s">
        <v>366</v>
      </c>
      <c r="B1525" s="4">
        <v>45798</v>
      </c>
      <c r="C1525" s="5">
        <v>5</v>
      </c>
      <c r="D1525" s="9" t="s">
        <v>13</v>
      </c>
      <c r="E1525" s="10">
        <v>140</v>
      </c>
      <c r="F1525" s="10">
        <f t="shared" si="19"/>
        <v>700</v>
      </c>
    </row>
    <row r="1526" spans="1:6" x14ac:dyDescent="0.25">
      <c r="F1526" s="8">
        <f>SUM(F1525)</f>
        <v>700</v>
      </c>
    </row>
    <row r="1527" spans="1:6" x14ac:dyDescent="0.25">
      <c r="F1527" s="10"/>
    </row>
    <row r="1528" spans="1:6" x14ac:dyDescent="0.25">
      <c r="A1528" s="9" t="s">
        <v>20</v>
      </c>
      <c r="B1528" s="4">
        <v>45798</v>
      </c>
      <c r="C1528" s="5">
        <v>30</v>
      </c>
      <c r="D1528" s="9" t="s">
        <v>13</v>
      </c>
      <c r="E1528" s="10">
        <v>135</v>
      </c>
      <c r="F1528" s="10">
        <f t="shared" si="19"/>
        <v>4050</v>
      </c>
    </row>
    <row r="1529" spans="1:6" x14ac:dyDescent="0.25">
      <c r="F1529" s="8">
        <f>SUM(F1528)</f>
        <v>4050</v>
      </c>
    </row>
    <row r="1530" spans="1:6" x14ac:dyDescent="0.25">
      <c r="F1530" s="10"/>
    </row>
    <row r="1531" spans="1:6" x14ac:dyDescent="0.25">
      <c r="A1531" s="9" t="s">
        <v>80</v>
      </c>
      <c r="B1531" s="4">
        <v>45798</v>
      </c>
      <c r="C1531" s="5">
        <v>5</v>
      </c>
      <c r="D1531" s="9" t="s">
        <v>13</v>
      </c>
      <c r="E1531" s="10">
        <v>140</v>
      </c>
      <c r="F1531" s="10">
        <f t="shared" si="19"/>
        <v>700</v>
      </c>
    </row>
    <row r="1532" spans="1:6" x14ac:dyDescent="0.25">
      <c r="F1532" s="8">
        <f>SUM(F1531)</f>
        <v>700</v>
      </c>
    </row>
    <row r="1533" spans="1:6" x14ac:dyDescent="0.25">
      <c r="F1533" s="10"/>
    </row>
    <row r="1534" spans="1:6" x14ac:dyDescent="0.25">
      <c r="A1534" s="9" t="s">
        <v>611</v>
      </c>
      <c r="B1534" s="4">
        <v>45798</v>
      </c>
      <c r="C1534" s="5">
        <v>3</v>
      </c>
      <c r="D1534" s="9" t="s">
        <v>13</v>
      </c>
      <c r="E1534" s="10">
        <v>140</v>
      </c>
      <c r="F1534" s="10">
        <f t="shared" si="19"/>
        <v>420</v>
      </c>
    </row>
    <row r="1535" spans="1:6" x14ac:dyDescent="0.25">
      <c r="C1535" s="5">
        <v>2</v>
      </c>
      <c r="D1535" s="9" t="s">
        <v>98</v>
      </c>
      <c r="E1535" s="10">
        <v>100</v>
      </c>
      <c r="F1535" s="10">
        <f t="shared" si="19"/>
        <v>200</v>
      </c>
    </row>
    <row r="1536" spans="1:6" x14ac:dyDescent="0.25">
      <c r="C1536" s="5">
        <v>1</v>
      </c>
      <c r="D1536" s="9" t="s">
        <v>8</v>
      </c>
      <c r="E1536" s="10">
        <v>155</v>
      </c>
      <c r="F1536" s="10">
        <f t="shared" si="19"/>
        <v>155</v>
      </c>
    </row>
    <row r="1537" spans="1:6" x14ac:dyDescent="0.25">
      <c r="F1537" s="8">
        <f>SUM(F1534:F1536)</f>
        <v>775</v>
      </c>
    </row>
    <row r="1538" spans="1:6" x14ac:dyDescent="0.25">
      <c r="F1538" s="10"/>
    </row>
    <row r="1539" spans="1:6" x14ac:dyDescent="0.25">
      <c r="A1539" s="9" t="s">
        <v>612</v>
      </c>
      <c r="B1539" s="4">
        <v>45798</v>
      </c>
      <c r="C1539" s="5">
        <v>15</v>
      </c>
      <c r="D1539" s="9" t="s">
        <v>13</v>
      </c>
      <c r="E1539" s="10">
        <v>135</v>
      </c>
      <c r="F1539" s="10">
        <f t="shared" si="19"/>
        <v>2025</v>
      </c>
    </row>
    <row r="1540" spans="1:6" x14ac:dyDescent="0.25">
      <c r="F1540" s="8">
        <f>SUM(F1539)</f>
        <v>2025</v>
      </c>
    </row>
    <row r="1541" spans="1:6" x14ac:dyDescent="0.25">
      <c r="F1541" s="10"/>
    </row>
    <row r="1542" spans="1:6" x14ac:dyDescent="0.25">
      <c r="A1542" s="9" t="s">
        <v>41</v>
      </c>
      <c r="B1542" s="4">
        <v>45798</v>
      </c>
      <c r="C1542" s="5">
        <v>20</v>
      </c>
      <c r="D1542" s="9" t="s">
        <v>14</v>
      </c>
      <c r="E1542" s="10">
        <v>130</v>
      </c>
      <c r="F1542" s="10">
        <f t="shared" si="19"/>
        <v>2600</v>
      </c>
    </row>
    <row r="1543" spans="1:6" x14ac:dyDescent="0.25">
      <c r="F1543" s="8">
        <f>SUM(F1542)</f>
        <v>2600</v>
      </c>
    </row>
    <row r="1544" spans="1:6" x14ac:dyDescent="0.25">
      <c r="F1544" s="10"/>
    </row>
    <row r="1545" spans="1:6" x14ac:dyDescent="0.25">
      <c r="A1545" s="9" t="s">
        <v>42</v>
      </c>
      <c r="B1545" s="4">
        <v>45798</v>
      </c>
      <c r="C1545" s="5">
        <v>10</v>
      </c>
      <c r="D1545" s="9" t="s">
        <v>14</v>
      </c>
      <c r="E1545" s="10">
        <v>125</v>
      </c>
      <c r="F1545" s="10">
        <f t="shared" si="19"/>
        <v>1250</v>
      </c>
    </row>
    <row r="1546" spans="1:6" x14ac:dyDescent="0.25">
      <c r="F1546" s="8">
        <f>SUM(F1545)</f>
        <v>1250</v>
      </c>
    </row>
    <row r="1547" spans="1:6" x14ac:dyDescent="0.25">
      <c r="F1547" s="10"/>
    </row>
    <row r="1548" spans="1:6" x14ac:dyDescent="0.25">
      <c r="A1548" s="9" t="s">
        <v>43</v>
      </c>
      <c r="B1548" s="4">
        <v>45798</v>
      </c>
      <c r="C1548" s="5">
        <v>31</v>
      </c>
      <c r="D1548" s="9" t="s">
        <v>613</v>
      </c>
      <c r="E1548" s="10">
        <v>135</v>
      </c>
      <c r="F1548" s="10">
        <f t="shared" si="19"/>
        <v>4185</v>
      </c>
    </row>
    <row r="1549" spans="1:6" x14ac:dyDescent="0.25">
      <c r="F1549" s="8">
        <f>SUM(F1548)</f>
        <v>4185</v>
      </c>
    </row>
    <row r="1550" spans="1:6" x14ac:dyDescent="0.25">
      <c r="F1550" s="10"/>
    </row>
    <row r="1551" spans="1:6" x14ac:dyDescent="0.25">
      <c r="A1551" s="9" t="s">
        <v>44</v>
      </c>
      <c r="B1551" s="4">
        <v>45798</v>
      </c>
      <c r="C1551" s="5">
        <v>30</v>
      </c>
      <c r="D1551" s="9" t="s">
        <v>14</v>
      </c>
      <c r="E1551" s="10">
        <v>125</v>
      </c>
      <c r="F1551" s="10">
        <f t="shared" si="19"/>
        <v>3750</v>
      </c>
    </row>
    <row r="1552" spans="1:6" x14ac:dyDescent="0.25">
      <c r="F1552" s="8">
        <f>SUM(F1551)</f>
        <v>3750</v>
      </c>
    </row>
    <row r="1553" spans="1:6" x14ac:dyDescent="0.25">
      <c r="F1553" s="10"/>
    </row>
    <row r="1554" spans="1:6" x14ac:dyDescent="0.25">
      <c r="A1554" s="9" t="s">
        <v>18</v>
      </c>
      <c r="B1554" s="4">
        <v>45798</v>
      </c>
      <c r="C1554" s="5">
        <v>10</v>
      </c>
      <c r="D1554" s="9" t="s">
        <v>13</v>
      </c>
      <c r="E1554" s="10">
        <v>140</v>
      </c>
      <c r="F1554" s="10">
        <f t="shared" si="19"/>
        <v>1400</v>
      </c>
    </row>
    <row r="1555" spans="1:6" x14ac:dyDescent="0.25">
      <c r="C1555" s="5">
        <v>10</v>
      </c>
      <c r="D1555" s="9" t="s">
        <v>614</v>
      </c>
      <c r="E1555" s="10">
        <v>120</v>
      </c>
      <c r="F1555" s="10">
        <f t="shared" si="19"/>
        <v>1200</v>
      </c>
    </row>
    <row r="1556" spans="1:6" x14ac:dyDescent="0.25">
      <c r="F1556" s="8">
        <f>SUM(F1554:F1555)</f>
        <v>2600</v>
      </c>
    </row>
    <row r="1557" spans="1:6" x14ac:dyDescent="0.25">
      <c r="F1557" s="10"/>
    </row>
    <row r="1558" spans="1:6" x14ac:dyDescent="0.25">
      <c r="A1558" s="9" t="s">
        <v>107</v>
      </c>
      <c r="B1558" s="4">
        <v>45798</v>
      </c>
      <c r="C1558" s="5">
        <v>48</v>
      </c>
      <c r="D1558" s="9" t="s">
        <v>14</v>
      </c>
      <c r="E1558" s="10">
        <v>115</v>
      </c>
      <c r="F1558" s="10">
        <f t="shared" si="19"/>
        <v>5520</v>
      </c>
    </row>
    <row r="1559" spans="1:6" x14ac:dyDescent="0.25">
      <c r="F1559" s="8">
        <f>SUM(F1558)</f>
        <v>5520</v>
      </c>
    </row>
    <row r="1560" spans="1:6" x14ac:dyDescent="0.25">
      <c r="F1560" s="10"/>
    </row>
    <row r="1561" spans="1:6" x14ac:dyDescent="0.25">
      <c r="A1561" s="9" t="s">
        <v>138</v>
      </c>
      <c r="B1561" s="4">
        <v>45798</v>
      </c>
      <c r="C1561" s="5">
        <v>20</v>
      </c>
      <c r="D1561" s="9" t="s">
        <v>615</v>
      </c>
      <c r="E1561" s="10">
        <v>125</v>
      </c>
      <c r="F1561" s="10">
        <f t="shared" si="19"/>
        <v>2500</v>
      </c>
    </row>
    <row r="1562" spans="1:6" x14ac:dyDescent="0.25">
      <c r="F1562" s="8">
        <f>SUM(F1561)</f>
        <v>2500</v>
      </c>
    </row>
    <row r="1563" spans="1:6" x14ac:dyDescent="0.25">
      <c r="F1563" s="10"/>
    </row>
    <row r="1564" spans="1:6" x14ac:dyDescent="0.25">
      <c r="A1564" s="9" t="s">
        <v>47</v>
      </c>
      <c r="B1564" s="4">
        <v>45798</v>
      </c>
      <c r="C1564" s="5">
        <v>20</v>
      </c>
      <c r="D1564" s="9" t="s">
        <v>50</v>
      </c>
      <c r="E1564" s="10">
        <v>90</v>
      </c>
      <c r="F1564" s="10">
        <f t="shared" si="19"/>
        <v>1800</v>
      </c>
    </row>
    <row r="1565" spans="1:6" x14ac:dyDescent="0.25">
      <c r="F1565" s="8">
        <f>SUM(F1564)</f>
        <v>1800</v>
      </c>
    </row>
    <row r="1566" spans="1:6" x14ac:dyDescent="0.25">
      <c r="F1566" s="10"/>
    </row>
    <row r="1567" spans="1:6" x14ac:dyDescent="0.25">
      <c r="A1567" s="9" t="s">
        <v>145</v>
      </c>
      <c r="B1567" s="4">
        <v>45798</v>
      </c>
      <c r="C1567" s="5">
        <v>60</v>
      </c>
      <c r="D1567" s="9" t="s">
        <v>14</v>
      </c>
      <c r="E1567" s="10">
        <v>120</v>
      </c>
      <c r="F1567" s="10">
        <f t="shared" si="19"/>
        <v>7200</v>
      </c>
    </row>
    <row r="1568" spans="1:6" x14ac:dyDescent="0.25">
      <c r="F1568" s="8">
        <f>SUM(F1567)</f>
        <v>7200</v>
      </c>
    </row>
    <row r="1569" spans="1:6" x14ac:dyDescent="0.25">
      <c r="F1569" s="10"/>
    </row>
    <row r="1570" spans="1:6" x14ac:dyDescent="0.25">
      <c r="A1570" s="9" t="s">
        <v>45</v>
      </c>
      <c r="B1570" s="4">
        <v>45798</v>
      </c>
      <c r="C1570" s="5">
        <v>2</v>
      </c>
      <c r="D1570" s="9" t="s">
        <v>615</v>
      </c>
      <c r="E1570" s="10">
        <v>125</v>
      </c>
      <c r="F1570" s="10">
        <f t="shared" si="19"/>
        <v>250</v>
      </c>
    </row>
    <row r="1571" spans="1:6" x14ac:dyDescent="0.25">
      <c r="F1571" s="8">
        <f>SUM(F1570)</f>
        <v>250</v>
      </c>
    </row>
    <row r="1572" spans="1:6" x14ac:dyDescent="0.25">
      <c r="F1572" s="10"/>
    </row>
    <row r="1573" spans="1:6" x14ac:dyDescent="0.25">
      <c r="A1573" s="9" t="s">
        <v>487</v>
      </c>
      <c r="B1573" s="4">
        <v>45798</v>
      </c>
      <c r="C1573" s="5">
        <v>8</v>
      </c>
      <c r="D1573" s="9" t="s">
        <v>12</v>
      </c>
      <c r="E1573" s="10">
        <v>130</v>
      </c>
      <c r="F1573" s="10">
        <f t="shared" si="19"/>
        <v>1040</v>
      </c>
    </row>
    <row r="1574" spans="1:6" x14ac:dyDescent="0.25">
      <c r="F1574" s="8">
        <f>SUM(F1573)</f>
        <v>1040</v>
      </c>
    </row>
    <row r="1575" spans="1:6" x14ac:dyDescent="0.25">
      <c r="F1575" s="10"/>
    </row>
    <row r="1576" spans="1:6" x14ac:dyDescent="0.25">
      <c r="A1576" s="9" t="s">
        <v>181</v>
      </c>
      <c r="B1576" s="4">
        <v>45798</v>
      </c>
      <c r="C1576" s="5">
        <v>6</v>
      </c>
      <c r="D1576" s="9" t="s">
        <v>49</v>
      </c>
      <c r="E1576" s="10">
        <v>145</v>
      </c>
      <c r="F1576" s="10">
        <f t="shared" si="19"/>
        <v>870</v>
      </c>
    </row>
    <row r="1577" spans="1:6" x14ac:dyDescent="0.25">
      <c r="F1577" s="8">
        <f>SUM(F1576)</f>
        <v>870</v>
      </c>
    </row>
    <row r="1578" spans="1:6" x14ac:dyDescent="0.25">
      <c r="F1578" s="10"/>
    </row>
    <row r="1579" spans="1:6" x14ac:dyDescent="0.25">
      <c r="A1579" s="9" t="s">
        <v>67</v>
      </c>
      <c r="B1579" s="4">
        <v>45798</v>
      </c>
      <c r="C1579" s="5">
        <v>10</v>
      </c>
      <c r="D1579" s="9" t="s">
        <v>13</v>
      </c>
      <c r="E1579" s="10">
        <v>140</v>
      </c>
      <c r="F1579" s="10">
        <f t="shared" ref="F1579:F1641" si="20">+C1579*E1579</f>
        <v>1400</v>
      </c>
    </row>
    <row r="1580" spans="1:6" x14ac:dyDescent="0.25">
      <c r="F1580" s="8">
        <f>SUM(F1579)</f>
        <v>1400</v>
      </c>
    </row>
    <row r="1581" spans="1:6" x14ac:dyDescent="0.25">
      <c r="F1581" s="10"/>
    </row>
    <row r="1582" spans="1:6" x14ac:dyDescent="0.25">
      <c r="A1582" s="9" t="s">
        <v>103</v>
      </c>
      <c r="B1582" s="4">
        <v>45798</v>
      </c>
      <c r="C1582" s="5">
        <v>5</v>
      </c>
      <c r="D1582" s="9" t="s">
        <v>13</v>
      </c>
      <c r="E1582" s="10">
        <v>150</v>
      </c>
      <c r="F1582" s="10">
        <f t="shared" si="20"/>
        <v>750</v>
      </c>
    </row>
    <row r="1583" spans="1:6" x14ac:dyDescent="0.25">
      <c r="F1583" s="8">
        <f>SUM(F1582)</f>
        <v>750</v>
      </c>
    </row>
    <row r="1584" spans="1:6" x14ac:dyDescent="0.25">
      <c r="F1584" s="10"/>
    </row>
    <row r="1585" spans="1:6" x14ac:dyDescent="0.25">
      <c r="A1585" s="9" t="s">
        <v>95</v>
      </c>
      <c r="B1585" s="4">
        <v>45798</v>
      </c>
      <c r="C1585" s="5">
        <v>20</v>
      </c>
      <c r="D1585" s="9" t="s">
        <v>13</v>
      </c>
      <c r="E1585" s="10">
        <v>150</v>
      </c>
      <c r="F1585" s="10">
        <f t="shared" si="20"/>
        <v>3000</v>
      </c>
    </row>
    <row r="1586" spans="1:6" x14ac:dyDescent="0.25">
      <c r="F1586" s="8">
        <f>SUM(F1585)</f>
        <v>3000</v>
      </c>
    </row>
    <row r="1587" spans="1:6" x14ac:dyDescent="0.25">
      <c r="F1587" s="10"/>
    </row>
    <row r="1588" spans="1:6" x14ac:dyDescent="0.25">
      <c r="A1588" s="9" t="s">
        <v>112</v>
      </c>
      <c r="B1588" s="4">
        <v>45798</v>
      </c>
      <c r="C1588" s="5">
        <v>150</v>
      </c>
      <c r="D1588" s="9" t="s">
        <v>13</v>
      </c>
      <c r="E1588" s="10">
        <v>130</v>
      </c>
      <c r="F1588" s="10">
        <f t="shared" si="20"/>
        <v>19500</v>
      </c>
    </row>
    <row r="1589" spans="1:6" x14ac:dyDescent="0.25">
      <c r="C1589" s="5">
        <v>60</v>
      </c>
      <c r="D1589" s="9" t="s">
        <v>616</v>
      </c>
      <c r="E1589" s="10">
        <v>110</v>
      </c>
      <c r="F1589" s="10">
        <f t="shared" si="20"/>
        <v>6600</v>
      </c>
    </row>
    <row r="1590" spans="1:6" x14ac:dyDescent="0.25">
      <c r="C1590" s="5">
        <v>30</v>
      </c>
      <c r="D1590" s="9" t="s">
        <v>617</v>
      </c>
      <c r="E1590" s="10">
        <v>80</v>
      </c>
      <c r="F1590" s="10">
        <f t="shared" si="20"/>
        <v>2400</v>
      </c>
    </row>
    <row r="1591" spans="1:6" x14ac:dyDescent="0.25">
      <c r="F1591" s="8">
        <f>SUM(F1588:F1590)</f>
        <v>28500</v>
      </c>
    </row>
    <row r="1592" spans="1:6" x14ac:dyDescent="0.25">
      <c r="F1592" s="10"/>
    </row>
    <row r="1593" spans="1:6" x14ac:dyDescent="0.25">
      <c r="A1593" s="9" t="s">
        <v>72</v>
      </c>
      <c r="B1593" s="4">
        <v>45798</v>
      </c>
      <c r="C1593" s="5">
        <v>250</v>
      </c>
      <c r="D1593" s="9" t="s">
        <v>13</v>
      </c>
      <c r="E1593" s="10">
        <v>130</v>
      </c>
      <c r="F1593" s="10">
        <f t="shared" si="20"/>
        <v>32500</v>
      </c>
    </row>
    <row r="1594" spans="1:6" x14ac:dyDescent="0.25">
      <c r="C1594" s="5">
        <v>50</v>
      </c>
      <c r="D1594" s="9" t="s">
        <v>12</v>
      </c>
      <c r="E1594" s="10">
        <v>115</v>
      </c>
      <c r="F1594" s="10">
        <f t="shared" si="20"/>
        <v>5750</v>
      </c>
    </row>
    <row r="1595" spans="1:6" x14ac:dyDescent="0.25">
      <c r="C1595" s="5">
        <v>10</v>
      </c>
      <c r="D1595" s="9" t="s">
        <v>618</v>
      </c>
      <c r="E1595" s="10">
        <v>125</v>
      </c>
      <c r="F1595" s="10">
        <f t="shared" si="20"/>
        <v>1250</v>
      </c>
    </row>
    <row r="1596" spans="1:6" x14ac:dyDescent="0.25">
      <c r="C1596" s="5">
        <v>90</v>
      </c>
      <c r="D1596" s="9" t="s">
        <v>11</v>
      </c>
      <c r="E1596" s="10">
        <v>115</v>
      </c>
      <c r="F1596" s="10">
        <f t="shared" si="20"/>
        <v>10350</v>
      </c>
    </row>
    <row r="1597" spans="1:6" x14ac:dyDescent="0.25">
      <c r="F1597" s="8">
        <f>SUM(F1593:F1596)</f>
        <v>49850</v>
      </c>
    </row>
    <row r="1598" spans="1:6" x14ac:dyDescent="0.25">
      <c r="F1598" s="10"/>
    </row>
    <row r="1599" spans="1:6" x14ac:dyDescent="0.25">
      <c r="A1599" s="9" t="s">
        <v>117</v>
      </c>
      <c r="B1599" s="4">
        <v>45798</v>
      </c>
      <c r="C1599" s="5">
        <v>8</v>
      </c>
      <c r="D1599" s="9" t="s">
        <v>13</v>
      </c>
      <c r="E1599" s="10">
        <v>150</v>
      </c>
      <c r="F1599" s="10">
        <f t="shared" si="20"/>
        <v>1200</v>
      </c>
    </row>
    <row r="1600" spans="1:6" x14ac:dyDescent="0.25">
      <c r="F1600" s="8">
        <f>SUM(F1599)</f>
        <v>1200</v>
      </c>
    </row>
    <row r="1601" spans="1:6" x14ac:dyDescent="0.25">
      <c r="F1601" s="10"/>
    </row>
    <row r="1602" spans="1:6" x14ac:dyDescent="0.25">
      <c r="A1602" s="9" t="s">
        <v>535</v>
      </c>
      <c r="B1602" s="4">
        <v>45798</v>
      </c>
      <c r="C1602" s="5">
        <v>81</v>
      </c>
      <c r="D1602" s="9" t="s">
        <v>13</v>
      </c>
      <c r="E1602" s="10">
        <v>140</v>
      </c>
      <c r="F1602" s="10">
        <f t="shared" si="20"/>
        <v>11340</v>
      </c>
    </row>
    <row r="1603" spans="1:6" x14ac:dyDescent="0.25">
      <c r="C1603" s="5">
        <v>20</v>
      </c>
      <c r="D1603" s="9" t="s">
        <v>8</v>
      </c>
      <c r="E1603" s="10">
        <v>160</v>
      </c>
      <c r="F1603" s="10">
        <f t="shared" si="20"/>
        <v>3200</v>
      </c>
    </row>
    <row r="1604" spans="1:6" x14ac:dyDescent="0.25">
      <c r="C1604" s="5">
        <v>5</v>
      </c>
      <c r="D1604" s="9" t="s">
        <v>14</v>
      </c>
      <c r="E1604" s="10">
        <v>135</v>
      </c>
      <c r="F1604" s="10">
        <f t="shared" si="20"/>
        <v>675</v>
      </c>
    </row>
    <row r="1605" spans="1:6" x14ac:dyDescent="0.25">
      <c r="C1605" s="5">
        <v>6</v>
      </c>
      <c r="D1605" s="9" t="s">
        <v>12</v>
      </c>
      <c r="E1605" s="10">
        <v>130</v>
      </c>
      <c r="F1605" s="10">
        <f t="shared" si="20"/>
        <v>780</v>
      </c>
    </row>
    <row r="1606" spans="1:6" x14ac:dyDescent="0.25">
      <c r="F1606" s="8">
        <f>SUM(F1602:F1605)</f>
        <v>15995</v>
      </c>
    </row>
    <row r="1607" spans="1:6" x14ac:dyDescent="0.25">
      <c r="F1607" s="10"/>
    </row>
    <row r="1608" spans="1:6" x14ac:dyDescent="0.25">
      <c r="A1608" s="9" t="s">
        <v>26</v>
      </c>
      <c r="B1608" s="4">
        <v>45798</v>
      </c>
      <c r="C1608" s="5">
        <v>110</v>
      </c>
      <c r="D1608" s="9" t="s">
        <v>13</v>
      </c>
      <c r="E1608" s="10">
        <v>140</v>
      </c>
      <c r="F1608" s="10">
        <f t="shared" si="20"/>
        <v>15400</v>
      </c>
    </row>
    <row r="1609" spans="1:6" x14ac:dyDescent="0.25">
      <c r="C1609" s="5">
        <v>30</v>
      </c>
      <c r="D1609" s="9" t="s">
        <v>14</v>
      </c>
      <c r="E1609" s="10">
        <v>130</v>
      </c>
      <c r="F1609" s="10">
        <f t="shared" si="20"/>
        <v>3900</v>
      </c>
    </row>
    <row r="1610" spans="1:6" x14ac:dyDescent="0.25">
      <c r="F1610" s="8">
        <f>SUM(F1608:F1609)</f>
        <v>19300</v>
      </c>
    </row>
    <row r="1611" spans="1:6" x14ac:dyDescent="0.25">
      <c r="F1611" s="10"/>
    </row>
    <row r="1612" spans="1:6" x14ac:dyDescent="0.25">
      <c r="A1612" s="9" t="s">
        <v>7</v>
      </c>
      <c r="B1612" s="4">
        <v>45798</v>
      </c>
      <c r="C1612" s="5">
        <v>800</v>
      </c>
      <c r="D1612" s="9" t="s">
        <v>22</v>
      </c>
      <c r="E1612" s="10">
        <v>100</v>
      </c>
      <c r="F1612" s="10">
        <f t="shared" si="20"/>
        <v>80000</v>
      </c>
    </row>
    <row r="1613" spans="1:6" x14ac:dyDescent="0.25">
      <c r="C1613" s="5">
        <v>100</v>
      </c>
      <c r="D1613" s="9" t="s">
        <v>50</v>
      </c>
      <c r="E1613" s="10">
        <v>80</v>
      </c>
      <c r="F1613" s="10">
        <f t="shared" si="20"/>
        <v>8000</v>
      </c>
    </row>
    <row r="1614" spans="1:6" x14ac:dyDescent="0.25">
      <c r="F1614" s="8">
        <f>SUM(F1612:F1613)</f>
        <v>88000</v>
      </c>
    </row>
    <row r="1615" spans="1:6" x14ac:dyDescent="0.25">
      <c r="F1615" s="10"/>
    </row>
    <row r="1616" spans="1:6" x14ac:dyDescent="0.25">
      <c r="A1616" s="9" t="s">
        <v>29</v>
      </c>
      <c r="B1616" s="4">
        <v>45798</v>
      </c>
      <c r="C1616" s="5">
        <v>2</v>
      </c>
      <c r="D1616" s="9" t="s">
        <v>12</v>
      </c>
      <c r="E1616" s="10">
        <v>150</v>
      </c>
      <c r="F1616" s="10">
        <f t="shared" si="20"/>
        <v>300</v>
      </c>
    </row>
    <row r="1617" spans="1:6" x14ac:dyDescent="0.25">
      <c r="C1617" s="5">
        <v>1</v>
      </c>
      <c r="D1617" s="9" t="s">
        <v>13</v>
      </c>
      <c r="E1617" s="10">
        <v>160</v>
      </c>
      <c r="F1617" s="10">
        <f t="shared" si="20"/>
        <v>160</v>
      </c>
    </row>
    <row r="1618" spans="1:6" x14ac:dyDescent="0.25">
      <c r="C1618" s="5">
        <v>20</v>
      </c>
      <c r="D1618" s="9" t="s">
        <v>168</v>
      </c>
      <c r="E1618" s="10">
        <v>135</v>
      </c>
      <c r="F1618" s="10">
        <f t="shared" si="20"/>
        <v>2700</v>
      </c>
    </row>
    <row r="1619" spans="1:6" x14ac:dyDescent="0.25">
      <c r="C1619" s="5">
        <v>6</v>
      </c>
      <c r="D1619" s="9" t="s">
        <v>229</v>
      </c>
      <c r="E1619" s="10">
        <v>3.3333300000000001</v>
      </c>
      <c r="F1619" s="10">
        <f t="shared" si="20"/>
        <v>19.999980000000001</v>
      </c>
    </row>
    <row r="1620" spans="1:6" x14ac:dyDescent="0.25">
      <c r="C1620" s="5">
        <v>2</v>
      </c>
      <c r="D1620" s="9" t="s">
        <v>622</v>
      </c>
      <c r="E1620" s="10">
        <v>150</v>
      </c>
      <c r="F1620" s="10">
        <f t="shared" si="20"/>
        <v>300</v>
      </c>
    </row>
    <row r="1621" spans="1:6" x14ac:dyDescent="0.25">
      <c r="C1621" s="5">
        <v>1</v>
      </c>
      <c r="D1621" s="9" t="s">
        <v>78</v>
      </c>
      <c r="E1621" s="10">
        <v>100</v>
      </c>
      <c r="F1621" s="10">
        <f t="shared" si="20"/>
        <v>100</v>
      </c>
    </row>
    <row r="1622" spans="1:6" x14ac:dyDescent="0.25">
      <c r="C1622" s="5">
        <v>1</v>
      </c>
      <c r="D1622" s="9" t="s">
        <v>13</v>
      </c>
      <c r="E1622" s="10">
        <v>150</v>
      </c>
      <c r="F1622" s="10">
        <f t="shared" si="20"/>
        <v>150</v>
      </c>
    </row>
    <row r="1623" spans="1:6" x14ac:dyDescent="0.25">
      <c r="F1623" s="8">
        <f>SUM(F1616:F1622)</f>
        <v>3729.9999800000001</v>
      </c>
    </row>
    <row r="1624" spans="1:6" x14ac:dyDescent="0.25">
      <c r="F1624" s="10"/>
    </row>
    <row r="1625" spans="1:6" x14ac:dyDescent="0.25">
      <c r="A1625" s="9" t="s">
        <v>181</v>
      </c>
      <c r="B1625" s="4">
        <v>45798</v>
      </c>
      <c r="C1625" s="5">
        <v>1</v>
      </c>
      <c r="D1625" s="9" t="s">
        <v>8</v>
      </c>
      <c r="E1625" s="10">
        <v>170</v>
      </c>
      <c r="F1625" s="10">
        <f t="shared" si="20"/>
        <v>170</v>
      </c>
    </row>
    <row r="1626" spans="1:6" x14ac:dyDescent="0.25">
      <c r="C1626" s="5">
        <v>1</v>
      </c>
      <c r="D1626" s="9" t="s">
        <v>351</v>
      </c>
      <c r="E1626" s="10">
        <v>150</v>
      </c>
      <c r="F1626" s="10">
        <f t="shared" si="20"/>
        <v>150</v>
      </c>
    </row>
    <row r="1627" spans="1:6" x14ac:dyDescent="0.25">
      <c r="F1627" s="8">
        <f>SUM(F1625:F1626)</f>
        <v>320</v>
      </c>
    </row>
    <row r="1628" spans="1:6" x14ac:dyDescent="0.25">
      <c r="F1628" s="10"/>
    </row>
    <row r="1629" spans="1:6" x14ac:dyDescent="0.25">
      <c r="A1629" s="9" t="s">
        <v>140</v>
      </c>
      <c r="B1629" s="4">
        <v>45799</v>
      </c>
      <c r="C1629" s="5">
        <v>400</v>
      </c>
      <c r="D1629" s="9" t="s">
        <v>13</v>
      </c>
      <c r="E1629" s="10">
        <v>130</v>
      </c>
      <c r="F1629" s="10">
        <f t="shared" si="20"/>
        <v>52000</v>
      </c>
    </row>
    <row r="1630" spans="1:6" x14ac:dyDescent="0.25">
      <c r="C1630" s="5">
        <v>150</v>
      </c>
      <c r="D1630" s="9" t="s">
        <v>8</v>
      </c>
      <c r="E1630" s="10">
        <v>150</v>
      </c>
      <c r="F1630" s="10">
        <f t="shared" si="20"/>
        <v>22500</v>
      </c>
    </row>
    <row r="1631" spans="1:6" x14ac:dyDescent="0.25">
      <c r="C1631" s="5">
        <v>150</v>
      </c>
      <c r="D1631" s="9" t="s">
        <v>12</v>
      </c>
      <c r="E1631" s="10">
        <v>120</v>
      </c>
      <c r="F1631" s="10">
        <f t="shared" si="20"/>
        <v>18000</v>
      </c>
    </row>
    <row r="1632" spans="1:6" x14ac:dyDescent="0.25">
      <c r="C1632" s="5">
        <v>5</v>
      </c>
      <c r="D1632" s="9" t="s">
        <v>589</v>
      </c>
      <c r="E1632" s="10">
        <v>0</v>
      </c>
      <c r="F1632" s="10">
        <f t="shared" si="20"/>
        <v>0</v>
      </c>
    </row>
    <row r="1633" spans="1:6" x14ac:dyDescent="0.25">
      <c r="F1633" s="8">
        <f>SUM(F1629:F1632)</f>
        <v>92500</v>
      </c>
    </row>
    <row r="1634" spans="1:6" x14ac:dyDescent="0.25">
      <c r="F1634" s="10"/>
    </row>
    <row r="1635" spans="1:6" x14ac:dyDescent="0.25">
      <c r="A1635" s="9" t="s">
        <v>61</v>
      </c>
      <c r="B1635" s="4">
        <v>45799</v>
      </c>
      <c r="C1635" s="5">
        <v>50</v>
      </c>
      <c r="D1635" s="9" t="s">
        <v>13</v>
      </c>
      <c r="E1635" s="10">
        <v>130</v>
      </c>
      <c r="F1635" s="10">
        <f t="shared" si="20"/>
        <v>6500</v>
      </c>
    </row>
    <row r="1636" spans="1:6" x14ac:dyDescent="0.25">
      <c r="F1636" s="8">
        <f>SUM(F1635)</f>
        <v>6500</v>
      </c>
    </row>
    <row r="1637" spans="1:6" x14ac:dyDescent="0.25">
      <c r="F1637" s="10"/>
    </row>
    <row r="1638" spans="1:6" x14ac:dyDescent="0.25">
      <c r="A1638" s="9" t="s">
        <v>623</v>
      </c>
      <c r="B1638" s="4">
        <v>45799</v>
      </c>
      <c r="C1638" s="5">
        <v>20</v>
      </c>
      <c r="D1638" s="9" t="s">
        <v>13</v>
      </c>
      <c r="E1638" s="10">
        <v>130</v>
      </c>
      <c r="F1638" s="10">
        <f t="shared" si="20"/>
        <v>2600</v>
      </c>
    </row>
    <row r="1639" spans="1:6" x14ac:dyDescent="0.25">
      <c r="F1639" s="8">
        <f>SUM(F1638)</f>
        <v>2600</v>
      </c>
    </row>
    <row r="1640" spans="1:6" x14ac:dyDescent="0.25">
      <c r="F1640" s="10"/>
    </row>
    <row r="1641" spans="1:6" x14ac:dyDescent="0.25">
      <c r="A1641" s="9" t="s">
        <v>111</v>
      </c>
      <c r="B1641" s="4">
        <v>45799</v>
      </c>
      <c r="C1641" s="5">
        <v>30</v>
      </c>
      <c r="D1641" s="9" t="s">
        <v>13</v>
      </c>
      <c r="E1641" s="10">
        <v>140</v>
      </c>
      <c r="F1641" s="10">
        <f t="shared" si="20"/>
        <v>4200</v>
      </c>
    </row>
    <row r="1642" spans="1:6" x14ac:dyDescent="0.25">
      <c r="C1642" s="5">
        <v>1</v>
      </c>
      <c r="D1642" s="9" t="s">
        <v>318</v>
      </c>
      <c r="E1642" s="10">
        <v>0</v>
      </c>
      <c r="F1642" s="10">
        <f t="shared" ref="F1642:F1705" si="21">+C1642*E1642</f>
        <v>0</v>
      </c>
    </row>
    <row r="1643" spans="1:6" x14ac:dyDescent="0.25">
      <c r="F1643" s="8">
        <f>SUM(F1641:F1642)</f>
        <v>4200</v>
      </c>
    </row>
    <row r="1644" spans="1:6" x14ac:dyDescent="0.25">
      <c r="F1644" s="10"/>
    </row>
    <row r="1645" spans="1:6" x14ac:dyDescent="0.25">
      <c r="A1645" s="9" t="s">
        <v>44</v>
      </c>
      <c r="B1645" s="4">
        <v>45799</v>
      </c>
      <c r="C1645" s="5">
        <v>10</v>
      </c>
      <c r="D1645" s="9" t="s">
        <v>13</v>
      </c>
      <c r="E1645" s="10">
        <v>140</v>
      </c>
      <c r="F1645" s="10">
        <f t="shared" si="21"/>
        <v>1400</v>
      </c>
    </row>
    <row r="1646" spans="1:6" x14ac:dyDescent="0.25">
      <c r="F1646" s="8">
        <f>SUM(F1645)</f>
        <v>1400</v>
      </c>
    </row>
    <row r="1647" spans="1:6" x14ac:dyDescent="0.25">
      <c r="F1647" s="10"/>
    </row>
    <row r="1648" spans="1:6" x14ac:dyDescent="0.25">
      <c r="A1648" s="9" t="s">
        <v>586</v>
      </c>
      <c r="B1648" s="4">
        <v>45799</v>
      </c>
      <c r="C1648" s="5">
        <v>7</v>
      </c>
      <c r="D1648" s="9" t="s">
        <v>12</v>
      </c>
      <c r="E1648" s="10">
        <v>130</v>
      </c>
      <c r="F1648" s="10">
        <f t="shared" si="21"/>
        <v>910</v>
      </c>
    </row>
    <row r="1649" spans="1:6" x14ac:dyDescent="0.25">
      <c r="F1649" s="8">
        <f>SUM(F1648)</f>
        <v>910</v>
      </c>
    </row>
    <row r="1650" spans="1:6" x14ac:dyDescent="0.25">
      <c r="F1650" s="10"/>
    </row>
    <row r="1651" spans="1:6" x14ac:dyDescent="0.25">
      <c r="A1651" s="9" t="s">
        <v>114</v>
      </c>
      <c r="B1651" s="4">
        <v>45799</v>
      </c>
      <c r="C1651" s="5">
        <v>4</v>
      </c>
      <c r="D1651" s="9" t="s">
        <v>13</v>
      </c>
      <c r="E1651" s="10">
        <v>145</v>
      </c>
      <c r="F1651" s="10">
        <f t="shared" si="21"/>
        <v>580</v>
      </c>
    </row>
    <row r="1652" spans="1:6" x14ac:dyDescent="0.25">
      <c r="F1652" s="8">
        <f>SUM(F1651)</f>
        <v>580</v>
      </c>
    </row>
    <row r="1653" spans="1:6" x14ac:dyDescent="0.25">
      <c r="F1653" s="10"/>
    </row>
    <row r="1654" spans="1:6" x14ac:dyDescent="0.25">
      <c r="A1654" s="9" t="s">
        <v>89</v>
      </c>
      <c r="B1654" s="4">
        <v>45799</v>
      </c>
      <c r="C1654" s="5">
        <v>30</v>
      </c>
      <c r="D1654" s="9" t="s">
        <v>13</v>
      </c>
      <c r="E1654" s="10">
        <v>130</v>
      </c>
      <c r="F1654" s="10">
        <f t="shared" si="21"/>
        <v>3900</v>
      </c>
    </row>
    <row r="1655" spans="1:6" x14ac:dyDescent="0.25">
      <c r="C1655" s="5">
        <v>50</v>
      </c>
      <c r="D1655" s="9" t="s">
        <v>12</v>
      </c>
      <c r="E1655" s="10">
        <v>115</v>
      </c>
      <c r="F1655" s="10">
        <f t="shared" si="21"/>
        <v>5750</v>
      </c>
    </row>
    <row r="1656" spans="1:6" x14ac:dyDescent="0.25">
      <c r="F1656" s="8">
        <f>SUM(F1654:F1655)</f>
        <v>9650</v>
      </c>
    </row>
    <row r="1657" spans="1:6" x14ac:dyDescent="0.25">
      <c r="F1657" s="10"/>
    </row>
    <row r="1658" spans="1:6" x14ac:dyDescent="0.25">
      <c r="A1658" s="9" t="s">
        <v>32</v>
      </c>
      <c r="B1658" s="4">
        <v>45799</v>
      </c>
      <c r="C1658" s="5">
        <v>20</v>
      </c>
      <c r="D1658" s="9" t="s">
        <v>13</v>
      </c>
      <c r="E1658" s="10">
        <v>135</v>
      </c>
      <c r="F1658" s="10">
        <f t="shared" si="21"/>
        <v>2700</v>
      </c>
    </row>
    <row r="1659" spans="1:6" x14ac:dyDescent="0.25">
      <c r="F1659" s="8">
        <f>SUM(F1658)</f>
        <v>2700</v>
      </c>
    </row>
    <row r="1660" spans="1:6" x14ac:dyDescent="0.25">
      <c r="F1660" s="10"/>
    </row>
    <row r="1661" spans="1:6" x14ac:dyDescent="0.25">
      <c r="A1661" s="9" t="s">
        <v>535</v>
      </c>
      <c r="B1661" s="4">
        <v>45799</v>
      </c>
      <c r="C1661" s="5">
        <v>76</v>
      </c>
      <c r="D1661" s="9" t="s">
        <v>624</v>
      </c>
      <c r="E1661" s="10">
        <v>140</v>
      </c>
      <c r="F1661" s="10">
        <f t="shared" si="21"/>
        <v>10640</v>
      </c>
    </row>
    <row r="1662" spans="1:6" x14ac:dyDescent="0.25">
      <c r="C1662" s="5">
        <v>38</v>
      </c>
      <c r="D1662" s="9" t="s">
        <v>8</v>
      </c>
      <c r="E1662" s="10">
        <v>160</v>
      </c>
      <c r="F1662" s="10">
        <f t="shared" si="21"/>
        <v>6080</v>
      </c>
    </row>
    <row r="1663" spans="1:6" x14ac:dyDescent="0.25">
      <c r="C1663" s="5">
        <v>10</v>
      </c>
      <c r="D1663" s="9" t="s">
        <v>12</v>
      </c>
      <c r="E1663" s="10">
        <v>130</v>
      </c>
      <c r="F1663" s="10">
        <f t="shared" si="21"/>
        <v>1300</v>
      </c>
    </row>
    <row r="1664" spans="1:6" x14ac:dyDescent="0.25">
      <c r="C1664" s="5">
        <v>10</v>
      </c>
      <c r="D1664" s="9" t="s">
        <v>615</v>
      </c>
      <c r="E1664" s="10">
        <v>135</v>
      </c>
      <c r="F1664" s="10">
        <f t="shared" si="21"/>
        <v>1350</v>
      </c>
    </row>
    <row r="1665" spans="1:6" x14ac:dyDescent="0.25">
      <c r="C1665" s="5">
        <v>5</v>
      </c>
      <c r="D1665" s="9" t="s">
        <v>49</v>
      </c>
      <c r="E1665" s="10">
        <v>155</v>
      </c>
      <c r="F1665" s="10">
        <f t="shared" si="21"/>
        <v>775</v>
      </c>
    </row>
    <row r="1666" spans="1:6" x14ac:dyDescent="0.25">
      <c r="C1666" s="5">
        <v>5</v>
      </c>
      <c r="D1666" s="9" t="s">
        <v>11</v>
      </c>
      <c r="E1666" s="10">
        <v>120</v>
      </c>
      <c r="F1666" s="10">
        <f t="shared" si="21"/>
        <v>600</v>
      </c>
    </row>
    <row r="1667" spans="1:6" x14ac:dyDescent="0.25">
      <c r="F1667" s="8">
        <f>SUM(F1661:F1666)</f>
        <v>20745</v>
      </c>
    </row>
    <row r="1668" spans="1:6" x14ac:dyDescent="0.25">
      <c r="F1668" s="10"/>
    </row>
    <row r="1669" spans="1:6" x14ac:dyDescent="0.25">
      <c r="A1669" s="9" t="s">
        <v>101</v>
      </c>
      <c r="B1669" s="4">
        <v>45799</v>
      </c>
      <c r="C1669" s="5">
        <v>1</v>
      </c>
      <c r="D1669" s="9" t="s">
        <v>13</v>
      </c>
      <c r="E1669" s="10">
        <v>160</v>
      </c>
      <c r="F1669" s="10">
        <f t="shared" si="21"/>
        <v>160</v>
      </c>
    </row>
    <row r="1670" spans="1:6" x14ac:dyDescent="0.25">
      <c r="C1670" s="5">
        <v>1</v>
      </c>
      <c r="D1670" s="9" t="s">
        <v>13</v>
      </c>
      <c r="E1670" s="10">
        <v>160</v>
      </c>
      <c r="F1670" s="10">
        <f t="shared" si="21"/>
        <v>160</v>
      </c>
    </row>
    <row r="1671" spans="1:6" x14ac:dyDescent="0.25">
      <c r="C1671" s="5">
        <v>1</v>
      </c>
      <c r="D1671" s="9" t="s">
        <v>560</v>
      </c>
      <c r="E1671" s="10">
        <v>170</v>
      </c>
      <c r="F1671" s="10">
        <f t="shared" si="21"/>
        <v>170</v>
      </c>
    </row>
    <row r="1672" spans="1:6" x14ac:dyDescent="0.25">
      <c r="C1672" s="5">
        <v>2</v>
      </c>
      <c r="D1672" s="9" t="s">
        <v>78</v>
      </c>
      <c r="E1672" s="10">
        <v>100</v>
      </c>
      <c r="F1672" s="10">
        <f t="shared" si="21"/>
        <v>200</v>
      </c>
    </row>
    <row r="1673" spans="1:6" x14ac:dyDescent="0.25">
      <c r="F1673" s="8">
        <f>SUM(F1669:F1672)</f>
        <v>690</v>
      </c>
    </row>
    <row r="1674" spans="1:6" x14ac:dyDescent="0.25">
      <c r="F1674" s="10"/>
    </row>
    <row r="1675" spans="1:6" x14ac:dyDescent="0.25">
      <c r="A1675" s="9" t="s">
        <v>181</v>
      </c>
      <c r="B1675" s="4">
        <v>45799</v>
      </c>
      <c r="C1675" s="5">
        <v>2</v>
      </c>
      <c r="D1675" s="9" t="s">
        <v>560</v>
      </c>
      <c r="E1675" s="10">
        <v>170</v>
      </c>
      <c r="F1675" s="10">
        <f t="shared" si="21"/>
        <v>340</v>
      </c>
    </row>
    <row r="1676" spans="1:6" x14ac:dyDescent="0.25">
      <c r="F1676" s="8">
        <f>SUM(F1675)</f>
        <v>340</v>
      </c>
    </row>
    <row r="1677" spans="1:6" x14ac:dyDescent="0.25">
      <c r="F1677" s="10"/>
    </row>
    <row r="1678" spans="1:6" x14ac:dyDescent="0.25">
      <c r="A1678" s="9" t="s">
        <v>334</v>
      </c>
      <c r="B1678" s="4">
        <v>45800</v>
      </c>
      <c r="C1678" s="5">
        <v>10</v>
      </c>
      <c r="D1678" s="9" t="s">
        <v>625</v>
      </c>
      <c r="E1678" s="10">
        <v>100</v>
      </c>
      <c r="F1678" s="10">
        <f t="shared" si="21"/>
        <v>1000</v>
      </c>
    </row>
    <row r="1679" spans="1:6" x14ac:dyDescent="0.25">
      <c r="F1679" s="8">
        <f>SUM(F1678)</f>
        <v>1000</v>
      </c>
    </row>
    <row r="1680" spans="1:6" x14ac:dyDescent="0.25">
      <c r="F1680" s="10"/>
    </row>
    <row r="1681" spans="1:6" x14ac:dyDescent="0.25">
      <c r="A1681" s="9" t="s">
        <v>271</v>
      </c>
      <c r="B1681" s="4">
        <v>45800</v>
      </c>
      <c r="C1681" s="5">
        <v>60</v>
      </c>
      <c r="D1681" s="9" t="s">
        <v>98</v>
      </c>
      <c r="E1681" s="10">
        <v>80</v>
      </c>
      <c r="F1681" s="10">
        <f t="shared" si="21"/>
        <v>4800</v>
      </c>
    </row>
    <row r="1682" spans="1:6" x14ac:dyDescent="0.25">
      <c r="F1682" s="8">
        <f>SUM(F1681)</f>
        <v>4800</v>
      </c>
    </row>
    <row r="1683" spans="1:6" x14ac:dyDescent="0.25">
      <c r="F1683" s="10"/>
    </row>
    <row r="1684" spans="1:6" x14ac:dyDescent="0.25">
      <c r="A1684" s="9" t="s">
        <v>525</v>
      </c>
      <c r="B1684" s="4">
        <v>45800</v>
      </c>
      <c r="C1684" s="5">
        <v>10</v>
      </c>
      <c r="D1684" s="9" t="s">
        <v>22</v>
      </c>
      <c r="E1684" s="10">
        <v>110</v>
      </c>
      <c r="F1684" s="10">
        <f t="shared" si="21"/>
        <v>1100</v>
      </c>
    </row>
    <row r="1685" spans="1:6" x14ac:dyDescent="0.25">
      <c r="F1685" s="8">
        <f>SUM(F1684)</f>
        <v>1100</v>
      </c>
    </row>
    <row r="1686" spans="1:6" x14ac:dyDescent="0.25">
      <c r="F1686" s="10"/>
    </row>
    <row r="1687" spans="1:6" x14ac:dyDescent="0.25">
      <c r="A1687" s="9" t="s">
        <v>58</v>
      </c>
      <c r="B1687" s="4">
        <v>45800</v>
      </c>
      <c r="C1687" s="5">
        <v>10</v>
      </c>
      <c r="D1687" s="9" t="s">
        <v>626</v>
      </c>
      <c r="E1687" s="10">
        <v>140</v>
      </c>
      <c r="F1687" s="10">
        <f t="shared" si="21"/>
        <v>1400</v>
      </c>
    </row>
    <row r="1688" spans="1:6" x14ac:dyDescent="0.25">
      <c r="F1688" s="8">
        <f>SUM(F1687)</f>
        <v>1400</v>
      </c>
    </row>
    <row r="1689" spans="1:6" x14ac:dyDescent="0.25">
      <c r="F1689" s="10"/>
    </row>
    <row r="1690" spans="1:6" x14ac:dyDescent="0.25">
      <c r="A1690" s="9" t="s">
        <v>211</v>
      </c>
      <c r="B1690" s="4">
        <v>45800</v>
      </c>
      <c r="C1690" s="5">
        <v>15</v>
      </c>
      <c r="D1690" s="9" t="s">
        <v>98</v>
      </c>
      <c r="E1690" s="10">
        <v>100</v>
      </c>
      <c r="F1690" s="10">
        <f t="shared" si="21"/>
        <v>1500</v>
      </c>
    </row>
    <row r="1691" spans="1:6" x14ac:dyDescent="0.25">
      <c r="F1691" s="8">
        <f>SUM(F1690)</f>
        <v>1500</v>
      </c>
    </row>
    <row r="1692" spans="1:6" x14ac:dyDescent="0.25">
      <c r="F1692" s="10"/>
    </row>
    <row r="1693" spans="1:6" x14ac:dyDescent="0.25">
      <c r="A1693" s="9" t="s">
        <v>442</v>
      </c>
      <c r="B1693" s="4">
        <v>45800</v>
      </c>
      <c r="C1693" s="5">
        <v>30</v>
      </c>
      <c r="D1693" s="9" t="s">
        <v>13</v>
      </c>
      <c r="E1693" s="10">
        <v>135</v>
      </c>
      <c r="F1693" s="10">
        <f t="shared" si="21"/>
        <v>4050</v>
      </c>
    </row>
    <row r="1694" spans="1:6" x14ac:dyDescent="0.25">
      <c r="F1694" s="8">
        <f>SUM(F1693)</f>
        <v>4050</v>
      </c>
    </row>
    <row r="1695" spans="1:6" x14ac:dyDescent="0.25">
      <c r="F1695" s="10"/>
    </row>
    <row r="1696" spans="1:6" x14ac:dyDescent="0.25">
      <c r="A1696" s="9" t="s">
        <v>366</v>
      </c>
      <c r="B1696" s="4">
        <v>45800</v>
      </c>
      <c r="C1696" s="5">
        <v>10</v>
      </c>
      <c r="D1696" s="9" t="s">
        <v>8</v>
      </c>
      <c r="E1696" s="10">
        <v>155</v>
      </c>
      <c r="F1696" s="10">
        <f t="shared" si="21"/>
        <v>1550</v>
      </c>
    </row>
    <row r="1697" spans="1:6" x14ac:dyDescent="0.25">
      <c r="F1697" s="8">
        <f>SUM(F1696)</f>
        <v>1550</v>
      </c>
    </row>
    <row r="1698" spans="1:6" x14ac:dyDescent="0.25">
      <c r="F1698" s="10"/>
    </row>
    <row r="1699" spans="1:6" x14ac:dyDescent="0.25">
      <c r="A1699" s="9" t="s">
        <v>157</v>
      </c>
      <c r="B1699" s="4">
        <v>45800</v>
      </c>
      <c r="C1699" s="5">
        <v>10</v>
      </c>
      <c r="D1699" s="9" t="s">
        <v>13</v>
      </c>
      <c r="E1699" s="10">
        <v>135</v>
      </c>
      <c r="F1699" s="10">
        <f t="shared" si="21"/>
        <v>1350</v>
      </c>
    </row>
    <row r="1700" spans="1:6" x14ac:dyDescent="0.25">
      <c r="F1700" s="8">
        <f>SUM(F1699)</f>
        <v>1350</v>
      </c>
    </row>
    <row r="1701" spans="1:6" x14ac:dyDescent="0.25">
      <c r="F1701" s="10"/>
    </row>
    <row r="1702" spans="1:6" x14ac:dyDescent="0.25">
      <c r="A1702" s="9" t="s">
        <v>253</v>
      </c>
      <c r="B1702" s="4">
        <v>45800</v>
      </c>
      <c r="C1702" s="5">
        <v>25</v>
      </c>
      <c r="D1702" s="9" t="s">
        <v>13</v>
      </c>
      <c r="E1702" s="10">
        <v>135</v>
      </c>
      <c r="F1702" s="10">
        <f t="shared" si="21"/>
        <v>3375</v>
      </c>
    </row>
    <row r="1703" spans="1:6" x14ac:dyDescent="0.25">
      <c r="F1703" s="8">
        <f>SUM(F1702)</f>
        <v>3375</v>
      </c>
    </row>
    <row r="1704" spans="1:6" x14ac:dyDescent="0.25">
      <c r="F1704" s="10"/>
    </row>
    <row r="1705" spans="1:6" x14ac:dyDescent="0.25">
      <c r="A1705" s="9" t="s">
        <v>20</v>
      </c>
      <c r="B1705" s="4">
        <v>45800</v>
      </c>
      <c r="C1705" s="5">
        <v>40</v>
      </c>
      <c r="D1705" s="9" t="s">
        <v>479</v>
      </c>
      <c r="E1705" s="10">
        <v>135</v>
      </c>
      <c r="F1705" s="10">
        <f t="shared" si="21"/>
        <v>5400</v>
      </c>
    </row>
    <row r="1706" spans="1:6" x14ac:dyDescent="0.25">
      <c r="F1706" s="8">
        <f>SUM(F1705)</f>
        <v>5400</v>
      </c>
    </row>
    <row r="1707" spans="1:6" x14ac:dyDescent="0.25">
      <c r="F1707" s="10"/>
    </row>
    <row r="1708" spans="1:6" x14ac:dyDescent="0.25">
      <c r="A1708" s="9" t="s">
        <v>427</v>
      </c>
      <c r="B1708" s="4">
        <v>45800</v>
      </c>
      <c r="C1708" s="5">
        <v>10</v>
      </c>
      <c r="D1708" s="9" t="s">
        <v>13</v>
      </c>
      <c r="E1708" s="10">
        <v>135</v>
      </c>
      <c r="F1708" s="10">
        <f t="shared" ref="F1708:F1768" si="22">+C1708*E1708</f>
        <v>1350</v>
      </c>
    </row>
    <row r="1709" spans="1:6" x14ac:dyDescent="0.25">
      <c r="F1709" s="8">
        <f>SUM(F1708)</f>
        <v>1350</v>
      </c>
    </row>
    <row r="1710" spans="1:6" x14ac:dyDescent="0.25">
      <c r="F1710" s="10"/>
    </row>
    <row r="1711" spans="1:6" x14ac:dyDescent="0.25">
      <c r="A1711" s="9" t="s">
        <v>21</v>
      </c>
      <c r="B1711" s="4">
        <v>45800</v>
      </c>
      <c r="C1711" s="5">
        <v>20</v>
      </c>
      <c r="D1711" s="9" t="s">
        <v>13</v>
      </c>
      <c r="E1711" s="10">
        <v>135</v>
      </c>
      <c r="F1711" s="10">
        <f t="shared" si="22"/>
        <v>2700</v>
      </c>
    </row>
    <row r="1712" spans="1:6" x14ac:dyDescent="0.25">
      <c r="F1712" s="8">
        <f>SUM(F1711)</f>
        <v>2700</v>
      </c>
    </row>
    <row r="1713" spans="1:6" x14ac:dyDescent="0.25">
      <c r="F1713" s="10"/>
    </row>
    <row r="1714" spans="1:6" x14ac:dyDescent="0.25">
      <c r="A1714" s="9" t="s">
        <v>627</v>
      </c>
      <c r="B1714" s="4">
        <v>45800</v>
      </c>
      <c r="C1714" s="5">
        <v>10</v>
      </c>
      <c r="D1714" s="9" t="s">
        <v>14</v>
      </c>
      <c r="E1714" s="10">
        <v>125</v>
      </c>
      <c r="F1714" s="10">
        <f t="shared" si="22"/>
        <v>1250</v>
      </c>
    </row>
    <row r="1715" spans="1:6" x14ac:dyDescent="0.25">
      <c r="C1715" s="5">
        <v>20</v>
      </c>
      <c r="D1715" s="9" t="s">
        <v>13</v>
      </c>
      <c r="E1715" s="10">
        <v>135</v>
      </c>
      <c r="F1715" s="10">
        <f t="shared" si="22"/>
        <v>2700</v>
      </c>
    </row>
    <row r="1716" spans="1:6" x14ac:dyDescent="0.25">
      <c r="F1716" s="8">
        <f>SUM(F1714:F1715)</f>
        <v>3950</v>
      </c>
    </row>
    <row r="1717" spans="1:6" x14ac:dyDescent="0.25">
      <c r="F1717" s="10"/>
    </row>
    <row r="1718" spans="1:6" x14ac:dyDescent="0.25">
      <c r="A1718" s="9" t="s">
        <v>40</v>
      </c>
      <c r="B1718" s="4">
        <v>45800</v>
      </c>
      <c r="C1718" s="5">
        <v>15</v>
      </c>
      <c r="D1718" s="9" t="s">
        <v>14</v>
      </c>
      <c r="E1718" s="10">
        <v>125</v>
      </c>
      <c r="F1718" s="10">
        <f t="shared" si="22"/>
        <v>1875</v>
      </c>
    </row>
    <row r="1719" spans="1:6" x14ac:dyDescent="0.25">
      <c r="C1719" s="5">
        <v>15</v>
      </c>
      <c r="D1719" s="9" t="s">
        <v>11</v>
      </c>
      <c r="E1719" s="10">
        <v>115</v>
      </c>
      <c r="F1719" s="10">
        <f t="shared" si="22"/>
        <v>1725</v>
      </c>
    </row>
    <row r="1720" spans="1:6" x14ac:dyDescent="0.25">
      <c r="F1720" s="8">
        <f>SUM(F1718:F1719)</f>
        <v>3600</v>
      </c>
    </row>
    <row r="1721" spans="1:6" x14ac:dyDescent="0.25">
      <c r="F1721" s="10"/>
    </row>
    <row r="1722" spans="1:6" x14ac:dyDescent="0.25">
      <c r="A1722" s="9" t="s">
        <v>80</v>
      </c>
      <c r="B1722" s="4">
        <v>45800</v>
      </c>
      <c r="C1722" s="5">
        <v>5</v>
      </c>
      <c r="D1722" s="9" t="s">
        <v>13</v>
      </c>
      <c r="E1722" s="10">
        <v>135</v>
      </c>
      <c r="F1722" s="10">
        <f t="shared" si="22"/>
        <v>675</v>
      </c>
    </row>
    <row r="1723" spans="1:6" x14ac:dyDescent="0.25">
      <c r="F1723" s="8">
        <f>SUM(F1722)</f>
        <v>675</v>
      </c>
    </row>
    <row r="1724" spans="1:6" x14ac:dyDescent="0.25">
      <c r="F1724" s="10"/>
    </row>
    <row r="1725" spans="1:6" x14ac:dyDescent="0.25">
      <c r="A1725" s="9" t="s">
        <v>41</v>
      </c>
      <c r="B1725" s="4">
        <v>45800</v>
      </c>
      <c r="C1725" s="5">
        <v>50</v>
      </c>
      <c r="D1725" s="9" t="s">
        <v>14</v>
      </c>
      <c r="E1725" s="10">
        <v>130</v>
      </c>
      <c r="F1725" s="10">
        <f t="shared" si="22"/>
        <v>6500</v>
      </c>
    </row>
    <row r="1726" spans="1:6" x14ac:dyDescent="0.25">
      <c r="F1726" s="8">
        <f>SUM(F1725)</f>
        <v>6500</v>
      </c>
    </row>
    <row r="1727" spans="1:6" x14ac:dyDescent="0.25">
      <c r="F1727" s="10"/>
    </row>
    <row r="1728" spans="1:6" x14ac:dyDescent="0.25">
      <c r="A1728" s="9" t="s">
        <v>106</v>
      </c>
      <c r="B1728" s="4">
        <v>45800</v>
      </c>
      <c r="C1728" s="5">
        <v>30</v>
      </c>
      <c r="D1728" s="9" t="s">
        <v>628</v>
      </c>
      <c r="E1728" s="10">
        <v>125</v>
      </c>
      <c r="F1728" s="10">
        <f t="shared" si="22"/>
        <v>3750</v>
      </c>
    </row>
    <row r="1729" spans="1:6" x14ac:dyDescent="0.25">
      <c r="F1729" s="8">
        <f>SUM(F1728)</f>
        <v>3750</v>
      </c>
    </row>
    <row r="1730" spans="1:6" x14ac:dyDescent="0.25">
      <c r="F1730" s="10"/>
    </row>
    <row r="1731" spans="1:6" x14ac:dyDescent="0.25">
      <c r="A1731" s="9" t="s">
        <v>43</v>
      </c>
      <c r="B1731" s="4">
        <v>45800</v>
      </c>
      <c r="C1731" s="5">
        <v>33</v>
      </c>
      <c r="D1731" s="9" t="s">
        <v>49</v>
      </c>
      <c r="E1731" s="10">
        <v>135</v>
      </c>
      <c r="F1731" s="10">
        <f t="shared" si="22"/>
        <v>4455</v>
      </c>
    </row>
    <row r="1732" spans="1:6" x14ac:dyDescent="0.25">
      <c r="F1732" s="8">
        <f>SUM(F1731)</f>
        <v>4455</v>
      </c>
    </row>
    <row r="1733" spans="1:6" x14ac:dyDescent="0.25">
      <c r="F1733" s="10"/>
    </row>
    <row r="1734" spans="1:6" x14ac:dyDescent="0.25">
      <c r="A1734" s="9" t="s">
        <v>44</v>
      </c>
      <c r="B1734" s="4">
        <v>45800</v>
      </c>
      <c r="C1734" s="5">
        <v>60</v>
      </c>
      <c r="D1734" s="9" t="s">
        <v>14</v>
      </c>
      <c r="E1734" s="10">
        <v>125</v>
      </c>
      <c r="F1734" s="10">
        <f t="shared" si="22"/>
        <v>7500</v>
      </c>
    </row>
    <row r="1735" spans="1:6" x14ac:dyDescent="0.25">
      <c r="F1735" s="8">
        <f>SUM(F1734)</f>
        <v>7500</v>
      </c>
    </row>
    <row r="1736" spans="1:6" x14ac:dyDescent="0.25">
      <c r="F1736" s="10"/>
    </row>
    <row r="1737" spans="1:6" x14ac:dyDescent="0.25">
      <c r="A1737" s="9" t="s">
        <v>18</v>
      </c>
      <c r="B1737" s="4">
        <v>45800</v>
      </c>
      <c r="C1737" s="5">
        <v>30</v>
      </c>
      <c r="D1737" s="9" t="s">
        <v>14</v>
      </c>
      <c r="E1737" s="10">
        <v>125</v>
      </c>
      <c r="F1737" s="10">
        <f t="shared" si="22"/>
        <v>3750</v>
      </c>
    </row>
    <row r="1738" spans="1:6" x14ac:dyDescent="0.25">
      <c r="F1738" s="8">
        <f>SUM(F1737)</f>
        <v>3750</v>
      </c>
    </row>
    <row r="1739" spans="1:6" x14ac:dyDescent="0.25">
      <c r="F1739" s="10"/>
    </row>
    <row r="1740" spans="1:6" x14ac:dyDescent="0.25">
      <c r="A1740" s="9" t="s">
        <v>46</v>
      </c>
      <c r="B1740" s="4">
        <v>45800</v>
      </c>
      <c r="C1740" s="5">
        <v>20</v>
      </c>
      <c r="D1740" s="9" t="s">
        <v>14</v>
      </c>
      <c r="E1740" s="10">
        <v>125</v>
      </c>
      <c r="F1740" s="10">
        <f t="shared" si="22"/>
        <v>2500</v>
      </c>
    </row>
    <row r="1741" spans="1:6" x14ac:dyDescent="0.25">
      <c r="F1741" s="8">
        <f>SUM(F1740)</f>
        <v>2500</v>
      </c>
    </row>
    <row r="1742" spans="1:6" x14ac:dyDescent="0.25">
      <c r="F1742" s="10"/>
    </row>
    <row r="1743" spans="1:6" x14ac:dyDescent="0.25">
      <c r="A1743" s="9" t="s">
        <v>47</v>
      </c>
      <c r="B1743" s="4">
        <v>45800</v>
      </c>
      <c r="C1743" s="5">
        <v>29</v>
      </c>
      <c r="D1743" s="9" t="s">
        <v>14</v>
      </c>
      <c r="E1743" s="10">
        <v>125</v>
      </c>
      <c r="F1743" s="10">
        <f t="shared" si="22"/>
        <v>3625</v>
      </c>
    </row>
    <row r="1744" spans="1:6" x14ac:dyDescent="0.25">
      <c r="F1744" s="8">
        <f>SUM(F1743)</f>
        <v>3625</v>
      </c>
    </row>
    <row r="1745" spans="1:6" x14ac:dyDescent="0.25">
      <c r="F1745" s="10"/>
    </row>
    <row r="1746" spans="1:6" x14ac:dyDescent="0.25">
      <c r="A1746" s="9" t="s">
        <v>629</v>
      </c>
      <c r="B1746" s="4">
        <v>45800</v>
      </c>
      <c r="C1746" s="5">
        <v>60</v>
      </c>
      <c r="D1746" s="9" t="s">
        <v>14</v>
      </c>
      <c r="E1746" s="10">
        <v>120</v>
      </c>
      <c r="F1746" s="10">
        <f t="shared" si="22"/>
        <v>7200</v>
      </c>
    </row>
    <row r="1747" spans="1:6" x14ac:dyDescent="0.25">
      <c r="F1747" s="8">
        <f>SUM(F1746)</f>
        <v>7200</v>
      </c>
    </row>
    <row r="1748" spans="1:6" x14ac:dyDescent="0.25">
      <c r="F1748" s="10"/>
    </row>
    <row r="1749" spans="1:6" x14ac:dyDescent="0.25">
      <c r="A1749" s="9" t="s">
        <v>630</v>
      </c>
      <c r="B1749" s="4">
        <v>45800</v>
      </c>
      <c r="C1749" s="5">
        <v>26</v>
      </c>
      <c r="D1749" s="9" t="s">
        <v>631</v>
      </c>
      <c r="F1749" s="10">
        <f t="shared" si="22"/>
        <v>0</v>
      </c>
    </row>
    <row r="1750" spans="1:6" x14ac:dyDescent="0.25">
      <c r="C1750" s="5">
        <v>400</v>
      </c>
      <c r="D1750" s="9" t="s">
        <v>13</v>
      </c>
      <c r="F1750" s="10">
        <f t="shared" si="22"/>
        <v>0</v>
      </c>
    </row>
    <row r="1751" spans="1:6" x14ac:dyDescent="0.25">
      <c r="C1751" s="5">
        <v>40</v>
      </c>
      <c r="D1751" s="9" t="s">
        <v>50</v>
      </c>
      <c r="F1751" s="10">
        <f t="shared" si="22"/>
        <v>0</v>
      </c>
    </row>
    <row r="1752" spans="1:6" x14ac:dyDescent="0.25">
      <c r="C1752" s="5">
        <v>161</v>
      </c>
      <c r="D1752" s="9" t="s">
        <v>11</v>
      </c>
      <c r="F1752" s="10">
        <f t="shared" si="22"/>
        <v>0</v>
      </c>
    </row>
    <row r="1753" spans="1:6" x14ac:dyDescent="0.25">
      <c r="F1753" s="8">
        <f>SUM(F1749:F1752)</f>
        <v>0</v>
      </c>
    </row>
    <row r="1754" spans="1:6" x14ac:dyDescent="0.25">
      <c r="F1754" s="10"/>
    </row>
    <row r="1755" spans="1:6" x14ac:dyDescent="0.25">
      <c r="A1755" s="9" t="s">
        <v>245</v>
      </c>
      <c r="B1755" s="4">
        <v>45800</v>
      </c>
      <c r="C1755" s="5">
        <v>40</v>
      </c>
      <c r="D1755" s="9" t="s">
        <v>13</v>
      </c>
      <c r="E1755" s="10">
        <v>140</v>
      </c>
      <c r="F1755" s="10">
        <f t="shared" si="22"/>
        <v>5600</v>
      </c>
    </row>
    <row r="1756" spans="1:6" x14ac:dyDescent="0.25">
      <c r="C1756" s="5">
        <v>1.1299999999999999</v>
      </c>
      <c r="D1756" s="9" t="s">
        <v>318</v>
      </c>
      <c r="F1756" s="10">
        <f t="shared" si="22"/>
        <v>0</v>
      </c>
    </row>
    <row r="1757" spans="1:6" x14ac:dyDescent="0.25">
      <c r="F1757" s="8">
        <f>SUM(F1755:F1756)</f>
        <v>5600</v>
      </c>
    </row>
    <row r="1758" spans="1:6" x14ac:dyDescent="0.25">
      <c r="F1758" s="10"/>
    </row>
    <row r="1759" spans="1:6" x14ac:dyDescent="0.25">
      <c r="A1759" s="9" t="s">
        <v>493</v>
      </c>
      <c r="B1759" s="4">
        <v>45800</v>
      </c>
      <c r="C1759" s="5">
        <v>5</v>
      </c>
      <c r="D1759" s="9" t="s">
        <v>12</v>
      </c>
      <c r="E1759" s="10">
        <v>130</v>
      </c>
      <c r="F1759" s="10">
        <f t="shared" si="22"/>
        <v>650</v>
      </c>
    </row>
    <row r="1760" spans="1:6" x14ac:dyDescent="0.25">
      <c r="F1760" s="8">
        <f>SUM(F1759)</f>
        <v>650</v>
      </c>
    </row>
    <row r="1761" spans="1:6" x14ac:dyDescent="0.25">
      <c r="F1761" s="10"/>
    </row>
    <row r="1762" spans="1:6" x14ac:dyDescent="0.25">
      <c r="A1762" s="9" t="s">
        <v>164</v>
      </c>
      <c r="B1762" s="4">
        <v>45800</v>
      </c>
      <c r="C1762" s="5">
        <v>5</v>
      </c>
      <c r="D1762" s="9" t="s">
        <v>8</v>
      </c>
      <c r="E1762" s="10">
        <v>170</v>
      </c>
      <c r="F1762" s="10">
        <f t="shared" si="22"/>
        <v>850</v>
      </c>
    </row>
    <row r="1763" spans="1:6" x14ac:dyDescent="0.25">
      <c r="F1763" s="8">
        <f>SUM(F1762)</f>
        <v>850</v>
      </c>
    </row>
    <row r="1764" spans="1:6" x14ac:dyDescent="0.25">
      <c r="F1764" s="10"/>
    </row>
    <row r="1765" spans="1:6" x14ac:dyDescent="0.25">
      <c r="A1765" s="9" t="s">
        <v>112</v>
      </c>
      <c r="B1765" s="4">
        <v>45800</v>
      </c>
      <c r="C1765" s="5">
        <v>100</v>
      </c>
      <c r="D1765" s="9" t="s">
        <v>22</v>
      </c>
      <c r="E1765" s="10">
        <v>90</v>
      </c>
      <c r="F1765" s="10">
        <f t="shared" si="22"/>
        <v>9000</v>
      </c>
    </row>
    <row r="1766" spans="1:6" x14ac:dyDescent="0.25">
      <c r="F1766" s="8">
        <f>SUM(F1765)</f>
        <v>9000</v>
      </c>
    </row>
    <row r="1767" spans="1:6" x14ac:dyDescent="0.25">
      <c r="F1767" s="10"/>
    </row>
    <row r="1768" spans="1:6" x14ac:dyDescent="0.25">
      <c r="A1768" s="9" t="s">
        <v>101</v>
      </c>
      <c r="B1768" s="4">
        <v>45800</v>
      </c>
      <c r="C1768" s="5">
        <v>2</v>
      </c>
      <c r="D1768" s="9" t="s">
        <v>12</v>
      </c>
      <c r="E1768" s="10">
        <v>150</v>
      </c>
      <c r="F1768" s="10">
        <f t="shared" si="22"/>
        <v>300</v>
      </c>
    </row>
    <row r="1769" spans="1:6" x14ac:dyDescent="0.25">
      <c r="F1769" s="8">
        <f>SUM(F1768)</f>
        <v>300</v>
      </c>
    </row>
    <row r="1770" spans="1:6" x14ac:dyDescent="0.25">
      <c r="F1770" s="10"/>
    </row>
    <row r="1771" spans="1:6" x14ac:dyDescent="0.25">
      <c r="A1771" s="9" t="s">
        <v>632</v>
      </c>
      <c r="B1771" s="4">
        <v>45801</v>
      </c>
      <c r="C1771" s="5">
        <v>50</v>
      </c>
      <c r="D1771" s="9" t="s">
        <v>13</v>
      </c>
      <c r="E1771" s="10">
        <v>130</v>
      </c>
      <c r="F1771" s="10">
        <f t="shared" ref="F1771:F1833" si="23">+C1771*E1771</f>
        <v>6500</v>
      </c>
    </row>
    <row r="1772" spans="1:6" x14ac:dyDescent="0.25">
      <c r="F1772" s="8">
        <f>SUM(F1771)</f>
        <v>6500</v>
      </c>
    </row>
    <row r="1773" spans="1:6" x14ac:dyDescent="0.25">
      <c r="F1773" s="10"/>
    </row>
    <row r="1774" spans="1:6" x14ac:dyDescent="0.25">
      <c r="A1774" s="9" t="s">
        <v>60</v>
      </c>
      <c r="B1774" s="4">
        <v>45801</v>
      </c>
      <c r="C1774" s="5">
        <v>20</v>
      </c>
      <c r="D1774" s="9" t="s">
        <v>13</v>
      </c>
      <c r="E1774" s="10">
        <v>140</v>
      </c>
      <c r="F1774" s="10">
        <f t="shared" si="23"/>
        <v>2800</v>
      </c>
    </row>
    <row r="1775" spans="1:6" x14ac:dyDescent="0.25">
      <c r="F1775" s="8">
        <f>SUM(F1774)</f>
        <v>2800</v>
      </c>
    </row>
    <row r="1776" spans="1:6" x14ac:dyDescent="0.25">
      <c r="F1776" s="10"/>
    </row>
    <row r="1777" spans="1:6" x14ac:dyDescent="0.25">
      <c r="A1777" s="9" t="s">
        <v>385</v>
      </c>
      <c r="B1777" s="4">
        <v>45801</v>
      </c>
      <c r="C1777" s="5">
        <v>6</v>
      </c>
      <c r="D1777" s="9" t="s">
        <v>13</v>
      </c>
      <c r="E1777" s="10">
        <v>140</v>
      </c>
      <c r="F1777" s="10">
        <f t="shared" si="23"/>
        <v>840</v>
      </c>
    </row>
    <row r="1778" spans="1:6" x14ac:dyDescent="0.25">
      <c r="F1778" s="8">
        <f>SUM(F1777)</f>
        <v>840</v>
      </c>
    </row>
    <row r="1779" spans="1:6" x14ac:dyDescent="0.25">
      <c r="F1779" s="10"/>
    </row>
    <row r="1780" spans="1:6" x14ac:dyDescent="0.25">
      <c r="A1780" s="9" t="s">
        <v>245</v>
      </c>
      <c r="B1780" s="4">
        <v>45801</v>
      </c>
      <c r="C1780" s="5">
        <v>140</v>
      </c>
      <c r="D1780" s="9" t="s">
        <v>13</v>
      </c>
      <c r="E1780" s="10">
        <v>140</v>
      </c>
      <c r="F1780" s="10">
        <f t="shared" si="23"/>
        <v>19600</v>
      </c>
    </row>
    <row r="1781" spans="1:6" x14ac:dyDescent="0.25">
      <c r="C1781" s="5">
        <v>40</v>
      </c>
      <c r="D1781" s="9" t="s">
        <v>14</v>
      </c>
      <c r="E1781" s="10">
        <v>130</v>
      </c>
      <c r="F1781" s="10">
        <f t="shared" si="23"/>
        <v>5200</v>
      </c>
    </row>
    <row r="1782" spans="1:6" x14ac:dyDescent="0.25">
      <c r="C1782" s="5">
        <v>5</v>
      </c>
      <c r="D1782" s="9" t="s">
        <v>318</v>
      </c>
      <c r="E1782" s="10">
        <v>0</v>
      </c>
      <c r="F1782" s="10">
        <f t="shared" si="23"/>
        <v>0</v>
      </c>
    </row>
    <row r="1783" spans="1:6" x14ac:dyDescent="0.25">
      <c r="F1783" s="8">
        <f>SUM(F1780:F1782)</f>
        <v>24800</v>
      </c>
    </row>
    <row r="1784" spans="1:6" x14ac:dyDescent="0.25">
      <c r="F1784" s="10"/>
    </row>
    <row r="1785" spans="1:6" x14ac:dyDescent="0.25">
      <c r="A1785" s="9" t="s">
        <v>181</v>
      </c>
      <c r="B1785" s="4">
        <v>45801</v>
      </c>
      <c r="C1785" s="5">
        <v>5</v>
      </c>
      <c r="D1785" s="9" t="s">
        <v>12</v>
      </c>
      <c r="E1785" s="10">
        <v>140</v>
      </c>
      <c r="F1785" s="10">
        <f t="shared" si="23"/>
        <v>700</v>
      </c>
    </row>
    <row r="1786" spans="1:6" x14ac:dyDescent="0.25">
      <c r="F1786" s="8">
        <f>SUM(F1785)</f>
        <v>700</v>
      </c>
    </row>
    <row r="1787" spans="1:6" x14ac:dyDescent="0.25">
      <c r="F1787" s="10"/>
    </row>
    <row r="1788" spans="1:6" x14ac:dyDescent="0.25">
      <c r="A1788" s="9" t="s">
        <v>72</v>
      </c>
      <c r="B1788" s="4">
        <v>45801</v>
      </c>
      <c r="C1788" s="5">
        <v>330</v>
      </c>
      <c r="D1788" s="9" t="s">
        <v>13</v>
      </c>
      <c r="E1788" s="10">
        <v>130</v>
      </c>
      <c r="F1788" s="10">
        <f t="shared" si="23"/>
        <v>42900</v>
      </c>
    </row>
    <row r="1789" spans="1:6" x14ac:dyDescent="0.25">
      <c r="C1789" s="5">
        <v>150</v>
      </c>
      <c r="D1789" s="9" t="s">
        <v>12</v>
      </c>
      <c r="E1789" s="10">
        <v>115</v>
      </c>
      <c r="F1789" s="10">
        <f t="shared" si="23"/>
        <v>17250</v>
      </c>
    </row>
    <row r="1790" spans="1:6" x14ac:dyDescent="0.25">
      <c r="C1790" s="5">
        <v>30</v>
      </c>
      <c r="D1790" s="9" t="s">
        <v>14</v>
      </c>
      <c r="E1790" s="10">
        <v>125</v>
      </c>
      <c r="F1790" s="10">
        <f t="shared" si="23"/>
        <v>3750</v>
      </c>
    </row>
    <row r="1791" spans="1:6" x14ac:dyDescent="0.25">
      <c r="C1791" s="5">
        <v>90</v>
      </c>
      <c r="D1791" s="9" t="s">
        <v>11</v>
      </c>
      <c r="E1791" s="10">
        <v>115</v>
      </c>
      <c r="F1791" s="10">
        <f t="shared" si="23"/>
        <v>10350</v>
      </c>
    </row>
    <row r="1792" spans="1:6" x14ac:dyDescent="0.25">
      <c r="F1792" s="8">
        <f>SUM(F1788:F1791)</f>
        <v>74250</v>
      </c>
    </row>
    <row r="1793" spans="1:6" x14ac:dyDescent="0.25">
      <c r="F1793" s="10"/>
    </row>
    <row r="1794" spans="1:6" x14ac:dyDescent="0.25">
      <c r="A1794" s="9" t="s">
        <v>65</v>
      </c>
      <c r="B1794" s="4">
        <v>45801</v>
      </c>
      <c r="C1794" s="5">
        <v>1110</v>
      </c>
      <c r="D1794" s="9" t="s">
        <v>12</v>
      </c>
      <c r="E1794" s="10">
        <v>115</v>
      </c>
      <c r="F1794" s="10">
        <f t="shared" si="23"/>
        <v>127650</v>
      </c>
    </row>
    <row r="1795" spans="1:6" x14ac:dyDescent="0.25">
      <c r="C1795" s="5">
        <v>410</v>
      </c>
      <c r="D1795" s="9" t="s">
        <v>11</v>
      </c>
      <c r="E1795" s="10">
        <v>110</v>
      </c>
      <c r="F1795" s="10">
        <f t="shared" si="23"/>
        <v>45100</v>
      </c>
    </row>
    <row r="1796" spans="1:6" x14ac:dyDescent="0.25">
      <c r="C1796" s="5">
        <v>400</v>
      </c>
      <c r="D1796" s="9" t="s">
        <v>22</v>
      </c>
      <c r="E1796" s="10">
        <v>95</v>
      </c>
      <c r="F1796" s="10">
        <f t="shared" si="23"/>
        <v>38000</v>
      </c>
    </row>
    <row r="1797" spans="1:6" x14ac:dyDescent="0.25">
      <c r="C1797" s="5">
        <v>700</v>
      </c>
      <c r="D1797" s="9" t="s">
        <v>626</v>
      </c>
      <c r="E1797" s="10">
        <v>125</v>
      </c>
      <c r="F1797" s="10">
        <f t="shared" si="23"/>
        <v>87500</v>
      </c>
    </row>
    <row r="1798" spans="1:6" x14ac:dyDescent="0.25">
      <c r="F1798" s="8">
        <f>SUM(F1794:F1797)</f>
        <v>298250</v>
      </c>
    </row>
    <row r="1799" spans="1:6" x14ac:dyDescent="0.25">
      <c r="F1799" s="10"/>
    </row>
    <row r="1800" spans="1:6" x14ac:dyDescent="0.25">
      <c r="A1800" s="9" t="s">
        <v>535</v>
      </c>
      <c r="B1800" s="4">
        <v>45801</v>
      </c>
      <c r="C1800" s="5">
        <v>34</v>
      </c>
      <c r="D1800" s="9" t="s">
        <v>8</v>
      </c>
      <c r="E1800" s="10">
        <v>160</v>
      </c>
      <c r="F1800" s="10">
        <f t="shared" si="23"/>
        <v>5440</v>
      </c>
    </row>
    <row r="1801" spans="1:6" x14ac:dyDescent="0.25">
      <c r="C1801" s="5">
        <v>40</v>
      </c>
      <c r="D1801" s="9" t="s">
        <v>13</v>
      </c>
      <c r="E1801" s="10">
        <v>140</v>
      </c>
      <c r="F1801" s="10">
        <f t="shared" si="23"/>
        <v>5600</v>
      </c>
    </row>
    <row r="1802" spans="1:6" x14ac:dyDescent="0.25">
      <c r="C1802" s="5">
        <v>15</v>
      </c>
      <c r="D1802" s="9" t="s">
        <v>13</v>
      </c>
      <c r="E1802" s="10">
        <v>135</v>
      </c>
      <c r="F1802" s="10">
        <f t="shared" si="23"/>
        <v>2025</v>
      </c>
    </row>
    <row r="1803" spans="1:6" x14ac:dyDescent="0.25">
      <c r="C1803" s="5">
        <v>4</v>
      </c>
      <c r="D1803" s="9" t="s">
        <v>12</v>
      </c>
      <c r="E1803" s="10">
        <v>130</v>
      </c>
      <c r="F1803" s="10">
        <f t="shared" si="23"/>
        <v>520</v>
      </c>
    </row>
    <row r="1804" spans="1:6" x14ac:dyDescent="0.25">
      <c r="F1804" s="8">
        <f>SUM(F1800:F1803)</f>
        <v>13585</v>
      </c>
    </row>
    <row r="1805" spans="1:6" x14ac:dyDescent="0.25">
      <c r="F1805" s="10"/>
    </row>
    <row r="1806" spans="1:6" x14ac:dyDescent="0.25">
      <c r="A1806" s="9" t="s">
        <v>633</v>
      </c>
      <c r="B1806" s="4">
        <v>45801</v>
      </c>
      <c r="C1806" s="5">
        <v>400</v>
      </c>
      <c r="D1806" s="9" t="s">
        <v>13</v>
      </c>
      <c r="F1806" s="10">
        <f t="shared" si="23"/>
        <v>0</v>
      </c>
    </row>
    <row r="1807" spans="1:6" x14ac:dyDescent="0.25">
      <c r="C1807" s="5">
        <v>130</v>
      </c>
      <c r="D1807" s="9" t="s">
        <v>22</v>
      </c>
      <c r="F1807" s="10">
        <f t="shared" si="23"/>
        <v>0</v>
      </c>
    </row>
    <row r="1808" spans="1:6" x14ac:dyDescent="0.25">
      <c r="C1808" s="5">
        <v>28</v>
      </c>
      <c r="D1808" s="9" t="s">
        <v>567</v>
      </c>
      <c r="F1808" s="10">
        <f t="shared" si="23"/>
        <v>0</v>
      </c>
    </row>
    <row r="1809" spans="1:6" x14ac:dyDescent="0.25">
      <c r="F1809" s="8">
        <f>SUM(F1806:F1808)</f>
        <v>0</v>
      </c>
    </row>
    <row r="1810" spans="1:6" x14ac:dyDescent="0.25">
      <c r="F1810" s="10"/>
    </row>
    <row r="1811" spans="1:6" x14ac:dyDescent="0.25">
      <c r="A1811" s="9" t="s">
        <v>101</v>
      </c>
      <c r="B1811" s="4">
        <v>45801</v>
      </c>
      <c r="C1811" s="5">
        <v>2</v>
      </c>
      <c r="D1811" s="9" t="s">
        <v>12</v>
      </c>
      <c r="E1811" s="10">
        <v>140</v>
      </c>
      <c r="F1811" s="10">
        <f t="shared" si="23"/>
        <v>280</v>
      </c>
    </row>
    <row r="1812" spans="1:6" x14ac:dyDescent="0.25">
      <c r="C1812" s="5">
        <v>1</v>
      </c>
      <c r="D1812" s="9" t="s">
        <v>208</v>
      </c>
      <c r="E1812" s="10">
        <v>0</v>
      </c>
      <c r="F1812" s="10">
        <f t="shared" si="23"/>
        <v>0</v>
      </c>
    </row>
    <row r="1813" spans="1:6" x14ac:dyDescent="0.25">
      <c r="F1813" s="8">
        <f>SUM(F1811:F1812)</f>
        <v>280</v>
      </c>
    </row>
    <row r="1814" spans="1:6" x14ac:dyDescent="0.25">
      <c r="F1814" s="10"/>
    </row>
    <row r="1815" spans="1:6" x14ac:dyDescent="0.25">
      <c r="A1815" s="9" t="s">
        <v>634</v>
      </c>
      <c r="B1815" s="4">
        <v>45803</v>
      </c>
      <c r="C1815" s="5">
        <v>8</v>
      </c>
      <c r="D1815" s="9" t="s">
        <v>14</v>
      </c>
      <c r="E1815" s="10">
        <v>130</v>
      </c>
      <c r="F1815" s="10">
        <f t="shared" si="23"/>
        <v>1040</v>
      </c>
    </row>
    <row r="1816" spans="1:6" x14ac:dyDescent="0.25">
      <c r="C1816" s="5">
        <v>4</v>
      </c>
      <c r="D1816" s="9" t="s">
        <v>13</v>
      </c>
      <c r="E1816" s="10">
        <v>140</v>
      </c>
      <c r="F1816" s="10">
        <f t="shared" si="23"/>
        <v>560</v>
      </c>
    </row>
    <row r="1817" spans="1:6" x14ac:dyDescent="0.25">
      <c r="F1817" s="8">
        <f>SUM(F1815:F1816)</f>
        <v>1600</v>
      </c>
    </row>
    <row r="1818" spans="1:6" x14ac:dyDescent="0.25">
      <c r="F1818" s="10"/>
    </row>
    <row r="1819" spans="1:6" x14ac:dyDescent="0.25">
      <c r="A1819" s="9" t="s">
        <v>89</v>
      </c>
      <c r="B1819" s="4">
        <v>45803</v>
      </c>
      <c r="C1819" s="5">
        <v>40</v>
      </c>
      <c r="D1819" s="9" t="s">
        <v>12</v>
      </c>
      <c r="E1819" s="10">
        <v>100</v>
      </c>
      <c r="F1819" s="10">
        <f t="shared" si="23"/>
        <v>4000</v>
      </c>
    </row>
    <row r="1820" spans="1:6" x14ac:dyDescent="0.25">
      <c r="C1820" s="5">
        <v>20</v>
      </c>
      <c r="D1820" s="9" t="s">
        <v>635</v>
      </c>
      <c r="E1820" s="10">
        <v>110</v>
      </c>
      <c r="F1820" s="10">
        <f t="shared" si="23"/>
        <v>2200</v>
      </c>
    </row>
    <row r="1821" spans="1:6" x14ac:dyDescent="0.25">
      <c r="F1821" s="8">
        <f>SUM(F1819:F1820)</f>
        <v>6200</v>
      </c>
    </row>
    <row r="1822" spans="1:6" x14ac:dyDescent="0.25">
      <c r="F1822" s="10"/>
    </row>
    <row r="1823" spans="1:6" x14ac:dyDescent="0.25">
      <c r="A1823" s="9" t="s">
        <v>67</v>
      </c>
      <c r="B1823" s="4">
        <v>45803</v>
      </c>
      <c r="C1823" s="5">
        <v>10</v>
      </c>
      <c r="D1823" s="9" t="s">
        <v>13</v>
      </c>
      <c r="E1823" s="10">
        <v>140</v>
      </c>
      <c r="F1823" s="10">
        <f t="shared" si="23"/>
        <v>1400</v>
      </c>
    </row>
    <row r="1824" spans="1:6" x14ac:dyDescent="0.25">
      <c r="F1824" s="8">
        <f>SUM(F1823)</f>
        <v>1400</v>
      </c>
    </row>
    <row r="1825" spans="1:6" x14ac:dyDescent="0.25">
      <c r="F1825" s="10"/>
    </row>
    <row r="1826" spans="1:6" x14ac:dyDescent="0.25">
      <c r="A1826" s="9" t="s">
        <v>610</v>
      </c>
      <c r="B1826" s="4">
        <v>45803</v>
      </c>
      <c r="C1826" s="5">
        <v>10</v>
      </c>
      <c r="D1826" s="9" t="s">
        <v>14</v>
      </c>
      <c r="E1826" s="10">
        <v>145</v>
      </c>
      <c r="F1826" s="10">
        <f t="shared" si="23"/>
        <v>1450</v>
      </c>
    </row>
    <row r="1827" spans="1:6" x14ac:dyDescent="0.25">
      <c r="C1827" s="5">
        <v>6</v>
      </c>
      <c r="D1827" s="9" t="s">
        <v>13</v>
      </c>
      <c r="E1827" s="10">
        <v>135</v>
      </c>
      <c r="F1827" s="10">
        <f t="shared" si="23"/>
        <v>810</v>
      </c>
    </row>
    <row r="1828" spans="1:6" x14ac:dyDescent="0.25">
      <c r="F1828" s="8">
        <f>SUM(F1826:F1827)</f>
        <v>2260</v>
      </c>
    </row>
    <row r="1829" spans="1:6" x14ac:dyDescent="0.25">
      <c r="F1829" s="10"/>
    </row>
    <row r="1830" spans="1:6" x14ac:dyDescent="0.25">
      <c r="A1830" s="9" t="s">
        <v>205</v>
      </c>
      <c r="B1830" s="4">
        <v>45803</v>
      </c>
      <c r="C1830" s="5">
        <v>10</v>
      </c>
      <c r="D1830" s="9" t="s">
        <v>13</v>
      </c>
      <c r="E1830" s="10">
        <v>140</v>
      </c>
      <c r="F1830" s="10">
        <f t="shared" si="23"/>
        <v>1400</v>
      </c>
    </row>
    <row r="1831" spans="1:6" x14ac:dyDescent="0.25">
      <c r="F1831" s="8">
        <f>SUM(F1830)</f>
        <v>1400</v>
      </c>
    </row>
    <row r="1832" spans="1:6" x14ac:dyDescent="0.25">
      <c r="F1832" s="10"/>
    </row>
    <row r="1833" spans="1:6" x14ac:dyDescent="0.25">
      <c r="A1833" s="9" t="s">
        <v>112</v>
      </c>
      <c r="B1833" s="4">
        <v>45803</v>
      </c>
      <c r="C1833" s="5">
        <v>150</v>
      </c>
      <c r="D1833" s="9" t="s">
        <v>636</v>
      </c>
      <c r="E1833" s="10">
        <v>130</v>
      </c>
      <c r="F1833" s="10">
        <f t="shared" si="23"/>
        <v>19500</v>
      </c>
    </row>
    <row r="1834" spans="1:6" x14ac:dyDescent="0.25">
      <c r="C1834" s="5">
        <v>70</v>
      </c>
      <c r="D1834" s="9" t="s">
        <v>14</v>
      </c>
      <c r="E1834" s="10">
        <v>110</v>
      </c>
      <c r="F1834" s="10">
        <f t="shared" ref="F1834:F1896" si="24">+C1834*E1834</f>
        <v>7700</v>
      </c>
    </row>
    <row r="1835" spans="1:6" x14ac:dyDescent="0.25">
      <c r="C1835" s="5">
        <v>31</v>
      </c>
      <c r="D1835" s="9" t="s">
        <v>50</v>
      </c>
      <c r="E1835" s="10">
        <v>80</v>
      </c>
      <c r="F1835" s="10">
        <f t="shared" si="24"/>
        <v>2480</v>
      </c>
    </row>
    <row r="1836" spans="1:6" x14ac:dyDescent="0.25">
      <c r="C1836" s="5">
        <v>9</v>
      </c>
      <c r="D1836" s="9" t="s">
        <v>50</v>
      </c>
      <c r="E1836" s="10">
        <v>85</v>
      </c>
      <c r="F1836" s="10">
        <f t="shared" si="24"/>
        <v>765</v>
      </c>
    </row>
    <row r="1837" spans="1:6" x14ac:dyDescent="0.25">
      <c r="F1837" s="8">
        <f>SUM(F1833:F1836)</f>
        <v>30445</v>
      </c>
    </row>
    <row r="1838" spans="1:6" x14ac:dyDescent="0.25">
      <c r="F1838" s="10"/>
    </row>
    <row r="1839" spans="1:6" x14ac:dyDescent="0.25">
      <c r="A1839" s="9" t="s">
        <v>60</v>
      </c>
      <c r="B1839" s="4">
        <v>45803</v>
      </c>
      <c r="C1839" s="5">
        <v>30</v>
      </c>
      <c r="D1839" s="9" t="s">
        <v>13</v>
      </c>
      <c r="E1839" s="10">
        <v>140</v>
      </c>
      <c r="F1839" s="10">
        <f t="shared" si="24"/>
        <v>4200</v>
      </c>
    </row>
    <row r="1840" spans="1:6" x14ac:dyDescent="0.25">
      <c r="C1840" s="5">
        <v>1</v>
      </c>
      <c r="D1840" s="9" t="s">
        <v>318</v>
      </c>
      <c r="E1840" s="10">
        <v>0</v>
      </c>
      <c r="F1840" s="10">
        <f t="shared" si="24"/>
        <v>0</v>
      </c>
    </row>
    <row r="1841" spans="1:6" x14ac:dyDescent="0.25">
      <c r="F1841" s="8">
        <f>SUM(F1839:F1840)</f>
        <v>4200</v>
      </c>
    </row>
    <row r="1842" spans="1:6" x14ac:dyDescent="0.25">
      <c r="F1842" s="10"/>
    </row>
    <row r="1843" spans="1:6" x14ac:dyDescent="0.25">
      <c r="A1843" s="9" t="s">
        <v>79</v>
      </c>
      <c r="B1843" s="4">
        <v>45803</v>
      </c>
      <c r="C1843" s="5">
        <v>25</v>
      </c>
      <c r="D1843" s="9" t="s">
        <v>13</v>
      </c>
      <c r="E1843" s="10">
        <v>140</v>
      </c>
      <c r="F1843" s="10">
        <f t="shared" si="24"/>
        <v>3500</v>
      </c>
    </row>
    <row r="1844" spans="1:6" x14ac:dyDescent="0.25">
      <c r="F1844" s="8">
        <f>SUM(F1843)</f>
        <v>3500</v>
      </c>
    </row>
    <row r="1845" spans="1:6" x14ac:dyDescent="0.25">
      <c r="F1845" s="10"/>
    </row>
    <row r="1846" spans="1:6" x14ac:dyDescent="0.25">
      <c r="A1846" s="9" t="s">
        <v>487</v>
      </c>
      <c r="B1846" s="4">
        <v>45803</v>
      </c>
      <c r="C1846" s="5">
        <v>5</v>
      </c>
      <c r="D1846" s="9" t="s">
        <v>12</v>
      </c>
      <c r="E1846" s="10">
        <v>130</v>
      </c>
      <c r="F1846" s="10">
        <f t="shared" si="24"/>
        <v>650</v>
      </c>
    </row>
    <row r="1847" spans="1:6" x14ac:dyDescent="0.25">
      <c r="F1847" s="8">
        <f>SUM(F1846)</f>
        <v>650</v>
      </c>
    </row>
    <row r="1848" spans="1:6" x14ac:dyDescent="0.25">
      <c r="F1848" s="10"/>
    </row>
    <row r="1849" spans="1:6" x14ac:dyDescent="0.25">
      <c r="A1849" s="9" t="s">
        <v>270</v>
      </c>
      <c r="B1849" s="4">
        <v>45803</v>
      </c>
      <c r="C1849" s="5">
        <v>10</v>
      </c>
      <c r="D1849" s="9" t="s">
        <v>98</v>
      </c>
      <c r="E1849" s="10">
        <v>100</v>
      </c>
      <c r="F1849" s="10">
        <f t="shared" si="24"/>
        <v>1000</v>
      </c>
    </row>
    <row r="1850" spans="1:6" x14ac:dyDescent="0.25">
      <c r="F1850" s="8">
        <f>SUM(F1849)</f>
        <v>1000</v>
      </c>
    </row>
    <row r="1851" spans="1:6" x14ac:dyDescent="0.25">
      <c r="F1851" s="10"/>
    </row>
    <row r="1852" spans="1:6" x14ac:dyDescent="0.25">
      <c r="A1852" s="9" t="s">
        <v>15</v>
      </c>
      <c r="B1852" s="4">
        <v>45803</v>
      </c>
      <c r="C1852" s="5">
        <v>64</v>
      </c>
      <c r="D1852" s="9" t="s">
        <v>637</v>
      </c>
      <c r="E1852" s="10">
        <v>80</v>
      </c>
      <c r="F1852" s="10">
        <f t="shared" si="24"/>
        <v>5120</v>
      </c>
    </row>
    <row r="1853" spans="1:6" x14ac:dyDescent="0.25">
      <c r="F1853" s="8">
        <f>SUM(F1852)</f>
        <v>5120</v>
      </c>
    </row>
    <row r="1854" spans="1:6" x14ac:dyDescent="0.25">
      <c r="F1854" s="10"/>
    </row>
    <row r="1855" spans="1:6" x14ac:dyDescent="0.25">
      <c r="A1855" s="9" t="s">
        <v>18</v>
      </c>
      <c r="B1855" s="4">
        <v>45803</v>
      </c>
      <c r="C1855" s="5">
        <v>10</v>
      </c>
      <c r="D1855" s="9" t="s">
        <v>13</v>
      </c>
      <c r="E1855" s="10">
        <v>140</v>
      </c>
      <c r="F1855" s="10">
        <f t="shared" si="24"/>
        <v>1400</v>
      </c>
    </row>
    <row r="1856" spans="1:6" x14ac:dyDescent="0.25">
      <c r="F1856" s="8">
        <f>SUM(F1855)</f>
        <v>1400</v>
      </c>
    </row>
    <row r="1857" spans="1:6" x14ac:dyDescent="0.25">
      <c r="F1857" s="10"/>
    </row>
    <row r="1858" spans="1:6" x14ac:dyDescent="0.25">
      <c r="A1858" s="9" t="s">
        <v>211</v>
      </c>
      <c r="B1858" s="4">
        <v>45803</v>
      </c>
      <c r="C1858" s="5">
        <v>12</v>
      </c>
      <c r="D1858" s="9" t="s">
        <v>98</v>
      </c>
      <c r="E1858" s="10">
        <v>100</v>
      </c>
      <c r="F1858" s="10">
        <f t="shared" si="24"/>
        <v>1200</v>
      </c>
    </row>
    <row r="1859" spans="1:6" x14ac:dyDescent="0.25">
      <c r="F1859" s="8">
        <f>SUM(F1858)</f>
        <v>1200</v>
      </c>
    </row>
    <row r="1860" spans="1:6" x14ac:dyDescent="0.25">
      <c r="F1860" s="10"/>
    </row>
    <row r="1861" spans="1:6" x14ac:dyDescent="0.25">
      <c r="A1861" s="9" t="s">
        <v>40</v>
      </c>
      <c r="B1861" s="4">
        <v>45803</v>
      </c>
      <c r="C1861" s="5">
        <v>29</v>
      </c>
      <c r="D1861" s="9" t="s">
        <v>14</v>
      </c>
      <c r="E1861" s="10">
        <v>125</v>
      </c>
      <c r="F1861" s="10">
        <f t="shared" si="24"/>
        <v>3625</v>
      </c>
    </row>
    <row r="1862" spans="1:6" x14ac:dyDescent="0.25">
      <c r="F1862" s="8">
        <f>SUM(F1861)</f>
        <v>3625</v>
      </c>
    </row>
    <row r="1863" spans="1:6" x14ac:dyDescent="0.25">
      <c r="F1863" s="10"/>
    </row>
    <row r="1864" spans="1:6" x14ac:dyDescent="0.25">
      <c r="A1864" s="9" t="s">
        <v>253</v>
      </c>
      <c r="B1864" s="4">
        <v>45803</v>
      </c>
      <c r="C1864" s="5">
        <v>10</v>
      </c>
      <c r="D1864" s="9" t="s">
        <v>14</v>
      </c>
      <c r="E1864" s="10">
        <v>125</v>
      </c>
      <c r="F1864" s="10">
        <f t="shared" si="24"/>
        <v>1250</v>
      </c>
    </row>
    <row r="1865" spans="1:6" x14ac:dyDescent="0.25">
      <c r="C1865" s="5">
        <v>25</v>
      </c>
      <c r="D1865" s="9" t="s">
        <v>13</v>
      </c>
      <c r="E1865" s="10">
        <v>135</v>
      </c>
      <c r="F1865" s="10">
        <f t="shared" si="24"/>
        <v>3375</v>
      </c>
    </row>
    <row r="1866" spans="1:6" x14ac:dyDescent="0.25">
      <c r="F1866" s="8">
        <f>SUM(F1864:F1865)</f>
        <v>4625</v>
      </c>
    </row>
    <row r="1867" spans="1:6" x14ac:dyDescent="0.25">
      <c r="F1867" s="10"/>
    </row>
    <row r="1868" spans="1:6" x14ac:dyDescent="0.25">
      <c r="A1868" s="9" t="s">
        <v>20</v>
      </c>
      <c r="B1868" s="4">
        <v>45803</v>
      </c>
      <c r="C1868" s="5">
        <v>20</v>
      </c>
      <c r="D1868" s="9" t="s">
        <v>13</v>
      </c>
      <c r="E1868" s="10">
        <v>135</v>
      </c>
      <c r="F1868" s="10">
        <f t="shared" si="24"/>
        <v>2700</v>
      </c>
    </row>
    <row r="1869" spans="1:6" x14ac:dyDescent="0.25">
      <c r="F1869" s="8">
        <f>SUM(F1868)</f>
        <v>2700</v>
      </c>
    </row>
    <row r="1870" spans="1:6" x14ac:dyDescent="0.25">
      <c r="F1870" s="10"/>
    </row>
    <row r="1871" spans="1:6" x14ac:dyDescent="0.25">
      <c r="A1871" s="9" t="s">
        <v>21</v>
      </c>
      <c r="B1871" s="4">
        <v>45803</v>
      </c>
      <c r="C1871" s="5">
        <v>20</v>
      </c>
      <c r="D1871" s="9" t="s">
        <v>22</v>
      </c>
      <c r="E1871" s="10">
        <v>110</v>
      </c>
      <c r="F1871" s="10">
        <f t="shared" si="24"/>
        <v>2200</v>
      </c>
    </row>
    <row r="1872" spans="1:6" x14ac:dyDescent="0.25">
      <c r="C1872" s="5">
        <v>10</v>
      </c>
      <c r="D1872" s="9" t="s">
        <v>12</v>
      </c>
      <c r="E1872" s="10">
        <v>120</v>
      </c>
      <c r="F1872" s="10">
        <f t="shared" si="24"/>
        <v>1200</v>
      </c>
    </row>
    <row r="1873" spans="1:6" x14ac:dyDescent="0.25">
      <c r="C1873" s="5">
        <v>10</v>
      </c>
      <c r="D1873" s="9" t="s">
        <v>8</v>
      </c>
      <c r="E1873" s="10">
        <v>155</v>
      </c>
      <c r="F1873" s="10">
        <f t="shared" si="24"/>
        <v>1550</v>
      </c>
    </row>
    <row r="1874" spans="1:6" x14ac:dyDescent="0.25">
      <c r="C1874" s="5">
        <v>20</v>
      </c>
      <c r="D1874" s="9" t="s">
        <v>13</v>
      </c>
      <c r="E1874" s="10">
        <v>135</v>
      </c>
      <c r="F1874" s="10">
        <f t="shared" si="24"/>
        <v>2700</v>
      </c>
    </row>
    <row r="1875" spans="1:6" x14ac:dyDescent="0.25">
      <c r="F1875" s="8">
        <f>SUM(F1871:F1874)</f>
        <v>7650</v>
      </c>
    </row>
    <row r="1876" spans="1:6" x14ac:dyDescent="0.25">
      <c r="F1876" s="10"/>
    </row>
    <row r="1877" spans="1:6" x14ac:dyDescent="0.25">
      <c r="A1877" s="9" t="s">
        <v>37</v>
      </c>
      <c r="B1877" s="4">
        <v>45803</v>
      </c>
      <c r="C1877" s="5">
        <v>15</v>
      </c>
      <c r="D1877" s="9" t="s">
        <v>12</v>
      </c>
      <c r="E1877" s="10">
        <v>130</v>
      </c>
      <c r="F1877" s="10">
        <f t="shared" si="24"/>
        <v>1950</v>
      </c>
    </row>
    <row r="1878" spans="1:6" x14ac:dyDescent="0.25">
      <c r="F1878" s="8">
        <f>SUM(F1877)</f>
        <v>1950</v>
      </c>
    </row>
    <row r="1879" spans="1:6" x14ac:dyDescent="0.25">
      <c r="F1879" s="10"/>
    </row>
    <row r="1880" spans="1:6" x14ac:dyDescent="0.25">
      <c r="A1880" s="9" t="s">
        <v>80</v>
      </c>
      <c r="B1880" s="4">
        <v>45803</v>
      </c>
      <c r="C1880" s="5">
        <v>7</v>
      </c>
      <c r="D1880" s="9" t="s">
        <v>13</v>
      </c>
      <c r="E1880" s="10">
        <v>130</v>
      </c>
      <c r="F1880" s="10">
        <f t="shared" si="24"/>
        <v>910</v>
      </c>
    </row>
    <row r="1881" spans="1:6" x14ac:dyDescent="0.25">
      <c r="F1881" s="8">
        <f>SUM(F1880)</f>
        <v>910</v>
      </c>
    </row>
    <row r="1882" spans="1:6" x14ac:dyDescent="0.25">
      <c r="F1882" s="10"/>
    </row>
    <row r="1883" spans="1:6" x14ac:dyDescent="0.25">
      <c r="A1883" s="9" t="s">
        <v>41</v>
      </c>
      <c r="B1883" s="4">
        <v>45803</v>
      </c>
      <c r="C1883" s="5">
        <v>50</v>
      </c>
      <c r="D1883" s="9" t="s">
        <v>144</v>
      </c>
      <c r="E1883" s="10">
        <v>130</v>
      </c>
      <c r="F1883" s="10">
        <f t="shared" si="24"/>
        <v>6500</v>
      </c>
    </row>
    <row r="1884" spans="1:6" x14ac:dyDescent="0.25">
      <c r="F1884" s="8">
        <f>SUM(F1883)</f>
        <v>6500</v>
      </c>
    </row>
    <row r="1885" spans="1:6" x14ac:dyDescent="0.25">
      <c r="F1885" s="10"/>
    </row>
    <row r="1886" spans="1:6" x14ac:dyDescent="0.25">
      <c r="A1886" s="9" t="s">
        <v>251</v>
      </c>
      <c r="B1886" s="4">
        <v>45803</v>
      </c>
      <c r="C1886" s="5">
        <v>50</v>
      </c>
      <c r="D1886" s="9" t="s">
        <v>12</v>
      </c>
      <c r="E1886" s="10">
        <v>120</v>
      </c>
      <c r="F1886" s="10">
        <f t="shared" si="24"/>
        <v>6000</v>
      </c>
    </row>
    <row r="1887" spans="1:6" x14ac:dyDescent="0.25">
      <c r="C1887" s="5">
        <v>8</v>
      </c>
      <c r="D1887" s="9" t="s">
        <v>14</v>
      </c>
      <c r="E1887" s="10">
        <v>120</v>
      </c>
      <c r="F1887" s="10">
        <f t="shared" si="24"/>
        <v>960</v>
      </c>
    </row>
    <row r="1888" spans="1:6" x14ac:dyDescent="0.25">
      <c r="F1888" s="8">
        <f>SUM(F1886:F1887)</f>
        <v>6960</v>
      </c>
    </row>
    <row r="1889" spans="1:6" x14ac:dyDescent="0.25">
      <c r="F1889" s="10"/>
    </row>
    <row r="1890" spans="1:6" x14ac:dyDescent="0.25">
      <c r="A1890" s="9" t="s">
        <v>43</v>
      </c>
      <c r="B1890" s="4">
        <v>45803</v>
      </c>
      <c r="C1890" s="5">
        <v>15</v>
      </c>
      <c r="D1890" s="9" t="s">
        <v>390</v>
      </c>
      <c r="E1890" s="10">
        <v>125</v>
      </c>
      <c r="F1890" s="10">
        <f t="shared" si="24"/>
        <v>1875</v>
      </c>
    </row>
    <row r="1891" spans="1:6" x14ac:dyDescent="0.25">
      <c r="F1891" s="8">
        <f>SUM(F1890)</f>
        <v>1875</v>
      </c>
    </row>
    <row r="1892" spans="1:6" x14ac:dyDescent="0.25">
      <c r="F1892" s="10"/>
    </row>
    <row r="1893" spans="1:6" x14ac:dyDescent="0.25">
      <c r="A1893" s="9" t="s">
        <v>44</v>
      </c>
      <c r="B1893" s="4">
        <v>45803</v>
      </c>
      <c r="C1893" s="5">
        <v>40</v>
      </c>
      <c r="D1893" s="9" t="s">
        <v>14</v>
      </c>
      <c r="E1893" s="10">
        <v>125</v>
      </c>
      <c r="F1893" s="10">
        <f t="shared" si="24"/>
        <v>5000</v>
      </c>
    </row>
    <row r="1894" spans="1:6" x14ac:dyDescent="0.25">
      <c r="F1894" s="8">
        <f>SUM(F1893)</f>
        <v>5000</v>
      </c>
    </row>
    <row r="1895" spans="1:6" x14ac:dyDescent="0.25">
      <c r="F1895" s="10"/>
    </row>
    <row r="1896" spans="1:6" x14ac:dyDescent="0.25">
      <c r="A1896" s="9" t="s">
        <v>455</v>
      </c>
      <c r="B1896" s="4">
        <v>45803</v>
      </c>
      <c r="C1896" s="5">
        <v>40</v>
      </c>
      <c r="D1896" s="9" t="s">
        <v>14</v>
      </c>
      <c r="E1896" s="10">
        <v>115</v>
      </c>
      <c r="F1896" s="10">
        <f t="shared" si="24"/>
        <v>4600</v>
      </c>
    </row>
    <row r="1897" spans="1:6" x14ac:dyDescent="0.25">
      <c r="F1897" s="8">
        <f>SUM(F1896)</f>
        <v>4600</v>
      </c>
    </row>
    <row r="1898" spans="1:6" x14ac:dyDescent="0.25">
      <c r="F1898" s="10"/>
    </row>
    <row r="1899" spans="1:6" x14ac:dyDescent="0.25">
      <c r="A1899" s="9" t="s">
        <v>46</v>
      </c>
      <c r="B1899" s="4">
        <v>45803</v>
      </c>
      <c r="C1899" s="5">
        <v>20</v>
      </c>
      <c r="D1899" s="9" t="s">
        <v>14</v>
      </c>
      <c r="E1899" s="10">
        <v>125</v>
      </c>
      <c r="F1899" s="10">
        <f t="shared" ref="F1899:F1961" si="25">+C1899*E1899</f>
        <v>2500</v>
      </c>
    </row>
    <row r="1900" spans="1:6" x14ac:dyDescent="0.25">
      <c r="F1900" s="8">
        <f>SUM(F1899)</f>
        <v>2500</v>
      </c>
    </row>
    <row r="1901" spans="1:6" x14ac:dyDescent="0.25">
      <c r="F1901" s="10"/>
    </row>
    <row r="1902" spans="1:6" x14ac:dyDescent="0.25">
      <c r="A1902" s="9" t="s">
        <v>145</v>
      </c>
      <c r="B1902" s="4">
        <v>45803</v>
      </c>
      <c r="C1902" s="5">
        <v>20</v>
      </c>
      <c r="D1902" s="9" t="s">
        <v>14</v>
      </c>
      <c r="E1902" s="10">
        <v>120</v>
      </c>
      <c r="F1902" s="10">
        <f t="shared" si="25"/>
        <v>2400</v>
      </c>
    </row>
    <row r="1903" spans="1:6" x14ac:dyDescent="0.25">
      <c r="F1903" s="8">
        <f>SUM(F1902)</f>
        <v>2400</v>
      </c>
    </row>
    <row r="1904" spans="1:6" x14ac:dyDescent="0.25">
      <c r="F1904" s="10"/>
    </row>
    <row r="1905" spans="1:6" x14ac:dyDescent="0.25">
      <c r="A1905" s="9" t="s">
        <v>47</v>
      </c>
      <c r="B1905" s="4">
        <v>45803</v>
      </c>
      <c r="C1905" s="5">
        <v>30</v>
      </c>
      <c r="D1905" s="9" t="s">
        <v>50</v>
      </c>
      <c r="E1905" s="10">
        <v>90</v>
      </c>
      <c r="F1905" s="10">
        <f t="shared" si="25"/>
        <v>2700</v>
      </c>
    </row>
    <row r="1906" spans="1:6" x14ac:dyDescent="0.25">
      <c r="F1906" s="8">
        <f>SUM(F1905)</f>
        <v>2700</v>
      </c>
    </row>
    <row r="1907" spans="1:6" x14ac:dyDescent="0.25">
      <c r="F1907" s="10"/>
    </row>
    <row r="1908" spans="1:6" x14ac:dyDescent="0.25">
      <c r="A1908" s="9" t="s">
        <v>253</v>
      </c>
      <c r="B1908" s="4">
        <v>45803</v>
      </c>
      <c r="C1908" s="5">
        <v>10</v>
      </c>
      <c r="D1908" s="9" t="s">
        <v>14</v>
      </c>
      <c r="E1908" s="10">
        <v>125</v>
      </c>
      <c r="F1908" s="10">
        <f t="shared" si="25"/>
        <v>1250</v>
      </c>
    </row>
    <row r="1909" spans="1:6" x14ac:dyDescent="0.25">
      <c r="F1909" s="8">
        <f>SUM(F1908)</f>
        <v>1250</v>
      </c>
    </row>
    <row r="1910" spans="1:6" x14ac:dyDescent="0.25">
      <c r="F1910" s="10"/>
    </row>
    <row r="1911" spans="1:6" x14ac:dyDescent="0.25">
      <c r="A1911" s="9" t="s">
        <v>638</v>
      </c>
      <c r="B1911" s="4">
        <v>45803</v>
      </c>
      <c r="C1911" s="5">
        <v>78</v>
      </c>
      <c r="D1911" s="9" t="s">
        <v>13</v>
      </c>
      <c r="E1911" s="10">
        <v>140</v>
      </c>
      <c r="F1911" s="10">
        <f t="shared" si="25"/>
        <v>10920</v>
      </c>
    </row>
    <row r="1912" spans="1:6" x14ac:dyDescent="0.25">
      <c r="C1912" s="5">
        <v>20</v>
      </c>
      <c r="D1912" s="9" t="s">
        <v>8</v>
      </c>
      <c r="E1912" s="10">
        <v>160</v>
      </c>
      <c r="F1912" s="10">
        <f t="shared" si="25"/>
        <v>3200</v>
      </c>
    </row>
    <row r="1913" spans="1:6" x14ac:dyDescent="0.25">
      <c r="C1913" s="5">
        <v>20</v>
      </c>
      <c r="D1913" s="9" t="s">
        <v>12</v>
      </c>
      <c r="E1913" s="10">
        <v>130</v>
      </c>
      <c r="F1913" s="10">
        <f t="shared" si="25"/>
        <v>2600</v>
      </c>
    </row>
    <row r="1914" spans="1:6" x14ac:dyDescent="0.25">
      <c r="C1914" s="5">
        <v>5</v>
      </c>
      <c r="D1914" s="9" t="s">
        <v>14</v>
      </c>
      <c r="E1914" s="10">
        <v>135</v>
      </c>
      <c r="F1914" s="10">
        <f t="shared" si="25"/>
        <v>675</v>
      </c>
    </row>
    <row r="1915" spans="1:6" x14ac:dyDescent="0.25">
      <c r="F1915" s="8">
        <f>SUM(F1911:F1914)</f>
        <v>17395</v>
      </c>
    </row>
    <row r="1916" spans="1:6" x14ac:dyDescent="0.25">
      <c r="F1916" s="10"/>
    </row>
    <row r="1917" spans="1:6" x14ac:dyDescent="0.25">
      <c r="A1917" s="9" t="s">
        <v>29</v>
      </c>
      <c r="B1917" s="4">
        <v>45803</v>
      </c>
      <c r="C1917" s="5">
        <v>7</v>
      </c>
      <c r="D1917" s="9" t="s">
        <v>12</v>
      </c>
      <c r="E1917" s="10">
        <v>140</v>
      </c>
      <c r="F1917" s="10">
        <f t="shared" si="25"/>
        <v>980</v>
      </c>
    </row>
    <row r="1918" spans="1:6" x14ac:dyDescent="0.25">
      <c r="C1918" s="5">
        <v>10</v>
      </c>
      <c r="D1918" s="9" t="s">
        <v>8</v>
      </c>
      <c r="E1918" s="10">
        <v>160</v>
      </c>
      <c r="F1918" s="10">
        <f t="shared" si="25"/>
        <v>1600</v>
      </c>
    </row>
    <row r="1919" spans="1:6" x14ac:dyDescent="0.25">
      <c r="C1919" s="5">
        <v>2</v>
      </c>
      <c r="D1919" s="9" t="s">
        <v>13</v>
      </c>
      <c r="E1919" s="10">
        <v>160</v>
      </c>
      <c r="F1919" s="10">
        <f t="shared" si="25"/>
        <v>320</v>
      </c>
    </row>
    <row r="1920" spans="1:6" x14ac:dyDescent="0.25">
      <c r="C1920" s="5">
        <v>1</v>
      </c>
      <c r="D1920" s="9" t="s">
        <v>12</v>
      </c>
      <c r="E1920" s="10">
        <v>150</v>
      </c>
      <c r="F1920" s="10">
        <f t="shared" si="25"/>
        <v>150</v>
      </c>
    </row>
    <row r="1921" spans="1:6" x14ac:dyDescent="0.25">
      <c r="C1921" s="5">
        <v>2</v>
      </c>
      <c r="D1921" s="9" t="s">
        <v>639</v>
      </c>
      <c r="E1921" s="10">
        <v>150</v>
      </c>
      <c r="F1921" s="10">
        <f t="shared" si="25"/>
        <v>300</v>
      </c>
    </row>
    <row r="1922" spans="1:6" x14ac:dyDescent="0.25">
      <c r="C1922" s="5">
        <v>1</v>
      </c>
      <c r="D1922" s="9" t="s">
        <v>13</v>
      </c>
      <c r="E1922" s="10">
        <v>150</v>
      </c>
      <c r="F1922" s="10">
        <f t="shared" si="25"/>
        <v>150</v>
      </c>
    </row>
    <row r="1923" spans="1:6" x14ac:dyDescent="0.25">
      <c r="C1923" s="5">
        <v>1</v>
      </c>
      <c r="D1923" s="9" t="s">
        <v>12</v>
      </c>
      <c r="E1923" s="10">
        <v>150</v>
      </c>
      <c r="F1923" s="10">
        <f t="shared" si="25"/>
        <v>150</v>
      </c>
    </row>
    <row r="1924" spans="1:6" x14ac:dyDescent="0.25">
      <c r="C1924" s="5">
        <v>1</v>
      </c>
      <c r="D1924" s="9" t="s">
        <v>8</v>
      </c>
      <c r="E1924" s="10">
        <v>170</v>
      </c>
      <c r="F1924" s="10">
        <f t="shared" si="25"/>
        <v>170</v>
      </c>
    </row>
    <row r="1925" spans="1:6" x14ac:dyDescent="0.25">
      <c r="F1925" s="8">
        <f>SUM(F1917:F1924)</f>
        <v>3820</v>
      </c>
    </row>
    <row r="1926" spans="1:6" x14ac:dyDescent="0.25">
      <c r="F1926" s="10"/>
    </row>
    <row r="1927" spans="1:6" x14ac:dyDescent="0.25">
      <c r="A1927" s="9" t="s">
        <v>7</v>
      </c>
      <c r="B1927" s="4">
        <v>45803</v>
      </c>
      <c r="C1927" s="5">
        <v>1</v>
      </c>
      <c r="D1927" s="9" t="s">
        <v>208</v>
      </c>
      <c r="E1927" s="10">
        <v>140</v>
      </c>
      <c r="F1927" s="10">
        <f t="shared" si="25"/>
        <v>140</v>
      </c>
    </row>
    <row r="1928" spans="1:6" x14ac:dyDescent="0.25">
      <c r="C1928" s="5">
        <v>2</v>
      </c>
      <c r="D1928" s="9" t="s">
        <v>8</v>
      </c>
      <c r="E1928" s="10">
        <v>170</v>
      </c>
      <c r="F1928" s="10">
        <f t="shared" si="25"/>
        <v>340</v>
      </c>
    </row>
    <row r="1929" spans="1:6" x14ac:dyDescent="0.25">
      <c r="C1929" s="5">
        <v>1</v>
      </c>
      <c r="D1929" s="9" t="s">
        <v>13</v>
      </c>
      <c r="E1929" s="10">
        <v>160</v>
      </c>
      <c r="F1929" s="10">
        <f t="shared" si="25"/>
        <v>160</v>
      </c>
    </row>
    <row r="1930" spans="1:6" x14ac:dyDescent="0.25">
      <c r="C1930" s="5">
        <v>1</v>
      </c>
      <c r="D1930" s="9" t="s">
        <v>640</v>
      </c>
      <c r="E1930" s="10">
        <v>150</v>
      </c>
      <c r="F1930" s="10">
        <f t="shared" si="25"/>
        <v>150</v>
      </c>
    </row>
    <row r="1931" spans="1:6" x14ac:dyDescent="0.25">
      <c r="C1931" s="5">
        <v>1</v>
      </c>
      <c r="D1931" s="9" t="s">
        <v>641</v>
      </c>
      <c r="E1931" s="10">
        <v>140</v>
      </c>
      <c r="F1931" s="10">
        <f t="shared" si="25"/>
        <v>140</v>
      </c>
    </row>
    <row r="1932" spans="1:6" x14ac:dyDescent="0.25">
      <c r="F1932" s="8">
        <f>SUM(F1927:F1931)</f>
        <v>930</v>
      </c>
    </row>
    <row r="1933" spans="1:6" x14ac:dyDescent="0.25">
      <c r="F1933" s="10"/>
    </row>
    <row r="1934" spans="1:6" x14ac:dyDescent="0.25">
      <c r="A1934" s="9" t="s">
        <v>365</v>
      </c>
      <c r="B1934" s="4">
        <v>45804</v>
      </c>
      <c r="C1934" s="5">
        <v>15</v>
      </c>
      <c r="D1934" s="9" t="s">
        <v>13</v>
      </c>
      <c r="E1934" s="10">
        <v>140</v>
      </c>
      <c r="F1934" s="10">
        <f t="shared" si="25"/>
        <v>2100</v>
      </c>
    </row>
    <row r="1935" spans="1:6" x14ac:dyDescent="0.25">
      <c r="F1935" s="8">
        <f>SUM(F1934)</f>
        <v>2100</v>
      </c>
    </row>
    <row r="1936" spans="1:6" x14ac:dyDescent="0.25">
      <c r="F1936" s="10"/>
    </row>
    <row r="1937" spans="1:6" x14ac:dyDescent="0.25">
      <c r="A1937" s="9" t="s">
        <v>174</v>
      </c>
      <c r="B1937" s="4">
        <v>45804</v>
      </c>
      <c r="C1937" s="5">
        <v>60</v>
      </c>
      <c r="D1937" s="9" t="s">
        <v>22</v>
      </c>
      <c r="E1937" s="10">
        <v>120</v>
      </c>
      <c r="F1937" s="10">
        <f t="shared" si="25"/>
        <v>7200</v>
      </c>
    </row>
    <row r="1938" spans="1:6" x14ac:dyDescent="0.25">
      <c r="C1938" s="5">
        <v>60</v>
      </c>
      <c r="D1938" s="9" t="s">
        <v>12</v>
      </c>
      <c r="E1938" s="10">
        <v>140</v>
      </c>
      <c r="F1938" s="10">
        <f t="shared" si="25"/>
        <v>8400</v>
      </c>
    </row>
    <row r="1939" spans="1:6" x14ac:dyDescent="0.25">
      <c r="F1939" s="8">
        <f>SUM(F1937:F1938)</f>
        <v>15600</v>
      </c>
    </row>
    <row r="1940" spans="1:6" x14ac:dyDescent="0.25">
      <c r="F1940" s="10"/>
    </row>
    <row r="1941" spans="1:6" x14ac:dyDescent="0.25">
      <c r="A1941" s="9" t="s">
        <v>61</v>
      </c>
      <c r="B1941" s="4">
        <v>45804</v>
      </c>
      <c r="C1941" s="5">
        <v>50</v>
      </c>
      <c r="D1941" s="9" t="s">
        <v>12</v>
      </c>
      <c r="E1941" s="10">
        <v>130</v>
      </c>
      <c r="F1941" s="10">
        <f t="shared" si="25"/>
        <v>6500</v>
      </c>
    </row>
    <row r="1942" spans="1:6" x14ac:dyDescent="0.25">
      <c r="F1942" s="8">
        <f>SUM(F1941)</f>
        <v>6500</v>
      </c>
    </row>
    <row r="1943" spans="1:6" x14ac:dyDescent="0.25">
      <c r="F1943" s="10"/>
    </row>
    <row r="1944" spans="1:6" x14ac:dyDescent="0.25">
      <c r="A1944" s="9" t="s">
        <v>255</v>
      </c>
      <c r="B1944" s="4">
        <v>45804</v>
      </c>
      <c r="C1944" s="5">
        <v>150</v>
      </c>
      <c r="D1944" s="9" t="s">
        <v>8</v>
      </c>
      <c r="E1944" s="10">
        <v>160</v>
      </c>
      <c r="F1944" s="10">
        <f t="shared" si="25"/>
        <v>24000</v>
      </c>
    </row>
    <row r="1945" spans="1:6" x14ac:dyDescent="0.25">
      <c r="F1945" s="8">
        <f>SUM(F1944)</f>
        <v>24000</v>
      </c>
    </row>
    <row r="1946" spans="1:6" x14ac:dyDescent="0.25">
      <c r="F1946" s="10"/>
    </row>
    <row r="1947" spans="1:6" x14ac:dyDescent="0.25">
      <c r="A1947" s="9" t="s">
        <v>608</v>
      </c>
      <c r="B1947" s="4">
        <v>45804</v>
      </c>
      <c r="C1947" s="5">
        <v>10</v>
      </c>
      <c r="D1947" s="9" t="s">
        <v>13</v>
      </c>
      <c r="E1947" s="10">
        <v>140</v>
      </c>
      <c r="F1947" s="10">
        <f t="shared" si="25"/>
        <v>1400</v>
      </c>
    </row>
    <row r="1948" spans="1:6" x14ac:dyDescent="0.25">
      <c r="F1948" s="8">
        <f>SUM(F1947)</f>
        <v>1400</v>
      </c>
    </row>
    <row r="1949" spans="1:6" x14ac:dyDescent="0.25">
      <c r="F1949" s="10"/>
    </row>
    <row r="1950" spans="1:6" x14ac:dyDescent="0.25">
      <c r="A1950" s="9" t="s">
        <v>90</v>
      </c>
      <c r="B1950" s="4">
        <v>45804</v>
      </c>
      <c r="C1950" s="5">
        <v>20</v>
      </c>
      <c r="D1950" s="9" t="s">
        <v>13</v>
      </c>
      <c r="E1950" s="10">
        <v>135</v>
      </c>
      <c r="F1950" s="10">
        <f t="shared" si="25"/>
        <v>2700</v>
      </c>
    </row>
    <row r="1951" spans="1:6" x14ac:dyDescent="0.25">
      <c r="F1951" s="8">
        <f>SUM(F1950)</f>
        <v>2700</v>
      </c>
    </row>
    <row r="1952" spans="1:6" x14ac:dyDescent="0.25">
      <c r="F1952" s="10"/>
    </row>
    <row r="1953" spans="1:6" x14ac:dyDescent="0.25">
      <c r="A1953" s="9" t="s">
        <v>423</v>
      </c>
      <c r="B1953" s="4">
        <v>45804</v>
      </c>
      <c r="C1953" s="5">
        <v>5</v>
      </c>
      <c r="D1953" s="9" t="s">
        <v>13</v>
      </c>
      <c r="E1953" s="10">
        <v>145</v>
      </c>
      <c r="F1953" s="10">
        <f t="shared" si="25"/>
        <v>725</v>
      </c>
    </row>
    <row r="1954" spans="1:6" x14ac:dyDescent="0.25">
      <c r="F1954" s="8">
        <f>SUM(F1953)</f>
        <v>725</v>
      </c>
    </row>
    <row r="1955" spans="1:6" x14ac:dyDescent="0.25">
      <c r="F1955" s="10"/>
    </row>
    <row r="1956" spans="1:6" x14ac:dyDescent="0.25">
      <c r="A1956" s="9" t="s">
        <v>111</v>
      </c>
      <c r="B1956" s="4">
        <v>45804</v>
      </c>
      <c r="C1956" s="5">
        <v>15</v>
      </c>
      <c r="D1956" s="9" t="s">
        <v>13</v>
      </c>
      <c r="E1956" s="10">
        <v>140</v>
      </c>
      <c r="F1956" s="10">
        <f t="shared" si="25"/>
        <v>2100</v>
      </c>
    </row>
    <row r="1957" spans="1:6" x14ac:dyDescent="0.25">
      <c r="C1957" s="11">
        <v>0.5</v>
      </c>
      <c r="D1957" s="9" t="s">
        <v>318</v>
      </c>
      <c r="E1957" s="10">
        <v>0</v>
      </c>
      <c r="F1957" s="10">
        <f t="shared" si="25"/>
        <v>0</v>
      </c>
    </row>
    <row r="1958" spans="1:6" x14ac:dyDescent="0.25">
      <c r="F1958" s="8">
        <f>SUM(F1956:F1957)</f>
        <v>2100</v>
      </c>
    </row>
    <row r="1959" spans="1:6" x14ac:dyDescent="0.25">
      <c r="F1959" s="10"/>
    </row>
    <row r="1960" spans="1:6" x14ac:dyDescent="0.25">
      <c r="A1960" s="9" t="s">
        <v>26</v>
      </c>
      <c r="B1960" s="4">
        <v>45804</v>
      </c>
      <c r="C1960" s="5">
        <v>90</v>
      </c>
      <c r="D1960" s="9" t="s">
        <v>13</v>
      </c>
      <c r="E1960" s="10">
        <v>140</v>
      </c>
      <c r="F1960" s="10">
        <f t="shared" si="25"/>
        <v>12600</v>
      </c>
    </row>
    <row r="1961" spans="1:6" x14ac:dyDescent="0.25">
      <c r="C1961" s="5">
        <v>10</v>
      </c>
      <c r="D1961" s="9" t="s">
        <v>14</v>
      </c>
      <c r="E1961" s="10">
        <v>130</v>
      </c>
      <c r="F1961" s="10">
        <f t="shared" si="25"/>
        <v>1300</v>
      </c>
    </row>
    <row r="1962" spans="1:6" x14ac:dyDescent="0.25">
      <c r="C1962" s="5">
        <v>3.21</v>
      </c>
      <c r="D1962" s="9" t="s">
        <v>135</v>
      </c>
      <c r="E1962" s="10">
        <v>0</v>
      </c>
      <c r="F1962" s="10">
        <f t="shared" ref="F1962:F2025" si="26">+C1962*E1962</f>
        <v>0</v>
      </c>
    </row>
    <row r="1963" spans="1:6" x14ac:dyDescent="0.25">
      <c r="F1963" s="8">
        <f>SUM(F1960:F1962)</f>
        <v>13900</v>
      </c>
    </row>
    <row r="1964" spans="1:6" x14ac:dyDescent="0.25">
      <c r="F1964" s="10"/>
    </row>
    <row r="1965" spans="1:6" x14ac:dyDescent="0.25">
      <c r="A1965" s="9" t="s">
        <v>27</v>
      </c>
      <c r="B1965" s="4">
        <v>45804</v>
      </c>
      <c r="C1965" s="5">
        <v>6</v>
      </c>
      <c r="D1965" s="9" t="s">
        <v>12</v>
      </c>
      <c r="E1965" s="10">
        <v>130</v>
      </c>
      <c r="F1965" s="10">
        <f t="shared" si="26"/>
        <v>780</v>
      </c>
    </row>
    <row r="1966" spans="1:6" x14ac:dyDescent="0.25">
      <c r="F1966" s="8">
        <f>SUM(F1965)</f>
        <v>780</v>
      </c>
    </row>
    <row r="1967" spans="1:6" x14ac:dyDescent="0.25">
      <c r="F1967" s="10"/>
    </row>
    <row r="1968" spans="1:6" x14ac:dyDescent="0.25">
      <c r="A1968" s="9" t="s">
        <v>112</v>
      </c>
      <c r="B1968" s="4">
        <v>45804</v>
      </c>
      <c r="C1968" s="5">
        <v>60</v>
      </c>
      <c r="D1968" s="9" t="s">
        <v>13</v>
      </c>
      <c r="E1968" s="10">
        <v>130</v>
      </c>
      <c r="F1968" s="10">
        <f t="shared" si="26"/>
        <v>7800</v>
      </c>
    </row>
    <row r="1969" spans="1:6" x14ac:dyDescent="0.25">
      <c r="C1969" s="5">
        <v>100</v>
      </c>
      <c r="D1969" s="9" t="s">
        <v>642</v>
      </c>
      <c r="E1969" s="10">
        <v>90</v>
      </c>
      <c r="F1969" s="10">
        <f t="shared" si="26"/>
        <v>9000</v>
      </c>
    </row>
    <row r="1970" spans="1:6" x14ac:dyDescent="0.25">
      <c r="F1970" s="8">
        <f>SUM(F1968:F1969)</f>
        <v>16800</v>
      </c>
    </row>
    <row r="1971" spans="1:6" x14ac:dyDescent="0.25">
      <c r="F1971" s="10"/>
    </row>
    <row r="1972" spans="1:6" x14ac:dyDescent="0.25">
      <c r="A1972" s="9" t="s">
        <v>44</v>
      </c>
      <c r="B1972" s="4">
        <v>45804</v>
      </c>
      <c r="C1972" s="5">
        <v>100</v>
      </c>
      <c r="D1972" s="9" t="s">
        <v>13</v>
      </c>
      <c r="E1972" s="10">
        <v>135</v>
      </c>
      <c r="F1972" s="10">
        <f t="shared" si="26"/>
        <v>13500</v>
      </c>
    </row>
    <row r="1973" spans="1:6" x14ac:dyDescent="0.25">
      <c r="F1973" s="8">
        <f>SUM(F1972)</f>
        <v>13500</v>
      </c>
    </row>
    <row r="1974" spans="1:6" x14ac:dyDescent="0.25">
      <c r="F1974" s="10"/>
    </row>
    <row r="1975" spans="1:6" x14ac:dyDescent="0.25">
      <c r="A1975" s="9" t="s">
        <v>181</v>
      </c>
      <c r="B1975" s="4">
        <v>45804</v>
      </c>
      <c r="C1975" s="5">
        <v>1</v>
      </c>
      <c r="D1975" s="9" t="s">
        <v>8</v>
      </c>
      <c r="E1975" s="10">
        <v>170</v>
      </c>
      <c r="F1975" s="10">
        <f t="shared" si="26"/>
        <v>170</v>
      </c>
    </row>
    <row r="1976" spans="1:6" x14ac:dyDescent="0.25">
      <c r="C1976" s="5">
        <v>2</v>
      </c>
      <c r="D1976" s="9" t="s">
        <v>91</v>
      </c>
      <c r="E1976" s="10">
        <v>100</v>
      </c>
      <c r="F1976" s="10">
        <f t="shared" si="26"/>
        <v>200</v>
      </c>
    </row>
    <row r="1977" spans="1:6" x14ac:dyDescent="0.25">
      <c r="F1977" s="8">
        <f>SUM(F1975:F1976)</f>
        <v>370</v>
      </c>
    </row>
    <row r="1978" spans="1:6" x14ac:dyDescent="0.25">
      <c r="F1978" s="10"/>
    </row>
    <row r="1979" spans="1:6" x14ac:dyDescent="0.25">
      <c r="A1979" s="9" t="s">
        <v>191</v>
      </c>
      <c r="B1979" s="4">
        <v>45805</v>
      </c>
      <c r="C1979" s="5">
        <v>150</v>
      </c>
      <c r="D1979" s="9" t="s">
        <v>11</v>
      </c>
      <c r="E1979" s="10">
        <v>105</v>
      </c>
      <c r="F1979" s="10">
        <f t="shared" si="26"/>
        <v>15750</v>
      </c>
    </row>
    <row r="1980" spans="1:6" x14ac:dyDescent="0.25">
      <c r="C1980" s="5">
        <v>150</v>
      </c>
      <c r="D1980" s="9" t="s">
        <v>14</v>
      </c>
      <c r="E1980" s="10">
        <v>115</v>
      </c>
      <c r="F1980" s="10">
        <f t="shared" si="26"/>
        <v>17250</v>
      </c>
    </row>
    <row r="1981" spans="1:6" x14ac:dyDescent="0.25">
      <c r="C1981" s="5">
        <v>50</v>
      </c>
      <c r="D1981" s="9" t="s">
        <v>626</v>
      </c>
      <c r="E1981" s="10">
        <v>130</v>
      </c>
      <c r="F1981" s="10">
        <f t="shared" si="26"/>
        <v>6500</v>
      </c>
    </row>
    <row r="1982" spans="1:6" x14ac:dyDescent="0.25">
      <c r="F1982" s="8">
        <f>SUM(F1979:F1981)</f>
        <v>39500</v>
      </c>
    </row>
    <row r="1983" spans="1:6" x14ac:dyDescent="0.25">
      <c r="F1983" s="10"/>
    </row>
    <row r="1984" spans="1:6" x14ac:dyDescent="0.25">
      <c r="A1984" s="9" t="s">
        <v>211</v>
      </c>
      <c r="B1984" s="4">
        <v>45805</v>
      </c>
      <c r="C1984" s="5">
        <v>10</v>
      </c>
      <c r="D1984" s="9" t="s">
        <v>8</v>
      </c>
      <c r="E1984" s="10">
        <v>160</v>
      </c>
      <c r="F1984" s="10">
        <f t="shared" si="26"/>
        <v>1600</v>
      </c>
    </row>
    <row r="1985" spans="1:6" x14ac:dyDescent="0.25">
      <c r="F1985" s="8">
        <f>SUM(F1984)</f>
        <v>1600</v>
      </c>
    </row>
    <row r="1986" spans="1:6" x14ac:dyDescent="0.25">
      <c r="F1986" s="10"/>
    </row>
    <row r="1987" spans="1:6" x14ac:dyDescent="0.25">
      <c r="A1987" s="9" t="s">
        <v>114</v>
      </c>
      <c r="B1987" s="4">
        <v>45805</v>
      </c>
      <c r="C1987" s="5">
        <v>10</v>
      </c>
      <c r="D1987" s="9" t="s">
        <v>8</v>
      </c>
      <c r="E1987" s="10">
        <v>160</v>
      </c>
      <c r="F1987" s="10">
        <f t="shared" si="26"/>
        <v>1600</v>
      </c>
    </row>
    <row r="1988" spans="1:6" x14ac:dyDescent="0.25">
      <c r="F1988" s="8">
        <f>SUM(F1987)</f>
        <v>1600</v>
      </c>
    </row>
    <row r="1989" spans="1:6" x14ac:dyDescent="0.25">
      <c r="F1989" s="10"/>
    </row>
    <row r="1990" spans="1:6" x14ac:dyDescent="0.25">
      <c r="A1990" s="9" t="s">
        <v>643</v>
      </c>
      <c r="B1990" s="4">
        <v>45805</v>
      </c>
      <c r="C1990" s="5">
        <v>15</v>
      </c>
      <c r="D1990" s="9" t="s">
        <v>98</v>
      </c>
      <c r="E1990" s="10">
        <v>100</v>
      </c>
      <c r="F1990" s="10">
        <f t="shared" si="26"/>
        <v>1500</v>
      </c>
    </row>
    <row r="1991" spans="1:6" x14ac:dyDescent="0.25">
      <c r="F1991" s="8">
        <f>SUM(F1990)</f>
        <v>1500</v>
      </c>
    </row>
    <row r="1992" spans="1:6" x14ac:dyDescent="0.25">
      <c r="F1992" s="10"/>
    </row>
    <row r="1993" spans="1:6" x14ac:dyDescent="0.25">
      <c r="A1993" s="9" t="s">
        <v>550</v>
      </c>
      <c r="B1993" s="4">
        <v>45805</v>
      </c>
      <c r="C1993" s="5">
        <v>12</v>
      </c>
      <c r="D1993" s="9" t="s">
        <v>98</v>
      </c>
      <c r="E1993" s="10">
        <v>100</v>
      </c>
      <c r="F1993" s="10">
        <f t="shared" si="26"/>
        <v>1200</v>
      </c>
    </row>
    <row r="1994" spans="1:6" x14ac:dyDescent="0.25">
      <c r="F1994" s="8">
        <f>SUM(F1993)</f>
        <v>1200</v>
      </c>
    </row>
    <row r="1995" spans="1:6" x14ac:dyDescent="0.25">
      <c r="F1995" s="10"/>
    </row>
    <row r="1996" spans="1:6" x14ac:dyDescent="0.25">
      <c r="A1996" s="9" t="s">
        <v>15</v>
      </c>
      <c r="B1996" s="4">
        <v>45805</v>
      </c>
      <c r="C1996" s="5">
        <v>80</v>
      </c>
      <c r="D1996" s="9" t="s">
        <v>98</v>
      </c>
      <c r="E1996" s="10">
        <v>80</v>
      </c>
      <c r="F1996" s="10">
        <f t="shared" si="26"/>
        <v>6400</v>
      </c>
    </row>
    <row r="1997" spans="1:6" x14ac:dyDescent="0.25">
      <c r="F1997" s="8">
        <f>SUM(F1996)</f>
        <v>6400</v>
      </c>
    </row>
    <row r="1998" spans="1:6" x14ac:dyDescent="0.25">
      <c r="F1998" s="10"/>
    </row>
    <row r="1999" spans="1:6" x14ac:dyDescent="0.25">
      <c r="A1999" s="9" t="s">
        <v>69</v>
      </c>
      <c r="B1999" s="4">
        <v>45805</v>
      </c>
      <c r="C1999" s="5">
        <v>6</v>
      </c>
      <c r="D1999" s="9" t="s">
        <v>98</v>
      </c>
      <c r="E1999" s="10">
        <v>100</v>
      </c>
      <c r="F1999" s="10">
        <f t="shared" si="26"/>
        <v>600</v>
      </c>
    </row>
    <row r="2000" spans="1:6" x14ac:dyDescent="0.25">
      <c r="F2000" s="8">
        <f>SUM(F1999)</f>
        <v>600</v>
      </c>
    </row>
    <row r="2001" spans="1:6" x14ac:dyDescent="0.25">
      <c r="F2001" s="10"/>
    </row>
    <row r="2002" spans="1:6" x14ac:dyDescent="0.25">
      <c r="A2002" s="9" t="s">
        <v>427</v>
      </c>
      <c r="B2002" s="4">
        <v>45805</v>
      </c>
      <c r="C2002" s="5">
        <v>10</v>
      </c>
      <c r="D2002" s="9" t="s">
        <v>13</v>
      </c>
      <c r="E2002" s="10">
        <v>135</v>
      </c>
      <c r="F2002" s="10">
        <f t="shared" si="26"/>
        <v>1350</v>
      </c>
    </row>
    <row r="2003" spans="1:6" x14ac:dyDescent="0.25">
      <c r="C2003" s="5">
        <v>10</v>
      </c>
      <c r="D2003" s="9" t="s">
        <v>14</v>
      </c>
      <c r="E2003" s="10">
        <v>125</v>
      </c>
      <c r="F2003" s="10">
        <f t="shared" si="26"/>
        <v>1250</v>
      </c>
    </row>
    <row r="2004" spans="1:6" x14ac:dyDescent="0.25">
      <c r="F2004" s="8">
        <f>SUM(F2002:F2003)</f>
        <v>2600</v>
      </c>
    </row>
    <row r="2005" spans="1:6" x14ac:dyDescent="0.25">
      <c r="F2005" s="10"/>
    </row>
    <row r="2006" spans="1:6" x14ac:dyDescent="0.25">
      <c r="A2006" s="9" t="s">
        <v>17</v>
      </c>
      <c r="B2006" s="4">
        <v>45805</v>
      </c>
      <c r="C2006" s="5">
        <v>10</v>
      </c>
      <c r="D2006" s="9" t="s">
        <v>8</v>
      </c>
      <c r="E2006" s="10">
        <v>155</v>
      </c>
      <c r="F2006" s="10">
        <f t="shared" si="26"/>
        <v>1550</v>
      </c>
    </row>
    <row r="2007" spans="1:6" x14ac:dyDescent="0.25">
      <c r="F2007" s="8">
        <f>SUM(F2006)</f>
        <v>1550</v>
      </c>
    </row>
    <row r="2008" spans="1:6" x14ac:dyDescent="0.25">
      <c r="F2008" s="10"/>
    </row>
    <row r="2009" spans="1:6" x14ac:dyDescent="0.25">
      <c r="A2009" s="9" t="s">
        <v>21</v>
      </c>
      <c r="B2009" s="4">
        <v>45805</v>
      </c>
      <c r="C2009" s="5">
        <v>30</v>
      </c>
      <c r="D2009" s="9" t="s">
        <v>13</v>
      </c>
      <c r="E2009" s="10">
        <v>135</v>
      </c>
      <c r="F2009" s="10">
        <f t="shared" si="26"/>
        <v>4050</v>
      </c>
    </row>
    <row r="2010" spans="1:6" x14ac:dyDescent="0.25">
      <c r="C2010" s="5">
        <v>10</v>
      </c>
      <c r="D2010" s="9" t="s">
        <v>14</v>
      </c>
      <c r="E2010" s="10">
        <v>125</v>
      </c>
      <c r="F2010" s="10">
        <f t="shared" si="26"/>
        <v>1250</v>
      </c>
    </row>
    <row r="2011" spans="1:6" x14ac:dyDescent="0.25">
      <c r="C2011" s="5">
        <v>10</v>
      </c>
      <c r="D2011" s="9" t="s">
        <v>8</v>
      </c>
      <c r="E2011" s="10">
        <v>155</v>
      </c>
      <c r="F2011" s="10">
        <f t="shared" si="26"/>
        <v>1550</v>
      </c>
    </row>
    <row r="2012" spans="1:6" x14ac:dyDescent="0.25">
      <c r="F2012" s="8">
        <f>SUM(F2009:F2011)</f>
        <v>6850</v>
      </c>
    </row>
    <row r="2013" spans="1:6" x14ac:dyDescent="0.25">
      <c r="F2013" s="10"/>
    </row>
    <row r="2014" spans="1:6" x14ac:dyDescent="0.25">
      <c r="A2014" s="9" t="s">
        <v>57</v>
      </c>
      <c r="B2014" s="4">
        <v>45805</v>
      </c>
      <c r="C2014" s="5">
        <v>10</v>
      </c>
      <c r="D2014" s="9" t="s">
        <v>13</v>
      </c>
      <c r="E2014" s="10">
        <v>135</v>
      </c>
      <c r="F2014" s="10">
        <f t="shared" si="26"/>
        <v>1350</v>
      </c>
    </row>
    <row r="2015" spans="1:6" x14ac:dyDescent="0.25">
      <c r="F2015" s="8">
        <f>SUM(F2014)</f>
        <v>1350</v>
      </c>
    </row>
    <row r="2016" spans="1:6" x14ac:dyDescent="0.25">
      <c r="F2016" s="10"/>
    </row>
    <row r="2017" spans="1:6" x14ac:dyDescent="0.25">
      <c r="A2017" s="9" t="s">
        <v>112</v>
      </c>
      <c r="B2017" s="4">
        <v>45805</v>
      </c>
      <c r="C2017" s="5">
        <v>20</v>
      </c>
      <c r="D2017" s="9" t="s">
        <v>13</v>
      </c>
      <c r="E2017" s="10">
        <v>135</v>
      </c>
      <c r="F2017" s="10">
        <f t="shared" si="26"/>
        <v>2700</v>
      </c>
    </row>
    <row r="2018" spans="1:6" x14ac:dyDescent="0.25">
      <c r="C2018" s="5">
        <v>10</v>
      </c>
      <c r="D2018" s="9" t="s">
        <v>11</v>
      </c>
      <c r="E2018" s="10">
        <v>115</v>
      </c>
      <c r="F2018" s="10">
        <f t="shared" si="26"/>
        <v>1150</v>
      </c>
    </row>
    <row r="2019" spans="1:6" x14ac:dyDescent="0.25">
      <c r="C2019" s="5">
        <v>10</v>
      </c>
      <c r="D2019" s="9" t="s">
        <v>50</v>
      </c>
      <c r="E2019" s="10">
        <v>105</v>
      </c>
      <c r="F2019" s="10">
        <f t="shared" si="26"/>
        <v>1050</v>
      </c>
    </row>
    <row r="2020" spans="1:6" x14ac:dyDescent="0.25">
      <c r="F2020" s="8">
        <f>SUM(F2017:F2019)</f>
        <v>4900</v>
      </c>
    </row>
    <row r="2021" spans="1:6" x14ac:dyDescent="0.25">
      <c r="F2021" s="10"/>
    </row>
    <row r="2022" spans="1:6" x14ac:dyDescent="0.25">
      <c r="A2022" s="9" t="s">
        <v>40</v>
      </c>
      <c r="B2022" s="4">
        <v>45805</v>
      </c>
      <c r="C2022" s="5">
        <v>10</v>
      </c>
      <c r="D2022" s="9" t="s">
        <v>14</v>
      </c>
      <c r="E2022" s="10">
        <v>125</v>
      </c>
      <c r="F2022" s="10">
        <f t="shared" si="26"/>
        <v>1250</v>
      </c>
    </row>
    <row r="2023" spans="1:6" x14ac:dyDescent="0.25">
      <c r="F2023" s="8">
        <f>SUM(F2022)</f>
        <v>1250</v>
      </c>
    </row>
    <row r="2024" spans="1:6" x14ac:dyDescent="0.25">
      <c r="F2024" s="10"/>
    </row>
    <row r="2025" spans="1:6" x14ac:dyDescent="0.25">
      <c r="A2025" s="9" t="s">
        <v>80</v>
      </c>
      <c r="B2025" s="4">
        <v>45805</v>
      </c>
      <c r="C2025" s="5">
        <v>5</v>
      </c>
      <c r="D2025" s="9" t="s">
        <v>13</v>
      </c>
      <c r="E2025" s="10">
        <v>140</v>
      </c>
      <c r="F2025" s="10">
        <f t="shared" si="26"/>
        <v>700</v>
      </c>
    </row>
    <row r="2026" spans="1:6" x14ac:dyDescent="0.25">
      <c r="F2026" s="8">
        <f>SUM(F2025)</f>
        <v>700</v>
      </c>
    </row>
    <row r="2027" spans="1:6" x14ac:dyDescent="0.25">
      <c r="F2027" s="10"/>
    </row>
    <row r="2028" spans="1:6" x14ac:dyDescent="0.25">
      <c r="A2028" s="9" t="s">
        <v>58</v>
      </c>
      <c r="B2028" s="4">
        <v>45805</v>
      </c>
      <c r="C2028" s="5">
        <v>10</v>
      </c>
      <c r="D2028" s="9" t="s">
        <v>13</v>
      </c>
      <c r="E2028" s="10">
        <v>140</v>
      </c>
      <c r="F2028" s="10">
        <f t="shared" ref="F2028:F2067" si="27">+C2028*E2028</f>
        <v>1400</v>
      </c>
    </row>
    <row r="2029" spans="1:6" x14ac:dyDescent="0.25">
      <c r="F2029" s="8">
        <f>SUM(F2028)</f>
        <v>1400</v>
      </c>
    </row>
    <row r="2030" spans="1:6" x14ac:dyDescent="0.25">
      <c r="F2030" s="10"/>
    </row>
    <row r="2031" spans="1:6" x14ac:dyDescent="0.25">
      <c r="A2031" s="9" t="s">
        <v>41</v>
      </c>
      <c r="B2031" s="4">
        <v>45805</v>
      </c>
      <c r="C2031" s="5">
        <v>50</v>
      </c>
      <c r="D2031" s="9" t="s">
        <v>14</v>
      </c>
      <c r="E2031" s="10">
        <v>130</v>
      </c>
      <c r="F2031" s="10">
        <f t="shared" si="27"/>
        <v>6500</v>
      </c>
    </row>
    <row r="2032" spans="1:6" x14ac:dyDescent="0.25">
      <c r="F2032" s="8">
        <f>SUM(F2031)</f>
        <v>6500</v>
      </c>
    </row>
    <row r="2033" spans="1:6" x14ac:dyDescent="0.25">
      <c r="F2033" s="10"/>
    </row>
    <row r="2034" spans="1:6" x14ac:dyDescent="0.25">
      <c r="A2034" s="9" t="s">
        <v>106</v>
      </c>
      <c r="B2034" s="4">
        <v>45805</v>
      </c>
      <c r="C2034" s="5">
        <v>20</v>
      </c>
      <c r="D2034" s="9" t="s">
        <v>12</v>
      </c>
      <c r="E2034" s="10">
        <v>125</v>
      </c>
      <c r="F2034" s="10">
        <f t="shared" si="27"/>
        <v>2500</v>
      </c>
    </row>
    <row r="2035" spans="1:6" x14ac:dyDescent="0.25">
      <c r="F2035" s="8">
        <f>SUM(F2034)</f>
        <v>2500</v>
      </c>
    </row>
    <row r="2036" spans="1:6" x14ac:dyDescent="0.25">
      <c r="F2036" s="10"/>
    </row>
    <row r="2037" spans="1:6" x14ac:dyDescent="0.25">
      <c r="A2037" s="9" t="s">
        <v>43</v>
      </c>
      <c r="B2037" s="4">
        <v>45805</v>
      </c>
      <c r="C2037" s="5">
        <v>25</v>
      </c>
      <c r="D2037" s="9" t="s">
        <v>121</v>
      </c>
      <c r="E2037" s="10">
        <v>125</v>
      </c>
      <c r="F2037" s="10">
        <f t="shared" si="27"/>
        <v>3125</v>
      </c>
    </row>
    <row r="2038" spans="1:6" x14ac:dyDescent="0.25">
      <c r="F2038" s="8">
        <f>SUM(F2037)</f>
        <v>3125</v>
      </c>
    </row>
    <row r="2039" spans="1:6" x14ac:dyDescent="0.25">
      <c r="F2039" s="10"/>
    </row>
    <row r="2040" spans="1:6" x14ac:dyDescent="0.25">
      <c r="A2040" s="9" t="s">
        <v>44</v>
      </c>
      <c r="B2040" s="4">
        <v>45805</v>
      </c>
      <c r="C2040" s="5">
        <v>40</v>
      </c>
      <c r="D2040" s="9" t="s">
        <v>14</v>
      </c>
      <c r="E2040" s="10">
        <v>125</v>
      </c>
      <c r="F2040" s="10">
        <f t="shared" si="27"/>
        <v>5000</v>
      </c>
    </row>
    <row r="2041" spans="1:6" x14ac:dyDescent="0.25">
      <c r="F2041" s="8">
        <f>SUM(F2040)</f>
        <v>5000</v>
      </c>
    </row>
    <row r="2042" spans="1:6" x14ac:dyDescent="0.25">
      <c r="F2042" s="10"/>
    </row>
    <row r="2043" spans="1:6" x14ac:dyDescent="0.25">
      <c r="A2043" s="9" t="s">
        <v>18</v>
      </c>
      <c r="B2043" s="4">
        <v>45805</v>
      </c>
      <c r="C2043" s="5">
        <v>30</v>
      </c>
      <c r="D2043" s="9" t="s">
        <v>14</v>
      </c>
      <c r="E2043" s="10">
        <v>125</v>
      </c>
      <c r="F2043" s="10">
        <f t="shared" si="27"/>
        <v>3750</v>
      </c>
    </row>
    <row r="2044" spans="1:6" x14ac:dyDescent="0.25">
      <c r="C2044" s="5">
        <v>10</v>
      </c>
      <c r="D2044" s="9" t="s">
        <v>13</v>
      </c>
      <c r="E2044" s="10">
        <v>140</v>
      </c>
      <c r="F2044" s="10">
        <f t="shared" si="27"/>
        <v>1400</v>
      </c>
    </row>
    <row r="2045" spans="1:6" x14ac:dyDescent="0.25">
      <c r="F2045" s="8">
        <f>SUM(F2043:F2044)</f>
        <v>5150</v>
      </c>
    </row>
    <row r="2046" spans="1:6" x14ac:dyDescent="0.25">
      <c r="F2046" s="10"/>
    </row>
    <row r="2047" spans="1:6" x14ac:dyDescent="0.25">
      <c r="A2047" s="9" t="s">
        <v>42</v>
      </c>
      <c r="B2047" s="4">
        <v>45805</v>
      </c>
      <c r="C2047" s="5">
        <v>10</v>
      </c>
      <c r="D2047" s="9" t="s">
        <v>14</v>
      </c>
      <c r="E2047" s="10">
        <v>125</v>
      </c>
      <c r="F2047" s="10">
        <f t="shared" si="27"/>
        <v>1250</v>
      </c>
    </row>
    <row r="2048" spans="1:6" x14ac:dyDescent="0.25">
      <c r="F2048" s="8">
        <f>SUM(F2047)</f>
        <v>1250</v>
      </c>
    </row>
    <row r="2049" spans="1:6" x14ac:dyDescent="0.25">
      <c r="F2049" s="10"/>
    </row>
    <row r="2050" spans="1:6" x14ac:dyDescent="0.25">
      <c r="A2050" s="9" t="s">
        <v>46</v>
      </c>
      <c r="B2050" s="4">
        <v>45805</v>
      </c>
      <c r="C2050" s="5">
        <v>20</v>
      </c>
      <c r="D2050" s="9" t="s">
        <v>14</v>
      </c>
      <c r="E2050" s="10">
        <v>125</v>
      </c>
      <c r="F2050" s="10">
        <f t="shared" si="27"/>
        <v>2500</v>
      </c>
    </row>
    <row r="2051" spans="1:6" x14ac:dyDescent="0.25">
      <c r="F2051" s="8">
        <f>SUM(F2050)</f>
        <v>2500</v>
      </c>
    </row>
    <row r="2052" spans="1:6" x14ac:dyDescent="0.25">
      <c r="F2052" s="10"/>
    </row>
    <row r="2053" spans="1:6" x14ac:dyDescent="0.25">
      <c r="A2053" s="9" t="s">
        <v>47</v>
      </c>
      <c r="B2053" s="4">
        <v>45805</v>
      </c>
      <c r="C2053" s="5">
        <v>18</v>
      </c>
      <c r="D2053" s="9" t="s">
        <v>14</v>
      </c>
      <c r="E2053" s="10">
        <v>125</v>
      </c>
      <c r="F2053" s="10">
        <f t="shared" si="27"/>
        <v>2250</v>
      </c>
    </row>
    <row r="2054" spans="1:6" x14ac:dyDescent="0.25">
      <c r="F2054" s="8">
        <f>SUM(F2053)</f>
        <v>2250</v>
      </c>
    </row>
    <row r="2055" spans="1:6" x14ac:dyDescent="0.25">
      <c r="F2055" s="10"/>
    </row>
    <row r="2056" spans="1:6" x14ac:dyDescent="0.25">
      <c r="A2056" s="9" t="s">
        <v>145</v>
      </c>
      <c r="B2056" s="4">
        <v>45805</v>
      </c>
      <c r="C2056" s="5">
        <v>20</v>
      </c>
      <c r="D2056" s="9" t="s">
        <v>14</v>
      </c>
      <c r="E2056" s="10">
        <v>120</v>
      </c>
      <c r="F2056" s="10">
        <f t="shared" si="27"/>
        <v>2400</v>
      </c>
    </row>
    <row r="2057" spans="1:6" x14ac:dyDescent="0.25">
      <c r="F2057" s="8">
        <f>SUM(F2056)</f>
        <v>2400</v>
      </c>
    </row>
    <row r="2058" spans="1:6" x14ac:dyDescent="0.25">
      <c r="F2058" s="10"/>
    </row>
    <row r="2059" spans="1:6" x14ac:dyDescent="0.25">
      <c r="A2059" s="9" t="s">
        <v>487</v>
      </c>
      <c r="B2059" s="4">
        <v>45805</v>
      </c>
      <c r="C2059" s="5">
        <v>12</v>
      </c>
      <c r="D2059" s="9" t="s">
        <v>12</v>
      </c>
      <c r="E2059" s="10">
        <v>130</v>
      </c>
      <c r="F2059" s="10">
        <f t="shared" si="27"/>
        <v>1560</v>
      </c>
    </row>
    <row r="2060" spans="1:6" x14ac:dyDescent="0.25">
      <c r="F2060" s="8">
        <f>SUM(F2059)</f>
        <v>1560</v>
      </c>
    </row>
    <row r="2061" spans="1:6" x14ac:dyDescent="0.25">
      <c r="F2061" s="10"/>
    </row>
    <row r="2062" spans="1:6" x14ac:dyDescent="0.25">
      <c r="A2062" s="9" t="s">
        <v>151</v>
      </c>
      <c r="B2062" s="4">
        <v>45805</v>
      </c>
      <c r="C2062" s="5">
        <v>80</v>
      </c>
      <c r="D2062" s="9" t="s">
        <v>13</v>
      </c>
      <c r="E2062" s="10">
        <v>130</v>
      </c>
      <c r="F2062" s="10">
        <f t="shared" si="27"/>
        <v>10400</v>
      </c>
    </row>
    <row r="2063" spans="1:6" x14ac:dyDescent="0.25">
      <c r="C2063" s="5">
        <v>60</v>
      </c>
      <c r="D2063" s="9" t="s">
        <v>14</v>
      </c>
      <c r="E2063" s="10">
        <v>110</v>
      </c>
      <c r="F2063" s="10">
        <f t="shared" si="27"/>
        <v>6600</v>
      </c>
    </row>
    <row r="2064" spans="1:6" x14ac:dyDescent="0.25">
      <c r="C2064" s="5">
        <v>40</v>
      </c>
      <c r="D2064" s="9" t="s">
        <v>50</v>
      </c>
      <c r="E2064" s="10">
        <v>80</v>
      </c>
      <c r="F2064" s="10">
        <f t="shared" si="27"/>
        <v>3200</v>
      </c>
    </row>
    <row r="2065" spans="1:6" x14ac:dyDescent="0.25">
      <c r="F2065" s="8">
        <f>SUM(F2062:F2064)</f>
        <v>20200</v>
      </c>
    </row>
    <row r="2066" spans="1:6" x14ac:dyDescent="0.25">
      <c r="F2066" s="10"/>
    </row>
    <row r="2067" spans="1:6" x14ac:dyDescent="0.25">
      <c r="A2067" s="9" t="s">
        <v>493</v>
      </c>
      <c r="B2067" s="4">
        <v>45805</v>
      </c>
      <c r="C2067" s="5">
        <v>5</v>
      </c>
      <c r="D2067" s="9" t="s">
        <v>12</v>
      </c>
      <c r="E2067" s="10">
        <v>130</v>
      </c>
      <c r="F2067" s="10">
        <f t="shared" si="27"/>
        <v>650</v>
      </c>
    </row>
    <row r="2068" spans="1:6" x14ac:dyDescent="0.25">
      <c r="F2068" s="8">
        <f>SUM(F2067)</f>
        <v>650</v>
      </c>
    </row>
    <row r="2069" spans="1:6" x14ac:dyDescent="0.25">
      <c r="F2069" s="10"/>
    </row>
    <row r="2070" spans="1:6" x14ac:dyDescent="0.25">
      <c r="A2070" s="9" t="s">
        <v>32</v>
      </c>
      <c r="B2070" s="4">
        <v>45805</v>
      </c>
      <c r="C2070" s="5">
        <v>25</v>
      </c>
      <c r="D2070" s="9" t="s">
        <v>13</v>
      </c>
      <c r="E2070" s="10">
        <v>135</v>
      </c>
      <c r="F2070" s="10">
        <f t="shared" ref="F2070:F2131" si="28">+C2070*E2070</f>
        <v>3375</v>
      </c>
    </row>
    <row r="2071" spans="1:6" x14ac:dyDescent="0.25">
      <c r="F2071" s="8">
        <f>SUM(F2070)</f>
        <v>3375</v>
      </c>
    </row>
    <row r="2072" spans="1:6" x14ac:dyDescent="0.25">
      <c r="F2072" s="10"/>
    </row>
    <row r="2073" spans="1:6" x14ac:dyDescent="0.25">
      <c r="A2073" s="9" t="s">
        <v>72</v>
      </c>
      <c r="B2073" s="4">
        <v>45805</v>
      </c>
      <c r="C2073" s="5">
        <v>200</v>
      </c>
      <c r="D2073" s="9" t="s">
        <v>13</v>
      </c>
      <c r="E2073" s="10">
        <v>130</v>
      </c>
      <c r="F2073" s="10">
        <f t="shared" si="28"/>
        <v>26000</v>
      </c>
    </row>
    <row r="2074" spans="1:6" x14ac:dyDescent="0.25">
      <c r="C2074" s="5">
        <v>100</v>
      </c>
      <c r="D2074" s="9" t="s">
        <v>12</v>
      </c>
      <c r="E2074" s="10">
        <v>115</v>
      </c>
      <c r="F2074" s="10">
        <f t="shared" si="28"/>
        <v>11500</v>
      </c>
    </row>
    <row r="2075" spans="1:6" x14ac:dyDescent="0.25">
      <c r="C2075" s="5">
        <v>80</v>
      </c>
      <c r="D2075" s="9" t="s">
        <v>11</v>
      </c>
      <c r="E2075" s="10">
        <v>115</v>
      </c>
      <c r="F2075" s="10">
        <f t="shared" si="28"/>
        <v>9200</v>
      </c>
    </row>
    <row r="2076" spans="1:6" x14ac:dyDescent="0.25">
      <c r="C2076" s="5">
        <v>20</v>
      </c>
      <c r="D2076" s="9" t="s">
        <v>14</v>
      </c>
      <c r="E2076" s="10">
        <v>125</v>
      </c>
      <c r="F2076" s="10">
        <f t="shared" si="28"/>
        <v>2500</v>
      </c>
    </row>
    <row r="2077" spans="1:6" x14ac:dyDescent="0.25">
      <c r="F2077" s="8">
        <f>SUM(F2073:F2076)</f>
        <v>49200</v>
      </c>
    </row>
    <row r="2078" spans="1:6" x14ac:dyDescent="0.25">
      <c r="B2078" s="4"/>
      <c r="F2078" s="10"/>
    </row>
    <row r="2079" spans="1:6" x14ac:dyDescent="0.25">
      <c r="A2079" s="9" t="s">
        <v>535</v>
      </c>
      <c r="B2079" s="4">
        <v>45805</v>
      </c>
      <c r="C2079" s="5">
        <v>40</v>
      </c>
      <c r="D2079" s="9" t="s">
        <v>13</v>
      </c>
      <c r="E2079" s="10">
        <v>140</v>
      </c>
      <c r="F2079" s="10">
        <f t="shared" si="28"/>
        <v>5600</v>
      </c>
    </row>
    <row r="2080" spans="1:6" x14ac:dyDescent="0.25">
      <c r="C2080" s="5">
        <v>14</v>
      </c>
      <c r="D2080" s="9" t="s">
        <v>519</v>
      </c>
      <c r="E2080" s="10">
        <v>160</v>
      </c>
      <c r="F2080" s="10">
        <f t="shared" si="28"/>
        <v>2240</v>
      </c>
    </row>
    <row r="2081" spans="1:6" x14ac:dyDescent="0.25">
      <c r="C2081" s="5">
        <v>30</v>
      </c>
      <c r="D2081" s="9" t="s">
        <v>12</v>
      </c>
      <c r="E2081" s="10">
        <v>130</v>
      </c>
      <c r="F2081" s="10">
        <f t="shared" si="28"/>
        <v>3900</v>
      </c>
    </row>
    <row r="2082" spans="1:6" x14ac:dyDescent="0.25">
      <c r="C2082" s="5">
        <v>2</v>
      </c>
      <c r="D2082" s="9" t="s">
        <v>14</v>
      </c>
      <c r="E2082" s="10">
        <v>125</v>
      </c>
      <c r="F2082" s="10">
        <f t="shared" si="28"/>
        <v>250</v>
      </c>
    </row>
    <row r="2083" spans="1:6" x14ac:dyDescent="0.25">
      <c r="F2083" s="8">
        <f>SUM(F2079:F2082)</f>
        <v>11990</v>
      </c>
    </row>
    <row r="2084" spans="1:6" x14ac:dyDescent="0.25">
      <c r="F2084" s="10"/>
    </row>
    <row r="2085" spans="1:6" x14ac:dyDescent="0.25">
      <c r="A2085" s="9" t="s">
        <v>181</v>
      </c>
      <c r="B2085" s="4">
        <v>45805</v>
      </c>
      <c r="C2085" s="5">
        <v>1</v>
      </c>
      <c r="D2085" s="9" t="s">
        <v>8</v>
      </c>
      <c r="E2085" s="10">
        <v>160</v>
      </c>
      <c r="F2085" s="10">
        <f t="shared" si="28"/>
        <v>160</v>
      </c>
    </row>
    <row r="2086" spans="1:6" x14ac:dyDescent="0.25">
      <c r="C2086" s="5">
        <v>2</v>
      </c>
      <c r="D2086" s="9" t="s">
        <v>8</v>
      </c>
      <c r="E2086" s="10">
        <v>160</v>
      </c>
      <c r="F2086" s="10">
        <f t="shared" si="28"/>
        <v>320</v>
      </c>
    </row>
    <row r="2087" spans="1:6" x14ac:dyDescent="0.25">
      <c r="C2087" s="5">
        <v>1</v>
      </c>
      <c r="D2087" s="9" t="s">
        <v>78</v>
      </c>
      <c r="E2087" s="10">
        <v>100</v>
      </c>
      <c r="F2087" s="10">
        <f t="shared" si="28"/>
        <v>100</v>
      </c>
    </row>
    <row r="2088" spans="1:6" x14ac:dyDescent="0.25">
      <c r="C2088" s="5">
        <v>3</v>
      </c>
      <c r="D2088" s="9" t="s">
        <v>110</v>
      </c>
      <c r="E2088" s="10">
        <v>3.3332999999999999</v>
      </c>
      <c r="F2088" s="10">
        <f t="shared" si="28"/>
        <v>9.9999000000000002</v>
      </c>
    </row>
    <row r="2089" spans="1:6" x14ac:dyDescent="0.25">
      <c r="F2089" s="8">
        <f>SUM(F2085:F2088)</f>
        <v>589.99990000000003</v>
      </c>
    </row>
    <row r="2090" spans="1:6" x14ac:dyDescent="0.25">
      <c r="F2090" s="10"/>
    </row>
    <row r="2091" spans="1:6" x14ac:dyDescent="0.25">
      <c r="A2091" s="9" t="s">
        <v>195</v>
      </c>
      <c r="B2091" s="4">
        <v>45806</v>
      </c>
      <c r="C2091" s="5">
        <v>200</v>
      </c>
      <c r="D2091" s="9" t="s">
        <v>12</v>
      </c>
      <c r="E2091" s="10">
        <v>120</v>
      </c>
      <c r="F2091" s="10">
        <f t="shared" si="28"/>
        <v>24000</v>
      </c>
    </row>
    <row r="2092" spans="1:6" x14ac:dyDescent="0.25">
      <c r="C2092" s="5">
        <v>150</v>
      </c>
      <c r="D2092" s="9" t="s">
        <v>13</v>
      </c>
      <c r="E2092" s="10">
        <v>130</v>
      </c>
      <c r="F2092" s="10">
        <f t="shared" si="28"/>
        <v>19500</v>
      </c>
    </row>
    <row r="2093" spans="1:6" x14ac:dyDescent="0.25">
      <c r="C2093" s="5">
        <v>150</v>
      </c>
      <c r="D2093" s="9" t="s">
        <v>8</v>
      </c>
      <c r="E2093" s="10">
        <v>150</v>
      </c>
      <c r="F2093" s="10">
        <f t="shared" si="28"/>
        <v>22500</v>
      </c>
    </row>
    <row r="2094" spans="1:6" x14ac:dyDescent="0.25">
      <c r="C2094" s="5">
        <v>100</v>
      </c>
      <c r="D2094" s="9" t="s">
        <v>11</v>
      </c>
      <c r="E2094" s="10">
        <v>115</v>
      </c>
      <c r="F2094" s="10">
        <f t="shared" si="28"/>
        <v>11500</v>
      </c>
    </row>
    <row r="2095" spans="1:6" x14ac:dyDescent="0.25">
      <c r="F2095" s="8">
        <f>SUM(F2091:F2094)</f>
        <v>77500</v>
      </c>
    </row>
    <row r="2096" spans="1:6" x14ac:dyDescent="0.25">
      <c r="F2096" s="10"/>
    </row>
    <row r="2097" spans="1:6" x14ac:dyDescent="0.25">
      <c r="A2097" s="9" t="s">
        <v>643</v>
      </c>
      <c r="B2097" s="4">
        <v>45806</v>
      </c>
      <c r="C2097" s="5">
        <v>15</v>
      </c>
      <c r="D2097" s="9" t="s">
        <v>98</v>
      </c>
      <c r="E2097" s="10">
        <v>100</v>
      </c>
      <c r="F2097" s="10">
        <f t="shared" si="28"/>
        <v>1500</v>
      </c>
    </row>
    <row r="2098" spans="1:6" x14ac:dyDescent="0.25">
      <c r="F2098" s="8">
        <f>SUM(F2097)</f>
        <v>1500</v>
      </c>
    </row>
    <row r="2099" spans="1:6" x14ac:dyDescent="0.25">
      <c r="F2099" s="10"/>
    </row>
    <row r="2100" spans="1:6" x14ac:dyDescent="0.25">
      <c r="A2100" s="9" t="s">
        <v>44</v>
      </c>
      <c r="B2100" s="4">
        <v>45806</v>
      </c>
      <c r="C2100" s="5">
        <v>10</v>
      </c>
      <c r="D2100" s="9" t="s">
        <v>13</v>
      </c>
      <c r="E2100" s="10">
        <v>140</v>
      </c>
      <c r="F2100" s="10">
        <f t="shared" si="28"/>
        <v>1400</v>
      </c>
    </row>
    <row r="2101" spans="1:6" x14ac:dyDescent="0.25">
      <c r="F2101" s="8">
        <f>SUM(F2100)</f>
        <v>1400</v>
      </c>
    </row>
    <row r="2102" spans="1:6" x14ac:dyDescent="0.25">
      <c r="F2102" s="10"/>
    </row>
    <row r="2103" spans="1:6" x14ac:dyDescent="0.25">
      <c r="A2103" s="9" t="s">
        <v>211</v>
      </c>
      <c r="B2103" s="4">
        <v>45806</v>
      </c>
      <c r="C2103" s="5">
        <v>12</v>
      </c>
      <c r="D2103" s="9" t="s">
        <v>98</v>
      </c>
      <c r="E2103" s="10">
        <v>100</v>
      </c>
      <c r="F2103" s="10">
        <f t="shared" si="28"/>
        <v>1200</v>
      </c>
    </row>
    <row r="2104" spans="1:6" x14ac:dyDescent="0.25">
      <c r="F2104" s="8">
        <f>SUM(F2103)</f>
        <v>1200</v>
      </c>
    </row>
    <row r="2105" spans="1:6" x14ac:dyDescent="0.25">
      <c r="F2105" s="10"/>
    </row>
    <row r="2106" spans="1:6" x14ac:dyDescent="0.25">
      <c r="A2106" s="9" t="s">
        <v>245</v>
      </c>
      <c r="B2106" s="4">
        <v>45806</v>
      </c>
      <c r="C2106" s="5">
        <v>120</v>
      </c>
      <c r="D2106" s="9" t="s">
        <v>13</v>
      </c>
      <c r="E2106" s="10">
        <v>140</v>
      </c>
      <c r="F2106" s="10">
        <f t="shared" si="28"/>
        <v>16800</v>
      </c>
    </row>
    <row r="2107" spans="1:6" x14ac:dyDescent="0.25">
      <c r="C2107" s="5">
        <v>30</v>
      </c>
      <c r="D2107" s="9" t="s">
        <v>14</v>
      </c>
      <c r="E2107" s="10">
        <v>130</v>
      </c>
      <c r="F2107" s="10">
        <f t="shared" si="28"/>
        <v>3900</v>
      </c>
    </row>
    <row r="2108" spans="1:6" x14ac:dyDescent="0.25">
      <c r="F2108" s="8">
        <f>SUM(F2106:F2107)</f>
        <v>20700</v>
      </c>
    </row>
    <row r="2109" spans="1:6" x14ac:dyDescent="0.25">
      <c r="F2109" s="10"/>
    </row>
    <row r="2110" spans="1:6" x14ac:dyDescent="0.25">
      <c r="A2110" s="9" t="s">
        <v>103</v>
      </c>
      <c r="B2110" s="4">
        <v>45806</v>
      </c>
      <c r="C2110" s="5">
        <v>4</v>
      </c>
      <c r="D2110" s="9" t="s">
        <v>13</v>
      </c>
      <c r="E2110" s="10">
        <v>150</v>
      </c>
      <c r="F2110" s="10">
        <f t="shared" si="28"/>
        <v>600</v>
      </c>
    </row>
    <row r="2111" spans="1:6" x14ac:dyDescent="0.25">
      <c r="F2111" s="8">
        <f>SUM(F2110)</f>
        <v>600</v>
      </c>
    </row>
    <row r="2112" spans="1:6" x14ac:dyDescent="0.25">
      <c r="F2112" s="10"/>
    </row>
    <row r="2113" spans="1:6" x14ac:dyDescent="0.25">
      <c r="A2113" s="9" t="s">
        <v>87</v>
      </c>
      <c r="B2113" s="4">
        <v>45806</v>
      </c>
      <c r="C2113" s="5">
        <v>2</v>
      </c>
      <c r="D2113" s="9" t="s">
        <v>13</v>
      </c>
      <c r="E2113" s="10">
        <v>150</v>
      </c>
      <c r="F2113" s="10">
        <f t="shared" si="28"/>
        <v>300</v>
      </c>
    </row>
    <row r="2114" spans="1:6" x14ac:dyDescent="0.25">
      <c r="C2114" s="5">
        <v>2</v>
      </c>
      <c r="D2114" s="9" t="s">
        <v>12</v>
      </c>
      <c r="E2114" s="10">
        <v>130</v>
      </c>
      <c r="F2114" s="10">
        <f t="shared" si="28"/>
        <v>260</v>
      </c>
    </row>
    <row r="2115" spans="1:6" x14ac:dyDescent="0.25">
      <c r="F2115" s="8">
        <f>SUM(F2113:F2114)</f>
        <v>560</v>
      </c>
    </row>
    <row r="2116" spans="1:6" x14ac:dyDescent="0.25">
      <c r="F2116" s="10"/>
    </row>
    <row r="2117" spans="1:6" x14ac:dyDescent="0.25">
      <c r="A2117" s="9" t="s">
        <v>89</v>
      </c>
      <c r="B2117" s="4">
        <v>45806</v>
      </c>
      <c r="C2117" s="5">
        <v>40</v>
      </c>
      <c r="D2117" s="9" t="s">
        <v>22</v>
      </c>
      <c r="E2117" s="10">
        <v>100</v>
      </c>
      <c r="F2117" s="10">
        <f t="shared" si="28"/>
        <v>4000</v>
      </c>
    </row>
    <row r="2118" spans="1:6" x14ac:dyDescent="0.25">
      <c r="C2118" s="5">
        <v>20</v>
      </c>
      <c r="D2118" s="9" t="s">
        <v>11</v>
      </c>
      <c r="E2118" s="10">
        <v>110</v>
      </c>
      <c r="F2118" s="10">
        <f t="shared" si="28"/>
        <v>2200</v>
      </c>
    </row>
    <row r="2119" spans="1:6" x14ac:dyDescent="0.25">
      <c r="F2119" s="8">
        <f>SUM(F2117:F2118)</f>
        <v>6200</v>
      </c>
    </row>
    <row r="2120" spans="1:6" x14ac:dyDescent="0.25">
      <c r="F2120" s="10"/>
    </row>
    <row r="2121" spans="1:6" x14ac:dyDescent="0.25">
      <c r="A2121" s="9" t="s">
        <v>391</v>
      </c>
      <c r="B2121" s="4">
        <v>45806</v>
      </c>
      <c r="C2121" s="5">
        <v>20</v>
      </c>
      <c r="D2121" s="9" t="s">
        <v>8</v>
      </c>
      <c r="E2121" s="10">
        <v>145</v>
      </c>
      <c r="F2121" s="10">
        <f t="shared" si="28"/>
        <v>2900</v>
      </c>
    </row>
    <row r="2122" spans="1:6" x14ac:dyDescent="0.25">
      <c r="F2122" s="8">
        <f>SUM(F2121)</f>
        <v>2900</v>
      </c>
    </row>
    <row r="2123" spans="1:6" x14ac:dyDescent="0.25">
      <c r="F2123" s="10"/>
    </row>
    <row r="2124" spans="1:6" x14ac:dyDescent="0.25">
      <c r="A2124" s="9" t="s">
        <v>184</v>
      </c>
      <c r="B2124" s="4">
        <v>45806</v>
      </c>
      <c r="C2124" s="5">
        <v>7</v>
      </c>
      <c r="D2124" s="9" t="s">
        <v>13</v>
      </c>
      <c r="E2124" s="10">
        <v>150</v>
      </c>
      <c r="F2124" s="10">
        <f t="shared" si="28"/>
        <v>1050</v>
      </c>
    </row>
    <row r="2125" spans="1:6" x14ac:dyDescent="0.25">
      <c r="F2125" s="8">
        <f>SUM(F2124)</f>
        <v>1050</v>
      </c>
    </row>
    <row r="2126" spans="1:6" x14ac:dyDescent="0.25">
      <c r="F2126" s="10"/>
    </row>
    <row r="2127" spans="1:6" x14ac:dyDescent="0.25">
      <c r="A2127" s="9" t="s">
        <v>111</v>
      </c>
      <c r="B2127" s="4">
        <v>45806</v>
      </c>
      <c r="C2127" s="5">
        <v>30</v>
      </c>
      <c r="D2127" s="9" t="s">
        <v>13</v>
      </c>
      <c r="E2127" s="10">
        <v>140</v>
      </c>
      <c r="F2127" s="10">
        <f t="shared" si="28"/>
        <v>4200</v>
      </c>
    </row>
    <row r="2128" spans="1:6" x14ac:dyDescent="0.25">
      <c r="C2128" s="5">
        <v>1</v>
      </c>
      <c r="D2128" s="9" t="s">
        <v>318</v>
      </c>
      <c r="E2128" s="10">
        <v>0</v>
      </c>
      <c r="F2128" s="10">
        <f t="shared" si="28"/>
        <v>0</v>
      </c>
    </row>
    <row r="2129" spans="1:6" x14ac:dyDescent="0.25">
      <c r="F2129" s="8">
        <f>SUM(F2127:F2128)</f>
        <v>4200</v>
      </c>
    </row>
    <row r="2130" spans="1:6" x14ac:dyDescent="0.25">
      <c r="F2130" s="10"/>
    </row>
    <row r="2131" spans="1:6" x14ac:dyDescent="0.25">
      <c r="A2131" s="9" t="s">
        <v>61</v>
      </c>
      <c r="B2131" s="4">
        <v>45806</v>
      </c>
      <c r="C2131" s="5">
        <v>50</v>
      </c>
      <c r="D2131" s="9" t="s">
        <v>13</v>
      </c>
      <c r="E2131" s="10">
        <v>130</v>
      </c>
      <c r="F2131" s="10">
        <f t="shared" si="28"/>
        <v>6500</v>
      </c>
    </row>
    <row r="2132" spans="1:6" x14ac:dyDescent="0.25">
      <c r="F2132" s="8">
        <f>SUM(F2131)</f>
        <v>6500</v>
      </c>
    </row>
    <row r="2133" spans="1:6" x14ac:dyDescent="0.25">
      <c r="F2133" s="10"/>
    </row>
    <row r="2134" spans="1:6" x14ac:dyDescent="0.25">
      <c r="A2134" s="9" t="s">
        <v>558</v>
      </c>
      <c r="B2134" s="4">
        <v>45806</v>
      </c>
      <c r="C2134" s="5">
        <v>5</v>
      </c>
      <c r="D2134" s="9" t="s">
        <v>13</v>
      </c>
      <c r="E2134" s="10">
        <v>150</v>
      </c>
      <c r="F2134" s="10">
        <f t="shared" ref="F2134:F2186" si="29">+C2134*E2134</f>
        <v>750</v>
      </c>
    </row>
    <row r="2135" spans="1:6" x14ac:dyDescent="0.25">
      <c r="F2135" s="8">
        <f>SUM(F2134)</f>
        <v>750</v>
      </c>
    </row>
    <row r="2136" spans="1:6" x14ac:dyDescent="0.25">
      <c r="F2136" s="10"/>
    </row>
    <row r="2137" spans="1:6" x14ac:dyDescent="0.25">
      <c r="A2137" s="9" t="s">
        <v>535</v>
      </c>
      <c r="B2137" s="4">
        <v>45806</v>
      </c>
      <c r="C2137" s="5">
        <v>27</v>
      </c>
      <c r="D2137" s="9" t="s">
        <v>8</v>
      </c>
      <c r="E2137" s="10">
        <v>160</v>
      </c>
      <c r="F2137" s="10">
        <f t="shared" si="29"/>
        <v>4320</v>
      </c>
    </row>
    <row r="2138" spans="1:6" x14ac:dyDescent="0.25">
      <c r="C2138" s="5">
        <v>13</v>
      </c>
      <c r="D2138" s="9" t="s">
        <v>12</v>
      </c>
      <c r="E2138" s="10">
        <v>130</v>
      </c>
      <c r="F2138" s="10">
        <f t="shared" si="29"/>
        <v>1690</v>
      </c>
    </row>
    <row r="2139" spans="1:6" x14ac:dyDescent="0.25">
      <c r="C2139" s="5">
        <v>70</v>
      </c>
      <c r="D2139" s="9" t="s">
        <v>13</v>
      </c>
      <c r="E2139" s="10">
        <v>140</v>
      </c>
      <c r="F2139" s="10">
        <f t="shared" si="29"/>
        <v>9800</v>
      </c>
    </row>
    <row r="2140" spans="1:6" x14ac:dyDescent="0.25">
      <c r="C2140" s="5">
        <v>10</v>
      </c>
      <c r="D2140" s="9" t="s">
        <v>13</v>
      </c>
      <c r="E2140" s="10">
        <v>135</v>
      </c>
      <c r="F2140" s="10">
        <f t="shared" si="29"/>
        <v>1350</v>
      </c>
    </row>
    <row r="2141" spans="1:6" x14ac:dyDescent="0.25">
      <c r="C2141" s="5">
        <v>7</v>
      </c>
      <c r="D2141" s="9" t="s">
        <v>14</v>
      </c>
      <c r="E2141" s="10">
        <v>135</v>
      </c>
      <c r="F2141" s="10">
        <f t="shared" si="29"/>
        <v>945</v>
      </c>
    </row>
    <row r="2142" spans="1:6" x14ac:dyDescent="0.25">
      <c r="F2142" s="8">
        <f>SUM(F2137:F2141)</f>
        <v>18105</v>
      </c>
    </row>
    <row r="2143" spans="1:6" x14ac:dyDescent="0.25">
      <c r="F2143" s="10"/>
    </row>
    <row r="2144" spans="1:6" x14ac:dyDescent="0.25">
      <c r="A2144" s="9" t="s">
        <v>7</v>
      </c>
      <c r="B2144" s="4">
        <v>45806</v>
      </c>
      <c r="C2144" s="11">
        <v>0.5</v>
      </c>
      <c r="D2144" s="9" t="s">
        <v>644</v>
      </c>
      <c r="E2144" s="10">
        <v>100</v>
      </c>
      <c r="F2144" s="10">
        <f t="shared" si="29"/>
        <v>50</v>
      </c>
    </row>
    <row r="2145" spans="1:6" x14ac:dyDescent="0.25">
      <c r="F2145" s="8">
        <f>SUM(F2144)</f>
        <v>50</v>
      </c>
    </row>
    <row r="2146" spans="1:6" x14ac:dyDescent="0.25">
      <c r="F2146" s="10"/>
    </row>
    <row r="2147" spans="1:6" x14ac:dyDescent="0.25">
      <c r="A2147" s="9" t="s">
        <v>76</v>
      </c>
      <c r="B2147" s="4">
        <v>45807</v>
      </c>
      <c r="C2147" s="5">
        <v>165</v>
      </c>
      <c r="D2147" s="9" t="s">
        <v>49</v>
      </c>
      <c r="E2147" s="10">
        <v>130</v>
      </c>
      <c r="F2147" s="10">
        <f t="shared" si="29"/>
        <v>21450</v>
      </c>
    </row>
    <row r="2148" spans="1:6" x14ac:dyDescent="0.25">
      <c r="C2148" s="5">
        <v>100</v>
      </c>
      <c r="D2148" s="9" t="s">
        <v>12</v>
      </c>
      <c r="E2148" s="10">
        <v>115</v>
      </c>
      <c r="F2148" s="10">
        <f t="shared" si="29"/>
        <v>11500</v>
      </c>
    </row>
    <row r="2149" spans="1:6" x14ac:dyDescent="0.25">
      <c r="C2149" s="5">
        <v>83</v>
      </c>
      <c r="D2149" s="9" t="s">
        <v>547</v>
      </c>
      <c r="E2149" s="10">
        <v>75</v>
      </c>
      <c r="F2149" s="10">
        <f t="shared" si="29"/>
        <v>6225</v>
      </c>
    </row>
    <row r="2150" spans="1:6" x14ac:dyDescent="0.25">
      <c r="C2150" s="5">
        <v>50</v>
      </c>
      <c r="D2150" s="9" t="s">
        <v>22</v>
      </c>
      <c r="E2150" s="10">
        <v>85</v>
      </c>
      <c r="F2150" s="10">
        <f t="shared" si="29"/>
        <v>4250</v>
      </c>
    </row>
    <row r="2151" spans="1:6" x14ac:dyDescent="0.25">
      <c r="F2151" s="8">
        <f>SUM(F2147:F2150)</f>
        <v>43425</v>
      </c>
    </row>
    <row r="2152" spans="1:6" x14ac:dyDescent="0.25">
      <c r="F2152" s="10"/>
    </row>
    <row r="2153" spans="1:6" x14ac:dyDescent="0.25">
      <c r="A2153" s="9" t="s">
        <v>15</v>
      </c>
      <c r="B2153" s="4">
        <v>45807</v>
      </c>
      <c r="C2153" s="5">
        <v>66</v>
      </c>
      <c r="D2153" s="9" t="s">
        <v>98</v>
      </c>
      <c r="E2153" s="10">
        <v>80</v>
      </c>
      <c r="F2153" s="10">
        <f t="shared" si="29"/>
        <v>5280</v>
      </c>
    </row>
    <row r="2154" spans="1:6" x14ac:dyDescent="0.25">
      <c r="F2154" s="8">
        <f>SUM(F2153)</f>
        <v>5280</v>
      </c>
    </row>
    <row r="2155" spans="1:6" x14ac:dyDescent="0.25">
      <c r="F2155" s="10"/>
    </row>
    <row r="2156" spans="1:6" x14ac:dyDescent="0.25">
      <c r="A2156" s="9" t="s">
        <v>69</v>
      </c>
      <c r="B2156" s="4">
        <v>45807</v>
      </c>
      <c r="C2156" s="5">
        <v>12</v>
      </c>
      <c r="D2156" s="9" t="s">
        <v>98</v>
      </c>
      <c r="E2156" s="10">
        <v>100</v>
      </c>
      <c r="F2156" s="10">
        <f t="shared" si="29"/>
        <v>1200</v>
      </c>
    </row>
    <row r="2157" spans="1:6" x14ac:dyDescent="0.25">
      <c r="F2157" s="8">
        <f>SUM(F2156)</f>
        <v>1200</v>
      </c>
    </row>
    <row r="2158" spans="1:6" x14ac:dyDescent="0.25">
      <c r="F2158" s="10"/>
    </row>
    <row r="2159" spans="1:6" x14ac:dyDescent="0.25">
      <c r="A2159" s="9" t="s">
        <v>442</v>
      </c>
      <c r="B2159" s="4">
        <v>45807</v>
      </c>
      <c r="C2159" s="5">
        <v>30</v>
      </c>
      <c r="D2159" s="9" t="s">
        <v>13</v>
      </c>
      <c r="E2159" s="10">
        <v>135</v>
      </c>
      <c r="F2159" s="10">
        <f t="shared" si="29"/>
        <v>4050</v>
      </c>
    </row>
    <row r="2160" spans="1:6" x14ac:dyDescent="0.25">
      <c r="F2160" s="8">
        <f>SUM(F2159)</f>
        <v>4050</v>
      </c>
    </row>
    <row r="2161" spans="1:6" x14ac:dyDescent="0.25">
      <c r="F2161" s="10"/>
    </row>
    <row r="2162" spans="1:6" x14ac:dyDescent="0.25">
      <c r="A2162" s="9" t="s">
        <v>17</v>
      </c>
      <c r="B2162" s="4">
        <v>45807</v>
      </c>
      <c r="C2162" s="5">
        <v>10</v>
      </c>
      <c r="D2162" s="9" t="s">
        <v>13</v>
      </c>
      <c r="E2162" s="10">
        <v>140</v>
      </c>
      <c r="F2162" s="10">
        <f t="shared" si="29"/>
        <v>1400</v>
      </c>
    </row>
    <row r="2163" spans="1:6" x14ac:dyDescent="0.25">
      <c r="F2163" s="8">
        <f>SUM(F2162)</f>
        <v>1400</v>
      </c>
    </row>
    <row r="2164" spans="1:6" x14ac:dyDescent="0.25">
      <c r="F2164" s="10"/>
    </row>
    <row r="2165" spans="1:6" x14ac:dyDescent="0.25">
      <c r="A2165" s="9" t="s">
        <v>157</v>
      </c>
      <c r="B2165" s="4">
        <v>45807</v>
      </c>
      <c r="C2165" s="5">
        <v>10</v>
      </c>
      <c r="D2165" s="9" t="s">
        <v>8</v>
      </c>
      <c r="E2165" s="10">
        <v>155</v>
      </c>
      <c r="F2165" s="10">
        <f t="shared" si="29"/>
        <v>1550</v>
      </c>
    </row>
    <row r="2166" spans="1:6" x14ac:dyDescent="0.25">
      <c r="F2166" s="8">
        <f>SUM(F2165)</f>
        <v>1550</v>
      </c>
    </row>
    <row r="2167" spans="1:6" x14ac:dyDescent="0.25">
      <c r="F2167" s="10"/>
    </row>
    <row r="2168" spans="1:6" x14ac:dyDescent="0.25">
      <c r="A2168" s="9" t="s">
        <v>20</v>
      </c>
      <c r="B2168" s="4">
        <v>45807</v>
      </c>
      <c r="C2168" s="5">
        <v>10</v>
      </c>
      <c r="D2168" s="9" t="s">
        <v>13</v>
      </c>
      <c r="E2168" s="10">
        <v>135</v>
      </c>
      <c r="F2168" s="10">
        <f t="shared" si="29"/>
        <v>1350</v>
      </c>
    </row>
    <row r="2169" spans="1:6" x14ac:dyDescent="0.25">
      <c r="F2169" s="8">
        <f>SUM(F2168)</f>
        <v>1350</v>
      </c>
    </row>
    <row r="2170" spans="1:6" x14ac:dyDescent="0.25">
      <c r="F2170" s="10"/>
    </row>
    <row r="2171" spans="1:6" x14ac:dyDescent="0.25">
      <c r="A2171" s="9" t="s">
        <v>21</v>
      </c>
      <c r="B2171" s="4">
        <v>45807</v>
      </c>
      <c r="C2171" s="5">
        <v>30</v>
      </c>
      <c r="D2171" s="9" t="s">
        <v>13</v>
      </c>
      <c r="E2171" s="10">
        <v>135</v>
      </c>
      <c r="F2171" s="10">
        <f t="shared" si="29"/>
        <v>4050</v>
      </c>
    </row>
    <row r="2172" spans="1:6" x14ac:dyDescent="0.25">
      <c r="C2172" s="5">
        <v>15</v>
      </c>
      <c r="D2172" s="9" t="s">
        <v>14</v>
      </c>
      <c r="E2172" s="10">
        <v>125</v>
      </c>
      <c r="F2172" s="10">
        <f t="shared" si="29"/>
        <v>1875</v>
      </c>
    </row>
    <row r="2173" spans="1:6" x14ac:dyDescent="0.25">
      <c r="F2173" s="8">
        <f>SUM(F2171:F2172)</f>
        <v>5925</v>
      </c>
    </row>
    <row r="2174" spans="1:6" x14ac:dyDescent="0.25">
      <c r="F2174" s="10"/>
    </row>
    <row r="2175" spans="1:6" x14ac:dyDescent="0.25">
      <c r="A2175" s="9" t="s">
        <v>148</v>
      </c>
      <c r="B2175" s="4">
        <v>45807</v>
      </c>
      <c r="C2175" s="5">
        <v>10</v>
      </c>
      <c r="D2175" s="9" t="s">
        <v>14</v>
      </c>
      <c r="E2175" s="10">
        <v>125</v>
      </c>
      <c r="F2175" s="10">
        <f t="shared" si="29"/>
        <v>1250</v>
      </c>
    </row>
    <row r="2176" spans="1:6" x14ac:dyDescent="0.25">
      <c r="F2176" s="8">
        <f>SUM(F2175)</f>
        <v>1250</v>
      </c>
    </row>
    <row r="2177" spans="1:6" x14ac:dyDescent="0.25">
      <c r="F2177" s="10"/>
    </row>
    <row r="2178" spans="1:6" x14ac:dyDescent="0.25">
      <c r="A2178" s="9" t="s">
        <v>37</v>
      </c>
      <c r="B2178" s="4">
        <v>45807</v>
      </c>
      <c r="C2178" s="5">
        <v>15</v>
      </c>
      <c r="D2178" s="9" t="s">
        <v>645</v>
      </c>
      <c r="E2178" s="10">
        <v>130</v>
      </c>
      <c r="F2178" s="10">
        <f t="shared" si="29"/>
        <v>1950</v>
      </c>
    </row>
    <row r="2179" spans="1:6" x14ac:dyDescent="0.25">
      <c r="F2179" s="8">
        <f>SUM(F2178)</f>
        <v>1950</v>
      </c>
    </row>
    <row r="2180" spans="1:6" x14ac:dyDescent="0.25">
      <c r="F2180" s="10"/>
    </row>
    <row r="2181" spans="1:6" x14ac:dyDescent="0.25">
      <c r="A2181" s="9" t="s">
        <v>151</v>
      </c>
      <c r="B2181" s="4">
        <v>45807</v>
      </c>
      <c r="C2181" s="5">
        <v>10</v>
      </c>
      <c r="D2181" s="9" t="s">
        <v>14</v>
      </c>
      <c r="E2181" s="10">
        <v>125</v>
      </c>
      <c r="F2181" s="10">
        <f t="shared" si="29"/>
        <v>1250</v>
      </c>
    </row>
    <row r="2182" spans="1:6" x14ac:dyDescent="0.25">
      <c r="C2182" s="5">
        <v>10</v>
      </c>
      <c r="D2182" s="9" t="s">
        <v>646</v>
      </c>
      <c r="E2182" s="10">
        <v>110</v>
      </c>
      <c r="F2182" s="10">
        <f t="shared" si="29"/>
        <v>1100</v>
      </c>
    </row>
    <row r="2183" spans="1:6" x14ac:dyDescent="0.25">
      <c r="F2183" s="8">
        <f>SUM(F2181:F2182)</f>
        <v>2350</v>
      </c>
    </row>
    <row r="2184" spans="1:6" x14ac:dyDescent="0.25">
      <c r="F2184" s="10"/>
    </row>
    <row r="2185" spans="1:6" x14ac:dyDescent="0.25">
      <c r="A2185" s="9" t="s">
        <v>40</v>
      </c>
      <c r="B2185" s="4">
        <v>45807</v>
      </c>
      <c r="C2185" s="5">
        <v>20</v>
      </c>
      <c r="D2185" s="9" t="s">
        <v>8</v>
      </c>
      <c r="E2185" s="10">
        <v>155</v>
      </c>
      <c r="F2185" s="10">
        <f t="shared" si="29"/>
        <v>3100</v>
      </c>
    </row>
    <row r="2186" spans="1:6" x14ac:dyDescent="0.25">
      <c r="C2186" s="5">
        <v>10</v>
      </c>
      <c r="D2186" s="9" t="s">
        <v>13</v>
      </c>
      <c r="E2186" s="10">
        <v>135</v>
      </c>
      <c r="F2186" s="10">
        <f t="shared" si="29"/>
        <v>1350</v>
      </c>
    </row>
    <row r="2187" spans="1:6" x14ac:dyDescent="0.25">
      <c r="F2187" s="8">
        <f>SUM(F2185:F2186)</f>
        <v>4450</v>
      </c>
    </row>
    <row r="2188" spans="1:6" x14ac:dyDescent="0.25">
      <c r="F2188" s="10"/>
    </row>
    <row r="2189" spans="1:6" x14ac:dyDescent="0.25">
      <c r="A2189" s="9" t="s">
        <v>80</v>
      </c>
      <c r="B2189" s="4">
        <v>45807</v>
      </c>
      <c r="C2189" s="5">
        <v>5</v>
      </c>
      <c r="D2189" s="9" t="s">
        <v>13</v>
      </c>
      <c r="E2189" s="10">
        <v>140</v>
      </c>
      <c r="F2189" s="10">
        <f>+C2189*E2189</f>
        <v>700</v>
      </c>
    </row>
    <row r="2190" spans="1:6" x14ac:dyDescent="0.25">
      <c r="F2190" s="8">
        <f>SUM(F2189)</f>
        <v>700</v>
      </c>
    </row>
    <row r="2191" spans="1:6" x14ac:dyDescent="0.25">
      <c r="F2191" s="10"/>
    </row>
    <row r="2192" spans="1:6" x14ac:dyDescent="0.25">
      <c r="A2192" s="9" t="s">
        <v>18</v>
      </c>
      <c r="B2192" s="4">
        <v>45807</v>
      </c>
      <c r="C2192" s="5">
        <v>5</v>
      </c>
      <c r="D2192" s="9" t="s">
        <v>13</v>
      </c>
      <c r="E2192" s="10">
        <v>140</v>
      </c>
      <c r="F2192" s="10">
        <f t="shared" ref="F2192:F2195" si="30">+C2192*E2192</f>
        <v>700</v>
      </c>
    </row>
    <row r="2193" spans="1:6" x14ac:dyDescent="0.25">
      <c r="F2193" s="8">
        <f>SUM(F2192)</f>
        <v>700</v>
      </c>
    </row>
    <row r="2194" spans="1:6" x14ac:dyDescent="0.25">
      <c r="F2194" s="10"/>
    </row>
    <row r="2195" spans="1:6" x14ac:dyDescent="0.25">
      <c r="A2195" s="9" t="s">
        <v>41</v>
      </c>
      <c r="B2195" s="4">
        <v>45807</v>
      </c>
      <c r="C2195" s="5">
        <v>20</v>
      </c>
      <c r="D2195" s="9" t="s">
        <v>14</v>
      </c>
      <c r="E2195" s="10">
        <v>130</v>
      </c>
      <c r="F2195" s="10">
        <f t="shared" si="30"/>
        <v>2600</v>
      </c>
    </row>
    <row r="2196" spans="1:6" x14ac:dyDescent="0.25">
      <c r="F2196" s="8">
        <f>SUM(F2195)</f>
        <v>2600</v>
      </c>
    </row>
    <row r="2197" spans="1:6" x14ac:dyDescent="0.25">
      <c r="F2197" s="10"/>
    </row>
    <row r="2198" spans="1:6" x14ac:dyDescent="0.25">
      <c r="A2198" s="9" t="s">
        <v>253</v>
      </c>
      <c r="B2198" s="4">
        <v>45807</v>
      </c>
      <c r="C2198" s="5">
        <v>11</v>
      </c>
      <c r="D2198" s="9" t="s">
        <v>14</v>
      </c>
      <c r="E2198" s="10">
        <v>125</v>
      </c>
      <c r="F2198" s="10">
        <f>+C2198*E2198</f>
        <v>1375</v>
      </c>
    </row>
    <row r="2199" spans="1:6" x14ac:dyDescent="0.25">
      <c r="F2199" s="8">
        <f>SUM(F2198)</f>
        <v>1375</v>
      </c>
    </row>
    <row r="2200" spans="1:6" x14ac:dyDescent="0.25">
      <c r="F2200" s="10"/>
    </row>
    <row r="2201" spans="1:6" x14ac:dyDescent="0.25">
      <c r="A2201" s="9" t="s">
        <v>43</v>
      </c>
      <c r="B2201" s="4">
        <v>45807</v>
      </c>
      <c r="C2201" s="5">
        <v>40</v>
      </c>
      <c r="D2201" s="9" t="s">
        <v>49</v>
      </c>
      <c r="E2201" s="10">
        <v>135</v>
      </c>
      <c r="F2201" s="10">
        <f t="shared" ref="F2201:F2337" si="31">+C2201*E2201</f>
        <v>5400</v>
      </c>
    </row>
    <row r="2202" spans="1:6" x14ac:dyDescent="0.25">
      <c r="C2202" s="5">
        <v>10</v>
      </c>
      <c r="D2202" s="9" t="s">
        <v>483</v>
      </c>
      <c r="E2202" s="10">
        <v>140</v>
      </c>
      <c r="F2202" s="10">
        <f t="shared" si="31"/>
        <v>1400</v>
      </c>
    </row>
    <row r="2203" spans="1:6" x14ac:dyDescent="0.25">
      <c r="F2203" s="8">
        <f>SUM(F2201:F2202)</f>
        <v>6800</v>
      </c>
    </row>
    <row r="2204" spans="1:6" x14ac:dyDescent="0.25">
      <c r="F2204" s="10"/>
    </row>
    <row r="2205" spans="1:6" x14ac:dyDescent="0.25">
      <c r="A2205" s="9" t="s">
        <v>44</v>
      </c>
      <c r="B2205" s="4">
        <v>45807</v>
      </c>
      <c r="C2205" s="5">
        <v>60</v>
      </c>
      <c r="D2205" s="9" t="s">
        <v>14</v>
      </c>
      <c r="E2205" s="10">
        <v>125</v>
      </c>
      <c r="F2205" s="10">
        <f t="shared" si="31"/>
        <v>7500</v>
      </c>
    </row>
    <row r="2206" spans="1:6" x14ac:dyDescent="0.25">
      <c r="F2206" s="8">
        <f>SUM(F2205)</f>
        <v>7500</v>
      </c>
    </row>
    <row r="2207" spans="1:6" x14ac:dyDescent="0.25">
      <c r="F2207" s="10"/>
    </row>
    <row r="2208" spans="1:6" x14ac:dyDescent="0.25">
      <c r="A2208" s="9" t="s">
        <v>18</v>
      </c>
      <c r="B2208" s="4">
        <v>45807</v>
      </c>
      <c r="C2208" s="5">
        <v>20</v>
      </c>
      <c r="D2208" s="9" t="s">
        <v>14</v>
      </c>
      <c r="E2208" s="10">
        <v>125</v>
      </c>
      <c r="F2208" s="10">
        <f t="shared" si="31"/>
        <v>2500</v>
      </c>
    </row>
    <row r="2209" spans="1:6" x14ac:dyDescent="0.25">
      <c r="F2209" s="8">
        <f>SUM(F2208)</f>
        <v>2500</v>
      </c>
    </row>
    <row r="2210" spans="1:6" x14ac:dyDescent="0.25">
      <c r="F2210" s="10"/>
    </row>
    <row r="2211" spans="1:6" x14ac:dyDescent="0.25">
      <c r="A2211" s="9" t="s">
        <v>46</v>
      </c>
      <c r="B2211" s="4">
        <v>45807</v>
      </c>
      <c r="C2211" s="5">
        <v>20</v>
      </c>
      <c r="D2211" s="9" t="s">
        <v>14</v>
      </c>
      <c r="E2211" s="10">
        <v>125</v>
      </c>
      <c r="F2211" s="10">
        <f t="shared" si="31"/>
        <v>2500</v>
      </c>
    </row>
    <row r="2212" spans="1:6" x14ac:dyDescent="0.25">
      <c r="F2212" s="8">
        <f>SUM(F2211)</f>
        <v>2500</v>
      </c>
    </row>
    <row r="2213" spans="1:6" x14ac:dyDescent="0.25">
      <c r="F2213" s="10"/>
    </row>
    <row r="2214" spans="1:6" x14ac:dyDescent="0.25">
      <c r="A2214" s="9" t="s">
        <v>47</v>
      </c>
      <c r="B2214" s="4">
        <v>45807</v>
      </c>
      <c r="C2214" s="5">
        <v>30</v>
      </c>
      <c r="D2214" s="9" t="s">
        <v>14</v>
      </c>
      <c r="E2214" s="10">
        <v>125</v>
      </c>
      <c r="F2214" s="10">
        <f t="shared" si="31"/>
        <v>3750</v>
      </c>
    </row>
    <row r="2215" spans="1:6" x14ac:dyDescent="0.25">
      <c r="F2215" s="8">
        <f>SUM(F2214)</f>
        <v>3750</v>
      </c>
    </row>
    <row r="2216" spans="1:6" x14ac:dyDescent="0.25">
      <c r="F2216" s="10"/>
    </row>
    <row r="2217" spans="1:6" x14ac:dyDescent="0.25">
      <c r="A2217" s="9" t="s">
        <v>145</v>
      </c>
      <c r="B2217" s="4">
        <v>45807</v>
      </c>
      <c r="C2217" s="5">
        <v>20</v>
      </c>
      <c r="D2217" s="9" t="s">
        <v>14</v>
      </c>
      <c r="E2217" s="10">
        <v>120</v>
      </c>
      <c r="F2217" s="10">
        <f t="shared" si="31"/>
        <v>2400</v>
      </c>
    </row>
    <row r="2218" spans="1:6" x14ac:dyDescent="0.25">
      <c r="F2218" s="8">
        <f>SUM(F2217)</f>
        <v>2400</v>
      </c>
    </row>
    <row r="2219" spans="1:6" x14ac:dyDescent="0.25">
      <c r="F2219" s="10"/>
    </row>
    <row r="2220" spans="1:6" x14ac:dyDescent="0.25">
      <c r="A2220" s="9" t="s">
        <v>48</v>
      </c>
      <c r="B2220" s="4">
        <v>45807</v>
      </c>
      <c r="C2220" s="5">
        <v>408</v>
      </c>
      <c r="D2220" s="9" t="s">
        <v>187</v>
      </c>
      <c r="F2220" s="10">
        <f t="shared" si="31"/>
        <v>0</v>
      </c>
    </row>
    <row r="2221" spans="1:6" x14ac:dyDescent="0.25">
      <c r="C2221" s="5">
        <v>28</v>
      </c>
      <c r="D2221" s="9" t="s">
        <v>49</v>
      </c>
      <c r="F2221" s="10">
        <f t="shared" si="31"/>
        <v>0</v>
      </c>
    </row>
    <row r="2222" spans="1:6" x14ac:dyDescent="0.25">
      <c r="C2222" s="5">
        <v>162</v>
      </c>
      <c r="D2222" s="9" t="s">
        <v>13</v>
      </c>
      <c r="F2222" s="10">
        <f t="shared" si="31"/>
        <v>0</v>
      </c>
    </row>
    <row r="2223" spans="1:6" x14ac:dyDescent="0.25">
      <c r="C2223" s="5">
        <v>127</v>
      </c>
      <c r="D2223" s="9" t="s">
        <v>11</v>
      </c>
      <c r="F2223" s="10">
        <f t="shared" si="31"/>
        <v>0</v>
      </c>
    </row>
    <row r="2224" spans="1:6" x14ac:dyDescent="0.25">
      <c r="C2224" s="5">
        <v>29</v>
      </c>
      <c r="D2224" s="9" t="s">
        <v>647</v>
      </c>
      <c r="F2224" s="10">
        <f t="shared" si="31"/>
        <v>0</v>
      </c>
    </row>
    <row r="2225" spans="1:6" x14ac:dyDescent="0.25">
      <c r="F2225" s="8">
        <f>SUM(F2220:F2224)</f>
        <v>0</v>
      </c>
    </row>
    <row r="2226" spans="1:6" x14ac:dyDescent="0.25">
      <c r="F2226" s="10"/>
    </row>
    <row r="2227" spans="1:6" x14ac:dyDescent="0.25">
      <c r="A2227" s="9" t="s">
        <v>259</v>
      </c>
      <c r="B2227" s="4">
        <v>45807</v>
      </c>
      <c r="C2227" s="5">
        <v>50</v>
      </c>
      <c r="D2227" s="9" t="s">
        <v>98</v>
      </c>
      <c r="F2227" s="10">
        <f t="shared" si="31"/>
        <v>0</v>
      </c>
    </row>
    <row r="2228" spans="1:6" x14ac:dyDescent="0.25">
      <c r="F2228" s="8">
        <f>SUM(F2227)</f>
        <v>0</v>
      </c>
    </row>
    <row r="2229" spans="1:6" x14ac:dyDescent="0.25">
      <c r="F2229" s="10"/>
    </row>
    <row r="2230" spans="1:6" x14ac:dyDescent="0.25">
      <c r="A2230" s="9" t="s">
        <v>643</v>
      </c>
      <c r="B2230" s="4">
        <v>45807</v>
      </c>
      <c r="C2230" s="5">
        <v>10</v>
      </c>
      <c r="D2230" s="9" t="s">
        <v>12</v>
      </c>
      <c r="E2230" s="10">
        <v>100</v>
      </c>
      <c r="F2230" s="10">
        <f t="shared" si="31"/>
        <v>1000</v>
      </c>
    </row>
    <row r="2231" spans="1:6" x14ac:dyDescent="0.25">
      <c r="F2231" s="8">
        <f>SUM(F2230)</f>
        <v>1000</v>
      </c>
    </row>
    <row r="2232" spans="1:6" x14ac:dyDescent="0.25">
      <c r="F2232" s="10"/>
    </row>
    <row r="2233" spans="1:6" x14ac:dyDescent="0.25">
      <c r="A2233" s="9" t="s">
        <v>648</v>
      </c>
      <c r="B2233" s="4">
        <v>45807</v>
      </c>
      <c r="C2233" s="5">
        <v>4</v>
      </c>
      <c r="D2233" s="9" t="s">
        <v>8</v>
      </c>
      <c r="E2233" s="10">
        <v>145</v>
      </c>
      <c r="F2233" s="10">
        <f t="shared" si="31"/>
        <v>580</v>
      </c>
    </row>
    <row r="2234" spans="1:6" x14ac:dyDescent="0.25">
      <c r="C2234" s="5">
        <v>5</v>
      </c>
      <c r="D2234" s="9" t="s">
        <v>649</v>
      </c>
      <c r="E2234" s="10">
        <v>130</v>
      </c>
      <c r="F2234" s="10">
        <f t="shared" si="31"/>
        <v>650</v>
      </c>
    </row>
    <row r="2235" spans="1:6" x14ac:dyDescent="0.25">
      <c r="F2235" s="8">
        <f>SUM(F2233:F2234)</f>
        <v>1230</v>
      </c>
    </row>
    <row r="2236" spans="1:6" x14ac:dyDescent="0.25">
      <c r="F2236" s="10"/>
    </row>
    <row r="2237" spans="1:6" x14ac:dyDescent="0.25">
      <c r="A2237" s="9" t="s">
        <v>650</v>
      </c>
      <c r="B2237" s="4">
        <v>45807</v>
      </c>
      <c r="C2237" s="5">
        <v>2</v>
      </c>
      <c r="D2237" s="9" t="s">
        <v>13</v>
      </c>
      <c r="E2237" s="10">
        <v>145</v>
      </c>
      <c r="F2237" s="10">
        <f t="shared" si="31"/>
        <v>290</v>
      </c>
    </row>
    <row r="2238" spans="1:6" x14ac:dyDescent="0.25">
      <c r="F2238" s="8">
        <f>SUM(F2237)</f>
        <v>290</v>
      </c>
    </row>
    <row r="2239" spans="1:6" x14ac:dyDescent="0.25">
      <c r="F2239" s="10"/>
    </row>
    <row r="2240" spans="1:6" x14ac:dyDescent="0.25">
      <c r="A2240" s="9" t="s">
        <v>29</v>
      </c>
      <c r="B2240" s="4">
        <v>45807</v>
      </c>
      <c r="C2240" s="5">
        <v>7</v>
      </c>
      <c r="D2240" s="9" t="s">
        <v>171</v>
      </c>
      <c r="E2240" s="10">
        <v>140</v>
      </c>
      <c r="F2240" s="10">
        <f t="shared" si="31"/>
        <v>980</v>
      </c>
    </row>
    <row r="2241" spans="1:6" x14ac:dyDescent="0.25">
      <c r="C2241" s="5">
        <v>2</v>
      </c>
      <c r="D2241" s="9" t="s">
        <v>13</v>
      </c>
      <c r="E2241" s="10">
        <v>160</v>
      </c>
      <c r="F2241" s="10">
        <f t="shared" si="31"/>
        <v>320</v>
      </c>
    </row>
    <row r="2242" spans="1:6" x14ac:dyDescent="0.25">
      <c r="F2242" s="8">
        <f>SUM(F2240:F2241)</f>
        <v>1300</v>
      </c>
    </row>
    <row r="2243" spans="1:6" x14ac:dyDescent="0.25">
      <c r="F2243" s="10"/>
    </row>
    <row r="2244" spans="1:6" x14ac:dyDescent="0.25">
      <c r="A2244" s="9" t="s">
        <v>7</v>
      </c>
      <c r="B2244" s="4">
        <v>45807</v>
      </c>
      <c r="C2244" s="5">
        <v>1</v>
      </c>
      <c r="D2244" s="9" t="s">
        <v>8</v>
      </c>
      <c r="E2244" s="10">
        <v>170</v>
      </c>
      <c r="F2244" s="10">
        <f t="shared" si="31"/>
        <v>170</v>
      </c>
    </row>
    <row r="2245" spans="1:6" x14ac:dyDescent="0.25">
      <c r="C2245" s="5">
        <v>1</v>
      </c>
      <c r="D2245" s="9" t="s">
        <v>440</v>
      </c>
      <c r="E2245" s="10">
        <v>100</v>
      </c>
      <c r="F2245" s="10">
        <f t="shared" si="31"/>
        <v>100</v>
      </c>
    </row>
    <row r="2246" spans="1:6" x14ac:dyDescent="0.25">
      <c r="F2246" s="8">
        <f>SUM(F2244:F2245)</f>
        <v>270</v>
      </c>
    </row>
    <row r="2247" spans="1:6" x14ac:dyDescent="0.25">
      <c r="F2247" s="10"/>
    </row>
    <row r="2248" spans="1:6" x14ac:dyDescent="0.25">
      <c r="A2248" s="9" t="s">
        <v>69</v>
      </c>
      <c r="B2248" s="4">
        <v>45808</v>
      </c>
      <c r="C2248" s="5">
        <v>10</v>
      </c>
      <c r="D2248" s="9" t="s">
        <v>8</v>
      </c>
      <c r="E2248" s="10">
        <v>160</v>
      </c>
      <c r="F2248" s="10">
        <f t="shared" si="31"/>
        <v>1600</v>
      </c>
    </row>
    <row r="2249" spans="1:6" x14ac:dyDescent="0.25">
      <c r="F2249" s="8">
        <f>SUM(F2248)</f>
        <v>1600</v>
      </c>
    </row>
    <row r="2250" spans="1:6" x14ac:dyDescent="0.25">
      <c r="F2250" s="10"/>
    </row>
    <row r="2251" spans="1:6" x14ac:dyDescent="0.25">
      <c r="A2251" s="9" t="s">
        <v>211</v>
      </c>
      <c r="B2251" s="4">
        <v>45808</v>
      </c>
      <c r="C2251" s="5">
        <v>12</v>
      </c>
      <c r="D2251" s="9" t="s">
        <v>98</v>
      </c>
      <c r="E2251" s="10">
        <v>100</v>
      </c>
      <c r="F2251" s="10">
        <f t="shared" si="31"/>
        <v>1200</v>
      </c>
    </row>
    <row r="2252" spans="1:6" x14ac:dyDescent="0.25">
      <c r="F2252" s="8">
        <f>SUM(F2251)</f>
        <v>1200</v>
      </c>
    </row>
    <row r="2253" spans="1:6" x14ac:dyDescent="0.25">
      <c r="F2253" s="10"/>
    </row>
    <row r="2254" spans="1:6" x14ac:dyDescent="0.25">
      <c r="A2254" s="9" t="s">
        <v>58</v>
      </c>
      <c r="B2254" s="4">
        <v>45808</v>
      </c>
      <c r="C2254" s="5">
        <v>5</v>
      </c>
      <c r="D2254" s="9" t="s">
        <v>13</v>
      </c>
      <c r="E2254" s="10">
        <v>140</v>
      </c>
      <c r="F2254" s="10">
        <f t="shared" si="31"/>
        <v>700</v>
      </c>
    </row>
    <row r="2255" spans="1:6" x14ac:dyDescent="0.25">
      <c r="F2255" s="8">
        <f>SUM(F2254)</f>
        <v>700</v>
      </c>
    </row>
    <row r="2256" spans="1:6" x14ac:dyDescent="0.25">
      <c r="F2256" s="10"/>
    </row>
    <row r="2257" spans="1:6" x14ac:dyDescent="0.25">
      <c r="A2257" s="9" t="s">
        <v>20</v>
      </c>
      <c r="B2257" s="4">
        <v>45808</v>
      </c>
      <c r="C2257" s="5">
        <v>20</v>
      </c>
      <c r="D2257" s="9" t="s">
        <v>13</v>
      </c>
      <c r="E2257" s="10">
        <v>135</v>
      </c>
      <c r="F2257" s="10">
        <f t="shared" si="31"/>
        <v>2700</v>
      </c>
    </row>
    <row r="2258" spans="1:6" x14ac:dyDescent="0.25">
      <c r="F2258" s="8">
        <f>SUM(F2257)</f>
        <v>2700</v>
      </c>
    </row>
    <row r="2259" spans="1:6" x14ac:dyDescent="0.25">
      <c r="F2259" s="10"/>
    </row>
    <row r="2260" spans="1:6" x14ac:dyDescent="0.25">
      <c r="A2260" s="9" t="s">
        <v>21</v>
      </c>
      <c r="B2260" s="4">
        <v>45808</v>
      </c>
      <c r="C2260" s="5">
        <v>20</v>
      </c>
      <c r="D2260" s="9" t="s">
        <v>12</v>
      </c>
      <c r="E2260" s="10">
        <v>120</v>
      </c>
      <c r="F2260" s="10">
        <f t="shared" si="31"/>
        <v>2400</v>
      </c>
    </row>
    <row r="2261" spans="1:6" x14ac:dyDescent="0.25">
      <c r="C2261" s="5">
        <v>10</v>
      </c>
      <c r="D2261" s="9" t="s">
        <v>13</v>
      </c>
      <c r="E2261" s="10">
        <v>135</v>
      </c>
      <c r="F2261" s="10">
        <f t="shared" si="31"/>
        <v>1350</v>
      </c>
    </row>
    <row r="2262" spans="1:6" x14ac:dyDescent="0.25">
      <c r="F2262" s="8">
        <f>SUM(F2260:F2261)</f>
        <v>3750</v>
      </c>
    </row>
    <row r="2263" spans="1:6" x14ac:dyDescent="0.25">
      <c r="F2263" s="10"/>
    </row>
    <row r="2264" spans="1:6" x14ac:dyDescent="0.25">
      <c r="A2264" s="9" t="s">
        <v>367</v>
      </c>
      <c r="B2264" s="4">
        <v>45808</v>
      </c>
      <c r="C2264" s="5">
        <v>10</v>
      </c>
      <c r="D2264" s="9" t="s">
        <v>13</v>
      </c>
      <c r="E2264" s="10">
        <v>135</v>
      </c>
      <c r="F2264" s="10">
        <f t="shared" si="31"/>
        <v>1350</v>
      </c>
    </row>
    <row r="2265" spans="1:6" x14ac:dyDescent="0.25">
      <c r="C2265" s="5">
        <v>10</v>
      </c>
      <c r="D2265" s="9" t="s">
        <v>187</v>
      </c>
      <c r="E2265" s="10">
        <v>125</v>
      </c>
      <c r="F2265" s="10">
        <f t="shared" si="31"/>
        <v>1250</v>
      </c>
    </row>
    <row r="2266" spans="1:6" x14ac:dyDescent="0.25">
      <c r="F2266" s="8">
        <f>SUM(F2264:F2265)</f>
        <v>2600</v>
      </c>
    </row>
    <row r="2267" spans="1:6" x14ac:dyDescent="0.25">
      <c r="F2267" s="10"/>
    </row>
    <row r="2268" spans="1:6" x14ac:dyDescent="0.25">
      <c r="A2268" s="9" t="s">
        <v>25</v>
      </c>
      <c r="B2268" s="4">
        <v>45808</v>
      </c>
      <c r="C2268" s="5">
        <v>30</v>
      </c>
      <c r="D2268" s="9" t="s">
        <v>8</v>
      </c>
      <c r="E2268" s="10">
        <v>155</v>
      </c>
      <c r="F2268" s="10">
        <f t="shared" si="31"/>
        <v>4650</v>
      </c>
    </row>
    <row r="2269" spans="1:6" x14ac:dyDescent="0.25">
      <c r="F2269" s="8">
        <f>SUM(F2268)</f>
        <v>4650</v>
      </c>
    </row>
    <row r="2270" spans="1:6" x14ac:dyDescent="0.25">
      <c r="F2270" s="10"/>
    </row>
    <row r="2271" spans="1:6" x14ac:dyDescent="0.25">
      <c r="A2271" s="9" t="s">
        <v>40</v>
      </c>
      <c r="B2271" s="4">
        <v>45808</v>
      </c>
      <c r="C2271" s="5">
        <v>10</v>
      </c>
      <c r="D2271" s="9" t="s">
        <v>8</v>
      </c>
      <c r="E2271" s="10">
        <v>155</v>
      </c>
      <c r="F2271" s="10">
        <f t="shared" si="31"/>
        <v>1550</v>
      </c>
    </row>
    <row r="2272" spans="1:6" x14ac:dyDescent="0.25">
      <c r="C2272" s="5">
        <v>10</v>
      </c>
      <c r="D2272" s="9" t="s">
        <v>651</v>
      </c>
      <c r="E2272" s="10">
        <v>125</v>
      </c>
      <c r="F2272" s="10">
        <f t="shared" si="31"/>
        <v>1250</v>
      </c>
    </row>
    <row r="2273" spans="1:6" x14ac:dyDescent="0.25">
      <c r="C2273" s="5">
        <v>10</v>
      </c>
      <c r="D2273" s="9" t="s">
        <v>13</v>
      </c>
      <c r="E2273" s="10">
        <v>135</v>
      </c>
      <c r="F2273" s="10">
        <f t="shared" si="31"/>
        <v>1350</v>
      </c>
    </row>
    <row r="2274" spans="1:6" x14ac:dyDescent="0.25">
      <c r="F2274" s="8">
        <f>SUM(F2271:F2273)</f>
        <v>4150</v>
      </c>
    </row>
    <row r="2275" spans="1:6" x14ac:dyDescent="0.25">
      <c r="F2275" s="10"/>
    </row>
    <row r="2276" spans="1:6" x14ac:dyDescent="0.25">
      <c r="A2276" s="9" t="s">
        <v>18</v>
      </c>
      <c r="B2276" s="4">
        <v>45808</v>
      </c>
      <c r="C2276" s="5">
        <v>5</v>
      </c>
      <c r="D2276" s="9" t="s">
        <v>13</v>
      </c>
      <c r="E2276" s="10">
        <v>135</v>
      </c>
      <c r="F2276" s="10">
        <f t="shared" si="31"/>
        <v>675</v>
      </c>
    </row>
    <row r="2277" spans="1:6" x14ac:dyDescent="0.25">
      <c r="F2277" s="8">
        <f>SUM(F2276)</f>
        <v>675</v>
      </c>
    </row>
    <row r="2278" spans="1:6" x14ac:dyDescent="0.25">
      <c r="F2278" s="10"/>
    </row>
    <row r="2279" spans="1:6" x14ac:dyDescent="0.25">
      <c r="A2279" s="9" t="s">
        <v>65</v>
      </c>
      <c r="B2279" s="4">
        <v>45808</v>
      </c>
      <c r="C2279" s="5">
        <v>1600</v>
      </c>
      <c r="D2279" s="9" t="s">
        <v>12</v>
      </c>
      <c r="F2279" s="10">
        <f t="shared" si="31"/>
        <v>0</v>
      </c>
    </row>
    <row r="2280" spans="1:6" x14ac:dyDescent="0.25">
      <c r="C2280" s="5">
        <v>400</v>
      </c>
      <c r="D2280" s="9" t="s">
        <v>96</v>
      </c>
      <c r="F2280" s="10">
        <f t="shared" si="31"/>
        <v>0</v>
      </c>
    </row>
    <row r="2281" spans="1:6" x14ac:dyDescent="0.25">
      <c r="C2281" s="5">
        <v>400</v>
      </c>
      <c r="D2281" s="9" t="s">
        <v>652</v>
      </c>
      <c r="F2281" s="10">
        <f t="shared" si="31"/>
        <v>0</v>
      </c>
    </row>
    <row r="2282" spans="1:6" x14ac:dyDescent="0.25">
      <c r="C2282" s="5">
        <v>200</v>
      </c>
      <c r="D2282" s="9" t="s">
        <v>22</v>
      </c>
      <c r="F2282" s="10">
        <f t="shared" si="31"/>
        <v>0</v>
      </c>
    </row>
    <row r="2283" spans="1:6" x14ac:dyDescent="0.25">
      <c r="C2283" s="5">
        <v>5</v>
      </c>
      <c r="D2283" s="9" t="s">
        <v>653</v>
      </c>
      <c r="F2283" s="10">
        <f t="shared" si="31"/>
        <v>0</v>
      </c>
    </row>
    <row r="2284" spans="1:6" x14ac:dyDescent="0.25">
      <c r="F2284" s="8">
        <f>SUM(F2279:F2283)</f>
        <v>0</v>
      </c>
    </row>
    <row r="2285" spans="1:6" x14ac:dyDescent="0.25">
      <c r="F2285" s="10"/>
    </row>
    <row r="2286" spans="1:6" x14ac:dyDescent="0.25">
      <c r="A2286" s="9" t="s">
        <v>61</v>
      </c>
      <c r="B2286" s="4">
        <v>45808</v>
      </c>
      <c r="C2286" s="5">
        <v>50</v>
      </c>
      <c r="D2286" s="9" t="s">
        <v>13</v>
      </c>
      <c r="E2286" s="10">
        <v>130</v>
      </c>
      <c r="F2286" s="10">
        <f t="shared" si="31"/>
        <v>6500</v>
      </c>
    </row>
    <row r="2287" spans="1:6" x14ac:dyDescent="0.25">
      <c r="F2287" s="8">
        <f>SUM(F2286)</f>
        <v>6500</v>
      </c>
    </row>
    <row r="2288" spans="1:6" x14ac:dyDescent="0.25">
      <c r="F2288" s="10"/>
    </row>
    <row r="2289" spans="1:6" x14ac:dyDescent="0.25">
      <c r="A2289" s="9" t="s">
        <v>127</v>
      </c>
      <c r="B2289" s="4">
        <v>45808</v>
      </c>
      <c r="C2289" s="5">
        <v>20</v>
      </c>
      <c r="D2289" s="9" t="s">
        <v>13</v>
      </c>
      <c r="E2289" s="10">
        <v>130</v>
      </c>
      <c r="F2289" s="10">
        <f t="shared" si="31"/>
        <v>2600</v>
      </c>
    </row>
    <row r="2290" spans="1:6" x14ac:dyDescent="0.25">
      <c r="F2290" s="8">
        <f>SUM(F2289)</f>
        <v>2600</v>
      </c>
    </row>
    <row r="2291" spans="1:6" x14ac:dyDescent="0.25">
      <c r="F2291" s="10"/>
    </row>
    <row r="2292" spans="1:6" x14ac:dyDescent="0.25">
      <c r="A2292" s="9" t="s">
        <v>608</v>
      </c>
      <c r="B2292" s="4">
        <v>45808</v>
      </c>
      <c r="C2292" s="5">
        <v>10</v>
      </c>
      <c r="D2292" s="9" t="s">
        <v>13</v>
      </c>
      <c r="E2292" s="10">
        <v>140</v>
      </c>
      <c r="F2292" s="10">
        <f t="shared" si="31"/>
        <v>1400</v>
      </c>
    </row>
    <row r="2293" spans="1:6" x14ac:dyDescent="0.25">
      <c r="F2293" s="8">
        <f>SUM(F2292)</f>
        <v>1400</v>
      </c>
    </row>
    <row r="2294" spans="1:6" x14ac:dyDescent="0.25">
      <c r="F2294" s="10"/>
    </row>
    <row r="2295" spans="1:6" x14ac:dyDescent="0.25">
      <c r="A2295" s="9" t="s">
        <v>176</v>
      </c>
      <c r="B2295" s="4">
        <v>45808</v>
      </c>
      <c r="C2295" s="5">
        <v>20</v>
      </c>
      <c r="D2295" s="9" t="s">
        <v>654</v>
      </c>
      <c r="E2295" s="10">
        <v>155</v>
      </c>
      <c r="F2295" s="10">
        <f t="shared" si="31"/>
        <v>3100</v>
      </c>
    </row>
    <row r="2296" spans="1:6" x14ac:dyDescent="0.25">
      <c r="C2296" s="5">
        <v>20</v>
      </c>
      <c r="D2296" s="9" t="s">
        <v>22</v>
      </c>
      <c r="E2296" s="10">
        <v>105</v>
      </c>
      <c r="F2296" s="10">
        <f t="shared" si="31"/>
        <v>2100</v>
      </c>
    </row>
    <row r="2297" spans="1:6" x14ac:dyDescent="0.25">
      <c r="C2297" s="5">
        <v>20</v>
      </c>
      <c r="D2297" s="9" t="s">
        <v>13</v>
      </c>
      <c r="E2297" s="10">
        <v>135</v>
      </c>
      <c r="F2297" s="10">
        <f t="shared" si="31"/>
        <v>2700</v>
      </c>
    </row>
    <row r="2298" spans="1:6" x14ac:dyDescent="0.25">
      <c r="C2298" s="5">
        <v>20</v>
      </c>
      <c r="D2298" s="9" t="s">
        <v>14</v>
      </c>
      <c r="E2298" s="10">
        <v>125</v>
      </c>
      <c r="F2298" s="10">
        <f t="shared" si="31"/>
        <v>2500</v>
      </c>
    </row>
    <row r="2299" spans="1:6" x14ac:dyDescent="0.25">
      <c r="F2299" s="8">
        <f>SUM(F2295:F2298)</f>
        <v>10400</v>
      </c>
    </row>
    <row r="2300" spans="1:6" x14ac:dyDescent="0.25">
      <c r="F2300" s="10"/>
    </row>
    <row r="2301" spans="1:6" x14ac:dyDescent="0.25">
      <c r="A2301" s="9" t="s">
        <v>245</v>
      </c>
      <c r="B2301" s="4">
        <v>45808</v>
      </c>
      <c r="C2301" s="5">
        <v>140</v>
      </c>
      <c r="D2301" s="9" t="s">
        <v>13</v>
      </c>
      <c r="E2301" s="10">
        <v>140</v>
      </c>
      <c r="F2301" s="10">
        <f t="shared" si="31"/>
        <v>19600</v>
      </c>
    </row>
    <row r="2302" spans="1:6" x14ac:dyDescent="0.25">
      <c r="C2302" s="5">
        <v>30</v>
      </c>
      <c r="D2302" s="9" t="s">
        <v>14</v>
      </c>
      <c r="E2302" s="10">
        <v>130</v>
      </c>
      <c r="F2302" s="10">
        <f t="shared" si="31"/>
        <v>3900</v>
      </c>
    </row>
    <row r="2303" spans="1:6" x14ac:dyDescent="0.25">
      <c r="C2303" s="5">
        <v>5</v>
      </c>
      <c r="D2303" s="9" t="s">
        <v>318</v>
      </c>
      <c r="E2303" s="10">
        <v>0</v>
      </c>
      <c r="F2303" s="13">
        <f t="shared" si="31"/>
        <v>0</v>
      </c>
    </row>
    <row r="2304" spans="1:6" x14ac:dyDescent="0.25">
      <c r="F2304" s="8">
        <f>SUM(F2301:F2303)</f>
        <v>23500</v>
      </c>
    </row>
    <row r="2305" spans="1:6" x14ac:dyDescent="0.25">
      <c r="F2305" s="10"/>
    </row>
    <row r="2306" spans="1:6" x14ac:dyDescent="0.25">
      <c r="A2306" s="9" t="s">
        <v>112</v>
      </c>
      <c r="B2306" s="4">
        <v>45808</v>
      </c>
      <c r="C2306" s="5">
        <v>100</v>
      </c>
      <c r="D2306" s="9" t="s">
        <v>22</v>
      </c>
      <c r="E2306" s="10">
        <v>90</v>
      </c>
      <c r="F2306" s="10">
        <f t="shared" si="31"/>
        <v>9000</v>
      </c>
    </row>
    <row r="2307" spans="1:6" x14ac:dyDescent="0.25">
      <c r="F2307" s="8">
        <f>SUM(F2306)</f>
        <v>9000</v>
      </c>
    </row>
    <row r="2308" spans="1:6" x14ac:dyDescent="0.25">
      <c r="F2308" s="10"/>
    </row>
    <row r="2309" spans="1:6" x14ac:dyDescent="0.25">
      <c r="A2309" s="9" t="s">
        <v>7</v>
      </c>
      <c r="B2309" s="4">
        <v>45808</v>
      </c>
      <c r="C2309" s="5">
        <v>2</v>
      </c>
      <c r="D2309" s="9" t="s">
        <v>8</v>
      </c>
      <c r="E2309" s="10">
        <v>170</v>
      </c>
      <c r="F2309" s="10">
        <f t="shared" si="31"/>
        <v>340</v>
      </c>
    </row>
    <row r="2310" spans="1:6" x14ac:dyDescent="0.25">
      <c r="F2310" s="8">
        <f>SUM(F2309)</f>
        <v>340</v>
      </c>
    </row>
    <row r="2311" spans="1:6" x14ac:dyDescent="0.25">
      <c r="F2311" s="10"/>
    </row>
    <row r="2312" spans="1:6" x14ac:dyDescent="0.25">
      <c r="A2312" s="9" t="s">
        <v>655</v>
      </c>
      <c r="B2312" s="4">
        <v>45808</v>
      </c>
      <c r="C2312" s="5">
        <v>5</v>
      </c>
      <c r="D2312" s="9" t="s">
        <v>13</v>
      </c>
      <c r="E2312" s="10">
        <v>140</v>
      </c>
      <c r="F2312" s="10">
        <f t="shared" si="31"/>
        <v>700</v>
      </c>
    </row>
    <row r="2313" spans="1:6" x14ac:dyDescent="0.25">
      <c r="F2313" s="8">
        <f>SUM(F2312)</f>
        <v>700</v>
      </c>
    </row>
    <row r="2314" spans="1:6" x14ac:dyDescent="0.25">
      <c r="F2314" s="10"/>
    </row>
    <row r="2315" spans="1:6" x14ac:dyDescent="0.25">
      <c r="A2315" s="9" t="s">
        <v>88</v>
      </c>
      <c r="B2315" s="4">
        <v>45808</v>
      </c>
      <c r="C2315" s="5">
        <v>6</v>
      </c>
      <c r="D2315" s="9" t="s">
        <v>13</v>
      </c>
      <c r="E2315" s="10">
        <v>145</v>
      </c>
      <c r="F2315" s="10">
        <f t="shared" si="31"/>
        <v>870</v>
      </c>
    </row>
    <row r="2316" spans="1:6" x14ac:dyDescent="0.25">
      <c r="C2316" s="5">
        <v>6</v>
      </c>
      <c r="D2316" s="9" t="s">
        <v>14</v>
      </c>
      <c r="E2316" s="10">
        <v>135</v>
      </c>
      <c r="F2316" s="10">
        <f t="shared" si="31"/>
        <v>810</v>
      </c>
    </row>
    <row r="2317" spans="1:6" x14ac:dyDescent="0.25">
      <c r="F2317" s="8">
        <f>SUM(F2315:F2316)</f>
        <v>1680</v>
      </c>
    </row>
    <row r="2318" spans="1:6" x14ac:dyDescent="0.25">
      <c r="F2318" s="10"/>
    </row>
    <row r="2319" spans="1:6" x14ac:dyDescent="0.25">
      <c r="A2319" s="9" t="s">
        <v>72</v>
      </c>
      <c r="B2319" s="4">
        <v>45808</v>
      </c>
      <c r="C2319" s="5">
        <v>250</v>
      </c>
      <c r="D2319" s="9" t="s">
        <v>13</v>
      </c>
      <c r="E2319" s="10">
        <v>130</v>
      </c>
      <c r="F2319" s="10">
        <f t="shared" si="31"/>
        <v>32500</v>
      </c>
    </row>
    <row r="2320" spans="1:6" x14ac:dyDescent="0.25">
      <c r="C2320" s="5">
        <v>200</v>
      </c>
      <c r="D2320" s="9" t="s">
        <v>12</v>
      </c>
      <c r="E2320" s="10">
        <v>115</v>
      </c>
      <c r="F2320" s="10">
        <f t="shared" si="31"/>
        <v>23000</v>
      </c>
    </row>
    <row r="2321" spans="1:6" x14ac:dyDescent="0.25">
      <c r="C2321" s="5">
        <v>30</v>
      </c>
      <c r="D2321" s="9" t="s">
        <v>14</v>
      </c>
      <c r="E2321" s="10">
        <v>125</v>
      </c>
      <c r="F2321" s="10">
        <f t="shared" si="31"/>
        <v>3750</v>
      </c>
    </row>
    <row r="2322" spans="1:6" x14ac:dyDescent="0.25">
      <c r="C2322" s="5">
        <v>80</v>
      </c>
      <c r="D2322" s="9" t="s">
        <v>11</v>
      </c>
      <c r="E2322" s="10">
        <v>115</v>
      </c>
      <c r="F2322" s="10">
        <f t="shared" si="31"/>
        <v>9200</v>
      </c>
    </row>
    <row r="2323" spans="1:6" x14ac:dyDescent="0.25">
      <c r="F2323" s="8">
        <f>SUM(F2319:F2322)</f>
        <v>68450</v>
      </c>
    </row>
    <row r="2324" spans="1:6" x14ac:dyDescent="0.25">
      <c r="F2324" s="10"/>
    </row>
    <row r="2325" spans="1:6" x14ac:dyDescent="0.25">
      <c r="A2325" s="9" t="s">
        <v>535</v>
      </c>
      <c r="B2325" s="4">
        <v>45808</v>
      </c>
      <c r="C2325" s="5">
        <v>6</v>
      </c>
      <c r="D2325" s="9" t="s">
        <v>12</v>
      </c>
      <c r="E2325" s="10">
        <v>130</v>
      </c>
      <c r="F2325" s="10">
        <f t="shared" si="31"/>
        <v>780</v>
      </c>
    </row>
    <row r="2326" spans="1:6" x14ac:dyDescent="0.25">
      <c r="C2326" s="5">
        <v>2</v>
      </c>
      <c r="D2326" s="9" t="s">
        <v>14</v>
      </c>
      <c r="E2326" s="10">
        <v>135</v>
      </c>
      <c r="F2326" s="10">
        <f t="shared" si="31"/>
        <v>270</v>
      </c>
    </row>
    <row r="2327" spans="1:6" x14ac:dyDescent="0.25">
      <c r="C2327" s="5">
        <v>65</v>
      </c>
      <c r="D2327" s="9" t="s">
        <v>13</v>
      </c>
      <c r="E2327" s="10">
        <v>140</v>
      </c>
      <c r="F2327" s="10">
        <f t="shared" si="31"/>
        <v>9100</v>
      </c>
    </row>
    <row r="2328" spans="1:6" x14ac:dyDescent="0.25">
      <c r="C2328" s="5">
        <v>35</v>
      </c>
      <c r="D2328" s="9" t="s">
        <v>8</v>
      </c>
      <c r="E2328" s="10">
        <v>160</v>
      </c>
      <c r="F2328" s="10">
        <f t="shared" si="31"/>
        <v>5600</v>
      </c>
    </row>
    <row r="2329" spans="1:6" x14ac:dyDescent="0.25">
      <c r="F2329" s="8">
        <f>SUM(F2325:F2328)</f>
        <v>15750</v>
      </c>
    </row>
    <row r="2330" spans="1:6" x14ac:dyDescent="0.25">
      <c r="F2330" s="10"/>
    </row>
    <row r="2331" spans="1:6" x14ac:dyDescent="0.25">
      <c r="A2331" s="9" t="s">
        <v>101</v>
      </c>
      <c r="B2331" s="4">
        <v>45808</v>
      </c>
      <c r="C2331" s="5">
        <v>2</v>
      </c>
      <c r="D2331" s="9" t="s">
        <v>12</v>
      </c>
      <c r="E2331" s="10">
        <v>150</v>
      </c>
      <c r="F2331" s="10">
        <f t="shared" si="31"/>
        <v>300</v>
      </c>
    </row>
    <row r="2332" spans="1:6" x14ac:dyDescent="0.25">
      <c r="C2332" s="5">
        <v>2</v>
      </c>
      <c r="D2332" s="9" t="s">
        <v>13</v>
      </c>
      <c r="E2332" s="10">
        <v>160</v>
      </c>
      <c r="F2332" s="10">
        <f t="shared" si="31"/>
        <v>320</v>
      </c>
    </row>
    <row r="2333" spans="1:6" x14ac:dyDescent="0.25">
      <c r="C2333" s="5">
        <v>1</v>
      </c>
      <c r="D2333" s="9" t="s">
        <v>13</v>
      </c>
      <c r="E2333" s="10">
        <v>160</v>
      </c>
      <c r="F2333" s="10">
        <f t="shared" si="31"/>
        <v>160</v>
      </c>
    </row>
    <row r="2334" spans="1:6" x14ac:dyDescent="0.25">
      <c r="C2334" s="5">
        <v>1</v>
      </c>
      <c r="D2334" s="9" t="s">
        <v>8</v>
      </c>
      <c r="E2334" s="10">
        <v>170</v>
      </c>
      <c r="F2334" s="10">
        <f t="shared" si="31"/>
        <v>170</v>
      </c>
    </row>
    <row r="2335" spans="1:6" x14ac:dyDescent="0.25">
      <c r="F2335" s="8">
        <f>SUM(F2331:F2334)</f>
        <v>950</v>
      </c>
    </row>
    <row r="2336" spans="1:6" x14ac:dyDescent="0.25">
      <c r="F2336" s="10"/>
    </row>
    <row r="2337" spans="1:7" x14ac:dyDescent="0.25">
      <c r="A2337" s="9" t="s">
        <v>181</v>
      </c>
      <c r="B2337" s="4">
        <v>45808</v>
      </c>
      <c r="C2337" s="5">
        <v>1</v>
      </c>
      <c r="D2337" s="9" t="s">
        <v>8</v>
      </c>
      <c r="E2337" s="10">
        <v>170</v>
      </c>
      <c r="F2337" s="10">
        <f t="shared" si="31"/>
        <v>170</v>
      </c>
    </row>
    <row r="2338" spans="1:7" x14ac:dyDescent="0.25">
      <c r="C2338" s="5">
        <v>3</v>
      </c>
      <c r="D2338" s="9" t="s">
        <v>13</v>
      </c>
      <c r="E2338" s="10">
        <v>160</v>
      </c>
      <c r="F2338" s="10">
        <f t="shared" ref="F2338" si="32">+C2338*E2338</f>
        <v>480</v>
      </c>
    </row>
    <row r="2339" spans="1:7" x14ac:dyDescent="0.25">
      <c r="F2339" s="8">
        <f>SUM(F2337:F2338)</f>
        <v>650</v>
      </c>
    </row>
    <row r="2340" spans="1:7" x14ac:dyDescent="0.25">
      <c r="F2340" s="10"/>
    </row>
    <row r="2341" spans="1:7" x14ac:dyDescent="0.25">
      <c r="F2341" s="10"/>
    </row>
    <row r="2342" spans="1:7" ht="15.75" x14ac:dyDescent="0.25">
      <c r="F2342" s="24" t="s">
        <v>294</v>
      </c>
      <c r="G2342" s="7">
        <f>+F10+F13+F17+F21+F24+F27+F30+F33+F36+F40+F43+F46+F50+F53+F56+F60+F67+F70+F73+F76+F80+F83+F86+F89+F92+F96+F102+F106+F109+F115+F118+F121+F124+F127+F130+F133+F136+F140+F143+F146+F150+F153+F158+F163+F166+F169+F173+F181+F185+F188+F195+F198+F201+F204+F207+F210+F215+F219+F223+F226+F229+F232+F239+F242+F245+F248+F251+F255+F261+F264+F267+F271+F275+F279+F285+F289+F292+F295+F298+F301+F304+F307+F311+F315+F318+F321+F326+F329+F332+F336+F339+F343+F347+F350+F353+F356+F359+F362+F365+F368+F371+F374+F379+F383+F386+F389+F396+F399+F402+F405+F408+F411+F414+F418+F421+F424+F429+F432+F438+F443+F448+F451+F454+F457+F460+F464+F467+F470+F473+F476+F479+F484+F487+F490+F493+F497+F500+F503+F506+F509+F513+F516+F520+F528+F534+F537+F543+F549+F553+F559+F562+F565+F570+F576+F579+F584+F588+F594+F599+F602+F606+F609+F612+F615+F618+F622+F627+F630+F633+F637+F640+F643+F646+F649+F652+F659+F663+F667+F670+F673+F677+F680+F683+F686+F689+F692+F695+F698+F701+F704+F707+F712+F715+F718+F721+F724+F727+F730+F736+F740+F744+F751+F757+F762+F770+F773+F777+F780+F783+F786+F789+F792+F795+F801+F804+F807+F810+F813+F816+F819+F822+F825+F828+F831+F834+F837+F840+F843+F849+F852+F855+F863+F867+F872+F875+F881+F887+F890+F893+F898+F903+F906+F909+F912+F915+F918+F921+F928+F933+F939+F943+F946+F949+F952+F958+F962+F965+F968+F971+F978+F982+F989+F992+F995+F998+F1002+F1005+F1008+F1011+F1014+F1017+F1020+F1024+F1027+F1030+F1033+F1036+F1039+F1045+F1050+F1054+F1057+F1062+F1066+F1072+F1075+F1081+F1084+F1091+F1099+F1102+F1106+F1109+F1114+F1118+F1121+F1124+F1130+F1135+F1138+F1143+F1147+F1150+F1153+F1156+F1159+F1162+F1165+F1168+F1171+F1174+F1177+F1180+F1183+F1186+F1189+F1192+F1196+F1200+F1203+F1206+F1209+F1212+F1215+F1219+F1224+F1231+F1237+F1241+F1244+F1247+F1250+F1253+F1256+F1259+F1263+F1268+F1271+F1274+F1277+F1280+F1283+F1287+F1290+F1293+F1299+F1303+F1308+F1317+F1321+F1325+F1332+F1335+F1339+F1342+F1345+F1348+F1351+F1354+F1357+F1361+F1365+F1368+F1372+F1375+F1378+F1381+F1384+F1387+F1391+F1394+F1397+F1400+F1403+F1406+F1411+F1415+F1419+F1425+F1428+F1434+F1437+F1441+F1444+F1448+F1451+F1454+F1458+F1462+F1465+F1472+F1477+F1480+F1484+F1487+F1490+F1493+F1496+F1500+F1506+F1510+F1517+F1520+F1523+F1526+F1529+F1532+F1537+F1540+F1543+F1546+F1549+F1552+F1556+F1559+F1562+F1565+F1568+F1571+F1574+F1577+F1580+F1583+F1586+F1591+F1597+F1600+F1606+F1610+F1614+F1623+F1627+F1633+F1636+F1639+F1643+F1646+F1649+F1652+F1656+F1659+F1667+F1673+F1676+F1679+F1682+F1685+F1688+F1691+F1694+F1697+F1700+F1703+F1706+F1709+F1712+F1716+F1720+F1723+F1726+F1729+F1732+F1735+F1738+F1741+F1744+F1747+F1753+F1757+F1760+F1763+F1766+F1769+F1772+F1775+F1778+F1783+F1786+F1792+F1798+F1804+F1809+F1813+F1817+F1821+F1824+F1828+F1831+F1837+F1841+F1844+F1847+F1850+F1853+F1856+F1859+F1862+F1866+F1869+F1875+F1878+F1881+F1884+F1888+F1891+F1894+F1897+F1900+F1903+F1906+F1909+F1915+F1925+F1932+F1935+F1939+F1942+F1945+F1948+F1951+F1954+F1958+F1963+F1966+F1970+F1973+F1977+F1982+F1985+F1988+F1991+F1994+F1997+F2000+F2004+F2007+F2012+F2015+F2020+F2023+F2026+F2029+F2032+F2035+F2038+F2041+F2045+F2048+F2051+F2054+F2057+F2060+F2065+F2068+F2071+F2077+F2083+F2089+F2095+F2098+F2101+F2104+F2108+F2111+F2115+F2119+F2122+F2125+F2129+F2132+F2135+F2142+F2145+F2151+F2154+F2157+F2160+F2163+F2166+F2169+F2173+F2176+F2179+F2183+F2187+F2190+F2193+F2196+F2199+F2203+F2206+F2209+F2212+F2215+F2218+F2225+F2228+F2231+F2235+F2238+F2242+F2246+F2249+F2252+F2255+F2258+F2262+F2266+F2269+F2274+F2277+F2287+F2290+F2293+F2299+F2304+F2307+F2310+F2313+F2317+F2323+F2329+F2335+F2339</f>
        <v>5267660.4974800004</v>
      </c>
    </row>
    <row r="2343" spans="1:7" x14ac:dyDescent="0.25">
      <c r="G2343" s="10">
        <v>5267670.5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0394-72F1-4027-A59A-F4BAF9F451DF}">
  <dimension ref="A1:XFD2227"/>
  <sheetViews>
    <sheetView topLeftCell="A2222" workbookViewId="0">
      <selection activeCell="L2190" sqref="L2190"/>
    </sheetView>
  </sheetViews>
  <sheetFormatPr baseColWidth="10" defaultColWidth="11.42578125" defaultRowHeight="15" x14ac:dyDescent="0.25"/>
  <cols>
    <col min="1" max="1" width="32.42578125" bestFit="1" customWidth="1"/>
    <col min="3" max="3" width="11.42578125" style="5"/>
    <col min="4" max="4" width="44.42578125" bestFit="1" customWidth="1"/>
    <col min="5" max="5" width="18.140625" style="10" bestFit="1" customWidth="1"/>
    <col min="6" max="6" width="15.28515625" style="10" bestFit="1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7</v>
      </c>
      <c r="B3" s="4">
        <v>45809</v>
      </c>
      <c r="C3" s="5">
        <v>20</v>
      </c>
      <c r="D3" s="9" t="s">
        <v>193</v>
      </c>
      <c r="E3" s="10">
        <v>130</v>
      </c>
      <c r="F3" s="10">
        <f>+C3*E3</f>
        <v>2600</v>
      </c>
    </row>
    <row r="4" spans="1:6" x14ac:dyDescent="0.25">
      <c r="A4" s="9"/>
      <c r="B4" s="4"/>
      <c r="D4" s="9"/>
      <c r="F4" s="8">
        <f>SUM(F3)</f>
        <v>2600</v>
      </c>
    </row>
    <row r="5" spans="1:6" x14ac:dyDescent="0.25">
      <c r="A5" s="9"/>
      <c r="B5" s="4"/>
      <c r="D5" s="9"/>
    </row>
    <row r="6" spans="1:6" x14ac:dyDescent="0.25">
      <c r="A6" s="9" t="s">
        <v>7</v>
      </c>
      <c r="B6" s="4">
        <v>45809</v>
      </c>
      <c r="C6" s="5">
        <v>3</v>
      </c>
      <c r="D6" s="9" t="s">
        <v>13</v>
      </c>
      <c r="E6" s="10">
        <v>160</v>
      </c>
      <c r="F6" s="10">
        <f t="shared" ref="F6:F66" si="0">+C6*E6</f>
        <v>480</v>
      </c>
    </row>
    <row r="7" spans="1:6" x14ac:dyDescent="0.25">
      <c r="A7" s="9"/>
      <c r="B7" s="4"/>
      <c r="C7" s="5">
        <v>1</v>
      </c>
      <c r="D7" s="9" t="s">
        <v>8</v>
      </c>
      <c r="E7" s="10">
        <v>170</v>
      </c>
      <c r="F7" s="10">
        <f t="shared" si="0"/>
        <v>170</v>
      </c>
    </row>
    <row r="8" spans="1:6" x14ac:dyDescent="0.25">
      <c r="A8" s="9"/>
      <c r="B8" s="4"/>
      <c r="C8" s="5">
        <v>1</v>
      </c>
      <c r="D8" s="9" t="s">
        <v>512</v>
      </c>
      <c r="E8" s="10">
        <v>0</v>
      </c>
      <c r="F8" s="10">
        <f t="shared" si="0"/>
        <v>0</v>
      </c>
    </row>
    <row r="9" spans="1:6" x14ac:dyDescent="0.25">
      <c r="A9" s="9"/>
      <c r="B9" s="4"/>
      <c r="C9" s="5">
        <v>2</v>
      </c>
      <c r="D9" s="9" t="s">
        <v>512</v>
      </c>
      <c r="E9" s="10">
        <v>140</v>
      </c>
      <c r="F9" s="10">
        <f t="shared" si="0"/>
        <v>280</v>
      </c>
    </row>
    <row r="10" spans="1:6" x14ac:dyDescent="0.25">
      <c r="A10" s="9"/>
      <c r="B10" s="4"/>
      <c r="D10" s="9"/>
      <c r="F10" s="8">
        <f>SUM(F6:F9)</f>
        <v>930</v>
      </c>
    </row>
    <row r="11" spans="1:6" x14ac:dyDescent="0.25">
      <c r="A11" s="9"/>
      <c r="B11" s="4"/>
      <c r="D11" s="9"/>
    </row>
    <row r="12" spans="1:6" x14ac:dyDescent="0.25">
      <c r="A12" s="9" t="s">
        <v>32</v>
      </c>
      <c r="B12" s="4">
        <v>45810</v>
      </c>
      <c r="C12" s="5">
        <v>15</v>
      </c>
      <c r="D12" s="9" t="s">
        <v>13</v>
      </c>
      <c r="E12" s="10">
        <v>135</v>
      </c>
      <c r="F12" s="10">
        <f t="shared" si="0"/>
        <v>2025</v>
      </c>
    </row>
    <row r="13" spans="1:6" x14ac:dyDescent="0.25">
      <c r="A13" s="9"/>
      <c r="B13" s="4"/>
      <c r="D13" s="9"/>
      <c r="F13" s="8">
        <f>SUM(F12)</f>
        <v>2025</v>
      </c>
    </row>
    <row r="14" spans="1:6" x14ac:dyDescent="0.25">
      <c r="A14" s="9"/>
      <c r="B14" s="4"/>
      <c r="D14" s="9"/>
    </row>
    <row r="15" spans="1:6" x14ac:dyDescent="0.25">
      <c r="A15" s="9" t="s">
        <v>32</v>
      </c>
      <c r="B15" s="4">
        <v>45810</v>
      </c>
      <c r="C15" s="5">
        <v>20</v>
      </c>
      <c r="D15" s="9" t="s">
        <v>13</v>
      </c>
      <c r="E15" s="10">
        <v>135</v>
      </c>
      <c r="F15" s="10">
        <f t="shared" si="0"/>
        <v>2700</v>
      </c>
    </row>
    <row r="16" spans="1:6" x14ac:dyDescent="0.25">
      <c r="A16" s="9"/>
      <c r="B16" s="4"/>
      <c r="D16" s="9"/>
      <c r="F16" s="8">
        <f>SUM(F15)</f>
        <v>2700</v>
      </c>
    </row>
    <row r="17" spans="1:6" x14ac:dyDescent="0.25">
      <c r="A17" s="9"/>
      <c r="B17" s="4"/>
      <c r="D17" s="9"/>
    </row>
    <row r="18" spans="1:6" x14ac:dyDescent="0.25">
      <c r="A18" s="9" t="s">
        <v>18</v>
      </c>
      <c r="B18" s="4">
        <v>45810</v>
      </c>
      <c r="C18" s="5">
        <v>6</v>
      </c>
      <c r="D18" s="9" t="s">
        <v>13</v>
      </c>
      <c r="E18" s="10">
        <v>135</v>
      </c>
      <c r="F18" s="10">
        <f t="shared" si="0"/>
        <v>810</v>
      </c>
    </row>
    <row r="19" spans="1:6" x14ac:dyDescent="0.25">
      <c r="A19" s="9"/>
      <c r="B19" s="4"/>
      <c r="D19" s="9"/>
      <c r="F19" s="8">
        <f>SUM(F18)</f>
        <v>810</v>
      </c>
    </row>
    <row r="20" spans="1:6" x14ac:dyDescent="0.25">
      <c r="A20" s="9"/>
      <c r="B20" s="4"/>
      <c r="D20" s="9"/>
    </row>
    <row r="21" spans="1:6" x14ac:dyDescent="0.25">
      <c r="A21" s="9" t="s">
        <v>656</v>
      </c>
      <c r="B21" s="4">
        <v>45810</v>
      </c>
      <c r="C21" s="5">
        <v>10</v>
      </c>
      <c r="D21" s="9" t="s">
        <v>13</v>
      </c>
      <c r="E21" s="10">
        <v>135</v>
      </c>
      <c r="F21" s="10">
        <f t="shared" si="0"/>
        <v>1350</v>
      </c>
    </row>
    <row r="22" spans="1:6" x14ac:dyDescent="0.25">
      <c r="A22" s="9"/>
      <c r="B22" s="4"/>
      <c r="D22" s="9"/>
      <c r="F22" s="8">
        <f>SUM(F21)</f>
        <v>1350</v>
      </c>
    </row>
    <row r="23" spans="1:6" x14ac:dyDescent="0.25">
      <c r="A23" s="9"/>
      <c r="B23" s="4"/>
      <c r="D23" s="9"/>
    </row>
    <row r="24" spans="1:6" x14ac:dyDescent="0.25">
      <c r="A24" s="9" t="s">
        <v>427</v>
      </c>
      <c r="B24" s="4">
        <v>45810</v>
      </c>
      <c r="C24" s="5">
        <v>10</v>
      </c>
      <c r="D24" s="9" t="s">
        <v>13</v>
      </c>
      <c r="E24" s="10">
        <v>135</v>
      </c>
      <c r="F24" s="10">
        <f t="shared" si="0"/>
        <v>1350</v>
      </c>
    </row>
    <row r="25" spans="1:6" x14ac:dyDescent="0.25">
      <c r="A25" s="9"/>
      <c r="B25" s="4"/>
      <c r="C25" s="5">
        <v>5</v>
      </c>
      <c r="D25" s="9" t="s">
        <v>14</v>
      </c>
      <c r="E25" s="10">
        <v>125</v>
      </c>
      <c r="F25" s="10">
        <f t="shared" si="0"/>
        <v>625</v>
      </c>
    </row>
    <row r="26" spans="1:6" x14ac:dyDescent="0.25">
      <c r="A26" s="9"/>
      <c r="B26" s="4"/>
      <c r="D26" s="9"/>
      <c r="F26" s="8">
        <f>SUM(F24:F25)</f>
        <v>1975</v>
      </c>
    </row>
    <row r="27" spans="1:6" x14ac:dyDescent="0.25">
      <c r="A27" s="9"/>
      <c r="B27" s="4"/>
      <c r="D27" s="9"/>
    </row>
    <row r="28" spans="1:6" x14ac:dyDescent="0.25">
      <c r="A28" s="9" t="s">
        <v>657</v>
      </c>
      <c r="B28" s="4">
        <v>45810</v>
      </c>
      <c r="C28" s="5">
        <v>7</v>
      </c>
      <c r="D28" s="9" t="s">
        <v>98</v>
      </c>
      <c r="E28" s="10">
        <v>100</v>
      </c>
      <c r="F28" s="10">
        <f t="shared" si="0"/>
        <v>700</v>
      </c>
    </row>
    <row r="29" spans="1:6" x14ac:dyDescent="0.25">
      <c r="A29" s="9"/>
      <c r="B29" s="4"/>
      <c r="D29" s="9"/>
      <c r="F29" s="8">
        <f>SUM(F28)</f>
        <v>700</v>
      </c>
    </row>
    <row r="30" spans="1:6" x14ac:dyDescent="0.25">
      <c r="A30" s="9"/>
      <c r="B30" s="4"/>
      <c r="D30" s="9"/>
    </row>
    <row r="31" spans="1:6" x14ac:dyDescent="0.25">
      <c r="A31" s="9" t="s">
        <v>79</v>
      </c>
      <c r="B31" s="4">
        <v>45810</v>
      </c>
      <c r="C31" s="5">
        <v>25</v>
      </c>
      <c r="D31" s="9" t="s">
        <v>242</v>
      </c>
      <c r="E31" s="10">
        <v>140</v>
      </c>
      <c r="F31" s="10">
        <f t="shared" si="0"/>
        <v>3500</v>
      </c>
    </row>
    <row r="32" spans="1:6" x14ac:dyDescent="0.25">
      <c r="A32" s="9"/>
      <c r="B32" s="4"/>
      <c r="D32" s="9"/>
      <c r="F32" s="8">
        <f>SUM(F31)</f>
        <v>3500</v>
      </c>
    </row>
    <row r="33" spans="1:6" x14ac:dyDescent="0.25">
      <c r="A33" s="9"/>
      <c r="B33" s="4"/>
      <c r="D33" s="9"/>
    </row>
    <row r="34" spans="1:6" x14ac:dyDescent="0.25">
      <c r="A34" s="9" t="s">
        <v>20</v>
      </c>
      <c r="B34" s="4">
        <v>45810</v>
      </c>
      <c r="C34" s="5">
        <v>20</v>
      </c>
      <c r="D34" s="9" t="s">
        <v>13</v>
      </c>
      <c r="E34" s="10">
        <v>135</v>
      </c>
      <c r="F34" s="10">
        <f t="shared" si="0"/>
        <v>2700</v>
      </c>
    </row>
    <row r="35" spans="1:6" x14ac:dyDescent="0.25">
      <c r="A35" s="9"/>
      <c r="B35" s="4"/>
      <c r="D35" s="9"/>
      <c r="F35" s="8">
        <f>SUM(F34)</f>
        <v>2700</v>
      </c>
    </row>
    <row r="36" spans="1:6" x14ac:dyDescent="0.25">
      <c r="A36" s="9"/>
      <c r="B36" s="4"/>
      <c r="D36" s="9"/>
    </row>
    <row r="37" spans="1:6" x14ac:dyDescent="0.25">
      <c r="A37" s="9" t="s">
        <v>487</v>
      </c>
      <c r="B37" s="4">
        <v>45810</v>
      </c>
      <c r="C37" s="5">
        <v>5</v>
      </c>
      <c r="D37" s="9" t="s">
        <v>12</v>
      </c>
      <c r="E37" s="10">
        <v>130</v>
      </c>
      <c r="F37" s="10">
        <f t="shared" si="0"/>
        <v>650</v>
      </c>
    </row>
    <row r="38" spans="1:6" x14ac:dyDescent="0.25">
      <c r="A38" s="9"/>
      <c r="B38" s="4"/>
      <c r="D38" s="9"/>
      <c r="F38" s="8">
        <f>SUM(F37)</f>
        <v>650</v>
      </c>
    </row>
    <row r="39" spans="1:6" x14ac:dyDescent="0.25">
      <c r="A39" s="9"/>
      <c r="B39" s="4"/>
      <c r="D39" s="9"/>
    </row>
    <row r="40" spans="1:6" x14ac:dyDescent="0.25">
      <c r="A40" s="9" t="s">
        <v>40</v>
      </c>
      <c r="B40" s="4">
        <v>45810</v>
      </c>
      <c r="C40" s="5">
        <v>20</v>
      </c>
      <c r="D40" s="9" t="s">
        <v>8</v>
      </c>
      <c r="E40" s="10">
        <v>155</v>
      </c>
      <c r="F40" s="10">
        <f t="shared" si="0"/>
        <v>3100</v>
      </c>
    </row>
    <row r="41" spans="1:6" x14ac:dyDescent="0.25">
      <c r="A41" s="9"/>
      <c r="B41" s="4"/>
      <c r="C41" s="5">
        <v>20</v>
      </c>
      <c r="D41" s="9" t="s">
        <v>14</v>
      </c>
      <c r="E41" s="10">
        <v>125</v>
      </c>
      <c r="F41" s="10">
        <f t="shared" si="0"/>
        <v>2500</v>
      </c>
    </row>
    <row r="42" spans="1:6" x14ac:dyDescent="0.25">
      <c r="A42" s="9"/>
      <c r="B42" s="4"/>
      <c r="D42" s="9"/>
      <c r="F42" s="8">
        <f>SUM(F40:F41)</f>
        <v>5600</v>
      </c>
    </row>
    <row r="43" spans="1:6" x14ac:dyDescent="0.25">
      <c r="A43" s="9"/>
      <c r="B43" s="4"/>
      <c r="D43" s="9"/>
    </row>
    <row r="44" spans="1:6" x14ac:dyDescent="0.25">
      <c r="A44" s="9" t="s">
        <v>383</v>
      </c>
      <c r="B44" s="4">
        <v>45810</v>
      </c>
      <c r="C44" s="5">
        <v>20</v>
      </c>
      <c r="D44" s="9" t="s">
        <v>14</v>
      </c>
      <c r="E44" s="10">
        <v>125</v>
      </c>
      <c r="F44" s="10">
        <f t="shared" si="0"/>
        <v>2500</v>
      </c>
    </row>
    <row r="45" spans="1:6" x14ac:dyDescent="0.25">
      <c r="A45" s="9"/>
      <c r="B45" s="4"/>
      <c r="D45" s="9"/>
      <c r="F45" s="8">
        <f>SUM(F44)</f>
        <v>2500</v>
      </c>
    </row>
    <row r="46" spans="1:6" x14ac:dyDescent="0.25">
      <c r="A46" s="9"/>
      <c r="B46" s="4"/>
      <c r="D46" s="9"/>
    </row>
    <row r="47" spans="1:6" x14ac:dyDescent="0.25">
      <c r="A47" s="9" t="s">
        <v>41</v>
      </c>
      <c r="B47" s="4">
        <v>45810</v>
      </c>
      <c r="C47" s="5">
        <v>30</v>
      </c>
      <c r="D47" s="9" t="s">
        <v>14</v>
      </c>
      <c r="E47" s="10">
        <v>130</v>
      </c>
      <c r="F47" s="10">
        <f t="shared" si="0"/>
        <v>3900</v>
      </c>
    </row>
    <row r="48" spans="1:6" x14ac:dyDescent="0.25">
      <c r="A48" s="9"/>
      <c r="B48" s="4"/>
      <c r="D48" s="9"/>
      <c r="F48" s="8">
        <f>SUM(F47)</f>
        <v>3900</v>
      </c>
    </row>
    <row r="49" spans="1:6" x14ac:dyDescent="0.25">
      <c r="A49" s="9"/>
      <c r="B49" s="4"/>
      <c r="D49" s="9"/>
    </row>
    <row r="50" spans="1:6" x14ac:dyDescent="0.25">
      <c r="A50" s="9" t="s">
        <v>658</v>
      </c>
      <c r="B50" s="4">
        <v>45810</v>
      </c>
      <c r="C50" s="5">
        <v>50</v>
      </c>
      <c r="D50" s="9" t="s">
        <v>12</v>
      </c>
      <c r="E50" s="10">
        <v>120</v>
      </c>
      <c r="F50" s="10">
        <f t="shared" si="0"/>
        <v>6000</v>
      </c>
    </row>
    <row r="51" spans="1:6" x14ac:dyDescent="0.25">
      <c r="A51" s="9"/>
      <c r="B51" s="4"/>
      <c r="C51" s="5">
        <v>6</v>
      </c>
      <c r="D51" s="9" t="s">
        <v>13</v>
      </c>
      <c r="E51" s="10">
        <v>120</v>
      </c>
      <c r="F51" s="10">
        <f t="shared" si="0"/>
        <v>720</v>
      </c>
    </row>
    <row r="52" spans="1:6" x14ac:dyDescent="0.25">
      <c r="A52" s="9"/>
      <c r="B52" s="4"/>
      <c r="D52" s="9"/>
      <c r="F52" s="8">
        <f>SUM(F50:F51)</f>
        <v>6720</v>
      </c>
    </row>
    <row r="53" spans="1:6" x14ac:dyDescent="0.25">
      <c r="A53" s="9"/>
      <c r="B53" s="4"/>
      <c r="D53" s="9"/>
    </row>
    <row r="54" spans="1:6" x14ac:dyDescent="0.25">
      <c r="A54" s="9" t="s">
        <v>44</v>
      </c>
      <c r="B54" s="4">
        <v>45810</v>
      </c>
      <c r="C54" s="5">
        <v>40</v>
      </c>
      <c r="D54" s="9" t="s">
        <v>13</v>
      </c>
      <c r="E54" s="10">
        <v>125</v>
      </c>
      <c r="F54" s="10">
        <f t="shared" si="0"/>
        <v>5000</v>
      </c>
    </row>
    <row r="55" spans="1:6" x14ac:dyDescent="0.25">
      <c r="A55" s="9"/>
      <c r="B55" s="4"/>
      <c r="D55" s="9"/>
      <c r="F55" s="8">
        <f>SUM(F54)</f>
        <v>5000</v>
      </c>
    </row>
    <row r="56" spans="1:6" x14ac:dyDescent="0.25">
      <c r="A56" s="9"/>
      <c r="B56" s="4"/>
      <c r="D56" s="9"/>
    </row>
    <row r="57" spans="1:6" x14ac:dyDescent="0.25">
      <c r="A57" s="9" t="s">
        <v>47</v>
      </c>
      <c r="B57" s="4">
        <v>45810</v>
      </c>
      <c r="C57" s="5">
        <v>30</v>
      </c>
      <c r="D57" s="9" t="s">
        <v>14</v>
      </c>
      <c r="E57" s="10">
        <v>125</v>
      </c>
      <c r="F57" s="10">
        <f t="shared" si="0"/>
        <v>3750</v>
      </c>
    </row>
    <row r="58" spans="1:6" s="9" customFormat="1" x14ac:dyDescent="0.25">
      <c r="B58" s="4"/>
      <c r="C58" s="5"/>
      <c r="E58" s="10"/>
      <c r="F58" s="8">
        <f>SUM(F57)</f>
        <v>3750</v>
      </c>
    </row>
    <row r="59" spans="1:6" s="9" customFormat="1" x14ac:dyDescent="0.25">
      <c r="B59" s="4"/>
      <c r="C59" s="5"/>
      <c r="E59" s="10"/>
      <c r="F59" s="10"/>
    </row>
    <row r="60" spans="1:6" s="9" customFormat="1" x14ac:dyDescent="0.25">
      <c r="A60" s="9" t="s">
        <v>18</v>
      </c>
      <c r="B60" s="4">
        <v>45810</v>
      </c>
      <c r="C60" s="5">
        <v>10</v>
      </c>
      <c r="D60" s="9" t="s">
        <v>14</v>
      </c>
      <c r="E60" s="10">
        <v>125</v>
      </c>
      <c r="F60" s="10">
        <f t="shared" si="0"/>
        <v>1250</v>
      </c>
    </row>
    <row r="61" spans="1:6" s="9" customFormat="1" x14ac:dyDescent="0.25">
      <c r="B61" s="4"/>
      <c r="C61" s="5"/>
      <c r="E61" s="10"/>
      <c r="F61" s="8">
        <f>SUM(F60)</f>
        <v>1250</v>
      </c>
    </row>
    <row r="62" spans="1:6" s="9" customFormat="1" x14ac:dyDescent="0.25">
      <c r="B62" s="4"/>
      <c r="C62" s="5"/>
      <c r="E62" s="10"/>
      <c r="F62" s="10"/>
    </row>
    <row r="63" spans="1:6" x14ac:dyDescent="0.25">
      <c r="A63" s="9" t="s">
        <v>262</v>
      </c>
      <c r="B63" s="4">
        <v>45810</v>
      </c>
      <c r="C63" s="5">
        <v>20</v>
      </c>
      <c r="D63" s="9" t="s">
        <v>14</v>
      </c>
      <c r="E63" s="10">
        <v>125</v>
      </c>
      <c r="F63" s="10">
        <f t="shared" si="0"/>
        <v>2500</v>
      </c>
    </row>
    <row r="64" spans="1:6" x14ac:dyDescent="0.25">
      <c r="A64" s="9"/>
      <c r="B64" s="4"/>
      <c r="D64" s="9"/>
      <c r="F64" s="8">
        <f>SUM(F63)</f>
        <v>2500</v>
      </c>
    </row>
    <row r="65" spans="1:6" x14ac:dyDescent="0.25">
      <c r="A65" s="9"/>
      <c r="B65" s="4"/>
      <c r="D65" s="9"/>
    </row>
    <row r="66" spans="1:6" x14ac:dyDescent="0.25">
      <c r="A66" s="9" t="s">
        <v>45</v>
      </c>
      <c r="B66" s="4">
        <v>45810</v>
      </c>
      <c r="C66" s="5">
        <v>4</v>
      </c>
      <c r="D66" s="9" t="s">
        <v>14</v>
      </c>
      <c r="E66" s="10">
        <v>120</v>
      </c>
      <c r="F66" s="10">
        <f t="shared" si="0"/>
        <v>480</v>
      </c>
    </row>
    <row r="67" spans="1:6" x14ac:dyDescent="0.25">
      <c r="A67" s="9"/>
      <c r="B67" s="4"/>
      <c r="D67" s="9"/>
      <c r="F67" s="8">
        <f>SUM(F66)</f>
        <v>480</v>
      </c>
    </row>
    <row r="68" spans="1:6" x14ac:dyDescent="0.25">
      <c r="A68" s="9"/>
      <c r="B68" s="4"/>
      <c r="D68" s="9"/>
    </row>
    <row r="69" spans="1:6" x14ac:dyDescent="0.25">
      <c r="A69" s="9" t="s">
        <v>145</v>
      </c>
      <c r="B69" s="4">
        <v>45810</v>
      </c>
      <c r="C69" s="5">
        <v>50</v>
      </c>
      <c r="D69" s="9" t="s">
        <v>14</v>
      </c>
      <c r="E69" s="10">
        <v>120</v>
      </c>
      <c r="F69" s="10">
        <f t="shared" ref="F69:F129" si="1">+C69*E69</f>
        <v>6000</v>
      </c>
    </row>
    <row r="70" spans="1:6" x14ac:dyDescent="0.25">
      <c r="A70" s="9"/>
      <c r="B70" s="4"/>
      <c r="D70" s="9"/>
      <c r="F70" s="8">
        <f>SUM(F69)</f>
        <v>6000</v>
      </c>
    </row>
    <row r="71" spans="1:6" x14ac:dyDescent="0.25">
      <c r="A71" s="9"/>
      <c r="B71" s="4"/>
      <c r="D71" s="9"/>
    </row>
    <row r="72" spans="1:6" x14ac:dyDescent="0.25">
      <c r="A72" s="9" t="s">
        <v>659</v>
      </c>
      <c r="B72" s="4">
        <v>45810</v>
      </c>
      <c r="C72" s="5">
        <v>10</v>
      </c>
      <c r="D72" s="9" t="s">
        <v>660</v>
      </c>
      <c r="E72" s="10">
        <v>125</v>
      </c>
      <c r="F72" s="10">
        <f t="shared" si="1"/>
        <v>1250</v>
      </c>
    </row>
    <row r="73" spans="1:6" x14ac:dyDescent="0.25">
      <c r="A73" s="9"/>
      <c r="B73" s="4"/>
      <c r="D73" s="9"/>
      <c r="F73" s="8">
        <f>SUM(F72)</f>
        <v>1250</v>
      </c>
    </row>
    <row r="74" spans="1:6" x14ac:dyDescent="0.25">
      <c r="A74" s="9"/>
      <c r="B74" s="4"/>
      <c r="D74" s="9"/>
    </row>
    <row r="75" spans="1:6" x14ac:dyDescent="0.25">
      <c r="A75" s="9" t="s">
        <v>151</v>
      </c>
      <c r="B75" s="4">
        <v>45810</v>
      </c>
      <c r="C75" s="5">
        <v>60</v>
      </c>
      <c r="D75" s="9" t="s">
        <v>14</v>
      </c>
      <c r="E75" s="10">
        <v>120</v>
      </c>
      <c r="F75" s="10">
        <f t="shared" si="1"/>
        <v>7200</v>
      </c>
    </row>
    <row r="76" spans="1:6" x14ac:dyDescent="0.25">
      <c r="A76" s="9"/>
      <c r="B76" s="4"/>
      <c r="C76" s="5">
        <v>30</v>
      </c>
      <c r="D76" s="9" t="s">
        <v>50</v>
      </c>
      <c r="E76" s="10">
        <v>90</v>
      </c>
      <c r="F76" s="10">
        <f t="shared" si="1"/>
        <v>2700</v>
      </c>
    </row>
    <row r="77" spans="1:6" x14ac:dyDescent="0.25">
      <c r="A77" s="9"/>
      <c r="B77" s="4"/>
      <c r="D77" s="9"/>
      <c r="F77" s="8">
        <f>SUM(F75:F76)</f>
        <v>9900</v>
      </c>
    </row>
    <row r="78" spans="1:6" x14ac:dyDescent="0.25">
      <c r="A78" s="9"/>
      <c r="B78" s="4"/>
      <c r="D78" s="9"/>
    </row>
    <row r="79" spans="1:6" x14ac:dyDescent="0.25">
      <c r="A79" s="9" t="s">
        <v>61</v>
      </c>
      <c r="B79" s="4">
        <v>45810</v>
      </c>
      <c r="C79" s="5">
        <v>80</v>
      </c>
      <c r="D79" s="9" t="s">
        <v>13</v>
      </c>
      <c r="E79" s="10">
        <v>135</v>
      </c>
      <c r="F79" s="10">
        <f t="shared" si="1"/>
        <v>10800</v>
      </c>
    </row>
    <row r="80" spans="1:6" x14ac:dyDescent="0.25">
      <c r="A80" s="9"/>
      <c r="B80" s="4"/>
      <c r="D80" s="9"/>
      <c r="F80" s="8">
        <f>SUM(F79)</f>
        <v>10800</v>
      </c>
    </row>
    <row r="81" spans="1:6" x14ac:dyDescent="0.25">
      <c r="A81" s="9"/>
      <c r="B81" s="4"/>
      <c r="D81" s="9"/>
    </row>
    <row r="82" spans="1:6" x14ac:dyDescent="0.25">
      <c r="A82" s="9" t="s">
        <v>89</v>
      </c>
      <c r="B82" s="4">
        <v>45810</v>
      </c>
      <c r="C82" s="5">
        <v>20</v>
      </c>
      <c r="D82" s="9" t="s">
        <v>13</v>
      </c>
      <c r="E82" s="10">
        <v>130</v>
      </c>
      <c r="F82" s="10">
        <f t="shared" si="1"/>
        <v>2600</v>
      </c>
    </row>
    <row r="83" spans="1:6" x14ac:dyDescent="0.25">
      <c r="A83" s="9"/>
      <c r="B83" s="4"/>
      <c r="C83" s="5">
        <v>20</v>
      </c>
      <c r="D83" s="9" t="s">
        <v>11</v>
      </c>
      <c r="E83" s="10">
        <v>110</v>
      </c>
      <c r="F83" s="10">
        <f t="shared" si="1"/>
        <v>2200</v>
      </c>
    </row>
    <row r="84" spans="1:6" x14ac:dyDescent="0.25">
      <c r="A84" s="9"/>
      <c r="B84" s="4"/>
      <c r="C84" s="5">
        <v>60</v>
      </c>
      <c r="D84" s="9" t="s">
        <v>22</v>
      </c>
      <c r="E84" s="10">
        <v>100</v>
      </c>
      <c r="F84" s="10">
        <f t="shared" si="1"/>
        <v>6000</v>
      </c>
    </row>
    <row r="85" spans="1:6" x14ac:dyDescent="0.25">
      <c r="A85" s="9"/>
      <c r="B85" s="4"/>
      <c r="D85" s="9"/>
      <c r="F85" s="8">
        <f>SUM(F82:F84)</f>
        <v>10800</v>
      </c>
    </row>
    <row r="86" spans="1:6" x14ac:dyDescent="0.25">
      <c r="A86" s="9"/>
      <c r="B86" s="4"/>
      <c r="D86" s="9"/>
    </row>
    <row r="87" spans="1:6" x14ac:dyDescent="0.25">
      <c r="A87" s="9" t="s">
        <v>661</v>
      </c>
      <c r="B87" s="4">
        <v>45810</v>
      </c>
      <c r="C87" s="5">
        <v>5</v>
      </c>
      <c r="D87" s="9" t="s">
        <v>13</v>
      </c>
      <c r="E87" s="10">
        <v>145</v>
      </c>
      <c r="F87" s="10">
        <f t="shared" si="1"/>
        <v>725</v>
      </c>
    </row>
    <row r="88" spans="1:6" x14ac:dyDescent="0.25">
      <c r="A88" s="9"/>
      <c r="B88" s="4"/>
      <c r="D88" s="9"/>
      <c r="F88" s="8">
        <f>SUM(F87)</f>
        <v>725</v>
      </c>
    </row>
    <row r="89" spans="1:6" x14ac:dyDescent="0.25">
      <c r="A89" s="9"/>
      <c r="B89" s="4"/>
      <c r="D89" s="9"/>
    </row>
    <row r="90" spans="1:6" x14ac:dyDescent="0.25">
      <c r="A90" s="9" t="s">
        <v>26</v>
      </c>
      <c r="B90" s="4">
        <v>45810</v>
      </c>
      <c r="C90" s="5">
        <v>120</v>
      </c>
      <c r="D90" s="9" t="s">
        <v>13</v>
      </c>
      <c r="E90" s="10">
        <v>140</v>
      </c>
      <c r="F90" s="10">
        <f t="shared" si="1"/>
        <v>16800</v>
      </c>
    </row>
    <row r="91" spans="1:6" x14ac:dyDescent="0.25">
      <c r="A91" s="9"/>
      <c r="B91" s="4"/>
      <c r="C91" s="5">
        <v>30</v>
      </c>
      <c r="D91" s="9" t="s">
        <v>662</v>
      </c>
      <c r="E91" s="10">
        <v>130</v>
      </c>
      <c r="F91" s="10">
        <f t="shared" si="1"/>
        <v>3900</v>
      </c>
    </row>
    <row r="92" spans="1:6" x14ac:dyDescent="0.25">
      <c r="A92" s="9"/>
      <c r="B92" s="4"/>
      <c r="C92" s="5">
        <v>5</v>
      </c>
      <c r="D92" s="9" t="s">
        <v>318</v>
      </c>
      <c r="E92" s="10">
        <v>0</v>
      </c>
      <c r="F92" s="10">
        <f t="shared" si="1"/>
        <v>0</v>
      </c>
    </row>
    <row r="93" spans="1:6" x14ac:dyDescent="0.25">
      <c r="A93" s="9"/>
      <c r="B93" s="4"/>
      <c r="D93" s="9"/>
      <c r="F93" s="8">
        <f>SUM(F90:F92)</f>
        <v>20700</v>
      </c>
    </row>
    <row r="94" spans="1:6" x14ac:dyDescent="0.25">
      <c r="A94" s="9"/>
      <c r="B94" s="4"/>
      <c r="D94" s="9"/>
    </row>
    <row r="95" spans="1:6" x14ac:dyDescent="0.25">
      <c r="A95" s="9" t="s">
        <v>535</v>
      </c>
      <c r="B95" s="4">
        <v>45810</v>
      </c>
      <c r="C95" s="5">
        <v>75</v>
      </c>
      <c r="D95" s="9" t="s">
        <v>13</v>
      </c>
      <c r="E95" s="10">
        <v>140</v>
      </c>
      <c r="F95" s="10">
        <f t="shared" si="1"/>
        <v>10500</v>
      </c>
    </row>
    <row r="96" spans="1:6" x14ac:dyDescent="0.25">
      <c r="A96" s="9"/>
      <c r="B96" s="4"/>
      <c r="C96" s="5">
        <v>12</v>
      </c>
      <c r="D96" s="9" t="s">
        <v>8</v>
      </c>
      <c r="E96" s="10">
        <v>160</v>
      </c>
      <c r="F96" s="10">
        <f t="shared" si="1"/>
        <v>1920</v>
      </c>
    </row>
    <row r="97" spans="1:6" x14ac:dyDescent="0.25">
      <c r="A97" s="9"/>
      <c r="B97" s="4"/>
      <c r="C97" s="5">
        <v>15</v>
      </c>
      <c r="D97" s="9" t="s">
        <v>12</v>
      </c>
      <c r="E97" s="10">
        <v>130</v>
      </c>
      <c r="F97" s="10">
        <f t="shared" si="1"/>
        <v>1950</v>
      </c>
    </row>
    <row r="98" spans="1:6" x14ac:dyDescent="0.25">
      <c r="A98" s="9"/>
      <c r="B98" s="4"/>
      <c r="D98" s="9"/>
      <c r="F98" s="8">
        <f>SUM(F95:F97)</f>
        <v>14370</v>
      </c>
    </row>
    <row r="99" spans="1:6" x14ac:dyDescent="0.25">
      <c r="A99" s="9"/>
      <c r="B99" s="4"/>
      <c r="D99" s="9"/>
    </row>
    <row r="100" spans="1:6" x14ac:dyDescent="0.25">
      <c r="A100" s="9" t="s">
        <v>29</v>
      </c>
      <c r="B100" s="4">
        <v>45810</v>
      </c>
      <c r="C100" s="5">
        <v>1</v>
      </c>
      <c r="D100" s="9" t="s">
        <v>13</v>
      </c>
      <c r="E100" s="10">
        <v>150</v>
      </c>
      <c r="F100" s="10">
        <f t="shared" si="1"/>
        <v>150</v>
      </c>
    </row>
    <row r="101" spans="1:6" x14ac:dyDescent="0.25">
      <c r="A101" s="9"/>
      <c r="B101" s="4"/>
      <c r="C101" s="5">
        <v>1</v>
      </c>
      <c r="D101" s="9" t="s">
        <v>8</v>
      </c>
      <c r="E101" s="10">
        <v>140</v>
      </c>
      <c r="F101" s="10">
        <f t="shared" si="1"/>
        <v>140</v>
      </c>
    </row>
    <row r="102" spans="1:6" x14ac:dyDescent="0.25">
      <c r="A102" s="9"/>
      <c r="B102" s="4"/>
      <c r="C102" s="5">
        <v>2</v>
      </c>
      <c r="D102" s="9" t="s">
        <v>8</v>
      </c>
      <c r="E102" s="10">
        <v>150</v>
      </c>
      <c r="F102" s="10">
        <f t="shared" si="1"/>
        <v>300</v>
      </c>
    </row>
    <row r="103" spans="1:6" x14ac:dyDescent="0.25">
      <c r="A103" s="9"/>
      <c r="B103" s="4"/>
      <c r="C103" s="5">
        <v>2</v>
      </c>
      <c r="D103" s="9" t="s">
        <v>663</v>
      </c>
      <c r="E103" s="10">
        <v>150</v>
      </c>
      <c r="F103" s="10">
        <f t="shared" si="1"/>
        <v>300</v>
      </c>
    </row>
    <row r="104" spans="1:6" x14ac:dyDescent="0.25">
      <c r="A104" s="9"/>
      <c r="B104" s="4"/>
      <c r="D104" s="9"/>
      <c r="F104" s="8">
        <f>SUM(F100:F103)</f>
        <v>890</v>
      </c>
    </row>
    <row r="105" spans="1:6" x14ac:dyDescent="0.25">
      <c r="A105" s="9"/>
      <c r="B105" s="4"/>
      <c r="D105" s="9"/>
    </row>
    <row r="106" spans="1:6" x14ac:dyDescent="0.25">
      <c r="A106" s="9" t="s">
        <v>7</v>
      </c>
      <c r="B106" s="4">
        <v>45810</v>
      </c>
      <c r="C106" s="5">
        <v>1</v>
      </c>
      <c r="D106" s="9" t="s">
        <v>12</v>
      </c>
      <c r="E106" s="10">
        <v>150</v>
      </c>
      <c r="F106" s="10">
        <f t="shared" si="1"/>
        <v>150</v>
      </c>
    </row>
    <row r="107" spans="1:6" x14ac:dyDescent="0.25">
      <c r="A107" s="9"/>
      <c r="B107" s="4"/>
      <c r="D107" s="9"/>
      <c r="F107" s="8">
        <f>SUM(F106)</f>
        <v>150</v>
      </c>
    </row>
    <row r="108" spans="1:6" x14ac:dyDescent="0.25">
      <c r="A108" s="9"/>
      <c r="B108" s="4"/>
      <c r="D108" s="9"/>
    </row>
    <row r="109" spans="1:6" x14ac:dyDescent="0.25">
      <c r="A109" s="9" t="s">
        <v>21</v>
      </c>
      <c r="B109" s="4">
        <v>45811</v>
      </c>
      <c r="C109" s="5">
        <v>10</v>
      </c>
      <c r="D109" s="9" t="s">
        <v>12</v>
      </c>
      <c r="E109" s="10">
        <v>120</v>
      </c>
      <c r="F109" s="10">
        <f t="shared" si="1"/>
        <v>1200</v>
      </c>
    </row>
    <row r="110" spans="1:6" x14ac:dyDescent="0.25">
      <c r="A110" s="9"/>
      <c r="B110" s="4"/>
      <c r="C110" s="5">
        <v>20</v>
      </c>
      <c r="D110" s="9" t="s">
        <v>13</v>
      </c>
      <c r="E110" s="10">
        <v>135</v>
      </c>
      <c r="F110" s="10">
        <f t="shared" si="1"/>
        <v>2700</v>
      </c>
    </row>
    <row r="111" spans="1:6" x14ac:dyDescent="0.25">
      <c r="A111" s="9"/>
      <c r="B111" s="4"/>
      <c r="C111" s="5">
        <v>10</v>
      </c>
      <c r="D111" s="9" t="s">
        <v>592</v>
      </c>
      <c r="E111" s="10">
        <v>155</v>
      </c>
      <c r="F111" s="10">
        <f t="shared" si="1"/>
        <v>1550</v>
      </c>
    </row>
    <row r="112" spans="1:6" x14ac:dyDescent="0.25">
      <c r="A112" s="9"/>
      <c r="B112" s="4"/>
      <c r="D112" s="9"/>
      <c r="F112" s="8">
        <f>SUM(F109:F111)</f>
        <v>5450</v>
      </c>
    </row>
    <row r="113" spans="1:6" x14ac:dyDescent="0.25">
      <c r="A113" s="9"/>
      <c r="B113" s="4"/>
      <c r="D113" s="9"/>
    </row>
    <row r="114" spans="1:6" x14ac:dyDescent="0.25">
      <c r="A114" s="9" t="s">
        <v>40</v>
      </c>
      <c r="B114" s="4">
        <v>45811</v>
      </c>
      <c r="C114" s="5">
        <v>20</v>
      </c>
      <c r="D114" s="9" t="s">
        <v>8</v>
      </c>
      <c r="E114" s="10">
        <v>155</v>
      </c>
      <c r="F114" s="10">
        <f t="shared" si="1"/>
        <v>3100</v>
      </c>
    </row>
    <row r="115" spans="1:6" x14ac:dyDescent="0.25">
      <c r="A115" s="9"/>
      <c r="B115" s="4"/>
      <c r="C115" s="5">
        <v>10</v>
      </c>
      <c r="D115" s="9" t="s">
        <v>14</v>
      </c>
      <c r="E115" s="10">
        <v>125</v>
      </c>
      <c r="F115" s="10">
        <f t="shared" si="1"/>
        <v>1250</v>
      </c>
    </row>
    <row r="116" spans="1:6" x14ac:dyDescent="0.25">
      <c r="A116" s="9"/>
      <c r="B116" s="4"/>
      <c r="C116" s="5">
        <v>25</v>
      </c>
      <c r="D116" s="9" t="s">
        <v>576</v>
      </c>
      <c r="E116" s="10">
        <v>135</v>
      </c>
      <c r="F116" s="10">
        <f t="shared" si="1"/>
        <v>3375</v>
      </c>
    </row>
    <row r="117" spans="1:6" x14ac:dyDescent="0.25">
      <c r="A117" s="9"/>
      <c r="B117" s="4"/>
      <c r="D117" s="9"/>
      <c r="F117" s="8">
        <f>SUM(F114:F116)</f>
        <v>7725</v>
      </c>
    </row>
    <row r="118" spans="1:6" x14ac:dyDescent="0.25">
      <c r="A118" s="9"/>
      <c r="B118" s="4"/>
      <c r="D118" s="9"/>
    </row>
    <row r="119" spans="1:6" x14ac:dyDescent="0.25">
      <c r="A119" s="9" t="s">
        <v>25</v>
      </c>
      <c r="B119" s="4">
        <v>45811</v>
      </c>
      <c r="C119" s="5">
        <v>34</v>
      </c>
      <c r="D119" s="9" t="s">
        <v>8</v>
      </c>
      <c r="E119" s="10">
        <v>155</v>
      </c>
      <c r="F119" s="10">
        <f t="shared" si="1"/>
        <v>5270</v>
      </c>
    </row>
    <row r="120" spans="1:6" x14ac:dyDescent="0.25">
      <c r="A120" s="9"/>
      <c r="B120" s="4"/>
      <c r="D120" s="9"/>
      <c r="F120" s="8">
        <f>SUM(F119)</f>
        <v>5270</v>
      </c>
    </row>
    <row r="121" spans="1:6" x14ac:dyDescent="0.25">
      <c r="A121" s="9"/>
      <c r="B121" s="4"/>
      <c r="D121" s="9"/>
    </row>
    <row r="122" spans="1:6" x14ac:dyDescent="0.25">
      <c r="A122" s="9" t="s">
        <v>69</v>
      </c>
      <c r="B122" s="4">
        <v>45811</v>
      </c>
      <c r="C122" s="5">
        <v>10</v>
      </c>
      <c r="D122" s="9" t="s">
        <v>98</v>
      </c>
      <c r="E122" s="10">
        <v>100</v>
      </c>
      <c r="F122" s="10">
        <f t="shared" si="1"/>
        <v>1000</v>
      </c>
    </row>
    <row r="123" spans="1:6" x14ac:dyDescent="0.25">
      <c r="A123" s="9"/>
      <c r="B123" s="4"/>
      <c r="D123" s="9"/>
      <c r="F123" s="8">
        <f>SUM(F122)</f>
        <v>1000</v>
      </c>
    </row>
    <row r="124" spans="1:6" x14ac:dyDescent="0.25">
      <c r="A124" s="9"/>
      <c r="B124" s="4"/>
      <c r="D124" s="9"/>
    </row>
    <row r="125" spans="1:6" x14ac:dyDescent="0.25">
      <c r="A125" s="9" t="s">
        <v>480</v>
      </c>
      <c r="B125" s="4">
        <v>45811</v>
      </c>
      <c r="C125" s="5">
        <v>10</v>
      </c>
      <c r="D125" s="9" t="s">
        <v>22</v>
      </c>
      <c r="E125" s="10">
        <v>100</v>
      </c>
      <c r="F125" s="10">
        <f t="shared" si="1"/>
        <v>1000</v>
      </c>
    </row>
    <row r="126" spans="1:6" s="9" customFormat="1" x14ac:dyDescent="0.25">
      <c r="B126" s="4"/>
      <c r="C126" s="5"/>
      <c r="E126" s="10"/>
      <c r="F126" s="8">
        <f>SUM(F125)</f>
        <v>1000</v>
      </c>
    </row>
    <row r="127" spans="1:6" s="9" customFormat="1" x14ac:dyDescent="0.25">
      <c r="B127" s="4"/>
      <c r="C127" s="5"/>
      <c r="E127" s="10"/>
      <c r="F127" s="10"/>
    </row>
    <row r="128" spans="1:6" s="9" customFormat="1" x14ac:dyDescent="0.25">
      <c r="A128" s="9" t="s">
        <v>151</v>
      </c>
      <c r="B128" s="4">
        <v>45811</v>
      </c>
      <c r="C128" s="5">
        <v>100</v>
      </c>
      <c r="D128" s="9" t="s">
        <v>22</v>
      </c>
      <c r="E128" s="10">
        <v>90</v>
      </c>
      <c r="F128" s="10">
        <f t="shared" si="1"/>
        <v>9000</v>
      </c>
    </row>
    <row r="129" spans="1:6" s="9" customFormat="1" x14ac:dyDescent="0.25">
      <c r="B129" s="4"/>
      <c r="C129" s="5">
        <v>60</v>
      </c>
      <c r="D129" s="9" t="s">
        <v>13</v>
      </c>
      <c r="E129" s="10">
        <v>130</v>
      </c>
      <c r="F129" s="10">
        <f t="shared" si="1"/>
        <v>7800</v>
      </c>
    </row>
    <row r="130" spans="1:6" s="9" customFormat="1" x14ac:dyDescent="0.25">
      <c r="B130" s="4"/>
      <c r="C130" s="5"/>
      <c r="E130" s="10"/>
      <c r="F130" s="8">
        <f>SUM(F128:F129)</f>
        <v>16800</v>
      </c>
    </row>
    <row r="131" spans="1:6" s="9" customFormat="1" x14ac:dyDescent="0.25">
      <c r="B131" s="4"/>
      <c r="C131" s="5"/>
      <c r="E131" s="10"/>
      <c r="F131" s="10"/>
    </row>
    <row r="132" spans="1:6" s="9" customFormat="1" x14ac:dyDescent="0.25">
      <c r="A132" s="9" t="s">
        <v>67</v>
      </c>
      <c r="B132" s="4">
        <v>45811</v>
      </c>
      <c r="C132" s="5">
        <v>10</v>
      </c>
      <c r="D132" s="9" t="s">
        <v>664</v>
      </c>
      <c r="E132" s="10">
        <v>140</v>
      </c>
      <c r="F132" s="10">
        <f t="shared" ref="F132:F193" si="2">+C132*E132</f>
        <v>1400</v>
      </c>
    </row>
    <row r="133" spans="1:6" s="9" customFormat="1" x14ac:dyDescent="0.25">
      <c r="B133" s="4"/>
      <c r="C133" s="5"/>
      <c r="E133" s="10"/>
      <c r="F133" s="8">
        <f>SUM(F132)</f>
        <v>1400</v>
      </c>
    </row>
    <row r="134" spans="1:6" s="9" customFormat="1" x14ac:dyDescent="0.25">
      <c r="B134" s="4"/>
      <c r="C134" s="5"/>
      <c r="E134" s="10"/>
      <c r="F134" s="10"/>
    </row>
    <row r="135" spans="1:6" s="9" customFormat="1" x14ac:dyDescent="0.25">
      <c r="A135" s="9" t="s">
        <v>100</v>
      </c>
      <c r="B135" s="4">
        <v>45811</v>
      </c>
      <c r="C135" s="5">
        <v>10</v>
      </c>
      <c r="D135" s="9" t="s">
        <v>13</v>
      </c>
      <c r="E135" s="10">
        <v>140</v>
      </c>
      <c r="F135" s="10">
        <f t="shared" si="2"/>
        <v>1400</v>
      </c>
    </row>
    <row r="136" spans="1:6" s="9" customFormat="1" x14ac:dyDescent="0.25">
      <c r="B136" s="4"/>
      <c r="C136" s="5"/>
      <c r="E136" s="10"/>
      <c r="F136" s="8">
        <f>SUM(F135)</f>
        <v>1400</v>
      </c>
    </row>
    <row r="137" spans="1:6" s="9" customFormat="1" x14ac:dyDescent="0.25">
      <c r="B137" s="4"/>
      <c r="C137" s="5"/>
      <c r="E137" s="10"/>
      <c r="F137" s="10"/>
    </row>
    <row r="138" spans="1:6" s="9" customFormat="1" x14ac:dyDescent="0.25">
      <c r="A138" s="9" t="s">
        <v>7</v>
      </c>
      <c r="B138" s="4">
        <v>45811</v>
      </c>
      <c r="C138" s="5">
        <v>6</v>
      </c>
      <c r="D138" s="9" t="s">
        <v>14</v>
      </c>
      <c r="E138" s="10">
        <v>130</v>
      </c>
      <c r="F138" s="10">
        <f t="shared" si="2"/>
        <v>780</v>
      </c>
    </row>
    <row r="139" spans="1:6" s="9" customFormat="1" x14ac:dyDescent="0.25">
      <c r="B139" s="4"/>
      <c r="C139" s="5">
        <v>2</v>
      </c>
      <c r="D139" s="9" t="s">
        <v>13</v>
      </c>
      <c r="E139" s="10">
        <v>140</v>
      </c>
      <c r="F139" s="10">
        <f t="shared" si="2"/>
        <v>280</v>
      </c>
    </row>
    <row r="140" spans="1:6" s="9" customFormat="1" x14ac:dyDescent="0.25">
      <c r="B140" s="4"/>
      <c r="C140" s="5"/>
      <c r="E140" s="10"/>
      <c r="F140" s="8">
        <f>SUM(F138:F139)</f>
        <v>1060</v>
      </c>
    </row>
    <row r="141" spans="1:6" x14ac:dyDescent="0.25">
      <c r="A141" s="9"/>
      <c r="B141" s="4"/>
      <c r="D141" s="9"/>
    </row>
    <row r="142" spans="1:6" x14ac:dyDescent="0.25">
      <c r="A142" s="9" t="s">
        <v>48</v>
      </c>
      <c r="B142" s="4">
        <v>45811</v>
      </c>
      <c r="C142" s="5">
        <v>294</v>
      </c>
      <c r="D142" s="9" t="s">
        <v>14</v>
      </c>
      <c r="F142" s="10">
        <f t="shared" si="2"/>
        <v>0</v>
      </c>
    </row>
    <row r="143" spans="1:6" x14ac:dyDescent="0.25">
      <c r="A143" s="9"/>
      <c r="B143" s="4"/>
      <c r="C143" s="5">
        <v>51</v>
      </c>
      <c r="D143" s="9" t="s">
        <v>49</v>
      </c>
      <c r="F143" s="10">
        <f t="shared" si="2"/>
        <v>0</v>
      </c>
    </row>
    <row r="144" spans="1:6" x14ac:dyDescent="0.25">
      <c r="A144" s="9"/>
      <c r="B144" s="4"/>
      <c r="C144" s="5">
        <v>104</v>
      </c>
      <c r="D144" s="9" t="s">
        <v>11</v>
      </c>
      <c r="F144" s="10">
        <f t="shared" si="2"/>
        <v>0</v>
      </c>
    </row>
    <row r="145" spans="1:6" s="9" customFormat="1" x14ac:dyDescent="0.25">
      <c r="B145" s="4"/>
      <c r="C145" s="5">
        <v>28</v>
      </c>
      <c r="D145" s="9" t="s">
        <v>50</v>
      </c>
      <c r="E145" s="10"/>
      <c r="F145" s="10">
        <f t="shared" si="2"/>
        <v>0</v>
      </c>
    </row>
    <row r="146" spans="1:6" s="9" customFormat="1" x14ac:dyDescent="0.25">
      <c r="B146" s="4"/>
      <c r="C146" s="5"/>
      <c r="E146" s="10"/>
      <c r="F146" s="8">
        <f>SUM(F142:F145)</f>
        <v>0</v>
      </c>
    </row>
    <row r="147" spans="1:6" s="9" customFormat="1" x14ac:dyDescent="0.25">
      <c r="B147" s="4"/>
      <c r="C147" s="5"/>
      <c r="E147" s="10"/>
      <c r="F147" s="10"/>
    </row>
    <row r="148" spans="1:6" s="9" customFormat="1" x14ac:dyDescent="0.25">
      <c r="A148" s="9" t="s">
        <v>116</v>
      </c>
      <c r="B148" s="4">
        <v>45811</v>
      </c>
      <c r="C148" s="5">
        <v>400</v>
      </c>
      <c r="D148" s="9" t="s">
        <v>14</v>
      </c>
      <c r="E148" s="10"/>
      <c r="F148" s="10">
        <f t="shared" si="2"/>
        <v>0</v>
      </c>
    </row>
    <row r="149" spans="1:6" s="9" customFormat="1" x14ac:dyDescent="0.25">
      <c r="B149" s="4"/>
      <c r="C149" s="5">
        <v>60</v>
      </c>
      <c r="D149" s="9" t="s">
        <v>566</v>
      </c>
      <c r="E149" s="10"/>
      <c r="F149" s="10">
        <f t="shared" si="2"/>
        <v>0</v>
      </c>
    </row>
    <row r="150" spans="1:6" s="9" customFormat="1" x14ac:dyDescent="0.25">
      <c r="B150" s="4"/>
      <c r="C150" s="5">
        <v>120</v>
      </c>
      <c r="D150" s="9" t="s">
        <v>98</v>
      </c>
      <c r="E150" s="10"/>
      <c r="F150" s="10">
        <f t="shared" si="2"/>
        <v>0</v>
      </c>
    </row>
    <row r="151" spans="1:6" s="9" customFormat="1" x14ac:dyDescent="0.25">
      <c r="B151" s="4"/>
      <c r="C151" s="5"/>
      <c r="E151" s="10"/>
      <c r="F151" s="8">
        <f>SUM(F148:F150)</f>
        <v>0</v>
      </c>
    </row>
    <row r="152" spans="1:6" s="9" customFormat="1" x14ac:dyDescent="0.25">
      <c r="B152" s="4"/>
      <c r="C152" s="5"/>
      <c r="E152" s="10"/>
      <c r="F152" s="10"/>
    </row>
    <row r="153" spans="1:6" s="9" customFormat="1" x14ac:dyDescent="0.25">
      <c r="A153" s="9" t="s">
        <v>535</v>
      </c>
      <c r="B153" s="4">
        <v>45811</v>
      </c>
      <c r="C153" s="5">
        <v>73</v>
      </c>
      <c r="D153" s="9" t="s">
        <v>13</v>
      </c>
      <c r="E153" s="10">
        <v>140</v>
      </c>
      <c r="F153" s="10">
        <f t="shared" si="2"/>
        <v>10220</v>
      </c>
    </row>
    <row r="154" spans="1:6" s="9" customFormat="1" x14ac:dyDescent="0.25">
      <c r="B154" s="4"/>
      <c r="C154" s="5">
        <v>20</v>
      </c>
      <c r="D154" s="9" t="s">
        <v>8</v>
      </c>
      <c r="E154" s="10">
        <v>160</v>
      </c>
      <c r="F154" s="10">
        <f t="shared" si="2"/>
        <v>3200</v>
      </c>
    </row>
    <row r="155" spans="1:6" s="9" customFormat="1" x14ac:dyDescent="0.25">
      <c r="B155" s="4"/>
      <c r="C155" s="5">
        <v>2</v>
      </c>
      <c r="D155" s="9" t="s">
        <v>14</v>
      </c>
      <c r="E155" s="10">
        <v>135</v>
      </c>
      <c r="F155" s="10">
        <f t="shared" si="2"/>
        <v>270</v>
      </c>
    </row>
    <row r="156" spans="1:6" s="9" customFormat="1" x14ac:dyDescent="0.25">
      <c r="B156" s="4"/>
      <c r="C156" s="5">
        <v>1</v>
      </c>
      <c r="D156" s="9" t="s">
        <v>12</v>
      </c>
      <c r="E156" s="10">
        <v>130</v>
      </c>
      <c r="F156" s="10">
        <f t="shared" si="2"/>
        <v>130</v>
      </c>
    </row>
    <row r="157" spans="1:6" s="9" customFormat="1" x14ac:dyDescent="0.25">
      <c r="B157" s="4"/>
      <c r="C157" s="5"/>
      <c r="E157" s="10"/>
      <c r="F157" s="8">
        <f>SUM(F153:F156)</f>
        <v>13820</v>
      </c>
    </row>
    <row r="158" spans="1:6" s="9" customFormat="1" x14ac:dyDescent="0.25">
      <c r="B158" s="4"/>
      <c r="C158" s="5"/>
      <c r="E158" s="10"/>
      <c r="F158" s="10"/>
    </row>
    <row r="159" spans="1:6" s="9" customFormat="1" x14ac:dyDescent="0.25">
      <c r="A159" s="9" t="s">
        <v>665</v>
      </c>
      <c r="B159" s="4">
        <v>45811</v>
      </c>
      <c r="C159" s="5">
        <v>100</v>
      </c>
      <c r="D159" s="9" t="s">
        <v>14</v>
      </c>
      <c r="E159" s="10"/>
      <c r="F159" s="10">
        <f t="shared" si="2"/>
        <v>0</v>
      </c>
    </row>
    <row r="160" spans="1:6" s="9" customFormat="1" x14ac:dyDescent="0.25">
      <c r="B160" s="4"/>
      <c r="C160" s="5"/>
      <c r="E160" s="10"/>
      <c r="F160" s="8">
        <f>SUM(F159)</f>
        <v>0</v>
      </c>
    </row>
    <row r="161" spans="1:6" s="9" customFormat="1" x14ac:dyDescent="0.25">
      <c r="B161" s="4"/>
      <c r="C161" s="5"/>
      <c r="E161" s="10"/>
      <c r="F161" s="10"/>
    </row>
    <row r="162" spans="1:6" s="9" customFormat="1" x14ac:dyDescent="0.25">
      <c r="A162" s="9" t="s">
        <v>666</v>
      </c>
      <c r="B162" s="4">
        <v>45811</v>
      </c>
      <c r="C162" s="5">
        <v>1</v>
      </c>
      <c r="D162" s="9" t="s">
        <v>667</v>
      </c>
      <c r="E162" s="10">
        <v>100</v>
      </c>
      <c r="F162" s="10">
        <f t="shared" si="2"/>
        <v>100</v>
      </c>
    </row>
    <row r="163" spans="1:6" s="9" customFormat="1" x14ac:dyDescent="0.25">
      <c r="B163" s="4"/>
      <c r="C163" s="5"/>
      <c r="E163" s="10"/>
      <c r="F163" s="8">
        <f>SUM(F162)</f>
        <v>100</v>
      </c>
    </row>
    <row r="164" spans="1:6" s="9" customFormat="1" x14ac:dyDescent="0.25">
      <c r="B164" s="4"/>
      <c r="C164" s="5"/>
      <c r="E164" s="10"/>
      <c r="F164" s="10"/>
    </row>
    <row r="165" spans="1:6" s="9" customFormat="1" x14ac:dyDescent="0.25">
      <c r="A165" s="9" t="s">
        <v>181</v>
      </c>
      <c r="B165" s="4">
        <v>45811</v>
      </c>
      <c r="C165" s="5">
        <v>1</v>
      </c>
      <c r="D165" s="9" t="s">
        <v>8</v>
      </c>
      <c r="E165" s="10">
        <v>170</v>
      </c>
      <c r="F165" s="10">
        <f t="shared" si="2"/>
        <v>170</v>
      </c>
    </row>
    <row r="166" spans="1:6" s="9" customFormat="1" x14ac:dyDescent="0.25">
      <c r="B166" s="4"/>
      <c r="C166" s="5">
        <v>1</v>
      </c>
      <c r="D166" s="9" t="s">
        <v>640</v>
      </c>
      <c r="E166" s="10">
        <v>150</v>
      </c>
      <c r="F166" s="10">
        <f t="shared" si="2"/>
        <v>150</v>
      </c>
    </row>
    <row r="167" spans="1:6" s="9" customFormat="1" x14ac:dyDescent="0.25">
      <c r="B167" s="4"/>
      <c r="C167" s="5"/>
      <c r="E167" s="10"/>
      <c r="F167" s="8">
        <f>SUM(F165:F166)</f>
        <v>320</v>
      </c>
    </row>
    <row r="168" spans="1:6" s="9" customFormat="1" x14ac:dyDescent="0.25">
      <c r="B168" s="4"/>
      <c r="C168" s="5"/>
      <c r="E168" s="10"/>
      <c r="F168" s="10"/>
    </row>
    <row r="169" spans="1:6" s="9" customFormat="1" x14ac:dyDescent="0.25">
      <c r="A169" s="9" t="s">
        <v>586</v>
      </c>
      <c r="B169" s="4">
        <v>45812</v>
      </c>
      <c r="C169" s="5">
        <v>7</v>
      </c>
      <c r="D169" s="9" t="s">
        <v>12</v>
      </c>
      <c r="E169" s="10">
        <v>130</v>
      </c>
      <c r="F169" s="10">
        <f t="shared" si="2"/>
        <v>910</v>
      </c>
    </row>
    <row r="170" spans="1:6" s="9" customFormat="1" x14ac:dyDescent="0.25">
      <c r="B170" s="4"/>
      <c r="C170" s="5"/>
      <c r="E170" s="10"/>
      <c r="F170" s="8">
        <f>SUM(F169)</f>
        <v>910</v>
      </c>
    </row>
    <row r="171" spans="1:6" s="9" customFormat="1" x14ac:dyDescent="0.25">
      <c r="B171" s="4"/>
      <c r="C171" s="5"/>
      <c r="E171" s="10"/>
      <c r="F171" s="10"/>
    </row>
    <row r="172" spans="1:6" s="9" customFormat="1" x14ac:dyDescent="0.25">
      <c r="A172" s="9" t="s">
        <v>113</v>
      </c>
      <c r="B172" s="4">
        <v>45812</v>
      </c>
      <c r="C172" s="5">
        <v>10</v>
      </c>
      <c r="D172" s="9" t="s">
        <v>13</v>
      </c>
      <c r="E172" s="10">
        <v>140</v>
      </c>
      <c r="F172" s="10">
        <f t="shared" si="2"/>
        <v>1400</v>
      </c>
    </row>
    <row r="173" spans="1:6" s="9" customFormat="1" x14ac:dyDescent="0.25">
      <c r="B173" s="4"/>
      <c r="C173" s="5">
        <v>10</v>
      </c>
      <c r="D173" s="9" t="s">
        <v>8</v>
      </c>
      <c r="E173" s="10">
        <v>160</v>
      </c>
      <c r="F173" s="10">
        <f t="shared" si="2"/>
        <v>1600</v>
      </c>
    </row>
    <row r="174" spans="1:6" s="9" customFormat="1" x14ac:dyDescent="0.25">
      <c r="B174" s="4"/>
      <c r="C174" s="5"/>
      <c r="E174" s="10"/>
      <c r="F174" s="8">
        <f>SUM(F172:F173)</f>
        <v>3000</v>
      </c>
    </row>
    <row r="175" spans="1:6" s="9" customFormat="1" x14ac:dyDescent="0.25">
      <c r="B175" s="4"/>
      <c r="C175" s="5"/>
      <c r="E175" s="10"/>
      <c r="F175" s="10"/>
    </row>
    <row r="176" spans="1:6" s="9" customFormat="1" x14ac:dyDescent="0.25">
      <c r="A176" s="9" t="s">
        <v>117</v>
      </c>
      <c r="B176" s="4">
        <v>45812</v>
      </c>
      <c r="C176" s="5">
        <v>5</v>
      </c>
      <c r="D176" s="9" t="s">
        <v>13</v>
      </c>
      <c r="E176" s="10">
        <v>140</v>
      </c>
      <c r="F176" s="10">
        <f t="shared" si="2"/>
        <v>700</v>
      </c>
    </row>
    <row r="177" spans="1:6" s="9" customFormat="1" x14ac:dyDescent="0.25">
      <c r="B177" s="4"/>
      <c r="C177" s="5"/>
      <c r="E177" s="10"/>
      <c r="F177" s="8">
        <f>SUM(F176)</f>
        <v>700</v>
      </c>
    </row>
    <row r="178" spans="1:6" s="9" customFormat="1" x14ac:dyDescent="0.25">
      <c r="B178" s="4"/>
      <c r="C178" s="5"/>
      <c r="E178" s="10"/>
      <c r="F178" s="10"/>
    </row>
    <row r="179" spans="1:6" s="9" customFormat="1" x14ac:dyDescent="0.25">
      <c r="A179" s="9" t="s">
        <v>668</v>
      </c>
      <c r="B179" s="4">
        <v>45812</v>
      </c>
      <c r="C179" s="5">
        <v>5</v>
      </c>
      <c r="D179" s="9" t="s">
        <v>13</v>
      </c>
      <c r="E179" s="10">
        <v>150</v>
      </c>
      <c r="F179" s="10">
        <f t="shared" si="2"/>
        <v>750</v>
      </c>
    </row>
    <row r="180" spans="1:6" s="9" customFormat="1" x14ac:dyDescent="0.25">
      <c r="B180" s="4"/>
      <c r="C180" s="5"/>
      <c r="E180" s="10"/>
      <c r="F180" s="8">
        <f>SUM(F179)</f>
        <v>750</v>
      </c>
    </row>
    <row r="181" spans="1:6" s="9" customFormat="1" x14ac:dyDescent="0.25">
      <c r="B181" s="4"/>
      <c r="C181" s="5"/>
      <c r="E181" s="10"/>
      <c r="F181" s="10"/>
    </row>
    <row r="182" spans="1:6" s="9" customFormat="1" x14ac:dyDescent="0.25">
      <c r="A182" s="9" t="s">
        <v>184</v>
      </c>
      <c r="B182" s="4">
        <v>45812</v>
      </c>
      <c r="C182" s="5">
        <v>7</v>
      </c>
      <c r="D182" s="9" t="s">
        <v>13</v>
      </c>
      <c r="E182" s="10">
        <v>150</v>
      </c>
      <c r="F182" s="10">
        <f t="shared" si="2"/>
        <v>1050</v>
      </c>
    </row>
    <row r="183" spans="1:6" s="9" customFormat="1" x14ac:dyDescent="0.25">
      <c r="B183" s="4"/>
      <c r="C183" s="5"/>
      <c r="E183" s="10"/>
      <c r="F183" s="8">
        <f>SUM(F182)</f>
        <v>1050</v>
      </c>
    </row>
    <row r="184" spans="1:6" s="9" customFormat="1" x14ac:dyDescent="0.25">
      <c r="B184" s="4"/>
      <c r="C184" s="5"/>
      <c r="E184" s="10"/>
      <c r="F184" s="10"/>
    </row>
    <row r="185" spans="1:6" s="9" customFormat="1" x14ac:dyDescent="0.25">
      <c r="A185" s="9" t="s">
        <v>112</v>
      </c>
      <c r="B185" s="4">
        <v>45812</v>
      </c>
      <c r="C185" s="5">
        <v>30</v>
      </c>
      <c r="D185" s="9" t="s">
        <v>669</v>
      </c>
      <c r="E185" s="10">
        <v>90</v>
      </c>
      <c r="F185" s="10">
        <f t="shared" si="2"/>
        <v>2700</v>
      </c>
    </row>
    <row r="186" spans="1:6" s="9" customFormat="1" x14ac:dyDescent="0.25">
      <c r="B186" s="4"/>
      <c r="C186" s="5">
        <v>60</v>
      </c>
      <c r="D186" s="9" t="s">
        <v>50</v>
      </c>
      <c r="E186" s="10">
        <v>85</v>
      </c>
      <c r="F186" s="10">
        <f t="shared" si="2"/>
        <v>5100</v>
      </c>
    </row>
    <row r="187" spans="1:6" s="9" customFormat="1" x14ac:dyDescent="0.25">
      <c r="B187" s="4"/>
      <c r="C187" s="5">
        <v>100</v>
      </c>
      <c r="D187" s="9" t="s">
        <v>13</v>
      </c>
      <c r="E187" s="10">
        <v>130</v>
      </c>
      <c r="F187" s="10">
        <f t="shared" si="2"/>
        <v>13000</v>
      </c>
    </row>
    <row r="188" spans="1:6" s="9" customFormat="1" x14ac:dyDescent="0.25">
      <c r="B188" s="4"/>
      <c r="C188" s="5">
        <v>10</v>
      </c>
      <c r="D188" s="9" t="s">
        <v>14</v>
      </c>
      <c r="E188" s="10">
        <v>120</v>
      </c>
      <c r="F188" s="10">
        <f t="shared" si="2"/>
        <v>1200</v>
      </c>
    </row>
    <row r="189" spans="1:6" s="9" customFormat="1" x14ac:dyDescent="0.25">
      <c r="B189" s="4"/>
      <c r="C189" s="5">
        <v>4</v>
      </c>
      <c r="D189" s="9" t="s">
        <v>670</v>
      </c>
      <c r="E189" s="10">
        <v>0</v>
      </c>
      <c r="F189" s="10">
        <f t="shared" si="2"/>
        <v>0</v>
      </c>
    </row>
    <row r="190" spans="1:6" s="9" customFormat="1" x14ac:dyDescent="0.25">
      <c r="B190" s="4"/>
      <c r="C190" s="5">
        <v>2</v>
      </c>
      <c r="D190" s="9" t="s">
        <v>318</v>
      </c>
      <c r="E190" s="10">
        <v>0</v>
      </c>
      <c r="F190" s="10">
        <f t="shared" si="2"/>
        <v>0</v>
      </c>
    </row>
    <row r="191" spans="1:6" s="9" customFormat="1" x14ac:dyDescent="0.25">
      <c r="B191" s="4"/>
      <c r="C191" s="5"/>
      <c r="E191" s="10"/>
      <c r="F191" s="8">
        <f>SUM(F185:F190)</f>
        <v>22000</v>
      </c>
    </row>
    <row r="192" spans="1:6" s="9" customFormat="1" x14ac:dyDescent="0.25">
      <c r="B192" s="4"/>
      <c r="C192" s="5"/>
      <c r="E192" s="10"/>
      <c r="F192" s="10"/>
    </row>
    <row r="193" spans="1:6" s="9" customFormat="1" x14ac:dyDescent="0.25">
      <c r="A193" s="9" t="s">
        <v>59</v>
      </c>
      <c r="B193" s="4">
        <v>45812</v>
      </c>
      <c r="C193" s="5">
        <v>20</v>
      </c>
      <c r="D193" s="9" t="s">
        <v>13</v>
      </c>
      <c r="E193" s="10">
        <v>130</v>
      </c>
      <c r="F193" s="10">
        <f t="shared" si="2"/>
        <v>2600</v>
      </c>
    </row>
    <row r="194" spans="1:6" s="9" customFormat="1" x14ac:dyDescent="0.25">
      <c r="B194" s="4"/>
      <c r="C194" s="5"/>
      <c r="E194" s="10"/>
      <c r="F194" s="8">
        <f>SUM(F193)</f>
        <v>2600</v>
      </c>
    </row>
    <row r="195" spans="1:6" s="9" customFormat="1" x14ac:dyDescent="0.25">
      <c r="B195" s="4"/>
      <c r="C195" s="5"/>
      <c r="E195" s="10"/>
      <c r="F195" s="10"/>
    </row>
    <row r="196" spans="1:6" s="9" customFormat="1" x14ac:dyDescent="0.25">
      <c r="A196" s="9" t="s">
        <v>245</v>
      </c>
      <c r="B196" s="4">
        <v>45812</v>
      </c>
      <c r="C196" s="5">
        <v>100</v>
      </c>
      <c r="D196" s="9" t="s">
        <v>13</v>
      </c>
      <c r="E196" s="10">
        <v>140</v>
      </c>
      <c r="F196" s="10">
        <f t="shared" ref="F196:F259" si="3">+C196*E196</f>
        <v>14000</v>
      </c>
    </row>
    <row r="197" spans="1:6" s="9" customFormat="1" x14ac:dyDescent="0.25">
      <c r="B197" s="4"/>
      <c r="C197" s="5">
        <v>10</v>
      </c>
      <c r="D197" s="9" t="s">
        <v>14</v>
      </c>
      <c r="E197" s="10">
        <v>130</v>
      </c>
      <c r="F197" s="10">
        <f t="shared" si="3"/>
        <v>1300</v>
      </c>
    </row>
    <row r="198" spans="1:6" s="9" customFormat="1" x14ac:dyDescent="0.25">
      <c r="B198" s="4"/>
      <c r="C198" s="5">
        <v>3.17</v>
      </c>
      <c r="E198" s="10">
        <v>0</v>
      </c>
      <c r="F198" s="10">
        <f t="shared" si="3"/>
        <v>0</v>
      </c>
    </row>
    <row r="199" spans="1:6" s="9" customFormat="1" x14ac:dyDescent="0.25">
      <c r="B199" s="4"/>
      <c r="C199" s="5"/>
      <c r="E199" s="10"/>
      <c r="F199" s="8">
        <f>SUM(F196:F198)</f>
        <v>15300</v>
      </c>
    </row>
    <row r="200" spans="1:6" s="9" customFormat="1" x14ac:dyDescent="0.25">
      <c r="B200" s="4"/>
      <c r="C200" s="5"/>
      <c r="E200" s="10"/>
      <c r="F200" s="10"/>
    </row>
    <row r="201" spans="1:6" s="9" customFormat="1" x14ac:dyDescent="0.25">
      <c r="A201" s="9" t="s">
        <v>198</v>
      </c>
      <c r="B201" s="4">
        <v>45812</v>
      </c>
      <c r="C201" s="5">
        <v>20</v>
      </c>
      <c r="D201" s="9" t="s">
        <v>13</v>
      </c>
      <c r="E201" s="10">
        <v>150</v>
      </c>
      <c r="F201" s="10">
        <f t="shared" si="3"/>
        <v>3000</v>
      </c>
    </row>
    <row r="202" spans="1:6" s="9" customFormat="1" x14ac:dyDescent="0.25">
      <c r="B202" s="4"/>
      <c r="C202" s="5"/>
      <c r="E202" s="10"/>
      <c r="F202" s="8">
        <f>SUM(F201)</f>
        <v>3000</v>
      </c>
    </row>
    <row r="203" spans="1:6" s="9" customFormat="1" x14ac:dyDescent="0.25">
      <c r="B203" s="4"/>
      <c r="C203" s="5"/>
      <c r="E203" s="10"/>
      <c r="F203" s="10"/>
    </row>
    <row r="204" spans="1:6" s="9" customFormat="1" x14ac:dyDescent="0.25">
      <c r="A204" s="9" t="s">
        <v>211</v>
      </c>
      <c r="B204" s="4">
        <v>45812</v>
      </c>
      <c r="C204" s="5">
        <v>10</v>
      </c>
      <c r="D204" s="9" t="s">
        <v>22</v>
      </c>
      <c r="E204" s="10">
        <v>100</v>
      </c>
      <c r="F204" s="10">
        <f t="shared" si="3"/>
        <v>1000</v>
      </c>
    </row>
    <row r="205" spans="1:6" s="9" customFormat="1" x14ac:dyDescent="0.25">
      <c r="B205" s="4"/>
      <c r="C205" s="5">
        <v>10</v>
      </c>
      <c r="D205" s="9" t="s">
        <v>12</v>
      </c>
      <c r="E205" s="10">
        <v>130</v>
      </c>
      <c r="F205" s="10">
        <f t="shared" si="3"/>
        <v>1300</v>
      </c>
    </row>
    <row r="206" spans="1:6" s="9" customFormat="1" x14ac:dyDescent="0.25">
      <c r="B206" s="4"/>
      <c r="C206" s="5"/>
      <c r="E206" s="10"/>
      <c r="F206" s="8">
        <f>SUM(F204:F205)</f>
        <v>2300</v>
      </c>
    </row>
    <row r="207" spans="1:6" s="9" customFormat="1" x14ac:dyDescent="0.25">
      <c r="B207" s="4"/>
      <c r="C207" s="5"/>
      <c r="E207" s="10"/>
      <c r="F207" s="10"/>
    </row>
    <row r="208" spans="1:6" s="9" customFormat="1" x14ac:dyDescent="0.25">
      <c r="A208" s="9" t="s">
        <v>633</v>
      </c>
      <c r="B208" s="4">
        <v>45812</v>
      </c>
      <c r="C208" s="5">
        <v>300</v>
      </c>
      <c r="D208" s="9" t="s">
        <v>11</v>
      </c>
      <c r="E208" s="10"/>
      <c r="F208" s="10">
        <f t="shared" si="3"/>
        <v>0</v>
      </c>
    </row>
    <row r="209" spans="1:6" s="9" customFormat="1" x14ac:dyDescent="0.25">
      <c r="B209" s="4"/>
      <c r="C209" s="5">
        <v>102</v>
      </c>
      <c r="D209" s="9" t="s">
        <v>50</v>
      </c>
      <c r="E209" s="10"/>
      <c r="F209" s="10">
        <f t="shared" si="3"/>
        <v>0</v>
      </c>
    </row>
    <row r="210" spans="1:6" s="9" customFormat="1" x14ac:dyDescent="0.25">
      <c r="B210" s="4"/>
      <c r="C210" s="5"/>
      <c r="E210" s="10"/>
      <c r="F210" s="8">
        <f>SUM(F208:F209)</f>
        <v>0</v>
      </c>
    </row>
    <row r="211" spans="1:6" s="9" customFormat="1" x14ac:dyDescent="0.25">
      <c r="B211" s="4"/>
      <c r="C211" s="5"/>
      <c r="E211" s="10"/>
      <c r="F211" s="10"/>
    </row>
    <row r="212" spans="1:6" s="9" customFormat="1" x14ac:dyDescent="0.25">
      <c r="A212" s="9" t="s">
        <v>116</v>
      </c>
      <c r="B212" s="4">
        <v>45812</v>
      </c>
      <c r="C212" s="5">
        <v>100</v>
      </c>
      <c r="D212" s="9" t="s">
        <v>22</v>
      </c>
      <c r="E212" s="10"/>
      <c r="F212" s="10">
        <f t="shared" si="3"/>
        <v>0</v>
      </c>
    </row>
    <row r="213" spans="1:6" s="9" customFormat="1" x14ac:dyDescent="0.25">
      <c r="B213" s="4"/>
      <c r="C213" s="5"/>
      <c r="E213" s="10"/>
      <c r="F213" s="8">
        <f>SUM(F212)</f>
        <v>0</v>
      </c>
    </row>
    <row r="214" spans="1:6" s="9" customFormat="1" x14ac:dyDescent="0.25">
      <c r="B214" s="4"/>
      <c r="C214" s="5"/>
      <c r="E214" s="10"/>
      <c r="F214" s="10"/>
    </row>
    <row r="215" spans="1:6" s="9" customFormat="1" x14ac:dyDescent="0.25">
      <c r="A215" s="9" t="s">
        <v>514</v>
      </c>
      <c r="B215" s="4">
        <v>45812</v>
      </c>
      <c r="C215" s="5">
        <v>10</v>
      </c>
      <c r="D215" s="9" t="s">
        <v>98</v>
      </c>
      <c r="E215" s="10">
        <v>100</v>
      </c>
      <c r="F215" s="10">
        <f t="shared" si="3"/>
        <v>1000</v>
      </c>
    </row>
    <row r="216" spans="1:6" s="9" customFormat="1" x14ac:dyDescent="0.25">
      <c r="B216" s="4"/>
      <c r="C216" s="5"/>
      <c r="E216" s="10"/>
      <c r="F216" s="8">
        <f>SUM(F215)</f>
        <v>1000</v>
      </c>
    </row>
    <row r="217" spans="1:6" s="9" customFormat="1" x14ac:dyDescent="0.25">
      <c r="B217" s="4"/>
      <c r="C217" s="5"/>
      <c r="E217" s="10"/>
      <c r="F217" s="10"/>
    </row>
    <row r="218" spans="1:6" s="9" customFormat="1" x14ac:dyDescent="0.25">
      <c r="A218" s="9" t="s">
        <v>15</v>
      </c>
      <c r="B218" s="4">
        <v>45812</v>
      </c>
      <c r="C218" s="5">
        <v>60</v>
      </c>
      <c r="D218" s="9" t="s">
        <v>98</v>
      </c>
      <c r="E218" s="10">
        <v>80</v>
      </c>
      <c r="F218" s="10">
        <f t="shared" si="3"/>
        <v>4800</v>
      </c>
    </row>
    <row r="219" spans="1:6" s="9" customFormat="1" x14ac:dyDescent="0.25">
      <c r="B219" s="4"/>
      <c r="C219" s="5">
        <v>58</v>
      </c>
      <c r="D219" s="9" t="s">
        <v>98</v>
      </c>
      <c r="E219" s="10">
        <v>80</v>
      </c>
      <c r="F219" s="10">
        <f t="shared" si="3"/>
        <v>4640</v>
      </c>
    </row>
    <row r="220" spans="1:6" s="9" customFormat="1" x14ac:dyDescent="0.25">
      <c r="B220" s="4"/>
      <c r="C220" s="5"/>
      <c r="E220" s="10"/>
      <c r="F220" s="8">
        <f>SUM(F218:F219)</f>
        <v>9440</v>
      </c>
    </row>
    <row r="221" spans="1:6" s="9" customFormat="1" x14ac:dyDescent="0.25">
      <c r="B221" s="4"/>
      <c r="C221" s="5"/>
      <c r="E221" s="10"/>
      <c r="F221" s="10"/>
    </row>
    <row r="222" spans="1:6" s="9" customFormat="1" x14ac:dyDescent="0.25">
      <c r="A222" s="9" t="s">
        <v>7</v>
      </c>
      <c r="B222" s="4">
        <v>45812</v>
      </c>
      <c r="C222" s="5">
        <v>10</v>
      </c>
      <c r="D222" s="9" t="s">
        <v>13</v>
      </c>
      <c r="E222" s="10">
        <v>140</v>
      </c>
      <c r="F222" s="10">
        <f t="shared" si="3"/>
        <v>1400</v>
      </c>
    </row>
    <row r="223" spans="1:6" s="9" customFormat="1" x14ac:dyDescent="0.25">
      <c r="B223" s="4"/>
      <c r="C223" s="5">
        <v>2</v>
      </c>
      <c r="D223" s="9" t="s">
        <v>98</v>
      </c>
      <c r="E223" s="10">
        <v>100</v>
      </c>
      <c r="F223" s="10">
        <f t="shared" si="3"/>
        <v>200</v>
      </c>
    </row>
    <row r="224" spans="1:6" s="9" customFormat="1" x14ac:dyDescent="0.25">
      <c r="B224" s="4"/>
      <c r="C224" s="5">
        <v>1</v>
      </c>
      <c r="D224" s="9" t="s">
        <v>50</v>
      </c>
      <c r="E224" s="10">
        <v>90</v>
      </c>
      <c r="F224" s="10">
        <f t="shared" si="3"/>
        <v>90</v>
      </c>
    </row>
    <row r="225" spans="1:6" s="9" customFormat="1" x14ac:dyDescent="0.25">
      <c r="B225" s="4"/>
      <c r="C225" s="5"/>
      <c r="E225" s="10"/>
      <c r="F225" s="8">
        <f>SUM(F222:F224)</f>
        <v>1690</v>
      </c>
    </row>
    <row r="226" spans="1:6" s="9" customFormat="1" x14ac:dyDescent="0.25">
      <c r="B226" s="4"/>
      <c r="C226" s="5"/>
      <c r="E226" s="10"/>
      <c r="F226" s="10"/>
    </row>
    <row r="227" spans="1:6" s="9" customFormat="1" x14ac:dyDescent="0.25">
      <c r="A227" s="9" t="s">
        <v>211</v>
      </c>
      <c r="B227" s="4">
        <v>45812</v>
      </c>
      <c r="C227" s="5">
        <v>10</v>
      </c>
      <c r="D227" s="9" t="s">
        <v>98</v>
      </c>
      <c r="E227" s="10">
        <v>100</v>
      </c>
      <c r="F227" s="10">
        <f t="shared" si="3"/>
        <v>1000</v>
      </c>
    </row>
    <row r="228" spans="1:6" s="9" customFormat="1" x14ac:dyDescent="0.25">
      <c r="B228" s="4"/>
      <c r="C228" s="5"/>
      <c r="E228" s="10"/>
      <c r="F228" s="8">
        <f>SUM(F227)</f>
        <v>1000</v>
      </c>
    </row>
    <row r="229" spans="1:6" s="9" customFormat="1" x14ac:dyDescent="0.25">
      <c r="B229" s="4"/>
      <c r="C229" s="5"/>
      <c r="E229" s="10"/>
      <c r="F229" s="10"/>
    </row>
    <row r="230" spans="1:6" s="9" customFormat="1" x14ac:dyDescent="0.25">
      <c r="A230" s="9" t="s">
        <v>671</v>
      </c>
      <c r="B230" s="4">
        <v>45812</v>
      </c>
      <c r="C230" s="5">
        <v>10</v>
      </c>
      <c r="D230" s="9" t="s">
        <v>22</v>
      </c>
      <c r="E230" s="10">
        <v>85</v>
      </c>
      <c r="F230" s="10">
        <f t="shared" si="3"/>
        <v>850</v>
      </c>
    </row>
    <row r="231" spans="1:6" s="9" customFormat="1" x14ac:dyDescent="0.25">
      <c r="B231" s="4"/>
      <c r="C231" s="5">
        <v>9</v>
      </c>
      <c r="D231" s="9" t="s">
        <v>50</v>
      </c>
      <c r="E231" s="10">
        <v>85</v>
      </c>
      <c r="F231" s="10">
        <f t="shared" si="3"/>
        <v>765</v>
      </c>
    </row>
    <row r="232" spans="1:6" s="9" customFormat="1" x14ac:dyDescent="0.25">
      <c r="B232" s="4"/>
      <c r="C232" s="5"/>
      <c r="E232" s="10"/>
      <c r="F232" s="8">
        <f>SUM(F230:F231)</f>
        <v>1615</v>
      </c>
    </row>
    <row r="233" spans="1:6" s="9" customFormat="1" x14ac:dyDescent="0.25">
      <c r="B233" s="4"/>
      <c r="C233" s="5"/>
      <c r="E233" s="10"/>
      <c r="F233" s="10"/>
    </row>
    <row r="234" spans="1:6" s="9" customFormat="1" x14ac:dyDescent="0.25">
      <c r="A234" s="9" t="s">
        <v>20</v>
      </c>
      <c r="B234" s="4">
        <v>45812</v>
      </c>
      <c r="C234" s="5">
        <v>30</v>
      </c>
      <c r="D234" s="9" t="s">
        <v>13</v>
      </c>
      <c r="E234" s="10">
        <v>135</v>
      </c>
      <c r="F234" s="10">
        <f t="shared" si="3"/>
        <v>4050</v>
      </c>
    </row>
    <row r="235" spans="1:6" s="9" customFormat="1" x14ac:dyDescent="0.25">
      <c r="B235" s="4"/>
      <c r="C235" s="5"/>
      <c r="E235" s="10"/>
      <c r="F235" s="8">
        <f>SUM(F234)</f>
        <v>4050</v>
      </c>
    </row>
    <row r="236" spans="1:6" s="9" customFormat="1" x14ac:dyDescent="0.25">
      <c r="B236" s="4"/>
      <c r="C236" s="5"/>
      <c r="E236" s="10"/>
      <c r="F236" s="10"/>
    </row>
    <row r="237" spans="1:6" s="9" customFormat="1" x14ac:dyDescent="0.25">
      <c r="A237" s="9" t="s">
        <v>42</v>
      </c>
      <c r="B237" s="4">
        <v>45812</v>
      </c>
      <c r="C237" s="5">
        <v>10</v>
      </c>
      <c r="D237" s="9" t="s">
        <v>22</v>
      </c>
      <c r="E237" s="10">
        <v>85</v>
      </c>
      <c r="F237" s="10">
        <f t="shared" si="3"/>
        <v>850</v>
      </c>
    </row>
    <row r="238" spans="1:6" s="9" customFormat="1" x14ac:dyDescent="0.25">
      <c r="B238" s="4"/>
      <c r="C238" s="5">
        <v>10</v>
      </c>
      <c r="D238" s="9" t="s">
        <v>13</v>
      </c>
      <c r="E238" s="10">
        <v>135</v>
      </c>
      <c r="F238" s="10">
        <f t="shared" si="3"/>
        <v>1350</v>
      </c>
    </row>
    <row r="239" spans="1:6" s="9" customFormat="1" x14ac:dyDescent="0.25">
      <c r="B239" s="4"/>
      <c r="C239" s="5"/>
      <c r="E239" s="10"/>
      <c r="F239" s="8">
        <f>SUM(F237:F238)</f>
        <v>2200</v>
      </c>
    </row>
    <row r="240" spans="1:6" s="9" customFormat="1" x14ac:dyDescent="0.25">
      <c r="B240" s="4"/>
      <c r="C240" s="5"/>
      <c r="E240" s="10"/>
      <c r="F240" s="10"/>
    </row>
    <row r="241" spans="1:6" s="9" customFormat="1" x14ac:dyDescent="0.25">
      <c r="A241" s="9" t="s">
        <v>672</v>
      </c>
      <c r="B241" s="4">
        <v>45812</v>
      </c>
      <c r="C241" s="5">
        <v>5</v>
      </c>
      <c r="D241" s="9" t="s">
        <v>13</v>
      </c>
      <c r="E241" s="10">
        <v>135</v>
      </c>
      <c r="F241" s="10">
        <f t="shared" si="3"/>
        <v>675</v>
      </c>
    </row>
    <row r="242" spans="1:6" s="9" customFormat="1" x14ac:dyDescent="0.25">
      <c r="B242" s="4"/>
      <c r="C242" s="5">
        <v>5</v>
      </c>
      <c r="D242" s="9" t="s">
        <v>22</v>
      </c>
      <c r="E242" s="10">
        <v>85</v>
      </c>
      <c r="F242" s="10">
        <f t="shared" si="3"/>
        <v>425</v>
      </c>
    </row>
    <row r="243" spans="1:6" s="9" customFormat="1" x14ac:dyDescent="0.25">
      <c r="B243" s="4"/>
      <c r="C243" s="5"/>
      <c r="E243" s="10"/>
      <c r="F243" s="8">
        <f>SUM(F241:F242)</f>
        <v>1100</v>
      </c>
    </row>
    <row r="244" spans="1:6" s="9" customFormat="1" x14ac:dyDescent="0.25">
      <c r="B244" s="4"/>
      <c r="C244" s="5"/>
      <c r="E244" s="10"/>
      <c r="F244" s="10"/>
    </row>
    <row r="245" spans="1:6" s="9" customFormat="1" x14ac:dyDescent="0.25">
      <c r="A245" s="9" t="s">
        <v>427</v>
      </c>
      <c r="B245" s="4">
        <v>45812</v>
      </c>
      <c r="C245" s="5">
        <v>10</v>
      </c>
      <c r="D245" s="9" t="s">
        <v>14</v>
      </c>
      <c r="E245" s="10">
        <v>125</v>
      </c>
      <c r="F245" s="10">
        <f t="shared" si="3"/>
        <v>1250</v>
      </c>
    </row>
    <row r="246" spans="1:6" s="9" customFormat="1" x14ac:dyDescent="0.25">
      <c r="B246" s="4"/>
      <c r="C246" s="5"/>
      <c r="E246" s="10"/>
      <c r="F246" s="8">
        <f>SUM(F245)</f>
        <v>1250</v>
      </c>
    </row>
    <row r="247" spans="1:6" s="9" customFormat="1" x14ac:dyDescent="0.25">
      <c r="B247" s="4"/>
      <c r="C247" s="5"/>
      <c r="E247" s="10"/>
      <c r="F247" s="10"/>
    </row>
    <row r="248" spans="1:6" s="9" customFormat="1" x14ac:dyDescent="0.25">
      <c r="A248" s="9" t="s">
        <v>673</v>
      </c>
      <c r="B248" s="4">
        <v>45812</v>
      </c>
      <c r="C248" s="5">
        <v>20</v>
      </c>
      <c r="D248" s="9" t="s">
        <v>12</v>
      </c>
      <c r="E248" s="10">
        <v>120</v>
      </c>
      <c r="F248" s="10">
        <f t="shared" si="3"/>
        <v>2400</v>
      </c>
    </row>
    <row r="249" spans="1:6" s="9" customFormat="1" x14ac:dyDescent="0.25">
      <c r="B249" s="4"/>
      <c r="C249" s="5">
        <v>20</v>
      </c>
      <c r="D249" s="9" t="s">
        <v>22</v>
      </c>
      <c r="E249" s="10">
        <v>85</v>
      </c>
      <c r="F249" s="10">
        <f t="shared" si="3"/>
        <v>1700</v>
      </c>
    </row>
    <row r="250" spans="1:6" s="9" customFormat="1" x14ac:dyDescent="0.25">
      <c r="B250" s="4"/>
      <c r="C250" s="5">
        <v>10</v>
      </c>
      <c r="D250" s="9" t="s">
        <v>563</v>
      </c>
      <c r="E250" s="10">
        <v>125</v>
      </c>
      <c r="F250" s="10">
        <f t="shared" si="3"/>
        <v>1250</v>
      </c>
    </row>
    <row r="251" spans="1:6" s="9" customFormat="1" x14ac:dyDescent="0.25">
      <c r="B251" s="4"/>
      <c r="C251" s="5">
        <v>10</v>
      </c>
      <c r="D251" s="9" t="s">
        <v>13</v>
      </c>
      <c r="E251" s="10">
        <v>135</v>
      </c>
      <c r="F251" s="10">
        <f t="shared" si="3"/>
        <v>1350</v>
      </c>
    </row>
    <row r="252" spans="1:6" s="9" customFormat="1" x14ac:dyDescent="0.25">
      <c r="B252" s="4"/>
      <c r="C252" s="5"/>
      <c r="E252" s="10"/>
      <c r="F252" s="8">
        <f>SUM(F248:F251)</f>
        <v>6700</v>
      </c>
    </row>
    <row r="253" spans="1:6" s="9" customFormat="1" x14ac:dyDescent="0.25">
      <c r="B253" s="4"/>
      <c r="C253" s="5"/>
      <c r="E253" s="10"/>
      <c r="F253" s="10"/>
    </row>
    <row r="254" spans="1:6" s="9" customFormat="1" x14ac:dyDescent="0.25">
      <c r="A254" s="9" t="s">
        <v>406</v>
      </c>
      <c r="B254" s="4">
        <v>45812</v>
      </c>
      <c r="C254" s="5">
        <v>10</v>
      </c>
      <c r="D254" s="9" t="s">
        <v>13</v>
      </c>
      <c r="E254" s="10">
        <v>135</v>
      </c>
      <c r="F254" s="10">
        <f t="shared" si="3"/>
        <v>1350</v>
      </c>
    </row>
    <row r="255" spans="1:6" s="9" customFormat="1" x14ac:dyDescent="0.25">
      <c r="B255" s="4"/>
      <c r="C255" s="5">
        <v>20</v>
      </c>
      <c r="D255" s="9" t="s">
        <v>22</v>
      </c>
      <c r="E255" s="10">
        <v>85</v>
      </c>
      <c r="F255" s="10">
        <f t="shared" si="3"/>
        <v>1700</v>
      </c>
    </row>
    <row r="256" spans="1:6" s="9" customFormat="1" x14ac:dyDescent="0.25">
      <c r="B256" s="4"/>
      <c r="C256" s="5"/>
      <c r="E256" s="10"/>
      <c r="F256" s="8">
        <f>SUM(F254:F255)</f>
        <v>3050</v>
      </c>
    </row>
    <row r="257" spans="1:6" s="9" customFormat="1" x14ac:dyDescent="0.25">
      <c r="B257" s="4"/>
      <c r="C257" s="5"/>
      <c r="E257" s="10"/>
      <c r="F257" s="10"/>
    </row>
    <row r="258" spans="1:6" s="9" customFormat="1" x14ac:dyDescent="0.25">
      <c r="A258" s="9" t="s">
        <v>57</v>
      </c>
      <c r="B258" s="4">
        <v>45812</v>
      </c>
      <c r="C258" s="5">
        <v>10</v>
      </c>
      <c r="D258" s="9" t="s">
        <v>13</v>
      </c>
      <c r="E258" s="10">
        <v>135</v>
      </c>
      <c r="F258" s="10">
        <f t="shared" si="3"/>
        <v>1350</v>
      </c>
    </row>
    <row r="259" spans="1:6" s="9" customFormat="1" x14ac:dyDescent="0.25">
      <c r="B259" s="4"/>
      <c r="C259" s="5">
        <v>10</v>
      </c>
      <c r="D259" s="9" t="s">
        <v>14</v>
      </c>
      <c r="E259" s="10">
        <v>125</v>
      </c>
      <c r="F259" s="10">
        <f t="shared" si="3"/>
        <v>1250</v>
      </c>
    </row>
    <row r="260" spans="1:6" s="9" customFormat="1" x14ac:dyDescent="0.25">
      <c r="B260" s="4"/>
      <c r="C260" s="5"/>
      <c r="E260" s="10"/>
      <c r="F260" s="8">
        <f>SUM(F258:F259)</f>
        <v>2600</v>
      </c>
    </row>
    <row r="261" spans="1:6" s="9" customFormat="1" x14ac:dyDescent="0.25">
      <c r="B261" s="4"/>
      <c r="C261" s="5"/>
      <c r="E261" s="10"/>
      <c r="F261" s="10"/>
    </row>
    <row r="262" spans="1:6" s="9" customFormat="1" x14ac:dyDescent="0.25">
      <c r="A262" s="9" t="s">
        <v>21</v>
      </c>
      <c r="B262" s="4">
        <v>45812</v>
      </c>
      <c r="C262" s="5">
        <v>20</v>
      </c>
      <c r="D262" s="9" t="s">
        <v>22</v>
      </c>
      <c r="E262" s="10">
        <v>90</v>
      </c>
      <c r="F262" s="10">
        <f t="shared" ref="F262:F322" si="4">+C262*E262</f>
        <v>1800</v>
      </c>
    </row>
    <row r="263" spans="1:6" s="9" customFormat="1" x14ac:dyDescent="0.25">
      <c r="B263" s="4"/>
      <c r="C263" s="5">
        <v>10</v>
      </c>
      <c r="D263" s="9" t="s">
        <v>50</v>
      </c>
      <c r="E263" s="10">
        <v>90</v>
      </c>
      <c r="F263" s="10">
        <f t="shared" si="4"/>
        <v>900</v>
      </c>
    </row>
    <row r="264" spans="1:6" s="9" customFormat="1" x14ac:dyDescent="0.25">
      <c r="B264" s="4"/>
      <c r="C264" s="5">
        <v>15</v>
      </c>
      <c r="D264" s="9" t="s">
        <v>13</v>
      </c>
      <c r="E264" s="10">
        <v>135</v>
      </c>
      <c r="F264" s="10">
        <f t="shared" si="4"/>
        <v>2025</v>
      </c>
    </row>
    <row r="265" spans="1:6" s="9" customFormat="1" x14ac:dyDescent="0.25">
      <c r="B265" s="4"/>
      <c r="C265" s="5">
        <v>30</v>
      </c>
      <c r="D265" s="9" t="s">
        <v>12</v>
      </c>
      <c r="E265" s="10">
        <v>115</v>
      </c>
      <c r="F265" s="10">
        <f t="shared" si="4"/>
        <v>3450</v>
      </c>
    </row>
    <row r="266" spans="1:6" s="9" customFormat="1" x14ac:dyDescent="0.25">
      <c r="B266" s="4"/>
      <c r="C266" s="5">
        <v>10</v>
      </c>
      <c r="D266" s="9" t="s">
        <v>14</v>
      </c>
      <c r="E266" s="10">
        <v>125</v>
      </c>
      <c r="F266" s="10">
        <f t="shared" si="4"/>
        <v>1250</v>
      </c>
    </row>
    <row r="267" spans="1:6" s="9" customFormat="1" x14ac:dyDescent="0.25">
      <c r="B267" s="4"/>
      <c r="C267" s="5"/>
      <c r="E267" s="10"/>
      <c r="F267" s="8">
        <f>SUM(F262:F266)</f>
        <v>9425</v>
      </c>
    </row>
    <row r="268" spans="1:6" s="9" customFormat="1" x14ac:dyDescent="0.25">
      <c r="B268" s="4"/>
      <c r="C268" s="5"/>
      <c r="E268" s="10"/>
      <c r="F268" s="10"/>
    </row>
    <row r="269" spans="1:6" s="9" customFormat="1" x14ac:dyDescent="0.25">
      <c r="A269" s="9" t="s">
        <v>80</v>
      </c>
      <c r="B269" s="4">
        <v>45812</v>
      </c>
      <c r="C269" s="5">
        <v>5</v>
      </c>
      <c r="D269" s="9" t="s">
        <v>13</v>
      </c>
      <c r="E269" s="10">
        <v>140</v>
      </c>
      <c r="F269" s="10">
        <f t="shared" si="4"/>
        <v>700</v>
      </c>
    </row>
    <row r="270" spans="1:6" s="9" customFormat="1" x14ac:dyDescent="0.25">
      <c r="B270" s="4"/>
      <c r="C270" s="5"/>
      <c r="E270" s="10"/>
      <c r="F270" s="8">
        <f>SUM(F269)</f>
        <v>700</v>
      </c>
    </row>
    <row r="271" spans="1:6" s="9" customFormat="1" x14ac:dyDescent="0.25">
      <c r="B271" s="4"/>
      <c r="C271" s="5"/>
      <c r="E271" s="10"/>
      <c r="F271" s="10"/>
    </row>
    <row r="272" spans="1:6" s="9" customFormat="1" x14ac:dyDescent="0.25">
      <c r="A272" s="9" t="s">
        <v>40</v>
      </c>
      <c r="B272" s="4">
        <v>45812</v>
      </c>
      <c r="C272" s="5">
        <v>10</v>
      </c>
      <c r="D272" s="9" t="s">
        <v>50</v>
      </c>
      <c r="E272" s="10">
        <v>85</v>
      </c>
      <c r="F272" s="10">
        <f t="shared" si="4"/>
        <v>850</v>
      </c>
    </row>
    <row r="273" spans="1:6" s="9" customFormat="1" x14ac:dyDescent="0.25">
      <c r="B273" s="4"/>
      <c r="C273" s="5">
        <v>10</v>
      </c>
      <c r="D273" s="9" t="s">
        <v>22</v>
      </c>
      <c r="E273" s="10">
        <v>854</v>
      </c>
      <c r="F273" s="10">
        <f t="shared" si="4"/>
        <v>8540</v>
      </c>
    </row>
    <row r="274" spans="1:6" s="9" customFormat="1" x14ac:dyDescent="0.25">
      <c r="B274" s="4"/>
      <c r="C274" s="5"/>
      <c r="E274" s="10"/>
      <c r="F274" s="8">
        <f>SUM(F272:F273)</f>
        <v>9390</v>
      </c>
    </row>
    <row r="275" spans="1:6" s="9" customFormat="1" x14ac:dyDescent="0.25">
      <c r="B275" s="4"/>
      <c r="C275" s="5"/>
      <c r="E275" s="10"/>
      <c r="F275" s="10"/>
    </row>
    <row r="276" spans="1:6" s="9" customFormat="1" x14ac:dyDescent="0.25">
      <c r="A276" s="9" t="s">
        <v>335</v>
      </c>
      <c r="B276" s="4">
        <v>45812</v>
      </c>
      <c r="C276" s="5">
        <v>20</v>
      </c>
      <c r="D276" s="9" t="s">
        <v>22</v>
      </c>
      <c r="E276" s="10">
        <v>85</v>
      </c>
      <c r="F276" s="10">
        <f t="shared" si="4"/>
        <v>1700</v>
      </c>
    </row>
    <row r="277" spans="1:6" s="9" customFormat="1" x14ac:dyDescent="0.25">
      <c r="B277" s="4"/>
      <c r="C277" s="5">
        <v>20</v>
      </c>
      <c r="D277" s="9" t="s">
        <v>50</v>
      </c>
      <c r="E277" s="10">
        <v>85</v>
      </c>
      <c r="F277" s="10">
        <f t="shared" si="4"/>
        <v>1700</v>
      </c>
    </row>
    <row r="278" spans="1:6" s="9" customFormat="1" x14ac:dyDescent="0.25">
      <c r="B278" s="4"/>
      <c r="C278" s="5">
        <v>20</v>
      </c>
      <c r="D278" s="9" t="s">
        <v>14</v>
      </c>
      <c r="E278" s="10">
        <v>125</v>
      </c>
      <c r="F278" s="10">
        <f t="shared" si="4"/>
        <v>2500</v>
      </c>
    </row>
    <row r="279" spans="1:6" s="9" customFormat="1" x14ac:dyDescent="0.25">
      <c r="B279" s="4"/>
      <c r="C279" s="5"/>
      <c r="E279" s="10"/>
      <c r="F279" s="8">
        <f>SUM(F276:F278)</f>
        <v>5900</v>
      </c>
    </row>
    <row r="280" spans="1:6" s="9" customFormat="1" x14ac:dyDescent="0.25">
      <c r="B280" s="4"/>
      <c r="C280" s="5"/>
      <c r="E280" s="10"/>
      <c r="F280" s="10"/>
    </row>
    <row r="281" spans="1:6" s="9" customFormat="1" x14ac:dyDescent="0.25">
      <c r="A281" s="9" t="s">
        <v>37</v>
      </c>
      <c r="B281" s="4">
        <v>45812</v>
      </c>
      <c r="C281" s="5">
        <v>15</v>
      </c>
      <c r="D281" s="9" t="s">
        <v>12</v>
      </c>
      <c r="E281" s="10">
        <v>130</v>
      </c>
      <c r="F281" s="10">
        <f t="shared" si="4"/>
        <v>1950</v>
      </c>
    </row>
    <row r="282" spans="1:6" s="9" customFormat="1" x14ac:dyDescent="0.25">
      <c r="B282" s="4"/>
      <c r="C282" s="5"/>
      <c r="E282" s="10"/>
      <c r="F282" s="8">
        <f>SUM(F281)</f>
        <v>1950</v>
      </c>
    </row>
    <row r="283" spans="1:6" s="9" customFormat="1" x14ac:dyDescent="0.25">
      <c r="B283" s="4"/>
      <c r="C283" s="5"/>
      <c r="E283" s="10"/>
      <c r="F283" s="10"/>
    </row>
    <row r="284" spans="1:6" s="9" customFormat="1" x14ac:dyDescent="0.25">
      <c r="A284" s="9" t="s">
        <v>41</v>
      </c>
      <c r="B284" s="4">
        <v>45812</v>
      </c>
      <c r="C284" s="5">
        <v>30</v>
      </c>
      <c r="D284" s="9" t="s">
        <v>14</v>
      </c>
      <c r="E284" s="10">
        <v>130</v>
      </c>
      <c r="F284" s="10">
        <f t="shared" si="4"/>
        <v>3900</v>
      </c>
    </row>
    <row r="285" spans="1:6" s="9" customFormat="1" x14ac:dyDescent="0.25">
      <c r="B285" s="4"/>
      <c r="C285" s="5"/>
      <c r="E285" s="10"/>
      <c r="F285" s="8">
        <f>SUM(F284)</f>
        <v>3900</v>
      </c>
    </row>
    <row r="286" spans="1:6" s="9" customFormat="1" x14ac:dyDescent="0.25">
      <c r="B286" s="4"/>
      <c r="C286" s="5"/>
      <c r="E286" s="10"/>
      <c r="F286" s="10"/>
    </row>
    <row r="287" spans="1:6" s="9" customFormat="1" x14ac:dyDescent="0.25">
      <c r="A287" s="9" t="s">
        <v>44</v>
      </c>
      <c r="B287" s="4">
        <v>45812</v>
      </c>
      <c r="C287" s="5">
        <v>50</v>
      </c>
      <c r="D287" s="9" t="s">
        <v>14</v>
      </c>
      <c r="E287" s="10">
        <v>125</v>
      </c>
      <c r="F287" s="10">
        <f t="shared" si="4"/>
        <v>6250</v>
      </c>
    </row>
    <row r="288" spans="1:6" s="9" customFormat="1" x14ac:dyDescent="0.25">
      <c r="B288" s="4"/>
      <c r="C288" s="5"/>
      <c r="E288" s="10"/>
      <c r="F288" s="8">
        <f>SUM(F287)</f>
        <v>6250</v>
      </c>
    </row>
    <row r="289" spans="1:6" s="9" customFormat="1" x14ac:dyDescent="0.25">
      <c r="B289" s="4"/>
      <c r="C289" s="5"/>
      <c r="E289" s="10"/>
      <c r="F289" s="10"/>
    </row>
    <row r="290" spans="1:6" s="9" customFormat="1" x14ac:dyDescent="0.25">
      <c r="A290" s="9" t="s">
        <v>81</v>
      </c>
      <c r="B290" s="4">
        <v>45812</v>
      </c>
      <c r="C290" s="5">
        <v>31</v>
      </c>
      <c r="D290" s="9" t="s">
        <v>14</v>
      </c>
      <c r="E290" s="10">
        <v>120</v>
      </c>
      <c r="F290" s="10">
        <f t="shared" si="4"/>
        <v>3720</v>
      </c>
    </row>
    <row r="291" spans="1:6" s="9" customFormat="1" x14ac:dyDescent="0.25">
      <c r="B291" s="4"/>
      <c r="C291" s="5"/>
      <c r="E291" s="10"/>
      <c r="F291" s="8">
        <f>SUM(F290)</f>
        <v>3720</v>
      </c>
    </row>
    <row r="292" spans="1:6" s="9" customFormat="1" x14ac:dyDescent="0.25">
      <c r="B292" s="4"/>
      <c r="C292" s="5"/>
      <c r="E292" s="10"/>
      <c r="F292" s="10"/>
    </row>
    <row r="293" spans="1:6" s="9" customFormat="1" x14ac:dyDescent="0.25">
      <c r="A293" s="9" t="s">
        <v>42</v>
      </c>
      <c r="B293" s="4">
        <v>45812</v>
      </c>
      <c r="C293" s="5">
        <v>10</v>
      </c>
      <c r="D293" s="9" t="s">
        <v>14</v>
      </c>
      <c r="E293" s="10">
        <v>125</v>
      </c>
      <c r="F293" s="10">
        <f t="shared" si="4"/>
        <v>1250</v>
      </c>
    </row>
    <row r="294" spans="1:6" s="9" customFormat="1" x14ac:dyDescent="0.25">
      <c r="B294" s="4"/>
      <c r="C294" s="5"/>
      <c r="E294" s="10"/>
      <c r="F294" s="8">
        <f>SUM(F293)</f>
        <v>1250</v>
      </c>
    </row>
    <row r="295" spans="1:6" s="9" customFormat="1" x14ac:dyDescent="0.25">
      <c r="B295" s="4"/>
      <c r="C295" s="5"/>
      <c r="E295" s="10"/>
      <c r="F295" s="10"/>
    </row>
    <row r="296" spans="1:6" s="9" customFormat="1" x14ac:dyDescent="0.25">
      <c r="A296" s="9" t="s">
        <v>46</v>
      </c>
      <c r="B296" s="4">
        <v>45812</v>
      </c>
      <c r="C296" s="5">
        <v>25</v>
      </c>
      <c r="D296" s="9" t="s">
        <v>14</v>
      </c>
      <c r="E296" s="10">
        <v>125</v>
      </c>
      <c r="F296" s="10">
        <f t="shared" si="4"/>
        <v>3125</v>
      </c>
    </row>
    <row r="297" spans="1:6" s="9" customFormat="1" x14ac:dyDescent="0.25">
      <c r="B297" s="4"/>
      <c r="C297" s="5"/>
      <c r="E297" s="10"/>
      <c r="F297" s="8">
        <f>SUM(F296)</f>
        <v>3125</v>
      </c>
    </row>
    <row r="298" spans="1:6" x14ac:dyDescent="0.25">
      <c r="A298" s="9"/>
      <c r="B298" s="4"/>
      <c r="D298" s="9"/>
    </row>
    <row r="299" spans="1:6" x14ac:dyDescent="0.25">
      <c r="A299" s="9" t="s">
        <v>145</v>
      </c>
      <c r="B299" s="4">
        <v>45812</v>
      </c>
      <c r="C299" s="5">
        <v>50</v>
      </c>
      <c r="D299" s="9" t="s">
        <v>14</v>
      </c>
      <c r="E299" s="10">
        <v>120</v>
      </c>
      <c r="F299" s="10">
        <f t="shared" si="4"/>
        <v>6000</v>
      </c>
    </row>
    <row r="300" spans="1:6" s="9" customFormat="1" x14ac:dyDescent="0.25">
      <c r="B300" s="4"/>
      <c r="C300" s="5"/>
      <c r="E300" s="10"/>
      <c r="F300" s="8">
        <f>SUM(F299)</f>
        <v>6000</v>
      </c>
    </row>
    <row r="301" spans="1:6" s="9" customFormat="1" x14ac:dyDescent="0.25">
      <c r="B301" s="4"/>
      <c r="C301" s="5"/>
      <c r="E301" s="10"/>
      <c r="F301" s="10"/>
    </row>
    <row r="302" spans="1:6" s="9" customFormat="1" x14ac:dyDescent="0.25">
      <c r="A302" s="9" t="s">
        <v>47</v>
      </c>
      <c r="B302" s="4">
        <v>45812</v>
      </c>
      <c r="C302" s="5">
        <v>30</v>
      </c>
      <c r="D302" s="9" t="s">
        <v>14</v>
      </c>
      <c r="E302" s="10">
        <v>125</v>
      </c>
      <c r="F302" s="10">
        <f t="shared" si="4"/>
        <v>3750</v>
      </c>
    </row>
    <row r="303" spans="1:6" s="9" customFormat="1" x14ac:dyDescent="0.25">
      <c r="B303" s="4"/>
      <c r="C303" s="5"/>
      <c r="E303" s="10"/>
      <c r="F303" s="8">
        <f>SUM(F302)</f>
        <v>3750</v>
      </c>
    </row>
    <row r="304" spans="1:6" s="9" customFormat="1" x14ac:dyDescent="0.25">
      <c r="B304" s="4"/>
      <c r="C304" s="5"/>
      <c r="E304" s="10"/>
      <c r="F304" s="10"/>
    </row>
    <row r="305" spans="1:6" s="9" customFormat="1" x14ac:dyDescent="0.25">
      <c r="A305" s="9" t="s">
        <v>455</v>
      </c>
      <c r="B305" s="4">
        <v>45812</v>
      </c>
      <c r="C305" s="5">
        <v>150</v>
      </c>
      <c r="D305" s="9" t="s">
        <v>11</v>
      </c>
      <c r="E305" s="10"/>
      <c r="F305" s="10">
        <f t="shared" si="4"/>
        <v>0</v>
      </c>
    </row>
    <row r="306" spans="1:6" s="9" customFormat="1" x14ac:dyDescent="0.25">
      <c r="B306" s="4"/>
      <c r="C306" s="5"/>
      <c r="E306" s="10"/>
      <c r="F306" s="8">
        <f>SUM(F305)</f>
        <v>0</v>
      </c>
    </row>
    <row r="307" spans="1:6" s="9" customFormat="1" x14ac:dyDescent="0.25">
      <c r="B307" s="4"/>
      <c r="C307" s="5"/>
      <c r="E307" s="10"/>
      <c r="F307" s="10"/>
    </row>
    <row r="308" spans="1:6" s="9" customFormat="1" x14ac:dyDescent="0.25">
      <c r="A308" s="9" t="s">
        <v>72</v>
      </c>
      <c r="B308" s="4">
        <v>45812</v>
      </c>
      <c r="C308" s="5">
        <v>200</v>
      </c>
      <c r="D308" s="9" t="s">
        <v>13</v>
      </c>
      <c r="E308" s="10">
        <v>130</v>
      </c>
      <c r="F308" s="10">
        <f t="shared" si="4"/>
        <v>26000</v>
      </c>
    </row>
    <row r="309" spans="1:6" s="9" customFormat="1" x14ac:dyDescent="0.25">
      <c r="B309" s="4"/>
      <c r="C309" s="5">
        <v>100</v>
      </c>
      <c r="D309" s="9" t="s">
        <v>12</v>
      </c>
      <c r="E309" s="10">
        <v>115</v>
      </c>
      <c r="F309" s="10">
        <f t="shared" si="4"/>
        <v>11500</v>
      </c>
    </row>
    <row r="310" spans="1:6" s="9" customFormat="1" x14ac:dyDescent="0.25">
      <c r="B310" s="4"/>
      <c r="C310" s="5">
        <v>20</v>
      </c>
      <c r="D310" s="9" t="s">
        <v>14</v>
      </c>
      <c r="E310" s="10">
        <v>125</v>
      </c>
      <c r="F310" s="10">
        <f t="shared" si="4"/>
        <v>2500</v>
      </c>
    </row>
    <row r="311" spans="1:6" s="9" customFormat="1" x14ac:dyDescent="0.25">
      <c r="B311" s="4"/>
      <c r="C311" s="5">
        <v>80</v>
      </c>
      <c r="D311" s="9" t="s">
        <v>11</v>
      </c>
      <c r="E311" s="10">
        <v>115</v>
      </c>
      <c r="F311" s="10">
        <f t="shared" si="4"/>
        <v>9200</v>
      </c>
    </row>
    <row r="312" spans="1:6" s="9" customFormat="1" x14ac:dyDescent="0.25">
      <c r="B312" s="4"/>
      <c r="C312" s="5"/>
      <c r="E312" s="10"/>
      <c r="F312" s="8">
        <f>SUM(F308:F311)</f>
        <v>49200</v>
      </c>
    </row>
    <row r="313" spans="1:6" s="9" customFormat="1" x14ac:dyDescent="0.25">
      <c r="B313" s="4"/>
      <c r="C313" s="5"/>
      <c r="E313" s="10"/>
      <c r="F313" s="10"/>
    </row>
    <row r="314" spans="1:6" s="9" customFormat="1" x14ac:dyDescent="0.25">
      <c r="A314" s="9" t="s">
        <v>29</v>
      </c>
      <c r="B314" s="4">
        <v>45812</v>
      </c>
      <c r="C314" s="5">
        <v>1</v>
      </c>
      <c r="D314" s="9" t="s">
        <v>600</v>
      </c>
      <c r="E314" s="10">
        <v>140</v>
      </c>
      <c r="F314" s="10">
        <f t="shared" si="4"/>
        <v>140</v>
      </c>
    </row>
    <row r="315" spans="1:6" s="9" customFormat="1" x14ac:dyDescent="0.25">
      <c r="B315" s="4"/>
      <c r="C315" s="5"/>
      <c r="E315" s="10"/>
      <c r="F315" s="8">
        <f>SUM(F314)</f>
        <v>140</v>
      </c>
    </row>
    <row r="316" spans="1:6" s="9" customFormat="1" x14ac:dyDescent="0.25">
      <c r="B316" s="4"/>
      <c r="C316" s="5"/>
      <c r="E316" s="10"/>
      <c r="F316" s="10"/>
    </row>
    <row r="317" spans="1:6" s="9" customFormat="1" x14ac:dyDescent="0.25">
      <c r="A317" s="9" t="s">
        <v>181</v>
      </c>
      <c r="B317" s="4">
        <v>45812</v>
      </c>
      <c r="C317" s="5">
        <v>1</v>
      </c>
      <c r="D317" s="9" t="s">
        <v>8</v>
      </c>
      <c r="E317" s="10">
        <v>170</v>
      </c>
      <c r="F317" s="10">
        <f t="shared" si="4"/>
        <v>170</v>
      </c>
    </row>
    <row r="318" spans="1:6" s="9" customFormat="1" x14ac:dyDescent="0.25">
      <c r="B318" s="4"/>
      <c r="C318" s="5">
        <v>1</v>
      </c>
      <c r="D318" s="9" t="s">
        <v>674</v>
      </c>
      <c r="E318" s="10">
        <v>150</v>
      </c>
      <c r="F318" s="10">
        <f t="shared" si="4"/>
        <v>150</v>
      </c>
    </row>
    <row r="319" spans="1:6" s="9" customFormat="1" x14ac:dyDescent="0.25">
      <c r="B319" s="4"/>
      <c r="C319" s="5"/>
      <c r="E319" s="10"/>
      <c r="F319" s="8">
        <f>SUM(F317:F318)</f>
        <v>320</v>
      </c>
    </row>
    <row r="320" spans="1:6" s="9" customFormat="1" x14ac:dyDescent="0.25">
      <c r="B320" s="4"/>
      <c r="C320" s="5"/>
      <c r="E320" s="10"/>
      <c r="F320" s="10"/>
    </row>
    <row r="321" spans="1:6" s="9" customFormat="1" x14ac:dyDescent="0.25">
      <c r="A321" s="9" t="s">
        <v>60</v>
      </c>
      <c r="B321" s="4">
        <v>45813</v>
      </c>
      <c r="C321" s="5">
        <v>30</v>
      </c>
      <c r="D321" s="9" t="s">
        <v>13</v>
      </c>
      <c r="E321" s="10">
        <v>140</v>
      </c>
      <c r="F321" s="10">
        <f t="shared" si="4"/>
        <v>4200</v>
      </c>
    </row>
    <row r="322" spans="1:6" s="9" customFormat="1" x14ac:dyDescent="0.25">
      <c r="B322" s="4"/>
      <c r="C322" s="5">
        <v>1</v>
      </c>
      <c r="D322" s="9" t="s">
        <v>318</v>
      </c>
      <c r="E322" s="10">
        <v>0</v>
      </c>
      <c r="F322" s="10">
        <f t="shared" si="4"/>
        <v>0</v>
      </c>
    </row>
    <row r="323" spans="1:6" s="9" customFormat="1" x14ac:dyDescent="0.25">
      <c r="B323" s="4"/>
      <c r="C323" s="5"/>
      <c r="E323" s="10"/>
      <c r="F323" s="8">
        <f>SUM(F321:F322)</f>
        <v>4200</v>
      </c>
    </row>
    <row r="324" spans="1:6" s="9" customFormat="1" x14ac:dyDescent="0.25">
      <c r="B324" s="4"/>
      <c r="C324" s="5"/>
      <c r="E324" s="10"/>
      <c r="F324" s="10"/>
    </row>
    <row r="325" spans="1:6" s="9" customFormat="1" x14ac:dyDescent="0.25">
      <c r="A325" s="9" t="s">
        <v>62</v>
      </c>
      <c r="B325" s="4">
        <v>45813</v>
      </c>
      <c r="C325" s="5">
        <v>50</v>
      </c>
      <c r="D325" s="9" t="s">
        <v>675</v>
      </c>
      <c r="E325" s="10">
        <v>160</v>
      </c>
      <c r="F325" s="10">
        <f t="shared" ref="F325:F387" si="5">+C325*E325</f>
        <v>8000</v>
      </c>
    </row>
    <row r="326" spans="1:6" s="9" customFormat="1" x14ac:dyDescent="0.25">
      <c r="B326" s="4"/>
      <c r="C326" s="5">
        <v>30</v>
      </c>
      <c r="D326" s="9" t="s">
        <v>12</v>
      </c>
      <c r="E326" s="10">
        <v>120</v>
      </c>
      <c r="F326" s="10">
        <f t="shared" si="5"/>
        <v>3600</v>
      </c>
    </row>
    <row r="327" spans="1:6" s="9" customFormat="1" x14ac:dyDescent="0.25">
      <c r="B327" s="4"/>
      <c r="C327" s="5"/>
      <c r="E327" s="10"/>
      <c r="F327" s="8">
        <f>SUM(F325:F326)</f>
        <v>11600</v>
      </c>
    </row>
    <row r="328" spans="1:6" s="9" customFormat="1" x14ac:dyDescent="0.25">
      <c r="B328" s="4"/>
      <c r="C328" s="5"/>
      <c r="E328" s="10"/>
      <c r="F328" s="10"/>
    </row>
    <row r="329" spans="1:6" s="9" customFormat="1" x14ac:dyDescent="0.25">
      <c r="A329" s="9" t="s">
        <v>211</v>
      </c>
      <c r="B329" s="4">
        <v>45813</v>
      </c>
      <c r="C329" s="5">
        <v>10</v>
      </c>
      <c r="D329" s="9" t="s">
        <v>98</v>
      </c>
      <c r="E329" s="10">
        <v>100</v>
      </c>
      <c r="F329" s="10">
        <f t="shared" si="5"/>
        <v>1000</v>
      </c>
    </row>
    <row r="330" spans="1:6" s="9" customFormat="1" x14ac:dyDescent="0.25">
      <c r="B330" s="4"/>
      <c r="C330" s="5"/>
      <c r="E330" s="10"/>
      <c r="F330" s="8">
        <f>SUM(F329)</f>
        <v>1000</v>
      </c>
    </row>
    <row r="331" spans="1:6" s="9" customFormat="1" x14ac:dyDescent="0.25">
      <c r="B331" s="4"/>
      <c r="C331" s="5"/>
      <c r="E331" s="10"/>
      <c r="F331" s="10"/>
    </row>
    <row r="332" spans="1:6" s="9" customFormat="1" x14ac:dyDescent="0.25">
      <c r="A332" s="9" t="s">
        <v>676</v>
      </c>
      <c r="B332" s="4">
        <v>45813</v>
      </c>
      <c r="C332" s="5">
        <v>50</v>
      </c>
      <c r="D332" s="9" t="s">
        <v>13</v>
      </c>
      <c r="E332" s="10">
        <v>135</v>
      </c>
      <c r="F332" s="10">
        <f t="shared" si="5"/>
        <v>6750</v>
      </c>
    </row>
    <row r="333" spans="1:6" s="9" customFormat="1" x14ac:dyDescent="0.25">
      <c r="B333" s="4"/>
      <c r="C333" s="5"/>
      <c r="E333" s="10"/>
      <c r="F333" s="8">
        <f>SUM(F332)</f>
        <v>6750</v>
      </c>
    </row>
    <row r="334" spans="1:6" s="9" customFormat="1" x14ac:dyDescent="0.25">
      <c r="B334" s="4"/>
      <c r="C334" s="5"/>
      <c r="E334" s="10"/>
      <c r="F334" s="10"/>
    </row>
    <row r="335" spans="1:6" s="9" customFormat="1" x14ac:dyDescent="0.25">
      <c r="A335" s="9" t="s">
        <v>89</v>
      </c>
      <c r="B335" s="4">
        <v>45813</v>
      </c>
      <c r="C335" s="5">
        <v>50</v>
      </c>
      <c r="D335" s="9" t="s">
        <v>12</v>
      </c>
      <c r="E335" s="10">
        <v>100</v>
      </c>
      <c r="F335" s="10">
        <f t="shared" si="5"/>
        <v>5000</v>
      </c>
    </row>
    <row r="336" spans="1:6" s="9" customFormat="1" x14ac:dyDescent="0.25">
      <c r="B336" s="4"/>
      <c r="C336" s="5">
        <v>8</v>
      </c>
      <c r="D336" s="9" t="s">
        <v>677</v>
      </c>
      <c r="E336" s="10">
        <v>110</v>
      </c>
      <c r="F336" s="10">
        <f t="shared" si="5"/>
        <v>880</v>
      </c>
    </row>
    <row r="337" spans="1:6" s="9" customFormat="1" x14ac:dyDescent="0.25">
      <c r="B337" s="4"/>
      <c r="C337" s="5">
        <v>20</v>
      </c>
      <c r="D337" s="9" t="s">
        <v>13</v>
      </c>
      <c r="E337" s="10">
        <v>130</v>
      </c>
      <c r="F337" s="10">
        <f t="shared" si="5"/>
        <v>2600</v>
      </c>
    </row>
    <row r="338" spans="1:6" s="9" customFormat="1" x14ac:dyDescent="0.25">
      <c r="B338" s="4"/>
      <c r="C338" s="5"/>
      <c r="E338" s="10"/>
      <c r="F338" s="8">
        <f>SUM(F335:F337)</f>
        <v>8480</v>
      </c>
    </row>
    <row r="339" spans="1:6" s="9" customFormat="1" x14ac:dyDescent="0.25">
      <c r="B339" s="4"/>
      <c r="C339" s="5"/>
      <c r="E339" s="10"/>
      <c r="F339" s="10"/>
    </row>
    <row r="340" spans="1:6" s="9" customFormat="1" x14ac:dyDescent="0.25">
      <c r="A340" s="9" t="s">
        <v>190</v>
      </c>
      <c r="B340" s="4">
        <v>45813</v>
      </c>
      <c r="C340" s="5">
        <v>1</v>
      </c>
      <c r="D340" s="9" t="s">
        <v>13</v>
      </c>
      <c r="E340" s="10">
        <v>145</v>
      </c>
      <c r="F340" s="10">
        <f t="shared" si="5"/>
        <v>145</v>
      </c>
    </row>
    <row r="341" spans="1:6" s="9" customFormat="1" x14ac:dyDescent="0.25">
      <c r="B341" s="4"/>
      <c r="C341" s="5">
        <v>4</v>
      </c>
      <c r="D341" s="9" t="s">
        <v>14</v>
      </c>
      <c r="E341" s="10">
        <v>135</v>
      </c>
      <c r="F341" s="10">
        <f t="shared" si="5"/>
        <v>540</v>
      </c>
    </row>
    <row r="342" spans="1:6" s="9" customFormat="1" x14ac:dyDescent="0.25">
      <c r="B342" s="4"/>
      <c r="C342" s="5"/>
      <c r="E342" s="10"/>
      <c r="F342" s="8">
        <f>SUM(F340:F341)</f>
        <v>685</v>
      </c>
    </row>
    <row r="343" spans="1:6" s="9" customFormat="1" x14ac:dyDescent="0.25">
      <c r="B343" s="4"/>
      <c r="C343" s="5"/>
      <c r="E343" s="10"/>
      <c r="F343" s="10"/>
    </row>
    <row r="344" spans="1:6" s="9" customFormat="1" x14ac:dyDescent="0.25">
      <c r="A344" s="9" t="s">
        <v>487</v>
      </c>
      <c r="B344" s="4">
        <v>45813</v>
      </c>
      <c r="C344" s="5">
        <v>7</v>
      </c>
      <c r="D344" s="9" t="s">
        <v>12</v>
      </c>
      <c r="E344" s="10">
        <v>130</v>
      </c>
      <c r="F344" s="10">
        <f t="shared" si="5"/>
        <v>910</v>
      </c>
    </row>
    <row r="345" spans="1:6" s="9" customFormat="1" x14ac:dyDescent="0.25">
      <c r="B345" s="4"/>
      <c r="C345" s="5"/>
      <c r="E345" s="10"/>
      <c r="F345" s="8">
        <f>SUM(F344)</f>
        <v>910</v>
      </c>
    </row>
    <row r="346" spans="1:6" s="9" customFormat="1" x14ac:dyDescent="0.25">
      <c r="B346" s="4"/>
      <c r="C346" s="5"/>
      <c r="E346" s="10"/>
      <c r="F346" s="10"/>
    </row>
    <row r="347" spans="1:6" s="9" customFormat="1" x14ac:dyDescent="0.25">
      <c r="A347" s="9" t="s">
        <v>164</v>
      </c>
      <c r="B347" s="4">
        <v>45813</v>
      </c>
      <c r="C347" s="5">
        <v>5</v>
      </c>
      <c r="D347" s="9" t="s">
        <v>8</v>
      </c>
      <c r="E347" s="10">
        <v>170</v>
      </c>
      <c r="F347" s="10">
        <f t="shared" si="5"/>
        <v>850</v>
      </c>
    </row>
    <row r="348" spans="1:6" s="9" customFormat="1" x14ac:dyDescent="0.25">
      <c r="B348" s="4"/>
      <c r="C348" s="5"/>
      <c r="E348" s="10"/>
      <c r="F348" s="8">
        <f>SUM(F347)</f>
        <v>850</v>
      </c>
    </row>
    <row r="349" spans="1:6" s="9" customFormat="1" x14ac:dyDescent="0.25">
      <c r="B349" s="4"/>
      <c r="C349" s="5"/>
      <c r="E349" s="10"/>
      <c r="F349" s="10"/>
    </row>
    <row r="350" spans="1:6" s="9" customFormat="1" x14ac:dyDescent="0.25">
      <c r="A350" s="9" t="s">
        <v>678</v>
      </c>
      <c r="B350" s="4">
        <v>45813</v>
      </c>
      <c r="C350" s="5">
        <v>6</v>
      </c>
      <c r="D350" s="9" t="s">
        <v>13</v>
      </c>
      <c r="E350" s="10">
        <v>145</v>
      </c>
      <c r="F350" s="10">
        <f t="shared" si="5"/>
        <v>870</v>
      </c>
    </row>
    <row r="351" spans="1:6" s="9" customFormat="1" x14ac:dyDescent="0.25">
      <c r="B351" s="4"/>
      <c r="C351" s="5">
        <v>10</v>
      </c>
      <c r="D351" s="9" t="s">
        <v>14</v>
      </c>
      <c r="E351" s="10">
        <v>135</v>
      </c>
      <c r="F351" s="10">
        <f t="shared" si="5"/>
        <v>1350</v>
      </c>
    </row>
    <row r="352" spans="1:6" s="9" customFormat="1" x14ac:dyDescent="0.25">
      <c r="B352" s="4"/>
      <c r="C352" s="5"/>
      <c r="E352" s="10"/>
      <c r="F352" s="8">
        <f>SUM(F350:F351)</f>
        <v>2220</v>
      </c>
    </row>
    <row r="353" spans="1:6" s="9" customFormat="1" x14ac:dyDescent="0.25">
      <c r="B353" s="4"/>
      <c r="C353" s="5"/>
      <c r="E353" s="10"/>
      <c r="F353" s="10"/>
    </row>
    <row r="354" spans="1:6" s="9" customFormat="1" x14ac:dyDescent="0.25">
      <c r="A354" s="9" t="s">
        <v>313</v>
      </c>
      <c r="B354" s="4">
        <v>45813</v>
      </c>
      <c r="C354" s="5">
        <v>4</v>
      </c>
      <c r="D354" s="9" t="s">
        <v>12</v>
      </c>
      <c r="E354" s="10">
        <v>130</v>
      </c>
      <c r="F354" s="10">
        <f t="shared" si="5"/>
        <v>520</v>
      </c>
    </row>
    <row r="355" spans="1:6" s="9" customFormat="1" x14ac:dyDescent="0.25">
      <c r="B355" s="4"/>
      <c r="C355" s="5"/>
      <c r="E355" s="10"/>
      <c r="F355" s="8">
        <f>SUM(F354)</f>
        <v>520</v>
      </c>
    </row>
    <row r="356" spans="1:6" s="9" customFormat="1" x14ac:dyDescent="0.25">
      <c r="B356" s="4"/>
      <c r="C356" s="5"/>
      <c r="E356" s="10"/>
      <c r="F356" s="10"/>
    </row>
    <row r="357" spans="1:6" s="9" customFormat="1" x14ac:dyDescent="0.25">
      <c r="A357" s="9" t="s">
        <v>29</v>
      </c>
      <c r="B357" s="4">
        <v>45813</v>
      </c>
      <c r="C357" s="5">
        <v>1</v>
      </c>
      <c r="D357" s="9" t="s">
        <v>8</v>
      </c>
      <c r="E357" s="10">
        <v>150</v>
      </c>
      <c r="F357" s="10">
        <f t="shared" si="5"/>
        <v>150</v>
      </c>
    </row>
    <row r="358" spans="1:6" s="9" customFormat="1" x14ac:dyDescent="0.25">
      <c r="B358" s="4"/>
      <c r="C358" s="5">
        <v>10</v>
      </c>
      <c r="D358" s="9" t="s">
        <v>161</v>
      </c>
      <c r="E358" s="10">
        <v>140</v>
      </c>
      <c r="F358" s="10">
        <f t="shared" si="5"/>
        <v>1400</v>
      </c>
    </row>
    <row r="359" spans="1:6" s="9" customFormat="1" x14ac:dyDescent="0.25">
      <c r="B359" s="4"/>
      <c r="C359" s="5">
        <v>1</v>
      </c>
      <c r="D359" s="9" t="s">
        <v>8</v>
      </c>
      <c r="E359" s="10">
        <v>140</v>
      </c>
      <c r="F359" s="10">
        <f t="shared" si="5"/>
        <v>140</v>
      </c>
    </row>
    <row r="360" spans="1:6" s="9" customFormat="1" x14ac:dyDescent="0.25">
      <c r="B360" s="4"/>
      <c r="C360" s="5"/>
      <c r="E360" s="10"/>
      <c r="F360" s="8">
        <f>SUM(F357:F359)</f>
        <v>1690</v>
      </c>
    </row>
    <row r="361" spans="1:6" s="9" customFormat="1" x14ac:dyDescent="0.25">
      <c r="B361" s="4"/>
      <c r="C361" s="5"/>
      <c r="E361" s="10"/>
      <c r="F361" s="10"/>
    </row>
    <row r="362" spans="1:6" s="9" customFormat="1" x14ac:dyDescent="0.25">
      <c r="A362" s="9" t="s">
        <v>7</v>
      </c>
      <c r="B362" s="4">
        <v>45813</v>
      </c>
      <c r="C362" s="5">
        <v>1</v>
      </c>
      <c r="D362" s="9" t="s">
        <v>13</v>
      </c>
      <c r="E362" s="10">
        <v>160</v>
      </c>
      <c r="F362" s="10">
        <f t="shared" si="5"/>
        <v>160</v>
      </c>
    </row>
    <row r="363" spans="1:6" s="9" customFormat="1" x14ac:dyDescent="0.25">
      <c r="B363" s="4"/>
      <c r="C363" s="5">
        <v>1</v>
      </c>
      <c r="D363" s="9" t="s">
        <v>351</v>
      </c>
      <c r="E363" s="10">
        <v>150</v>
      </c>
      <c r="F363" s="10">
        <f t="shared" si="5"/>
        <v>150</v>
      </c>
    </row>
    <row r="364" spans="1:6" s="9" customFormat="1" x14ac:dyDescent="0.25">
      <c r="B364" s="4"/>
      <c r="C364" s="5">
        <v>1</v>
      </c>
      <c r="D364" s="9" t="s">
        <v>8</v>
      </c>
      <c r="E364" s="10">
        <v>170</v>
      </c>
      <c r="F364" s="10">
        <f t="shared" si="5"/>
        <v>170</v>
      </c>
    </row>
    <row r="365" spans="1:6" s="9" customFormat="1" x14ac:dyDescent="0.25">
      <c r="B365" s="4"/>
      <c r="C365" s="5">
        <v>1</v>
      </c>
      <c r="D365" s="9" t="s">
        <v>78</v>
      </c>
      <c r="E365" s="10">
        <v>100</v>
      </c>
      <c r="F365" s="10">
        <f t="shared" si="5"/>
        <v>100</v>
      </c>
    </row>
    <row r="366" spans="1:6" s="9" customFormat="1" x14ac:dyDescent="0.25">
      <c r="B366" s="4"/>
      <c r="C366" s="5">
        <v>1</v>
      </c>
      <c r="D366" s="9" t="s">
        <v>8</v>
      </c>
      <c r="E366" s="10">
        <v>170</v>
      </c>
      <c r="F366" s="10">
        <f t="shared" si="5"/>
        <v>170</v>
      </c>
    </row>
    <row r="367" spans="1:6" s="9" customFormat="1" x14ac:dyDescent="0.25">
      <c r="B367" s="4"/>
      <c r="C367" s="5"/>
      <c r="E367" s="10"/>
      <c r="F367" s="8">
        <f>SUM(F362:F366)</f>
        <v>750</v>
      </c>
    </row>
    <row r="368" spans="1:6" s="9" customFormat="1" x14ac:dyDescent="0.25">
      <c r="B368" s="4"/>
      <c r="C368" s="5"/>
      <c r="E368" s="10"/>
      <c r="F368" s="10"/>
    </row>
    <row r="369" spans="1:6" s="9" customFormat="1" x14ac:dyDescent="0.25">
      <c r="A369" s="9" t="s">
        <v>80</v>
      </c>
      <c r="B369" s="4">
        <v>45814</v>
      </c>
      <c r="C369" s="5">
        <v>9</v>
      </c>
      <c r="D369" s="9" t="s">
        <v>13</v>
      </c>
      <c r="E369" s="10">
        <v>140</v>
      </c>
      <c r="F369" s="10">
        <f t="shared" si="5"/>
        <v>1260</v>
      </c>
    </row>
    <row r="370" spans="1:6" s="9" customFormat="1" x14ac:dyDescent="0.25">
      <c r="B370" s="4"/>
      <c r="C370" s="5"/>
      <c r="E370" s="10"/>
      <c r="F370" s="8">
        <f>SUM(F369)</f>
        <v>1260</v>
      </c>
    </row>
    <row r="371" spans="1:6" s="9" customFormat="1" x14ac:dyDescent="0.25">
      <c r="B371" s="4"/>
      <c r="C371" s="5"/>
      <c r="E371" s="10"/>
      <c r="F371" s="10"/>
    </row>
    <row r="372" spans="1:6" s="9" customFormat="1" x14ac:dyDescent="0.25">
      <c r="A372" s="9" t="s">
        <v>15</v>
      </c>
      <c r="B372" s="4">
        <v>45814</v>
      </c>
      <c r="C372" s="5">
        <v>61</v>
      </c>
      <c r="D372" s="9" t="s">
        <v>98</v>
      </c>
      <c r="E372" s="10">
        <v>80</v>
      </c>
      <c r="F372" s="10">
        <f t="shared" si="5"/>
        <v>4880</v>
      </c>
    </row>
    <row r="373" spans="1:6" s="9" customFormat="1" x14ac:dyDescent="0.25">
      <c r="B373" s="4"/>
      <c r="C373" s="5"/>
      <c r="E373" s="10"/>
      <c r="F373" s="8">
        <f>SUM(F372)</f>
        <v>4880</v>
      </c>
    </row>
    <row r="374" spans="1:6" s="9" customFormat="1" x14ac:dyDescent="0.25">
      <c r="B374" s="4"/>
      <c r="C374" s="5"/>
      <c r="E374" s="10"/>
      <c r="F374" s="10"/>
    </row>
    <row r="375" spans="1:6" s="9" customFormat="1" x14ac:dyDescent="0.25">
      <c r="A375" s="9" t="s">
        <v>18</v>
      </c>
      <c r="B375" s="4">
        <v>45814</v>
      </c>
      <c r="C375" s="5">
        <v>5</v>
      </c>
      <c r="D375" s="9" t="s">
        <v>13</v>
      </c>
      <c r="E375" s="10">
        <v>135</v>
      </c>
      <c r="F375" s="10">
        <f t="shared" si="5"/>
        <v>675</v>
      </c>
    </row>
    <row r="376" spans="1:6" s="9" customFormat="1" x14ac:dyDescent="0.25">
      <c r="B376" s="4"/>
      <c r="C376" s="5"/>
      <c r="E376" s="10"/>
      <c r="F376" s="8">
        <f>SUM(F375)</f>
        <v>675</v>
      </c>
    </row>
    <row r="377" spans="1:6" s="9" customFormat="1" x14ac:dyDescent="0.25">
      <c r="B377" s="4"/>
      <c r="C377" s="5"/>
      <c r="E377" s="10"/>
      <c r="F377" s="10"/>
    </row>
    <row r="378" spans="1:6" s="9" customFormat="1" x14ac:dyDescent="0.25">
      <c r="A378" s="9" t="s">
        <v>514</v>
      </c>
      <c r="B378" s="4">
        <v>45814</v>
      </c>
      <c r="C378" s="5">
        <v>10</v>
      </c>
      <c r="D378" s="9" t="s">
        <v>98</v>
      </c>
      <c r="E378" s="10">
        <v>100</v>
      </c>
      <c r="F378" s="10">
        <f t="shared" si="5"/>
        <v>1000</v>
      </c>
    </row>
    <row r="379" spans="1:6" s="9" customFormat="1" x14ac:dyDescent="0.25">
      <c r="B379" s="4"/>
      <c r="C379" s="5"/>
      <c r="E379" s="10"/>
      <c r="F379" s="8">
        <f>SUM(F378)</f>
        <v>1000</v>
      </c>
    </row>
    <row r="380" spans="1:6" s="9" customFormat="1" x14ac:dyDescent="0.25">
      <c r="B380" s="4"/>
      <c r="C380" s="5"/>
      <c r="E380" s="10"/>
      <c r="F380" s="10"/>
    </row>
    <row r="381" spans="1:6" s="9" customFormat="1" x14ac:dyDescent="0.25">
      <c r="A381" s="9" t="s">
        <v>58</v>
      </c>
      <c r="B381" s="4">
        <v>45814</v>
      </c>
      <c r="C381" s="5">
        <v>15</v>
      </c>
      <c r="D381" s="9" t="s">
        <v>13</v>
      </c>
      <c r="E381" s="10">
        <v>135</v>
      </c>
      <c r="F381" s="10">
        <f t="shared" si="5"/>
        <v>2025</v>
      </c>
    </row>
    <row r="382" spans="1:6" s="9" customFormat="1" x14ac:dyDescent="0.25">
      <c r="B382" s="4"/>
      <c r="C382" s="5"/>
      <c r="E382" s="10"/>
      <c r="F382" s="8">
        <f>SUM(F381)</f>
        <v>2025</v>
      </c>
    </row>
    <row r="383" spans="1:6" s="9" customFormat="1" x14ac:dyDescent="0.25">
      <c r="B383" s="4"/>
      <c r="C383" s="5"/>
      <c r="E383" s="10"/>
      <c r="F383" s="10"/>
    </row>
    <row r="384" spans="1:6" s="9" customFormat="1" x14ac:dyDescent="0.25">
      <c r="A384" s="9" t="s">
        <v>211</v>
      </c>
      <c r="B384" s="4">
        <v>45814</v>
      </c>
      <c r="C384" s="5">
        <v>8</v>
      </c>
      <c r="D384" s="9" t="s">
        <v>98</v>
      </c>
      <c r="E384" s="10">
        <v>100</v>
      </c>
      <c r="F384" s="10">
        <f t="shared" si="5"/>
        <v>800</v>
      </c>
    </row>
    <row r="385" spans="1:6" s="9" customFormat="1" x14ac:dyDescent="0.25">
      <c r="B385" s="4"/>
      <c r="C385" s="5"/>
      <c r="E385" s="10"/>
      <c r="F385" s="8">
        <f>SUM(F384)</f>
        <v>800</v>
      </c>
    </row>
    <row r="386" spans="1:6" s="9" customFormat="1" x14ac:dyDescent="0.25">
      <c r="B386" s="4"/>
      <c r="C386" s="5"/>
      <c r="E386" s="10"/>
      <c r="F386" s="10"/>
    </row>
    <row r="387" spans="1:6" s="9" customFormat="1" x14ac:dyDescent="0.25">
      <c r="A387" s="9" t="s">
        <v>17</v>
      </c>
      <c r="B387" s="4">
        <v>45814</v>
      </c>
      <c r="C387" s="5">
        <v>10</v>
      </c>
      <c r="D387" s="9" t="s">
        <v>13</v>
      </c>
      <c r="E387" s="10">
        <v>140</v>
      </c>
      <c r="F387" s="10">
        <f t="shared" si="5"/>
        <v>1400</v>
      </c>
    </row>
    <row r="388" spans="1:6" s="9" customFormat="1" x14ac:dyDescent="0.25">
      <c r="B388" s="4"/>
      <c r="C388" s="5"/>
      <c r="E388" s="10"/>
      <c r="F388" s="8">
        <f>SUM(F387)</f>
        <v>1400</v>
      </c>
    </row>
    <row r="389" spans="1:6" s="9" customFormat="1" x14ac:dyDescent="0.25">
      <c r="B389" s="4"/>
      <c r="C389" s="5"/>
      <c r="E389" s="10"/>
      <c r="F389" s="10"/>
    </row>
    <row r="390" spans="1:6" s="9" customFormat="1" x14ac:dyDescent="0.25">
      <c r="A390" s="9" t="s">
        <v>25</v>
      </c>
      <c r="B390" s="4">
        <v>45814</v>
      </c>
      <c r="C390" s="5">
        <v>63</v>
      </c>
      <c r="D390" s="9" t="s">
        <v>8</v>
      </c>
      <c r="E390" s="10">
        <v>155</v>
      </c>
      <c r="F390" s="10">
        <f t="shared" ref="F390:F451" si="6">+C390*E390</f>
        <v>9765</v>
      </c>
    </row>
    <row r="391" spans="1:6" s="9" customFormat="1" x14ac:dyDescent="0.25">
      <c r="B391" s="4"/>
      <c r="C391" s="5"/>
      <c r="E391" s="10"/>
      <c r="F391" s="8">
        <f>SUM(F390)</f>
        <v>9765</v>
      </c>
    </row>
    <row r="392" spans="1:6" s="9" customFormat="1" x14ac:dyDescent="0.25">
      <c r="B392" s="4"/>
      <c r="C392" s="5"/>
      <c r="E392" s="10"/>
      <c r="F392" s="10"/>
    </row>
    <row r="393" spans="1:6" s="9" customFormat="1" x14ac:dyDescent="0.25">
      <c r="A393" s="9" t="s">
        <v>40</v>
      </c>
      <c r="B393" s="4">
        <v>45814</v>
      </c>
      <c r="C393" s="5">
        <v>10</v>
      </c>
      <c r="D393" s="9" t="s">
        <v>12</v>
      </c>
      <c r="E393" s="10">
        <v>120</v>
      </c>
      <c r="F393" s="10">
        <f t="shared" si="6"/>
        <v>1200</v>
      </c>
    </row>
    <row r="394" spans="1:6" s="9" customFormat="1" x14ac:dyDescent="0.25">
      <c r="B394" s="4"/>
      <c r="C394" s="5">
        <v>10</v>
      </c>
      <c r="D394" s="9" t="s">
        <v>8</v>
      </c>
      <c r="E394" s="10">
        <v>155</v>
      </c>
      <c r="F394" s="10">
        <f t="shared" si="6"/>
        <v>1550</v>
      </c>
    </row>
    <row r="395" spans="1:6" s="9" customFormat="1" x14ac:dyDescent="0.25">
      <c r="B395" s="4"/>
      <c r="C395" s="5">
        <v>10</v>
      </c>
      <c r="D395" s="9" t="s">
        <v>13</v>
      </c>
      <c r="E395" s="10">
        <v>135</v>
      </c>
      <c r="F395" s="10">
        <f t="shared" si="6"/>
        <v>1350</v>
      </c>
    </row>
    <row r="396" spans="1:6" s="9" customFormat="1" x14ac:dyDescent="0.25">
      <c r="B396" s="4"/>
      <c r="C396" s="5">
        <v>10</v>
      </c>
      <c r="D396" s="9" t="s">
        <v>14</v>
      </c>
      <c r="E396" s="10">
        <v>125</v>
      </c>
      <c r="F396" s="10">
        <f t="shared" si="6"/>
        <v>1250</v>
      </c>
    </row>
    <row r="397" spans="1:6" s="9" customFormat="1" x14ac:dyDescent="0.25">
      <c r="B397" s="4"/>
      <c r="C397" s="5"/>
      <c r="E397" s="10"/>
      <c r="F397" s="8">
        <f>SUM(F393:F396)</f>
        <v>5350</v>
      </c>
    </row>
    <row r="398" spans="1:6" s="9" customFormat="1" x14ac:dyDescent="0.25">
      <c r="B398" s="4"/>
      <c r="C398" s="5"/>
      <c r="E398" s="10"/>
      <c r="F398" s="10"/>
    </row>
    <row r="399" spans="1:6" s="9" customFormat="1" x14ac:dyDescent="0.25">
      <c r="A399" s="9" t="s">
        <v>21</v>
      </c>
      <c r="B399" s="4">
        <v>45814</v>
      </c>
      <c r="C399" s="5">
        <v>20</v>
      </c>
      <c r="D399" s="9" t="s">
        <v>8</v>
      </c>
      <c r="E399" s="10">
        <v>155</v>
      </c>
      <c r="F399" s="10">
        <f t="shared" si="6"/>
        <v>3100</v>
      </c>
    </row>
    <row r="400" spans="1:6" s="9" customFormat="1" x14ac:dyDescent="0.25">
      <c r="B400" s="4"/>
      <c r="C400" s="5">
        <v>20</v>
      </c>
      <c r="D400" s="9" t="s">
        <v>22</v>
      </c>
      <c r="E400" s="10">
        <v>85</v>
      </c>
      <c r="F400" s="10">
        <f t="shared" si="6"/>
        <v>1700</v>
      </c>
    </row>
    <row r="401" spans="1:6" s="9" customFormat="1" x14ac:dyDescent="0.25">
      <c r="B401" s="4"/>
      <c r="C401" s="5"/>
      <c r="E401" s="10"/>
      <c r="F401" s="8">
        <f>SUM(F399:F400)</f>
        <v>4800</v>
      </c>
    </row>
    <row r="402" spans="1:6" s="9" customFormat="1" x14ac:dyDescent="0.25">
      <c r="B402" s="4"/>
      <c r="C402" s="5"/>
      <c r="E402" s="10"/>
      <c r="F402" s="10"/>
    </row>
    <row r="403" spans="1:6" s="9" customFormat="1" x14ac:dyDescent="0.25">
      <c r="A403" s="9" t="s">
        <v>41</v>
      </c>
      <c r="B403" s="4">
        <v>45814</v>
      </c>
      <c r="C403" s="5">
        <v>10</v>
      </c>
      <c r="D403" s="9" t="s">
        <v>49</v>
      </c>
      <c r="E403" s="10">
        <v>130</v>
      </c>
      <c r="F403" s="10">
        <f t="shared" si="6"/>
        <v>1300</v>
      </c>
    </row>
    <row r="404" spans="1:6" s="9" customFormat="1" x14ac:dyDescent="0.25">
      <c r="B404" s="4"/>
      <c r="C404" s="5">
        <v>10</v>
      </c>
      <c r="D404" s="9" t="s">
        <v>14</v>
      </c>
      <c r="E404" s="10">
        <v>130</v>
      </c>
      <c r="F404" s="10">
        <f t="shared" si="6"/>
        <v>1300</v>
      </c>
    </row>
    <row r="405" spans="1:6" s="9" customFormat="1" x14ac:dyDescent="0.25">
      <c r="B405" s="4"/>
      <c r="C405" s="5"/>
      <c r="E405" s="10"/>
      <c r="F405" s="8">
        <f>SUM(F403:F404)</f>
        <v>2600</v>
      </c>
    </row>
    <row r="406" spans="1:6" s="9" customFormat="1" x14ac:dyDescent="0.25">
      <c r="B406" s="4"/>
      <c r="C406" s="5"/>
      <c r="E406" s="10"/>
      <c r="F406" s="10"/>
    </row>
    <row r="407" spans="1:6" s="9" customFormat="1" x14ac:dyDescent="0.25">
      <c r="A407" s="9" t="s">
        <v>106</v>
      </c>
      <c r="B407" s="4">
        <v>45814</v>
      </c>
      <c r="C407" s="5">
        <v>20</v>
      </c>
      <c r="D407" s="9" t="s">
        <v>12</v>
      </c>
      <c r="E407" s="10">
        <v>125</v>
      </c>
      <c r="F407" s="10">
        <f t="shared" si="6"/>
        <v>2500</v>
      </c>
    </row>
    <row r="408" spans="1:6" s="9" customFormat="1" x14ac:dyDescent="0.25">
      <c r="B408" s="4"/>
      <c r="C408" s="5"/>
      <c r="E408" s="10"/>
      <c r="F408" s="8">
        <f>SUM(F407)</f>
        <v>2500</v>
      </c>
    </row>
    <row r="409" spans="1:6" s="9" customFormat="1" x14ac:dyDescent="0.25">
      <c r="B409" s="4"/>
      <c r="C409" s="5"/>
      <c r="E409" s="10"/>
      <c r="F409" s="10"/>
    </row>
    <row r="410" spans="1:6" s="9" customFormat="1" x14ac:dyDescent="0.25">
      <c r="A410" s="9" t="s">
        <v>43</v>
      </c>
      <c r="B410" s="4">
        <v>45814</v>
      </c>
      <c r="C410" s="5">
        <v>30</v>
      </c>
      <c r="D410" s="9" t="s">
        <v>49</v>
      </c>
      <c r="E410" s="10">
        <v>135</v>
      </c>
      <c r="F410" s="10">
        <f t="shared" si="6"/>
        <v>4050</v>
      </c>
    </row>
    <row r="411" spans="1:6" s="9" customFormat="1" x14ac:dyDescent="0.25">
      <c r="B411" s="4"/>
      <c r="C411" s="5"/>
      <c r="E411" s="10"/>
      <c r="F411" s="8">
        <f>SUM(F410)</f>
        <v>4050</v>
      </c>
    </row>
    <row r="412" spans="1:6" s="9" customFormat="1" x14ac:dyDescent="0.25">
      <c r="B412" s="4"/>
      <c r="C412" s="5"/>
      <c r="E412" s="10"/>
      <c r="F412" s="10"/>
    </row>
    <row r="413" spans="1:6" s="9" customFormat="1" x14ac:dyDescent="0.25">
      <c r="A413" s="9" t="s">
        <v>42</v>
      </c>
      <c r="B413" s="4">
        <v>45814</v>
      </c>
      <c r="C413" s="5">
        <v>5</v>
      </c>
      <c r="D413" s="9" t="s">
        <v>615</v>
      </c>
      <c r="E413" s="10">
        <v>125</v>
      </c>
      <c r="F413" s="10">
        <f t="shared" si="6"/>
        <v>625</v>
      </c>
    </row>
    <row r="414" spans="1:6" s="9" customFormat="1" x14ac:dyDescent="0.25">
      <c r="B414" s="4"/>
      <c r="C414" s="5">
        <v>10</v>
      </c>
      <c r="D414" s="9" t="s">
        <v>11</v>
      </c>
      <c r="E414" s="10">
        <v>105</v>
      </c>
      <c r="F414" s="10">
        <f t="shared" si="6"/>
        <v>1050</v>
      </c>
    </row>
    <row r="415" spans="1:6" s="9" customFormat="1" x14ac:dyDescent="0.25">
      <c r="B415" s="4"/>
      <c r="C415" s="5"/>
      <c r="E415" s="10"/>
      <c r="F415" s="8">
        <f>SUM(F413:F414)</f>
        <v>1675</v>
      </c>
    </row>
    <row r="416" spans="1:6" s="9" customFormat="1" x14ac:dyDescent="0.25">
      <c r="B416" s="4"/>
      <c r="C416" s="5"/>
      <c r="E416" s="10"/>
      <c r="F416" s="10"/>
    </row>
    <row r="417" spans="1:6" s="9" customFormat="1" x14ac:dyDescent="0.25">
      <c r="A417" s="9" t="s">
        <v>44</v>
      </c>
      <c r="B417" s="4">
        <v>45814</v>
      </c>
      <c r="C417" s="5">
        <v>60</v>
      </c>
      <c r="D417" s="9" t="s">
        <v>14</v>
      </c>
      <c r="E417" s="10">
        <v>125</v>
      </c>
      <c r="F417" s="13">
        <f t="shared" si="6"/>
        <v>7500</v>
      </c>
    </row>
    <row r="418" spans="1:6" s="9" customFormat="1" x14ac:dyDescent="0.25">
      <c r="B418" s="4"/>
      <c r="C418" s="5"/>
      <c r="E418" s="10"/>
      <c r="F418" s="8">
        <f>SUM(F417)</f>
        <v>7500</v>
      </c>
    </row>
    <row r="419" spans="1:6" s="9" customFormat="1" x14ac:dyDescent="0.25">
      <c r="B419" s="4"/>
      <c r="C419" s="5"/>
      <c r="E419" s="10"/>
      <c r="F419" s="10"/>
    </row>
    <row r="420" spans="1:6" s="9" customFormat="1" x14ac:dyDescent="0.25">
      <c r="A420" s="9" t="s">
        <v>18</v>
      </c>
      <c r="B420" s="4">
        <v>45814</v>
      </c>
      <c r="C420" s="5">
        <v>20</v>
      </c>
      <c r="D420" s="9" t="s">
        <v>14</v>
      </c>
      <c r="E420" s="10">
        <v>120</v>
      </c>
      <c r="F420" s="10">
        <f t="shared" si="6"/>
        <v>2400</v>
      </c>
    </row>
    <row r="421" spans="1:6" s="9" customFormat="1" x14ac:dyDescent="0.25">
      <c r="B421" s="4"/>
      <c r="C421" s="5"/>
      <c r="E421" s="10"/>
      <c r="F421" s="8">
        <f>SUM(F420)</f>
        <v>2400</v>
      </c>
    </row>
    <row r="422" spans="1:6" s="9" customFormat="1" x14ac:dyDescent="0.25">
      <c r="B422" s="4"/>
      <c r="C422" s="5"/>
      <c r="E422" s="10"/>
      <c r="F422" s="10"/>
    </row>
    <row r="423" spans="1:6" s="9" customFormat="1" x14ac:dyDescent="0.25">
      <c r="A423" s="9" t="s">
        <v>46</v>
      </c>
      <c r="B423" s="4">
        <v>45814</v>
      </c>
      <c r="C423" s="5">
        <v>20</v>
      </c>
      <c r="D423" s="9" t="s">
        <v>14</v>
      </c>
      <c r="E423" s="10">
        <v>125</v>
      </c>
      <c r="F423" s="10">
        <f t="shared" si="6"/>
        <v>2500</v>
      </c>
    </row>
    <row r="424" spans="1:6" s="9" customFormat="1" x14ac:dyDescent="0.25">
      <c r="B424" s="4"/>
      <c r="C424" s="5"/>
      <c r="E424" s="10"/>
      <c r="F424" s="8">
        <f>SUM(F423)</f>
        <v>2500</v>
      </c>
    </row>
    <row r="425" spans="1:6" s="9" customFormat="1" x14ac:dyDescent="0.25">
      <c r="B425" s="4"/>
      <c r="C425" s="5"/>
      <c r="E425" s="10"/>
      <c r="F425" s="10"/>
    </row>
    <row r="426" spans="1:6" s="9" customFormat="1" x14ac:dyDescent="0.25">
      <c r="A426" s="9" t="s">
        <v>145</v>
      </c>
      <c r="B426" s="4">
        <v>45814</v>
      </c>
      <c r="C426" s="5">
        <v>70</v>
      </c>
      <c r="D426" s="9" t="s">
        <v>14</v>
      </c>
      <c r="E426" s="10">
        <v>120</v>
      </c>
      <c r="F426" s="10">
        <f t="shared" si="6"/>
        <v>8400</v>
      </c>
    </row>
    <row r="427" spans="1:6" s="9" customFormat="1" x14ac:dyDescent="0.25">
      <c r="B427" s="4"/>
      <c r="C427" s="5"/>
      <c r="E427" s="10"/>
      <c r="F427" s="8">
        <f>SUM(F426)</f>
        <v>8400</v>
      </c>
    </row>
    <row r="428" spans="1:6" s="9" customFormat="1" x14ac:dyDescent="0.25">
      <c r="B428" s="4"/>
      <c r="C428" s="5"/>
      <c r="E428" s="10"/>
      <c r="F428" s="10"/>
    </row>
    <row r="429" spans="1:6" s="9" customFormat="1" x14ac:dyDescent="0.25">
      <c r="A429" s="9" t="s">
        <v>47</v>
      </c>
      <c r="B429" s="4">
        <v>45814</v>
      </c>
      <c r="C429" s="5">
        <v>40</v>
      </c>
      <c r="D429" s="9" t="s">
        <v>11</v>
      </c>
      <c r="E429" s="10">
        <v>110</v>
      </c>
      <c r="F429" s="10">
        <f t="shared" si="6"/>
        <v>4400</v>
      </c>
    </row>
    <row r="430" spans="1:6" s="9" customFormat="1" x14ac:dyDescent="0.25">
      <c r="B430" s="4"/>
      <c r="C430" s="5">
        <v>30</v>
      </c>
      <c r="D430" s="9" t="s">
        <v>22</v>
      </c>
      <c r="E430" s="10">
        <v>95</v>
      </c>
      <c r="F430" s="10">
        <f t="shared" si="6"/>
        <v>2850</v>
      </c>
    </row>
    <row r="431" spans="1:6" s="9" customFormat="1" x14ac:dyDescent="0.25">
      <c r="B431" s="4"/>
      <c r="C431" s="5"/>
      <c r="E431" s="10"/>
      <c r="F431" s="8">
        <f>SUM(F429:F430)</f>
        <v>7250</v>
      </c>
    </row>
    <row r="432" spans="1:6" s="9" customFormat="1" x14ac:dyDescent="0.25">
      <c r="B432" s="4"/>
      <c r="C432" s="5"/>
      <c r="E432" s="10"/>
      <c r="F432" s="10"/>
    </row>
    <row r="433" spans="1:6" s="9" customFormat="1" x14ac:dyDescent="0.25">
      <c r="A433" s="9" t="s">
        <v>48</v>
      </c>
      <c r="B433" s="4">
        <v>45814</v>
      </c>
      <c r="C433" s="5">
        <v>217</v>
      </c>
      <c r="D433" s="9" t="s">
        <v>14</v>
      </c>
      <c r="E433" s="10"/>
      <c r="F433" s="10">
        <f t="shared" si="6"/>
        <v>0</v>
      </c>
    </row>
    <row r="434" spans="1:6" s="9" customFormat="1" x14ac:dyDescent="0.25">
      <c r="B434" s="4"/>
      <c r="C434" s="5">
        <v>96</v>
      </c>
      <c r="D434" s="9" t="s">
        <v>11</v>
      </c>
      <c r="E434" s="10"/>
      <c r="F434" s="10">
        <f t="shared" si="6"/>
        <v>0</v>
      </c>
    </row>
    <row r="435" spans="1:6" s="9" customFormat="1" x14ac:dyDescent="0.25">
      <c r="B435" s="4"/>
      <c r="C435" s="5">
        <v>27</v>
      </c>
      <c r="D435" s="9" t="s">
        <v>50</v>
      </c>
      <c r="E435" s="10"/>
      <c r="F435" s="10">
        <f t="shared" si="6"/>
        <v>0</v>
      </c>
    </row>
    <row r="436" spans="1:6" s="9" customFormat="1" x14ac:dyDescent="0.25">
      <c r="B436" s="4"/>
      <c r="C436" s="5">
        <v>42</v>
      </c>
      <c r="D436" s="9" t="s">
        <v>49</v>
      </c>
      <c r="E436" s="10"/>
      <c r="F436" s="10">
        <f t="shared" si="6"/>
        <v>0</v>
      </c>
    </row>
    <row r="437" spans="1:6" s="9" customFormat="1" x14ac:dyDescent="0.25">
      <c r="B437" s="4"/>
      <c r="C437" s="5"/>
      <c r="E437" s="10"/>
      <c r="F437" s="8">
        <f>SUM(F433:F436)</f>
        <v>0</v>
      </c>
    </row>
    <row r="438" spans="1:6" s="9" customFormat="1" x14ac:dyDescent="0.25">
      <c r="B438" s="4"/>
      <c r="C438" s="5"/>
      <c r="E438" s="10"/>
      <c r="F438" s="10"/>
    </row>
    <row r="439" spans="1:6" s="9" customFormat="1" x14ac:dyDescent="0.25">
      <c r="A439" s="9" t="s">
        <v>51</v>
      </c>
      <c r="B439" s="4">
        <v>45814</v>
      </c>
      <c r="C439" s="5">
        <v>100</v>
      </c>
      <c r="D439" s="9" t="s">
        <v>679</v>
      </c>
      <c r="E439" s="10"/>
      <c r="F439" s="10">
        <f t="shared" si="6"/>
        <v>0</v>
      </c>
    </row>
    <row r="440" spans="1:6" s="9" customFormat="1" x14ac:dyDescent="0.25">
      <c r="B440" s="4"/>
      <c r="C440" s="5">
        <v>310</v>
      </c>
      <c r="D440" s="9" t="s">
        <v>475</v>
      </c>
      <c r="E440" s="10"/>
      <c r="F440" s="10">
        <f t="shared" si="6"/>
        <v>0</v>
      </c>
    </row>
    <row r="441" spans="1:6" s="9" customFormat="1" x14ac:dyDescent="0.25">
      <c r="B441" s="4"/>
      <c r="C441" s="5"/>
      <c r="E441" s="10"/>
      <c r="F441" s="8">
        <f>SUM(F439:F440)</f>
        <v>0</v>
      </c>
    </row>
    <row r="442" spans="1:6" s="9" customFormat="1" x14ac:dyDescent="0.25">
      <c r="B442" s="4"/>
      <c r="C442" s="5"/>
      <c r="E442" s="10"/>
      <c r="F442" s="10"/>
    </row>
    <row r="443" spans="1:6" s="9" customFormat="1" x14ac:dyDescent="0.25">
      <c r="A443" s="9" t="s">
        <v>317</v>
      </c>
      <c r="B443" s="4">
        <v>45814</v>
      </c>
      <c r="C443" s="5">
        <v>4</v>
      </c>
      <c r="D443" s="9" t="s">
        <v>13</v>
      </c>
      <c r="E443" s="10">
        <v>145</v>
      </c>
      <c r="F443" s="10">
        <f t="shared" si="6"/>
        <v>580</v>
      </c>
    </row>
    <row r="444" spans="1:6" s="9" customFormat="1" x14ac:dyDescent="0.25">
      <c r="B444" s="4"/>
      <c r="C444" s="5"/>
      <c r="E444" s="10"/>
      <c r="F444" s="8">
        <f>SUM(F443)</f>
        <v>580</v>
      </c>
    </row>
    <row r="445" spans="1:6" s="9" customFormat="1" x14ac:dyDescent="0.25">
      <c r="B445" s="4"/>
      <c r="C445" s="5"/>
      <c r="E445" s="10"/>
      <c r="F445" s="10"/>
    </row>
    <row r="446" spans="1:6" s="9" customFormat="1" x14ac:dyDescent="0.25">
      <c r="A446" s="9" t="s">
        <v>151</v>
      </c>
      <c r="B446" s="4">
        <v>45814</v>
      </c>
      <c r="C446" s="5">
        <v>100</v>
      </c>
      <c r="D446" s="9" t="s">
        <v>22</v>
      </c>
      <c r="E446" s="10">
        <v>90</v>
      </c>
      <c r="F446" s="10">
        <f t="shared" si="6"/>
        <v>9000</v>
      </c>
    </row>
    <row r="447" spans="1:6" s="9" customFormat="1" x14ac:dyDescent="0.25">
      <c r="B447" s="4"/>
      <c r="C447" s="5">
        <v>20</v>
      </c>
      <c r="D447" s="9" t="s">
        <v>13</v>
      </c>
      <c r="E447" s="10">
        <v>130</v>
      </c>
      <c r="F447" s="10">
        <f t="shared" si="6"/>
        <v>2600</v>
      </c>
    </row>
    <row r="448" spans="1:6" s="9" customFormat="1" x14ac:dyDescent="0.25">
      <c r="B448" s="4"/>
      <c r="C448" s="5"/>
      <c r="E448" s="10"/>
      <c r="F448" s="8">
        <f>SUM(F446:F447)</f>
        <v>11600</v>
      </c>
    </row>
    <row r="449" spans="1:6" s="9" customFormat="1" x14ac:dyDescent="0.25">
      <c r="B449" s="4"/>
      <c r="C449" s="5"/>
      <c r="E449" s="10"/>
      <c r="F449" s="10"/>
    </row>
    <row r="450" spans="1:6" s="9" customFormat="1" x14ac:dyDescent="0.25">
      <c r="A450" s="9" t="s">
        <v>26</v>
      </c>
      <c r="B450" s="4">
        <v>45814</v>
      </c>
      <c r="C450" s="5">
        <v>70</v>
      </c>
      <c r="D450" s="9" t="s">
        <v>13</v>
      </c>
      <c r="E450" s="10">
        <v>140</v>
      </c>
      <c r="F450" s="10">
        <f t="shared" si="6"/>
        <v>9800</v>
      </c>
    </row>
    <row r="451" spans="1:6" s="9" customFormat="1" x14ac:dyDescent="0.25">
      <c r="B451" s="4"/>
      <c r="C451" s="5">
        <v>10</v>
      </c>
      <c r="D451" s="9" t="s">
        <v>14</v>
      </c>
      <c r="E451" s="10">
        <v>130</v>
      </c>
      <c r="F451" s="10">
        <f t="shared" si="6"/>
        <v>1300</v>
      </c>
    </row>
    <row r="452" spans="1:6" s="9" customFormat="1" x14ac:dyDescent="0.25">
      <c r="B452" s="4"/>
      <c r="C452" s="5">
        <v>2.0499999999999998</v>
      </c>
      <c r="D452" s="9" t="s">
        <v>318</v>
      </c>
      <c r="E452" s="10">
        <v>0</v>
      </c>
      <c r="F452" s="10">
        <f t="shared" ref="F452:F515" si="7">+C452*E452</f>
        <v>0</v>
      </c>
    </row>
    <row r="453" spans="1:6" s="9" customFormat="1" x14ac:dyDescent="0.25">
      <c r="B453" s="4"/>
      <c r="C453" s="5"/>
      <c r="E453" s="10"/>
      <c r="F453" s="8">
        <f>SUM(F450:F452)</f>
        <v>11100</v>
      </c>
    </row>
    <row r="454" spans="1:6" s="9" customFormat="1" x14ac:dyDescent="0.25">
      <c r="B454" s="4"/>
      <c r="C454" s="5"/>
      <c r="E454" s="10"/>
      <c r="F454" s="10"/>
    </row>
    <row r="455" spans="1:6" s="9" customFormat="1" x14ac:dyDescent="0.25">
      <c r="A455" s="9" t="s">
        <v>76</v>
      </c>
      <c r="B455" s="4">
        <v>45814</v>
      </c>
      <c r="C455" s="5">
        <v>143</v>
      </c>
      <c r="D455" s="9" t="s">
        <v>49</v>
      </c>
      <c r="E455" s="10"/>
      <c r="F455" s="10">
        <f t="shared" si="7"/>
        <v>0</v>
      </c>
    </row>
    <row r="456" spans="1:6" s="9" customFormat="1" x14ac:dyDescent="0.25">
      <c r="B456" s="4"/>
      <c r="C456" s="5">
        <v>30</v>
      </c>
      <c r="D456" s="9" t="s">
        <v>50</v>
      </c>
      <c r="E456" s="10"/>
      <c r="F456" s="10">
        <f t="shared" si="7"/>
        <v>0</v>
      </c>
    </row>
    <row r="457" spans="1:6" s="9" customFormat="1" x14ac:dyDescent="0.25">
      <c r="B457" s="4"/>
      <c r="C457" s="5"/>
      <c r="E457" s="10"/>
      <c r="F457" s="8">
        <f t="shared" si="7"/>
        <v>0</v>
      </c>
    </row>
    <row r="458" spans="1:6" s="9" customFormat="1" x14ac:dyDescent="0.25">
      <c r="B458" s="4"/>
      <c r="C458" s="5"/>
      <c r="E458" s="10"/>
      <c r="F458" s="10"/>
    </row>
    <row r="459" spans="1:6" s="9" customFormat="1" x14ac:dyDescent="0.25">
      <c r="A459" s="9" t="s">
        <v>51</v>
      </c>
      <c r="B459" s="4">
        <v>45814</v>
      </c>
      <c r="C459" s="5">
        <v>50</v>
      </c>
      <c r="D459" s="9" t="s">
        <v>11</v>
      </c>
      <c r="E459" s="10"/>
      <c r="F459" s="10">
        <f t="shared" si="7"/>
        <v>0</v>
      </c>
    </row>
    <row r="460" spans="1:6" s="9" customFormat="1" x14ac:dyDescent="0.25">
      <c r="B460" s="4"/>
      <c r="C460" s="5"/>
      <c r="E460" s="10"/>
      <c r="F460" s="8">
        <f>SUM(F459)</f>
        <v>0</v>
      </c>
    </row>
    <row r="461" spans="1:6" s="9" customFormat="1" x14ac:dyDescent="0.25">
      <c r="B461" s="4"/>
      <c r="C461" s="5"/>
      <c r="E461" s="10"/>
      <c r="F461" s="10"/>
    </row>
    <row r="462" spans="1:6" s="9" customFormat="1" x14ac:dyDescent="0.25">
      <c r="A462" s="9" t="s">
        <v>116</v>
      </c>
      <c r="B462" s="4">
        <v>45814</v>
      </c>
      <c r="C462" s="5">
        <v>125</v>
      </c>
      <c r="D462" s="9" t="s">
        <v>98</v>
      </c>
      <c r="E462" s="10"/>
      <c r="F462" s="10">
        <f t="shared" si="7"/>
        <v>0</v>
      </c>
    </row>
    <row r="463" spans="1:6" s="9" customFormat="1" x14ac:dyDescent="0.25">
      <c r="B463" s="4"/>
      <c r="C463" s="5"/>
      <c r="E463" s="10"/>
      <c r="F463" s="8">
        <f>SUM(F462)</f>
        <v>0</v>
      </c>
    </row>
    <row r="464" spans="1:6" s="9" customFormat="1" x14ac:dyDescent="0.25">
      <c r="B464" s="4"/>
      <c r="C464" s="5"/>
      <c r="E464" s="10"/>
      <c r="F464" s="10"/>
    </row>
    <row r="465" spans="1:6" s="9" customFormat="1" x14ac:dyDescent="0.25">
      <c r="A465" s="9" t="s">
        <v>29</v>
      </c>
      <c r="B465" s="4">
        <v>45814</v>
      </c>
      <c r="C465" s="5">
        <v>1</v>
      </c>
      <c r="D465" s="9" t="s">
        <v>8</v>
      </c>
      <c r="E465" s="10">
        <v>170</v>
      </c>
      <c r="F465" s="10">
        <f t="shared" si="7"/>
        <v>170</v>
      </c>
    </row>
    <row r="466" spans="1:6" s="9" customFormat="1" x14ac:dyDescent="0.25">
      <c r="B466" s="4"/>
      <c r="C466" s="5">
        <v>10</v>
      </c>
      <c r="D466" s="9" t="s">
        <v>168</v>
      </c>
      <c r="E466" s="10">
        <v>135</v>
      </c>
      <c r="F466" s="10">
        <f t="shared" si="7"/>
        <v>1350</v>
      </c>
    </row>
    <row r="467" spans="1:6" s="9" customFormat="1" x14ac:dyDescent="0.25">
      <c r="B467" s="4"/>
      <c r="C467" s="5">
        <v>1</v>
      </c>
      <c r="D467" s="9" t="s">
        <v>8</v>
      </c>
      <c r="E467" s="10">
        <v>170</v>
      </c>
      <c r="F467" s="10">
        <f t="shared" si="7"/>
        <v>170</v>
      </c>
    </row>
    <row r="468" spans="1:6" s="9" customFormat="1" x14ac:dyDescent="0.25">
      <c r="B468" s="4"/>
      <c r="C468" s="5"/>
      <c r="E468" s="10"/>
      <c r="F468" s="8">
        <f>SUM(F465:F467)</f>
        <v>1690</v>
      </c>
    </row>
    <row r="469" spans="1:6" s="9" customFormat="1" x14ac:dyDescent="0.25">
      <c r="B469" s="4"/>
      <c r="C469" s="5"/>
      <c r="E469" s="10"/>
      <c r="F469" s="10"/>
    </row>
    <row r="470" spans="1:6" s="9" customFormat="1" x14ac:dyDescent="0.25">
      <c r="A470" s="9" t="s">
        <v>181</v>
      </c>
      <c r="B470" s="4">
        <v>45814</v>
      </c>
      <c r="C470" s="5">
        <v>10</v>
      </c>
      <c r="D470" s="9" t="s">
        <v>680</v>
      </c>
      <c r="E470" s="10">
        <v>160</v>
      </c>
      <c r="F470" s="10">
        <f t="shared" si="7"/>
        <v>1600</v>
      </c>
    </row>
    <row r="471" spans="1:6" s="9" customFormat="1" x14ac:dyDescent="0.25">
      <c r="B471" s="4"/>
      <c r="C471" s="5">
        <v>10</v>
      </c>
      <c r="D471" s="9" t="s">
        <v>681</v>
      </c>
      <c r="E471" s="10">
        <v>140</v>
      </c>
      <c r="F471" s="10">
        <f t="shared" si="7"/>
        <v>1400</v>
      </c>
    </row>
    <row r="472" spans="1:6" s="9" customFormat="1" x14ac:dyDescent="0.25">
      <c r="B472" s="4"/>
      <c r="C472" s="5"/>
      <c r="E472" s="10"/>
      <c r="F472" s="8">
        <f>SUM(F470:F471)</f>
        <v>3000</v>
      </c>
    </row>
    <row r="473" spans="1:6" s="9" customFormat="1" x14ac:dyDescent="0.25">
      <c r="B473" s="4"/>
      <c r="C473" s="5"/>
      <c r="E473" s="10"/>
      <c r="F473" s="10"/>
    </row>
    <row r="474" spans="1:6" s="9" customFormat="1" x14ac:dyDescent="0.25">
      <c r="A474" s="9" t="s">
        <v>682</v>
      </c>
      <c r="B474" s="4">
        <v>45815</v>
      </c>
      <c r="C474" s="5">
        <v>120</v>
      </c>
      <c r="D474" s="9" t="s">
        <v>13</v>
      </c>
      <c r="E474" s="10">
        <v>135</v>
      </c>
      <c r="F474" s="10">
        <f t="shared" si="7"/>
        <v>16200</v>
      </c>
    </row>
    <row r="475" spans="1:6" s="9" customFormat="1" x14ac:dyDescent="0.25">
      <c r="B475" s="4"/>
      <c r="C475" s="5"/>
      <c r="E475" s="10"/>
      <c r="F475" s="8">
        <f>SUM(F474)</f>
        <v>16200</v>
      </c>
    </row>
    <row r="476" spans="1:6" s="9" customFormat="1" x14ac:dyDescent="0.25">
      <c r="B476" s="4"/>
      <c r="C476" s="5"/>
      <c r="E476" s="10"/>
      <c r="F476" s="10"/>
    </row>
    <row r="477" spans="1:6" s="9" customFormat="1" x14ac:dyDescent="0.25">
      <c r="A477" s="9" t="s">
        <v>20</v>
      </c>
      <c r="B477" s="4">
        <v>45815</v>
      </c>
      <c r="C477" s="5">
        <v>20</v>
      </c>
      <c r="D477" s="9" t="s">
        <v>13</v>
      </c>
      <c r="E477" s="10">
        <v>135</v>
      </c>
      <c r="F477" s="10">
        <f t="shared" si="7"/>
        <v>2700</v>
      </c>
    </row>
    <row r="478" spans="1:6" s="9" customFormat="1" x14ac:dyDescent="0.25">
      <c r="B478" s="4"/>
      <c r="C478" s="5"/>
      <c r="E478" s="10"/>
      <c r="F478" s="8">
        <f>SUM(F477)</f>
        <v>2700</v>
      </c>
    </row>
    <row r="479" spans="1:6" s="9" customFormat="1" x14ac:dyDescent="0.25">
      <c r="B479" s="4"/>
      <c r="C479" s="5"/>
      <c r="E479" s="10"/>
      <c r="F479" s="10"/>
    </row>
    <row r="480" spans="1:6" s="9" customFormat="1" x14ac:dyDescent="0.25">
      <c r="A480" s="9" t="s">
        <v>57</v>
      </c>
      <c r="B480" s="4">
        <v>45815</v>
      </c>
      <c r="C480" s="5">
        <v>10</v>
      </c>
      <c r="D480" s="9" t="s">
        <v>13</v>
      </c>
      <c r="E480" s="10">
        <v>135</v>
      </c>
      <c r="F480" s="10">
        <f t="shared" si="7"/>
        <v>1350</v>
      </c>
    </row>
    <row r="481" spans="1:6" s="9" customFormat="1" x14ac:dyDescent="0.25">
      <c r="B481" s="4"/>
      <c r="C481" s="5">
        <v>10</v>
      </c>
      <c r="D481" s="9" t="s">
        <v>14</v>
      </c>
      <c r="E481" s="10">
        <v>135</v>
      </c>
      <c r="F481" s="10">
        <f t="shared" si="7"/>
        <v>1350</v>
      </c>
    </row>
    <row r="482" spans="1:6" s="9" customFormat="1" x14ac:dyDescent="0.25">
      <c r="B482" s="4"/>
      <c r="C482" s="5"/>
      <c r="E482" s="10"/>
      <c r="F482" s="8">
        <f>SUM(F480:F481)</f>
        <v>2700</v>
      </c>
    </row>
    <row r="483" spans="1:6" s="9" customFormat="1" x14ac:dyDescent="0.25">
      <c r="B483" s="4"/>
      <c r="C483" s="5"/>
      <c r="E483" s="10"/>
      <c r="F483" s="10"/>
    </row>
    <row r="484" spans="1:6" s="9" customFormat="1" x14ac:dyDescent="0.25">
      <c r="A484" s="9" t="s">
        <v>427</v>
      </c>
      <c r="B484" s="4">
        <v>45815</v>
      </c>
      <c r="C484" s="5">
        <v>10</v>
      </c>
      <c r="D484" s="9" t="s">
        <v>13</v>
      </c>
      <c r="E484" s="10">
        <v>135</v>
      </c>
      <c r="F484" s="10">
        <f t="shared" si="7"/>
        <v>1350</v>
      </c>
    </row>
    <row r="485" spans="1:6" s="9" customFormat="1" x14ac:dyDescent="0.25">
      <c r="B485" s="4"/>
      <c r="C485" s="5">
        <v>5</v>
      </c>
      <c r="D485" s="9" t="s">
        <v>22</v>
      </c>
      <c r="E485" s="10">
        <v>85</v>
      </c>
      <c r="F485" s="10">
        <f t="shared" si="7"/>
        <v>425</v>
      </c>
    </row>
    <row r="486" spans="1:6" s="9" customFormat="1" x14ac:dyDescent="0.25">
      <c r="B486" s="4"/>
      <c r="C486" s="5"/>
      <c r="E486" s="10"/>
      <c r="F486" s="8">
        <f>SUM(F484:F485)</f>
        <v>1775</v>
      </c>
    </row>
    <row r="487" spans="1:6" s="9" customFormat="1" x14ac:dyDescent="0.25">
      <c r="B487" s="4"/>
      <c r="C487" s="5"/>
      <c r="E487" s="10"/>
      <c r="F487" s="10"/>
    </row>
    <row r="488" spans="1:6" s="9" customFormat="1" x14ac:dyDescent="0.25">
      <c r="A488" s="9" t="s">
        <v>673</v>
      </c>
      <c r="B488" s="4">
        <v>45815</v>
      </c>
      <c r="C488" s="5">
        <v>29</v>
      </c>
      <c r="D488" s="9" t="s">
        <v>13</v>
      </c>
      <c r="E488" s="10">
        <v>135</v>
      </c>
      <c r="F488" s="10">
        <f t="shared" si="7"/>
        <v>3915</v>
      </c>
    </row>
    <row r="489" spans="1:6" s="9" customFormat="1" x14ac:dyDescent="0.25">
      <c r="B489" s="4"/>
      <c r="C489" s="5">
        <v>10</v>
      </c>
      <c r="D489" s="9" t="s">
        <v>12</v>
      </c>
      <c r="E489" s="10">
        <v>120</v>
      </c>
      <c r="F489" s="10">
        <f t="shared" si="7"/>
        <v>1200</v>
      </c>
    </row>
    <row r="490" spans="1:6" s="9" customFormat="1" x14ac:dyDescent="0.25">
      <c r="B490" s="4"/>
      <c r="C490" s="5"/>
      <c r="E490" s="10"/>
      <c r="F490" s="8">
        <f>SUM(F488:F489)</f>
        <v>5115</v>
      </c>
    </row>
    <row r="491" spans="1:6" s="9" customFormat="1" x14ac:dyDescent="0.25">
      <c r="B491" s="4"/>
      <c r="C491" s="5"/>
      <c r="E491" s="10"/>
      <c r="F491" s="10"/>
    </row>
    <row r="492" spans="1:6" s="9" customFormat="1" x14ac:dyDescent="0.25">
      <c r="A492" s="9" t="s">
        <v>23</v>
      </c>
      <c r="B492" s="4">
        <v>45815</v>
      </c>
      <c r="C492" s="5">
        <v>10</v>
      </c>
      <c r="D492" s="9" t="s">
        <v>8</v>
      </c>
      <c r="E492" s="10">
        <v>155</v>
      </c>
      <c r="F492" s="10">
        <f t="shared" si="7"/>
        <v>1550</v>
      </c>
    </row>
    <row r="493" spans="1:6" s="9" customFormat="1" x14ac:dyDescent="0.25">
      <c r="B493" s="4"/>
      <c r="C493" s="5">
        <v>15</v>
      </c>
      <c r="D493" s="9" t="s">
        <v>13</v>
      </c>
      <c r="E493" s="10">
        <v>135</v>
      </c>
      <c r="F493" s="10">
        <f t="shared" si="7"/>
        <v>2025</v>
      </c>
    </row>
    <row r="494" spans="1:6" s="9" customFormat="1" x14ac:dyDescent="0.25">
      <c r="B494" s="4"/>
      <c r="C494" s="5">
        <v>15</v>
      </c>
      <c r="D494" s="9" t="s">
        <v>12</v>
      </c>
      <c r="E494" s="10">
        <v>120</v>
      </c>
      <c r="F494" s="10">
        <f t="shared" si="7"/>
        <v>1800</v>
      </c>
    </row>
    <row r="495" spans="1:6" s="9" customFormat="1" x14ac:dyDescent="0.25">
      <c r="B495" s="4"/>
      <c r="C495" s="5">
        <v>10</v>
      </c>
      <c r="D495" s="9" t="s">
        <v>22</v>
      </c>
      <c r="E495" s="10">
        <v>85</v>
      </c>
      <c r="F495" s="10">
        <f t="shared" si="7"/>
        <v>850</v>
      </c>
    </row>
    <row r="496" spans="1:6" s="9" customFormat="1" x14ac:dyDescent="0.25">
      <c r="B496" s="4"/>
      <c r="C496" s="5"/>
      <c r="E496" s="10"/>
      <c r="F496" s="8">
        <f>SUM(F492:F495)</f>
        <v>6225</v>
      </c>
    </row>
    <row r="497" spans="1:6" s="9" customFormat="1" x14ac:dyDescent="0.25">
      <c r="B497" s="4"/>
      <c r="C497" s="5"/>
      <c r="E497" s="10"/>
      <c r="F497" s="10"/>
    </row>
    <row r="498" spans="1:6" s="9" customFormat="1" x14ac:dyDescent="0.25">
      <c r="A498" s="9" t="s">
        <v>40</v>
      </c>
      <c r="B498" s="4">
        <v>45815</v>
      </c>
      <c r="C498" s="5">
        <v>10</v>
      </c>
      <c r="D498" s="9" t="s">
        <v>683</v>
      </c>
      <c r="E498" s="10">
        <v>85</v>
      </c>
      <c r="F498" s="10">
        <f t="shared" si="7"/>
        <v>850</v>
      </c>
    </row>
    <row r="499" spans="1:6" s="9" customFormat="1" x14ac:dyDescent="0.25">
      <c r="B499" s="4"/>
      <c r="C499" s="5">
        <v>10</v>
      </c>
      <c r="D499" s="9" t="s">
        <v>12</v>
      </c>
      <c r="E499" s="10">
        <v>120</v>
      </c>
      <c r="F499" s="10">
        <f t="shared" si="7"/>
        <v>1200</v>
      </c>
    </row>
    <row r="500" spans="1:6" s="9" customFormat="1" x14ac:dyDescent="0.25">
      <c r="B500" s="4"/>
      <c r="C500" s="5">
        <v>5</v>
      </c>
      <c r="D500" s="9" t="s">
        <v>13</v>
      </c>
      <c r="E500" s="10">
        <v>135</v>
      </c>
      <c r="F500" s="10">
        <f t="shared" si="7"/>
        <v>675</v>
      </c>
    </row>
    <row r="501" spans="1:6" s="9" customFormat="1" x14ac:dyDescent="0.25">
      <c r="B501" s="4"/>
      <c r="C501" s="5">
        <v>5</v>
      </c>
      <c r="D501" s="9" t="s">
        <v>14</v>
      </c>
      <c r="E501" s="10">
        <v>125</v>
      </c>
      <c r="F501" s="10">
        <f t="shared" si="7"/>
        <v>625</v>
      </c>
    </row>
    <row r="502" spans="1:6" s="9" customFormat="1" x14ac:dyDescent="0.25">
      <c r="B502" s="4"/>
      <c r="C502" s="5"/>
      <c r="E502" s="10"/>
      <c r="F502" s="8">
        <f>SUM(F498:F501)</f>
        <v>3350</v>
      </c>
    </row>
    <row r="503" spans="1:6" s="9" customFormat="1" x14ac:dyDescent="0.25">
      <c r="B503" s="4"/>
      <c r="C503" s="5"/>
      <c r="E503" s="10"/>
      <c r="F503" s="10"/>
    </row>
    <row r="504" spans="1:6" s="9" customFormat="1" x14ac:dyDescent="0.25">
      <c r="A504" s="9" t="s">
        <v>69</v>
      </c>
      <c r="B504" s="4">
        <v>45815</v>
      </c>
      <c r="C504" s="5">
        <v>12</v>
      </c>
      <c r="D504" s="9" t="s">
        <v>98</v>
      </c>
      <c r="E504" s="10">
        <v>100</v>
      </c>
      <c r="F504" s="10">
        <f t="shared" si="7"/>
        <v>1200</v>
      </c>
    </row>
    <row r="505" spans="1:6" s="9" customFormat="1" x14ac:dyDescent="0.25">
      <c r="B505" s="4"/>
      <c r="C505" s="5"/>
      <c r="E505" s="10"/>
      <c r="F505" s="8">
        <f>SUM(F504)</f>
        <v>1200</v>
      </c>
    </row>
    <row r="506" spans="1:6" s="9" customFormat="1" x14ac:dyDescent="0.25">
      <c r="B506" s="4"/>
      <c r="C506" s="5"/>
      <c r="E506" s="10"/>
      <c r="F506" s="10"/>
    </row>
    <row r="507" spans="1:6" s="9" customFormat="1" x14ac:dyDescent="0.25">
      <c r="A507" s="9" t="s">
        <v>259</v>
      </c>
      <c r="B507" s="4">
        <v>45815</v>
      </c>
      <c r="C507" s="5">
        <v>760</v>
      </c>
      <c r="D507" s="9" t="s">
        <v>14</v>
      </c>
      <c r="E507" s="10">
        <v>117</v>
      </c>
      <c r="F507" s="10">
        <f t="shared" si="7"/>
        <v>88920</v>
      </c>
    </row>
    <row r="508" spans="1:6" s="9" customFormat="1" x14ac:dyDescent="0.25">
      <c r="B508" s="4"/>
      <c r="C508" s="5">
        <v>150</v>
      </c>
      <c r="D508" s="9" t="s">
        <v>11</v>
      </c>
      <c r="E508" s="10">
        <v>90</v>
      </c>
      <c r="F508" s="10">
        <f t="shared" si="7"/>
        <v>13500</v>
      </c>
    </row>
    <row r="509" spans="1:6" s="9" customFormat="1" x14ac:dyDescent="0.25">
      <c r="B509" s="4"/>
      <c r="C509" s="5">
        <v>100</v>
      </c>
      <c r="D509" s="9" t="s">
        <v>13</v>
      </c>
      <c r="E509" s="10">
        <v>120</v>
      </c>
      <c r="F509" s="10">
        <f t="shared" si="7"/>
        <v>12000</v>
      </c>
    </row>
    <row r="510" spans="1:6" s="9" customFormat="1" x14ac:dyDescent="0.25">
      <c r="B510" s="4"/>
      <c r="C510" s="5"/>
      <c r="E510" s="10"/>
      <c r="F510" s="8">
        <f>SUM(F507:F509)</f>
        <v>114420</v>
      </c>
    </row>
    <row r="511" spans="1:6" s="9" customFormat="1" x14ac:dyDescent="0.25">
      <c r="B511" s="4"/>
      <c r="C511" s="5"/>
      <c r="E511" s="10"/>
      <c r="F511" s="10"/>
    </row>
    <row r="512" spans="1:6" s="9" customFormat="1" x14ac:dyDescent="0.25">
      <c r="A512" s="9" t="s">
        <v>194</v>
      </c>
      <c r="B512" s="4">
        <v>45815</v>
      </c>
      <c r="C512" s="5">
        <v>300</v>
      </c>
      <c r="D512" s="9" t="s">
        <v>14</v>
      </c>
      <c r="E512" s="10">
        <v>117</v>
      </c>
      <c r="F512" s="10">
        <f t="shared" si="7"/>
        <v>35100</v>
      </c>
    </row>
    <row r="513" spans="1:6" s="9" customFormat="1" x14ac:dyDescent="0.25">
      <c r="B513" s="4"/>
      <c r="C513" s="5"/>
      <c r="E513" s="10"/>
      <c r="F513" s="8">
        <f>SUM(F512)</f>
        <v>35100</v>
      </c>
    </row>
    <row r="514" spans="1:6" s="9" customFormat="1" x14ac:dyDescent="0.25">
      <c r="B514" s="4"/>
      <c r="C514" s="5"/>
      <c r="E514" s="10"/>
      <c r="F514" s="10"/>
    </row>
    <row r="515" spans="1:6" s="9" customFormat="1" x14ac:dyDescent="0.25">
      <c r="A515" s="9" t="s">
        <v>111</v>
      </c>
      <c r="B515" s="4">
        <v>45815</v>
      </c>
      <c r="C515" s="5">
        <v>30</v>
      </c>
      <c r="D515" s="9" t="s">
        <v>13</v>
      </c>
      <c r="E515" s="10">
        <v>140</v>
      </c>
      <c r="F515" s="10">
        <f t="shared" si="7"/>
        <v>4200</v>
      </c>
    </row>
    <row r="516" spans="1:6" s="9" customFormat="1" x14ac:dyDescent="0.25">
      <c r="B516" s="4"/>
      <c r="C516" s="5">
        <v>1</v>
      </c>
      <c r="D516" s="9" t="s">
        <v>318</v>
      </c>
      <c r="E516" s="10">
        <v>0</v>
      </c>
      <c r="F516" s="10">
        <f t="shared" ref="F516:F579" si="8">+C516*E516</f>
        <v>0</v>
      </c>
    </row>
    <row r="517" spans="1:6" s="9" customFormat="1" x14ac:dyDescent="0.25">
      <c r="B517" s="4"/>
      <c r="C517" s="5"/>
      <c r="E517" s="10"/>
      <c r="F517" s="8">
        <f>SUM(F515:F516)</f>
        <v>4200</v>
      </c>
    </row>
    <row r="518" spans="1:6" s="9" customFormat="1" x14ac:dyDescent="0.25">
      <c r="B518" s="4"/>
      <c r="C518" s="5"/>
      <c r="E518" s="10"/>
      <c r="F518" s="10"/>
    </row>
    <row r="519" spans="1:6" s="9" customFormat="1" x14ac:dyDescent="0.25">
      <c r="A519" s="9" t="s">
        <v>61</v>
      </c>
      <c r="B519" s="4">
        <v>45815</v>
      </c>
      <c r="C519" s="5">
        <v>60</v>
      </c>
      <c r="D519" s="9" t="s">
        <v>13</v>
      </c>
      <c r="E519" s="10">
        <v>135</v>
      </c>
      <c r="F519" s="10">
        <f t="shared" si="8"/>
        <v>8100</v>
      </c>
    </row>
    <row r="520" spans="1:6" s="9" customFormat="1" x14ac:dyDescent="0.25">
      <c r="B520" s="4"/>
      <c r="C520" s="5"/>
      <c r="E520" s="10"/>
      <c r="F520" s="8">
        <f>SUM(F519)</f>
        <v>8100</v>
      </c>
    </row>
    <row r="521" spans="1:6" s="9" customFormat="1" x14ac:dyDescent="0.25">
      <c r="B521" s="4"/>
      <c r="C521" s="5"/>
      <c r="E521" s="10"/>
      <c r="F521" s="10"/>
    </row>
    <row r="522" spans="1:6" s="9" customFormat="1" x14ac:dyDescent="0.25">
      <c r="A522" s="9" t="s">
        <v>59</v>
      </c>
      <c r="B522" s="4">
        <v>45815</v>
      </c>
      <c r="C522" s="5">
        <v>150</v>
      </c>
      <c r="D522" s="9" t="s">
        <v>13</v>
      </c>
      <c r="E522" s="10">
        <v>130</v>
      </c>
      <c r="F522" s="10">
        <f t="shared" si="8"/>
        <v>19500</v>
      </c>
    </row>
    <row r="523" spans="1:6" s="9" customFormat="1" x14ac:dyDescent="0.25">
      <c r="B523" s="4"/>
      <c r="C523" s="5"/>
      <c r="E523" s="10"/>
      <c r="F523" s="8">
        <f>+F522</f>
        <v>19500</v>
      </c>
    </row>
    <row r="524" spans="1:6" s="9" customFormat="1" x14ac:dyDescent="0.25">
      <c r="B524" s="4"/>
      <c r="C524" s="5"/>
      <c r="E524" s="10"/>
      <c r="F524" s="10"/>
    </row>
    <row r="525" spans="1:6" s="9" customFormat="1" x14ac:dyDescent="0.25">
      <c r="A525" s="9" t="s">
        <v>586</v>
      </c>
      <c r="B525" s="4">
        <v>45815</v>
      </c>
      <c r="C525" s="5">
        <v>5</v>
      </c>
      <c r="D525" s="9" t="s">
        <v>12</v>
      </c>
      <c r="E525" s="10">
        <v>130</v>
      </c>
      <c r="F525" s="10">
        <f t="shared" si="8"/>
        <v>650</v>
      </c>
    </row>
    <row r="526" spans="1:6" s="9" customFormat="1" x14ac:dyDescent="0.25">
      <c r="B526" s="4"/>
      <c r="C526" s="5"/>
      <c r="E526" s="10"/>
      <c r="F526" s="8">
        <f>SUM(F525)</f>
        <v>650</v>
      </c>
    </row>
    <row r="527" spans="1:6" s="9" customFormat="1" x14ac:dyDescent="0.25">
      <c r="B527" s="4"/>
      <c r="C527" s="5"/>
      <c r="E527" s="10"/>
      <c r="F527" s="10"/>
    </row>
    <row r="528" spans="1:6" s="9" customFormat="1" x14ac:dyDescent="0.25">
      <c r="A528" s="9" t="s">
        <v>684</v>
      </c>
      <c r="B528" s="4">
        <v>45815</v>
      </c>
      <c r="C528" s="5">
        <v>6</v>
      </c>
      <c r="D528" s="9" t="s">
        <v>13</v>
      </c>
      <c r="E528" s="10">
        <v>140</v>
      </c>
      <c r="F528" s="10">
        <f t="shared" si="8"/>
        <v>840</v>
      </c>
    </row>
    <row r="529" spans="1:6" s="9" customFormat="1" x14ac:dyDescent="0.25">
      <c r="B529" s="4"/>
      <c r="C529" s="5"/>
      <c r="E529" s="10"/>
      <c r="F529" s="8">
        <f>SUM(F528)</f>
        <v>840</v>
      </c>
    </row>
    <row r="530" spans="1:6" s="9" customFormat="1" x14ac:dyDescent="0.25">
      <c r="B530" s="4"/>
      <c r="C530" s="5"/>
      <c r="E530" s="10"/>
      <c r="F530" s="10"/>
    </row>
    <row r="531" spans="1:6" s="9" customFormat="1" x14ac:dyDescent="0.25">
      <c r="A531" s="9" t="s">
        <v>76</v>
      </c>
      <c r="B531" s="4">
        <v>45815</v>
      </c>
      <c r="C531" s="5">
        <v>700</v>
      </c>
      <c r="D531" s="9" t="s">
        <v>14</v>
      </c>
      <c r="E531" s="10"/>
      <c r="F531" s="10">
        <f t="shared" si="8"/>
        <v>0</v>
      </c>
    </row>
    <row r="532" spans="1:6" s="9" customFormat="1" x14ac:dyDescent="0.25">
      <c r="B532" s="4"/>
      <c r="C532" s="5">
        <v>250</v>
      </c>
      <c r="D532" s="9" t="s">
        <v>13</v>
      </c>
      <c r="E532" s="10"/>
      <c r="F532" s="10">
        <f t="shared" si="8"/>
        <v>0</v>
      </c>
    </row>
    <row r="533" spans="1:6" s="9" customFormat="1" x14ac:dyDescent="0.25">
      <c r="B533" s="4"/>
      <c r="C533" s="5">
        <v>100</v>
      </c>
      <c r="D533" s="9" t="s">
        <v>12</v>
      </c>
      <c r="E533" s="10"/>
      <c r="F533" s="10">
        <f t="shared" si="8"/>
        <v>0</v>
      </c>
    </row>
    <row r="534" spans="1:6" s="9" customFormat="1" x14ac:dyDescent="0.25">
      <c r="B534" s="4"/>
      <c r="C534" s="5">
        <v>24</v>
      </c>
      <c r="D534" s="9" t="s">
        <v>50</v>
      </c>
      <c r="E534" s="10"/>
      <c r="F534" s="10">
        <f t="shared" si="8"/>
        <v>0</v>
      </c>
    </row>
    <row r="535" spans="1:6" s="9" customFormat="1" x14ac:dyDescent="0.25">
      <c r="B535" s="4"/>
      <c r="C535" s="5"/>
      <c r="E535" s="10"/>
      <c r="F535" s="8">
        <f>SUM(F531:F534)</f>
        <v>0</v>
      </c>
    </row>
    <row r="536" spans="1:6" s="9" customFormat="1" x14ac:dyDescent="0.25">
      <c r="B536" s="4"/>
      <c r="C536" s="5"/>
      <c r="E536" s="10"/>
      <c r="F536" s="10"/>
    </row>
    <row r="537" spans="1:6" s="9" customFormat="1" x14ac:dyDescent="0.25">
      <c r="A537" s="9" t="s">
        <v>538</v>
      </c>
      <c r="B537" s="4">
        <v>45815</v>
      </c>
      <c r="C537" s="5">
        <v>100</v>
      </c>
      <c r="D537" s="9" t="s">
        <v>13</v>
      </c>
      <c r="E537" s="10">
        <v>130</v>
      </c>
      <c r="F537" s="10">
        <f t="shared" si="8"/>
        <v>13000</v>
      </c>
    </row>
    <row r="538" spans="1:6" s="9" customFormat="1" x14ac:dyDescent="0.25">
      <c r="B538" s="4"/>
      <c r="C538" s="5">
        <v>10</v>
      </c>
      <c r="D538" s="9" t="s">
        <v>22</v>
      </c>
      <c r="E538" s="10">
        <v>90</v>
      </c>
      <c r="F538" s="10">
        <f t="shared" si="8"/>
        <v>900</v>
      </c>
    </row>
    <row r="539" spans="1:6" s="9" customFormat="1" x14ac:dyDescent="0.25">
      <c r="B539" s="4"/>
      <c r="C539" s="5"/>
      <c r="E539" s="10"/>
      <c r="F539" s="8">
        <f>SUM(F537:F538)</f>
        <v>13900</v>
      </c>
    </row>
    <row r="540" spans="1:6" s="9" customFormat="1" x14ac:dyDescent="0.25">
      <c r="B540" s="4"/>
      <c r="C540" s="5"/>
      <c r="E540" s="10"/>
      <c r="F540" s="10"/>
    </row>
    <row r="541" spans="1:6" s="9" customFormat="1" x14ac:dyDescent="0.25">
      <c r="A541" s="9" t="s">
        <v>245</v>
      </c>
      <c r="B541" s="4">
        <v>45815</v>
      </c>
      <c r="C541" s="5">
        <v>170</v>
      </c>
      <c r="D541" s="9" t="s">
        <v>13</v>
      </c>
      <c r="E541" s="10">
        <v>140</v>
      </c>
      <c r="F541" s="10">
        <f t="shared" si="8"/>
        <v>23800</v>
      </c>
    </row>
    <row r="542" spans="1:6" s="9" customFormat="1" x14ac:dyDescent="0.25">
      <c r="B542" s="4"/>
      <c r="C542" s="5">
        <v>40</v>
      </c>
      <c r="D542" s="9" t="s">
        <v>14</v>
      </c>
      <c r="E542" s="10">
        <v>130</v>
      </c>
      <c r="F542" s="10">
        <f t="shared" si="8"/>
        <v>5200</v>
      </c>
    </row>
    <row r="543" spans="1:6" s="9" customFormat="1" x14ac:dyDescent="0.25">
      <c r="B543" s="4"/>
      <c r="C543" s="5"/>
      <c r="D543" s="9" t="s">
        <v>318</v>
      </c>
      <c r="E543" s="10">
        <v>0</v>
      </c>
      <c r="F543" s="10">
        <f t="shared" si="8"/>
        <v>0</v>
      </c>
    </row>
    <row r="544" spans="1:6" s="9" customFormat="1" x14ac:dyDescent="0.25">
      <c r="B544" s="4"/>
      <c r="C544" s="5"/>
      <c r="E544" s="10"/>
      <c r="F544" s="8">
        <f>SUM(F541:F543)</f>
        <v>29000</v>
      </c>
    </row>
    <row r="545" spans="1:6" s="9" customFormat="1" x14ac:dyDescent="0.25">
      <c r="B545" s="4"/>
      <c r="C545" s="5"/>
      <c r="E545" s="10"/>
      <c r="F545" s="10"/>
    </row>
    <row r="546" spans="1:6" s="9" customFormat="1" x14ac:dyDescent="0.25">
      <c r="A546" s="9" t="s">
        <v>72</v>
      </c>
      <c r="B546" s="4">
        <v>45815</v>
      </c>
      <c r="C546" s="5">
        <v>250</v>
      </c>
      <c r="D546" s="9" t="s">
        <v>13</v>
      </c>
      <c r="E546" s="10">
        <v>130</v>
      </c>
      <c r="F546" s="10">
        <f t="shared" si="8"/>
        <v>32500</v>
      </c>
    </row>
    <row r="547" spans="1:6" s="9" customFormat="1" x14ac:dyDescent="0.25">
      <c r="B547" s="4"/>
      <c r="C547" s="5">
        <v>200</v>
      </c>
      <c r="D547" s="9" t="s">
        <v>12</v>
      </c>
      <c r="E547" s="10">
        <v>115</v>
      </c>
      <c r="F547" s="10">
        <f t="shared" si="8"/>
        <v>23000</v>
      </c>
    </row>
    <row r="548" spans="1:6" s="9" customFormat="1" x14ac:dyDescent="0.25">
      <c r="B548" s="4"/>
      <c r="C548" s="5">
        <v>30</v>
      </c>
      <c r="D548" s="9" t="s">
        <v>14</v>
      </c>
      <c r="E548" s="10">
        <v>125</v>
      </c>
      <c r="F548" s="10">
        <f t="shared" si="8"/>
        <v>3750</v>
      </c>
    </row>
    <row r="549" spans="1:6" s="9" customFormat="1" x14ac:dyDescent="0.25">
      <c r="B549" s="4"/>
      <c r="C549" s="5">
        <v>80</v>
      </c>
      <c r="D549" s="9" t="s">
        <v>11</v>
      </c>
      <c r="E549" s="10">
        <v>115</v>
      </c>
      <c r="F549" s="10">
        <f t="shared" si="8"/>
        <v>9200</v>
      </c>
    </row>
    <row r="550" spans="1:6" s="9" customFormat="1" x14ac:dyDescent="0.25">
      <c r="B550" s="4"/>
      <c r="C550" s="5"/>
      <c r="E550" s="10"/>
      <c r="F550" s="8">
        <f>SUM(F546:F549)</f>
        <v>68450</v>
      </c>
    </row>
    <row r="551" spans="1:6" s="9" customFormat="1" x14ac:dyDescent="0.25">
      <c r="B551" s="4"/>
      <c r="C551" s="5"/>
      <c r="E551" s="10"/>
      <c r="F551" s="10"/>
    </row>
    <row r="552" spans="1:6" s="9" customFormat="1" x14ac:dyDescent="0.25">
      <c r="A552" s="9" t="s">
        <v>62</v>
      </c>
      <c r="B552" s="4">
        <v>45815</v>
      </c>
      <c r="C552" s="5">
        <v>70</v>
      </c>
      <c r="D552" s="9" t="s">
        <v>8</v>
      </c>
      <c r="E552" s="10">
        <v>150</v>
      </c>
      <c r="F552" s="10">
        <f t="shared" si="8"/>
        <v>10500</v>
      </c>
    </row>
    <row r="553" spans="1:6" s="9" customFormat="1" x14ac:dyDescent="0.25">
      <c r="B553" s="4"/>
      <c r="C553" s="5">
        <v>40</v>
      </c>
      <c r="D553" s="9" t="s">
        <v>12</v>
      </c>
      <c r="E553" s="10">
        <v>120</v>
      </c>
      <c r="F553" s="10">
        <f t="shared" si="8"/>
        <v>4800</v>
      </c>
    </row>
    <row r="554" spans="1:6" s="9" customFormat="1" x14ac:dyDescent="0.25">
      <c r="B554" s="4"/>
      <c r="C554" s="5"/>
      <c r="E554" s="10"/>
      <c r="F554" s="8">
        <f>SUM(F552:F553)</f>
        <v>15300</v>
      </c>
    </row>
    <row r="555" spans="1:6" s="9" customFormat="1" x14ac:dyDescent="0.25">
      <c r="B555" s="4"/>
      <c r="C555" s="5"/>
      <c r="E555" s="10"/>
      <c r="F555" s="10"/>
    </row>
    <row r="556" spans="1:6" s="9" customFormat="1" x14ac:dyDescent="0.25">
      <c r="A556" s="9" t="s">
        <v>535</v>
      </c>
      <c r="B556" s="4">
        <v>45815</v>
      </c>
      <c r="C556" s="5">
        <v>75</v>
      </c>
      <c r="D556" s="9" t="s">
        <v>13</v>
      </c>
      <c r="E556" s="10">
        <v>140</v>
      </c>
      <c r="F556" s="10">
        <f t="shared" si="8"/>
        <v>10500</v>
      </c>
    </row>
    <row r="557" spans="1:6" s="9" customFormat="1" x14ac:dyDescent="0.25">
      <c r="B557" s="4"/>
      <c r="C557" s="5">
        <v>15</v>
      </c>
      <c r="D557" s="9" t="s">
        <v>13</v>
      </c>
      <c r="E557" s="10">
        <v>135</v>
      </c>
      <c r="F557" s="10">
        <f t="shared" si="8"/>
        <v>2025</v>
      </c>
    </row>
    <row r="558" spans="1:6" s="9" customFormat="1" x14ac:dyDescent="0.25">
      <c r="B558" s="4"/>
      <c r="C558" s="5">
        <v>8</v>
      </c>
      <c r="D558" s="9" t="s">
        <v>12</v>
      </c>
      <c r="E558" s="10">
        <v>130</v>
      </c>
      <c r="F558" s="10">
        <f t="shared" si="8"/>
        <v>1040</v>
      </c>
    </row>
    <row r="559" spans="1:6" s="9" customFormat="1" x14ac:dyDescent="0.25">
      <c r="B559" s="4"/>
      <c r="C559" s="5">
        <v>34</v>
      </c>
      <c r="D559" s="9" t="s">
        <v>8</v>
      </c>
      <c r="E559" s="10">
        <v>160</v>
      </c>
      <c r="F559" s="10">
        <f t="shared" si="8"/>
        <v>5440</v>
      </c>
    </row>
    <row r="560" spans="1:6" s="9" customFormat="1" x14ac:dyDescent="0.25">
      <c r="B560" s="4"/>
      <c r="C560" s="5">
        <v>2</v>
      </c>
      <c r="D560" s="9" t="s">
        <v>14</v>
      </c>
      <c r="E560" s="10">
        <v>135</v>
      </c>
      <c r="F560" s="10">
        <f t="shared" si="8"/>
        <v>270</v>
      </c>
    </row>
    <row r="561" spans="1:6" s="9" customFormat="1" x14ac:dyDescent="0.25">
      <c r="B561" s="4"/>
      <c r="C561" s="5"/>
      <c r="E561" s="10"/>
      <c r="F561" s="8">
        <f>SUM(F556:F560)</f>
        <v>19275</v>
      </c>
    </row>
    <row r="562" spans="1:6" s="9" customFormat="1" x14ac:dyDescent="0.25">
      <c r="B562" s="4"/>
      <c r="C562" s="5"/>
      <c r="E562" s="10"/>
      <c r="F562" s="10"/>
    </row>
    <row r="563" spans="1:6" s="9" customFormat="1" x14ac:dyDescent="0.25">
      <c r="A563" s="9" t="s">
        <v>65</v>
      </c>
      <c r="B563" s="4">
        <v>45815</v>
      </c>
      <c r="C563" s="5">
        <v>1300</v>
      </c>
      <c r="D563" s="9" t="s">
        <v>12</v>
      </c>
      <c r="E563" s="10">
        <v>113</v>
      </c>
      <c r="F563" s="10">
        <f t="shared" si="8"/>
        <v>146900</v>
      </c>
    </row>
    <row r="564" spans="1:6" s="9" customFormat="1" x14ac:dyDescent="0.25">
      <c r="B564" s="4"/>
      <c r="C564" s="5">
        <v>300</v>
      </c>
      <c r="D564" s="9" t="s">
        <v>11</v>
      </c>
      <c r="E564" s="10">
        <v>110</v>
      </c>
      <c r="F564" s="10">
        <f t="shared" si="8"/>
        <v>33000</v>
      </c>
    </row>
    <row r="565" spans="1:6" s="9" customFormat="1" x14ac:dyDescent="0.25">
      <c r="B565" s="4"/>
      <c r="C565" s="5">
        <v>700</v>
      </c>
      <c r="D565" s="9" t="s">
        <v>13</v>
      </c>
      <c r="E565" s="10">
        <v>125</v>
      </c>
      <c r="F565" s="10">
        <f t="shared" si="8"/>
        <v>87500</v>
      </c>
    </row>
    <row r="566" spans="1:6" s="9" customFormat="1" x14ac:dyDescent="0.25">
      <c r="B566" s="4"/>
      <c r="C566" s="5">
        <v>200</v>
      </c>
      <c r="D566" s="9" t="s">
        <v>22</v>
      </c>
      <c r="E566" s="10">
        <v>85</v>
      </c>
      <c r="F566" s="10">
        <f t="shared" si="8"/>
        <v>17000</v>
      </c>
    </row>
    <row r="567" spans="1:6" s="9" customFormat="1" x14ac:dyDescent="0.25">
      <c r="B567" s="4"/>
      <c r="C567" s="5"/>
      <c r="E567" s="10"/>
      <c r="F567" s="8">
        <f>SUM(F563:F566)</f>
        <v>284400</v>
      </c>
    </row>
    <row r="568" spans="1:6" s="9" customFormat="1" x14ac:dyDescent="0.25">
      <c r="B568" s="4"/>
      <c r="C568" s="5"/>
      <c r="E568" s="10"/>
      <c r="F568" s="10"/>
    </row>
    <row r="569" spans="1:6" s="9" customFormat="1" x14ac:dyDescent="0.25">
      <c r="A569" s="9" t="s">
        <v>101</v>
      </c>
      <c r="B569" s="4">
        <v>45815</v>
      </c>
      <c r="C569" s="5">
        <v>6</v>
      </c>
      <c r="D569" s="9" t="s">
        <v>304</v>
      </c>
      <c r="E569" s="10">
        <v>140</v>
      </c>
      <c r="F569" s="10">
        <f t="shared" si="8"/>
        <v>840</v>
      </c>
    </row>
    <row r="570" spans="1:6" s="9" customFormat="1" x14ac:dyDescent="0.25">
      <c r="B570" s="4"/>
      <c r="C570" s="5">
        <v>3</v>
      </c>
      <c r="D570" s="9" t="s">
        <v>9</v>
      </c>
      <c r="E570" s="10">
        <v>3.3333333299999999</v>
      </c>
      <c r="F570" s="10">
        <f t="shared" si="8"/>
        <v>9.9999999899999992</v>
      </c>
    </row>
    <row r="571" spans="1:6" s="9" customFormat="1" x14ac:dyDescent="0.25">
      <c r="B571" s="4"/>
      <c r="C571" s="5"/>
      <c r="E571" s="10"/>
      <c r="F571" s="8">
        <f>SUM(F569:F570)</f>
        <v>849.99999998999999</v>
      </c>
    </row>
    <row r="572" spans="1:6" s="9" customFormat="1" x14ac:dyDescent="0.25">
      <c r="B572" s="4"/>
      <c r="C572" s="5"/>
      <c r="E572" s="10"/>
      <c r="F572" s="10"/>
    </row>
    <row r="573" spans="1:6" s="9" customFormat="1" x14ac:dyDescent="0.25">
      <c r="A573" s="9" t="s">
        <v>181</v>
      </c>
      <c r="B573" s="4">
        <v>45815</v>
      </c>
      <c r="C573" s="5">
        <v>1</v>
      </c>
      <c r="D573" s="9" t="s">
        <v>685</v>
      </c>
      <c r="E573" s="10">
        <v>0</v>
      </c>
      <c r="F573" s="10">
        <f t="shared" si="8"/>
        <v>0</v>
      </c>
    </row>
    <row r="574" spans="1:6" s="9" customFormat="1" x14ac:dyDescent="0.25">
      <c r="B574" s="4"/>
      <c r="C574" s="5">
        <v>1</v>
      </c>
      <c r="D574" s="9" t="s">
        <v>13</v>
      </c>
      <c r="E574" s="10">
        <v>140</v>
      </c>
      <c r="F574" s="10">
        <f t="shared" si="8"/>
        <v>140</v>
      </c>
    </row>
    <row r="575" spans="1:6" s="9" customFormat="1" x14ac:dyDescent="0.25">
      <c r="B575" s="4"/>
      <c r="C575" s="5">
        <v>1</v>
      </c>
      <c r="D575" s="9" t="s">
        <v>303</v>
      </c>
      <c r="E575" s="10">
        <v>150</v>
      </c>
      <c r="F575" s="10">
        <f t="shared" si="8"/>
        <v>150</v>
      </c>
    </row>
    <row r="576" spans="1:6" s="9" customFormat="1" x14ac:dyDescent="0.25">
      <c r="B576" s="4"/>
      <c r="C576" s="5">
        <v>2</v>
      </c>
      <c r="D576" s="9" t="s">
        <v>686</v>
      </c>
      <c r="E576" s="10">
        <v>150</v>
      </c>
      <c r="F576" s="10">
        <f t="shared" si="8"/>
        <v>300</v>
      </c>
    </row>
    <row r="577" spans="1:6" s="9" customFormat="1" x14ac:dyDescent="0.25">
      <c r="B577" s="4"/>
      <c r="C577" s="5">
        <v>2</v>
      </c>
      <c r="D577" s="9" t="s">
        <v>13</v>
      </c>
      <c r="E577" s="10">
        <v>140</v>
      </c>
      <c r="F577" s="10">
        <f t="shared" si="8"/>
        <v>280</v>
      </c>
    </row>
    <row r="578" spans="1:6" s="9" customFormat="1" x14ac:dyDescent="0.25">
      <c r="B578" s="4"/>
      <c r="C578" s="5">
        <v>1</v>
      </c>
      <c r="D578" s="9" t="s">
        <v>13</v>
      </c>
      <c r="E578" s="10">
        <v>150</v>
      </c>
      <c r="F578" s="10">
        <f t="shared" si="8"/>
        <v>150</v>
      </c>
    </row>
    <row r="579" spans="1:6" s="9" customFormat="1" x14ac:dyDescent="0.25">
      <c r="B579" s="4"/>
      <c r="C579" s="5">
        <v>1</v>
      </c>
      <c r="D579" s="9" t="s">
        <v>49</v>
      </c>
      <c r="E579" s="10">
        <v>150</v>
      </c>
      <c r="F579" s="10">
        <f t="shared" si="8"/>
        <v>150</v>
      </c>
    </row>
    <row r="580" spans="1:6" s="9" customFormat="1" x14ac:dyDescent="0.25">
      <c r="B580" s="4"/>
      <c r="C580" s="5"/>
      <c r="E580" s="10"/>
      <c r="F580" s="8">
        <f>SUM(F573:F579)</f>
        <v>1170</v>
      </c>
    </row>
    <row r="581" spans="1:6" s="9" customFormat="1" x14ac:dyDescent="0.25">
      <c r="B581" s="4"/>
      <c r="C581" s="5"/>
      <c r="E581" s="10"/>
      <c r="F581" s="10"/>
    </row>
    <row r="582" spans="1:6" s="9" customFormat="1" x14ac:dyDescent="0.25">
      <c r="A582" s="9" t="s">
        <v>140</v>
      </c>
      <c r="B582" s="4">
        <v>45816</v>
      </c>
      <c r="C582" s="5">
        <v>6</v>
      </c>
      <c r="D582" s="9" t="s">
        <v>12</v>
      </c>
      <c r="E582" s="10">
        <v>120</v>
      </c>
      <c r="F582" s="10">
        <f t="shared" ref="F582:F641" si="9">+C582*E582</f>
        <v>720</v>
      </c>
    </row>
    <row r="583" spans="1:6" s="9" customFormat="1" x14ac:dyDescent="0.25">
      <c r="B583" s="4"/>
      <c r="C583" s="5">
        <v>150</v>
      </c>
      <c r="D583" s="9" t="s">
        <v>687</v>
      </c>
      <c r="E583" s="10">
        <v>115</v>
      </c>
      <c r="F583" s="10">
        <f t="shared" si="9"/>
        <v>17250</v>
      </c>
    </row>
    <row r="584" spans="1:6" s="9" customFormat="1" x14ac:dyDescent="0.25">
      <c r="B584" s="4"/>
      <c r="C584" s="5">
        <v>150</v>
      </c>
      <c r="D584" s="9" t="s">
        <v>13</v>
      </c>
      <c r="E584" s="10">
        <v>130</v>
      </c>
      <c r="F584" s="10">
        <f t="shared" si="9"/>
        <v>19500</v>
      </c>
    </row>
    <row r="585" spans="1:6" s="9" customFormat="1" x14ac:dyDescent="0.25">
      <c r="B585" s="4"/>
      <c r="C585" s="5">
        <v>50</v>
      </c>
      <c r="D585" s="9" t="s">
        <v>435</v>
      </c>
      <c r="E585" s="10">
        <v>95</v>
      </c>
      <c r="F585" s="10">
        <f t="shared" si="9"/>
        <v>4750</v>
      </c>
    </row>
    <row r="586" spans="1:6" s="9" customFormat="1" x14ac:dyDescent="0.25">
      <c r="B586" s="4"/>
      <c r="C586" s="5"/>
      <c r="E586" s="10"/>
      <c r="F586" s="8">
        <f>SUM(F582:F585)</f>
        <v>42220</v>
      </c>
    </row>
    <row r="587" spans="1:6" s="9" customFormat="1" x14ac:dyDescent="0.25">
      <c r="B587" s="4"/>
      <c r="C587" s="5"/>
      <c r="E587" s="10"/>
      <c r="F587" s="10"/>
    </row>
    <row r="588" spans="1:6" s="9" customFormat="1" x14ac:dyDescent="0.25">
      <c r="A588" s="9" t="s">
        <v>181</v>
      </c>
      <c r="B588" s="4">
        <v>45816</v>
      </c>
      <c r="C588" s="5">
        <v>1</v>
      </c>
      <c r="D588" s="9" t="s">
        <v>49</v>
      </c>
      <c r="E588" s="10">
        <v>150</v>
      </c>
      <c r="F588" s="10">
        <f t="shared" si="9"/>
        <v>150</v>
      </c>
    </row>
    <row r="589" spans="1:6" s="9" customFormat="1" x14ac:dyDescent="0.25">
      <c r="B589" s="4"/>
      <c r="C589" s="5">
        <v>1</v>
      </c>
      <c r="D589" s="9" t="s">
        <v>8</v>
      </c>
      <c r="E589" s="10">
        <v>170</v>
      </c>
      <c r="F589" s="10">
        <f t="shared" si="9"/>
        <v>170</v>
      </c>
    </row>
    <row r="590" spans="1:6" s="9" customFormat="1" x14ac:dyDescent="0.25">
      <c r="B590" s="4"/>
      <c r="C590" s="11">
        <v>0.5</v>
      </c>
      <c r="D590" s="9" t="s">
        <v>8</v>
      </c>
      <c r="E590" s="10">
        <v>170</v>
      </c>
      <c r="F590" s="10">
        <f t="shared" si="9"/>
        <v>85</v>
      </c>
    </row>
    <row r="591" spans="1:6" s="9" customFormat="1" x14ac:dyDescent="0.25">
      <c r="B591" s="4"/>
      <c r="C591" s="5"/>
      <c r="E591" s="10"/>
      <c r="F591" s="8">
        <f>SUM(F588:F590)</f>
        <v>405</v>
      </c>
    </row>
    <row r="592" spans="1:6" s="9" customFormat="1" x14ac:dyDescent="0.25">
      <c r="B592" s="4"/>
      <c r="C592" s="5"/>
      <c r="E592" s="10"/>
      <c r="F592" s="10"/>
    </row>
    <row r="593" spans="1:6" s="9" customFormat="1" x14ac:dyDescent="0.25">
      <c r="A593" s="9" t="s">
        <v>688</v>
      </c>
      <c r="B593" s="4">
        <v>45817</v>
      </c>
      <c r="C593" s="5">
        <v>5</v>
      </c>
      <c r="D593" s="9" t="s">
        <v>13</v>
      </c>
      <c r="E593" s="10">
        <v>135</v>
      </c>
      <c r="F593" s="10">
        <f t="shared" si="9"/>
        <v>675</v>
      </c>
    </row>
    <row r="594" spans="1:6" s="9" customFormat="1" x14ac:dyDescent="0.25">
      <c r="B594" s="4"/>
      <c r="C594" s="5"/>
      <c r="E594" s="10"/>
      <c r="F594" s="8">
        <f>SUM(F593)</f>
        <v>675</v>
      </c>
    </row>
    <row r="595" spans="1:6" s="9" customFormat="1" x14ac:dyDescent="0.25">
      <c r="B595" s="4"/>
      <c r="C595" s="5"/>
      <c r="E595" s="10"/>
      <c r="F595" s="10"/>
    </row>
    <row r="596" spans="1:6" s="9" customFormat="1" x14ac:dyDescent="0.25">
      <c r="A596" s="9" t="s">
        <v>550</v>
      </c>
      <c r="B596" s="4">
        <v>45817</v>
      </c>
      <c r="C596" s="5">
        <v>10</v>
      </c>
      <c r="D596" s="9" t="s">
        <v>689</v>
      </c>
      <c r="E596" s="10">
        <v>100</v>
      </c>
      <c r="F596" s="10">
        <f t="shared" si="9"/>
        <v>1000</v>
      </c>
    </row>
    <row r="597" spans="1:6" s="9" customFormat="1" x14ac:dyDescent="0.25">
      <c r="B597" s="4"/>
      <c r="C597" s="5"/>
      <c r="E597" s="10"/>
      <c r="F597" s="8">
        <f>SUM(F596)</f>
        <v>1000</v>
      </c>
    </row>
    <row r="598" spans="1:6" s="9" customFormat="1" x14ac:dyDescent="0.25">
      <c r="B598" s="4"/>
      <c r="C598" s="5"/>
      <c r="E598" s="10"/>
      <c r="F598" s="10"/>
    </row>
    <row r="599" spans="1:6" s="9" customFormat="1" x14ac:dyDescent="0.25">
      <c r="A599" s="9" t="s">
        <v>15</v>
      </c>
      <c r="B599" s="4">
        <v>45817</v>
      </c>
      <c r="C599" s="5">
        <v>63</v>
      </c>
      <c r="D599" s="9" t="s">
        <v>98</v>
      </c>
      <c r="E599" s="10">
        <v>80</v>
      </c>
      <c r="F599" s="10">
        <f t="shared" si="9"/>
        <v>5040</v>
      </c>
    </row>
    <row r="600" spans="1:6" s="9" customFormat="1" x14ac:dyDescent="0.25">
      <c r="B600" s="4"/>
      <c r="C600" s="5"/>
      <c r="D600" s="9" t="s">
        <v>721</v>
      </c>
      <c r="E600" s="10"/>
      <c r="F600" s="8">
        <f>SUM(F599)</f>
        <v>5040</v>
      </c>
    </row>
    <row r="601" spans="1:6" s="9" customFormat="1" x14ac:dyDescent="0.25">
      <c r="B601" s="4"/>
      <c r="C601" s="5"/>
      <c r="E601" s="10"/>
      <c r="F601" s="10"/>
    </row>
    <row r="602" spans="1:6" s="9" customFormat="1" x14ac:dyDescent="0.25">
      <c r="A602" s="9" t="s">
        <v>211</v>
      </c>
      <c r="B602" s="4">
        <v>45817</v>
      </c>
      <c r="C602" s="5">
        <v>10</v>
      </c>
      <c r="D602" s="9" t="s">
        <v>98</v>
      </c>
      <c r="E602" s="10">
        <v>100</v>
      </c>
      <c r="F602" s="10">
        <f t="shared" si="9"/>
        <v>1000</v>
      </c>
    </row>
    <row r="603" spans="1:6" s="9" customFormat="1" x14ac:dyDescent="0.25">
      <c r="B603" s="4"/>
      <c r="C603" s="5"/>
      <c r="E603" s="10"/>
      <c r="F603" s="8">
        <f>SUM(F602)</f>
        <v>1000</v>
      </c>
    </row>
    <row r="604" spans="1:6" s="9" customFormat="1" x14ac:dyDescent="0.25">
      <c r="B604" s="4"/>
      <c r="C604" s="5"/>
      <c r="E604" s="10"/>
      <c r="F604" s="10"/>
    </row>
    <row r="605" spans="1:6" s="9" customFormat="1" x14ac:dyDescent="0.25">
      <c r="A605" s="9" t="s">
        <v>17</v>
      </c>
      <c r="B605" s="4">
        <v>45817</v>
      </c>
      <c r="C605" s="5">
        <v>10</v>
      </c>
      <c r="D605" s="9" t="s">
        <v>690</v>
      </c>
      <c r="E605" s="10">
        <v>140</v>
      </c>
      <c r="F605" s="10">
        <f t="shared" si="9"/>
        <v>1400</v>
      </c>
    </row>
    <row r="606" spans="1:6" s="9" customFormat="1" x14ac:dyDescent="0.25">
      <c r="B606" s="4"/>
      <c r="C606" s="5"/>
      <c r="E606" s="10"/>
      <c r="F606" s="8">
        <f>SUM(F605)</f>
        <v>1400</v>
      </c>
    </row>
    <row r="607" spans="1:6" s="9" customFormat="1" x14ac:dyDescent="0.25">
      <c r="B607" s="4"/>
      <c r="C607" s="5"/>
      <c r="E607" s="10"/>
      <c r="F607" s="10"/>
    </row>
    <row r="608" spans="1:6" s="9" customFormat="1" x14ac:dyDescent="0.25">
      <c r="A608" s="9" t="s">
        <v>81</v>
      </c>
      <c r="B608" s="4">
        <v>45817</v>
      </c>
      <c r="C608" s="5">
        <v>6</v>
      </c>
      <c r="D608" s="9" t="s">
        <v>13</v>
      </c>
      <c r="E608" s="10">
        <v>135</v>
      </c>
      <c r="F608" s="10">
        <f t="shared" si="9"/>
        <v>810</v>
      </c>
    </row>
    <row r="609" spans="1:6" s="9" customFormat="1" x14ac:dyDescent="0.25">
      <c r="B609" s="4"/>
      <c r="C609" s="5"/>
      <c r="E609" s="10"/>
      <c r="F609" s="8">
        <f>SUM(F608)</f>
        <v>810</v>
      </c>
    </row>
    <row r="610" spans="1:6" s="9" customFormat="1" x14ac:dyDescent="0.25">
      <c r="B610" s="4"/>
      <c r="C610" s="5"/>
      <c r="E610" s="10"/>
      <c r="F610" s="10"/>
    </row>
    <row r="611" spans="1:6" s="9" customFormat="1" x14ac:dyDescent="0.25">
      <c r="A611" s="9" t="s">
        <v>20</v>
      </c>
      <c r="B611" s="4">
        <v>45817</v>
      </c>
      <c r="C611" s="5">
        <v>30</v>
      </c>
      <c r="D611" s="9" t="s">
        <v>13</v>
      </c>
      <c r="E611" s="10">
        <v>135</v>
      </c>
      <c r="F611" s="10">
        <f t="shared" si="9"/>
        <v>4050</v>
      </c>
    </row>
    <row r="612" spans="1:6" s="9" customFormat="1" x14ac:dyDescent="0.25">
      <c r="B612" s="4"/>
      <c r="C612" s="5"/>
      <c r="E612" s="10"/>
      <c r="F612" s="8">
        <f>SUM(F611)</f>
        <v>4050</v>
      </c>
    </row>
    <row r="613" spans="1:6" s="9" customFormat="1" x14ac:dyDescent="0.25">
      <c r="B613" s="4"/>
      <c r="C613" s="5"/>
      <c r="E613" s="10"/>
      <c r="F613" s="10"/>
    </row>
    <row r="614" spans="1:6" s="9" customFormat="1" x14ac:dyDescent="0.25">
      <c r="A614" s="9" t="s">
        <v>691</v>
      </c>
      <c r="B614" s="4">
        <v>45817</v>
      </c>
      <c r="C614" s="5">
        <v>30</v>
      </c>
      <c r="D614" s="9" t="s">
        <v>13</v>
      </c>
      <c r="E614" s="10">
        <v>135</v>
      </c>
      <c r="F614" s="10">
        <f t="shared" si="9"/>
        <v>4050</v>
      </c>
    </row>
    <row r="615" spans="1:6" s="9" customFormat="1" x14ac:dyDescent="0.25">
      <c r="B615" s="4"/>
      <c r="C615" s="5">
        <v>10</v>
      </c>
      <c r="D615" s="9" t="s">
        <v>8</v>
      </c>
      <c r="E615" s="10">
        <v>155</v>
      </c>
      <c r="F615" s="10">
        <f t="shared" si="9"/>
        <v>1550</v>
      </c>
    </row>
    <row r="616" spans="1:6" s="9" customFormat="1" x14ac:dyDescent="0.25">
      <c r="B616" s="4"/>
      <c r="C616" s="5">
        <v>20</v>
      </c>
      <c r="D616" s="9" t="s">
        <v>22</v>
      </c>
      <c r="E616" s="10">
        <v>85</v>
      </c>
      <c r="F616" s="10">
        <f t="shared" si="9"/>
        <v>1700</v>
      </c>
    </row>
    <row r="617" spans="1:6" s="9" customFormat="1" x14ac:dyDescent="0.25">
      <c r="B617" s="4"/>
      <c r="C617" s="5">
        <v>6</v>
      </c>
      <c r="D617" s="9" t="s">
        <v>187</v>
      </c>
      <c r="E617" s="10">
        <v>125</v>
      </c>
      <c r="F617" s="10">
        <f t="shared" si="9"/>
        <v>750</v>
      </c>
    </row>
    <row r="618" spans="1:6" s="9" customFormat="1" x14ac:dyDescent="0.25">
      <c r="B618" s="4"/>
      <c r="C618" s="5"/>
      <c r="E618" s="10"/>
      <c r="F618" s="8">
        <f>SUM(F614:F617)</f>
        <v>8050</v>
      </c>
    </row>
    <row r="619" spans="1:6" s="9" customFormat="1" x14ac:dyDescent="0.25">
      <c r="B619" s="4"/>
      <c r="C619" s="5"/>
      <c r="E619" s="10"/>
      <c r="F619" s="10"/>
    </row>
    <row r="620" spans="1:6" s="9" customFormat="1" x14ac:dyDescent="0.25">
      <c r="A620" s="9" t="s">
        <v>367</v>
      </c>
      <c r="B620" s="4">
        <v>45817</v>
      </c>
      <c r="C620" s="5">
        <v>10</v>
      </c>
      <c r="D620" s="9" t="s">
        <v>13</v>
      </c>
      <c r="E620" s="10">
        <v>135</v>
      </c>
      <c r="F620" s="10">
        <f t="shared" si="9"/>
        <v>1350</v>
      </c>
    </row>
    <row r="621" spans="1:6" s="9" customFormat="1" x14ac:dyDescent="0.25">
      <c r="B621" s="4"/>
      <c r="C621" s="5">
        <v>10</v>
      </c>
      <c r="D621" s="9" t="s">
        <v>390</v>
      </c>
      <c r="E621" s="10">
        <v>125</v>
      </c>
      <c r="F621" s="10">
        <f t="shared" si="9"/>
        <v>1250</v>
      </c>
    </row>
    <row r="622" spans="1:6" s="9" customFormat="1" x14ac:dyDescent="0.25">
      <c r="B622" s="4"/>
      <c r="C622" s="5"/>
      <c r="E622" s="10"/>
      <c r="F622" s="8">
        <f>SUM(F620:F621)</f>
        <v>2600</v>
      </c>
    </row>
    <row r="623" spans="1:6" s="9" customFormat="1" x14ac:dyDescent="0.25">
      <c r="B623" s="4"/>
      <c r="C623" s="5"/>
      <c r="E623" s="10"/>
      <c r="F623" s="10"/>
    </row>
    <row r="624" spans="1:6" s="9" customFormat="1" x14ac:dyDescent="0.25">
      <c r="A624" s="9" t="s">
        <v>23</v>
      </c>
      <c r="B624" s="4">
        <v>45817</v>
      </c>
      <c r="C624" s="5">
        <v>10</v>
      </c>
      <c r="D624" s="9" t="s">
        <v>692</v>
      </c>
      <c r="E624" s="10">
        <v>125</v>
      </c>
      <c r="F624" s="10">
        <f t="shared" si="9"/>
        <v>1250</v>
      </c>
    </row>
    <row r="625" spans="1:6" s="9" customFormat="1" x14ac:dyDescent="0.25">
      <c r="B625" s="4"/>
      <c r="C625" s="5">
        <v>10</v>
      </c>
      <c r="D625" s="9" t="s">
        <v>424</v>
      </c>
      <c r="E625" s="10">
        <v>85</v>
      </c>
      <c r="F625" s="10">
        <f t="shared" si="9"/>
        <v>850</v>
      </c>
    </row>
    <row r="626" spans="1:6" s="9" customFormat="1" x14ac:dyDescent="0.25">
      <c r="B626" s="4"/>
      <c r="C626" s="5"/>
      <c r="E626" s="10"/>
      <c r="F626" s="8">
        <f>SUM(F624:F625)</f>
        <v>2100</v>
      </c>
    </row>
    <row r="627" spans="1:6" s="9" customFormat="1" x14ac:dyDescent="0.25">
      <c r="B627" s="4"/>
      <c r="C627" s="5"/>
      <c r="E627" s="10"/>
      <c r="F627" s="10"/>
    </row>
    <row r="628" spans="1:6" s="9" customFormat="1" x14ac:dyDescent="0.25">
      <c r="A628" s="9" t="s">
        <v>40</v>
      </c>
      <c r="B628" s="4">
        <v>45817</v>
      </c>
      <c r="C628" s="5">
        <v>20</v>
      </c>
      <c r="D628" s="9" t="s">
        <v>14</v>
      </c>
      <c r="E628" s="10">
        <v>125</v>
      </c>
      <c r="F628" s="10">
        <f t="shared" si="9"/>
        <v>2500</v>
      </c>
    </row>
    <row r="629" spans="1:6" s="9" customFormat="1" x14ac:dyDescent="0.25">
      <c r="B629" s="4"/>
      <c r="C629" s="5">
        <v>10</v>
      </c>
      <c r="D629" s="9" t="s">
        <v>8</v>
      </c>
      <c r="E629" s="10">
        <v>155</v>
      </c>
      <c r="F629" s="10">
        <f t="shared" si="9"/>
        <v>1550</v>
      </c>
    </row>
    <row r="630" spans="1:6" s="9" customFormat="1" x14ac:dyDescent="0.25">
      <c r="B630" s="4"/>
      <c r="C630" s="5">
        <v>15</v>
      </c>
      <c r="D630" s="9" t="s">
        <v>22</v>
      </c>
      <c r="E630" s="10">
        <v>85</v>
      </c>
      <c r="F630" s="10">
        <f t="shared" si="9"/>
        <v>1275</v>
      </c>
    </row>
    <row r="631" spans="1:6" s="9" customFormat="1" x14ac:dyDescent="0.25">
      <c r="B631" s="4"/>
      <c r="C631" s="5">
        <v>8</v>
      </c>
      <c r="D631" s="9" t="s">
        <v>22</v>
      </c>
      <c r="E631" s="10">
        <v>85</v>
      </c>
      <c r="F631" s="10">
        <f t="shared" si="9"/>
        <v>680</v>
      </c>
    </row>
    <row r="632" spans="1:6" s="9" customFormat="1" x14ac:dyDescent="0.25">
      <c r="B632" s="4"/>
      <c r="C632" s="5"/>
      <c r="E632" s="10"/>
      <c r="F632" s="8">
        <f>SUM(F628:F631)</f>
        <v>6005</v>
      </c>
    </row>
    <row r="633" spans="1:6" s="9" customFormat="1" x14ac:dyDescent="0.25">
      <c r="B633" s="4"/>
      <c r="C633" s="5"/>
      <c r="E633" s="10"/>
      <c r="F633" s="10"/>
    </row>
    <row r="634" spans="1:6" s="9" customFormat="1" x14ac:dyDescent="0.25">
      <c r="A634" s="9" t="s">
        <v>80</v>
      </c>
      <c r="B634" s="4">
        <v>45817</v>
      </c>
      <c r="C634" s="5">
        <v>5</v>
      </c>
      <c r="D634" s="9" t="s">
        <v>13</v>
      </c>
      <c r="E634" s="10">
        <v>140</v>
      </c>
      <c r="F634" s="10">
        <f t="shared" si="9"/>
        <v>700</v>
      </c>
    </row>
    <row r="635" spans="1:6" s="9" customFormat="1" x14ac:dyDescent="0.25">
      <c r="B635" s="4"/>
      <c r="C635" s="5"/>
      <c r="E635" s="10"/>
      <c r="F635" s="8">
        <f>SUM(F634)</f>
        <v>700</v>
      </c>
    </row>
    <row r="636" spans="1:6" s="9" customFormat="1" x14ac:dyDescent="0.25">
      <c r="B636" s="4"/>
      <c r="C636" s="5"/>
      <c r="E636" s="10"/>
      <c r="F636" s="10"/>
    </row>
    <row r="637" spans="1:6" s="9" customFormat="1" x14ac:dyDescent="0.25">
      <c r="A637" s="9" t="s">
        <v>41</v>
      </c>
      <c r="B637" s="4">
        <v>45817</v>
      </c>
      <c r="C637" s="5">
        <v>25</v>
      </c>
      <c r="D637" s="9" t="s">
        <v>14</v>
      </c>
      <c r="E637" s="10">
        <v>130</v>
      </c>
      <c r="F637" s="10">
        <f t="shared" si="9"/>
        <v>3250</v>
      </c>
    </row>
    <row r="638" spans="1:6" s="9" customFormat="1" x14ac:dyDescent="0.25">
      <c r="B638" s="4"/>
      <c r="C638" s="5"/>
      <c r="E638" s="10"/>
      <c r="F638" s="8">
        <f>SUM(F637)</f>
        <v>3250</v>
      </c>
    </row>
    <row r="639" spans="1:6" s="9" customFormat="1" x14ac:dyDescent="0.25">
      <c r="B639" s="4"/>
      <c r="C639" s="5"/>
      <c r="E639" s="10"/>
      <c r="F639" s="10"/>
    </row>
    <row r="640" spans="1:6" s="9" customFormat="1" x14ac:dyDescent="0.25">
      <c r="A640" s="9" t="s">
        <v>231</v>
      </c>
      <c r="B640" s="4">
        <v>45817</v>
      </c>
      <c r="C640" s="5">
        <v>20</v>
      </c>
      <c r="D640" s="9" t="s">
        <v>12</v>
      </c>
      <c r="E640" s="10">
        <v>120</v>
      </c>
      <c r="F640" s="10">
        <f t="shared" si="9"/>
        <v>2400</v>
      </c>
    </row>
    <row r="641" spans="1:6" s="9" customFormat="1" x14ac:dyDescent="0.25">
      <c r="B641" s="4"/>
      <c r="C641" s="5">
        <v>10</v>
      </c>
      <c r="D641" s="9" t="s">
        <v>14</v>
      </c>
      <c r="E641" s="10">
        <v>125</v>
      </c>
      <c r="F641" s="10">
        <f t="shared" si="9"/>
        <v>1250</v>
      </c>
    </row>
    <row r="642" spans="1:6" s="9" customFormat="1" x14ac:dyDescent="0.25">
      <c r="B642" s="4"/>
      <c r="C642" s="5"/>
      <c r="E642" s="10"/>
      <c r="F642" s="8">
        <f>SUM(F640:F641)</f>
        <v>3650</v>
      </c>
    </row>
    <row r="643" spans="1:6" s="9" customFormat="1" x14ac:dyDescent="0.25">
      <c r="B643" s="4"/>
      <c r="C643" s="5"/>
      <c r="E643" s="10"/>
      <c r="F643" s="10"/>
    </row>
    <row r="644" spans="1:6" s="9" customFormat="1" x14ac:dyDescent="0.25">
      <c r="A644" s="9" t="s">
        <v>42</v>
      </c>
      <c r="B644" s="4">
        <v>45817</v>
      </c>
      <c r="C644" s="5">
        <v>15</v>
      </c>
      <c r="D644" s="9" t="s">
        <v>14</v>
      </c>
      <c r="E644" s="10">
        <v>125</v>
      </c>
      <c r="F644" s="10">
        <f t="shared" ref="F644:F707" si="10">+C644*E644</f>
        <v>1875</v>
      </c>
    </row>
    <row r="645" spans="1:6" s="9" customFormat="1" x14ac:dyDescent="0.25">
      <c r="B645" s="4"/>
      <c r="C645" s="5"/>
      <c r="E645" s="10"/>
      <c r="F645" s="8">
        <f>SUM(F644)</f>
        <v>1875</v>
      </c>
    </row>
    <row r="646" spans="1:6" s="9" customFormat="1" x14ac:dyDescent="0.25">
      <c r="B646" s="4"/>
      <c r="C646" s="5"/>
      <c r="E646" s="10"/>
      <c r="F646" s="10"/>
    </row>
    <row r="647" spans="1:6" s="9" customFormat="1" x14ac:dyDescent="0.25">
      <c r="A647" s="9" t="s">
        <v>43</v>
      </c>
      <c r="B647" s="4">
        <v>45817</v>
      </c>
      <c r="C647" s="5">
        <v>24</v>
      </c>
      <c r="D647" s="9" t="s">
        <v>49</v>
      </c>
      <c r="E647" s="10">
        <v>135</v>
      </c>
      <c r="F647" s="10">
        <f t="shared" si="10"/>
        <v>3240</v>
      </c>
    </row>
    <row r="648" spans="1:6" s="9" customFormat="1" x14ac:dyDescent="0.25">
      <c r="B648" s="4"/>
      <c r="C648" s="5">
        <v>10</v>
      </c>
      <c r="D648" s="9" t="s">
        <v>693</v>
      </c>
      <c r="E648" s="10">
        <v>125</v>
      </c>
      <c r="F648" s="10">
        <f t="shared" si="10"/>
        <v>1250</v>
      </c>
    </row>
    <row r="649" spans="1:6" s="9" customFormat="1" x14ac:dyDescent="0.25">
      <c r="B649" s="4"/>
      <c r="C649" s="5"/>
      <c r="E649" s="10"/>
      <c r="F649" s="8">
        <f>SUM(F647:F648)</f>
        <v>4490</v>
      </c>
    </row>
    <row r="650" spans="1:6" s="9" customFormat="1" x14ac:dyDescent="0.25">
      <c r="B650" s="4"/>
      <c r="C650" s="5"/>
      <c r="E650" s="10"/>
      <c r="F650" s="10"/>
    </row>
    <row r="651" spans="1:6" s="9" customFormat="1" x14ac:dyDescent="0.25">
      <c r="A651" s="9" t="s">
        <v>44</v>
      </c>
      <c r="B651" s="4">
        <v>45817</v>
      </c>
      <c r="C651" s="5">
        <v>60</v>
      </c>
      <c r="D651" s="9" t="s">
        <v>14</v>
      </c>
      <c r="E651" s="10">
        <v>125</v>
      </c>
      <c r="F651" s="10">
        <f t="shared" si="10"/>
        <v>7500</v>
      </c>
    </row>
    <row r="652" spans="1:6" s="9" customFormat="1" x14ac:dyDescent="0.25">
      <c r="B652" s="4"/>
      <c r="C652" s="5"/>
      <c r="E652" s="10"/>
      <c r="F652" s="8">
        <f>SUM(F651)</f>
        <v>7500</v>
      </c>
    </row>
    <row r="653" spans="1:6" s="9" customFormat="1" x14ac:dyDescent="0.25">
      <c r="B653" s="4"/>
      <c r="C653" s="5"/>
      <c r="E653" s="10"/>
      <c r="F653" s="10"/>
    </row>
    <row r="654" spans="1:6" s="9" customFormat="1" x14ac:dyDescent="0.25">
      <c r="A654" s="9" t="s">
        <v>18</v>
      </c>
      <c r="B654" s="4">
        <v>45817</v>
      </c>
      <c r="C654" s="5">
        <v>20</v>
      </c>
      <c r="D654" s="9" t="s">
        <v>14</v>
      </c>
      <c r="E654" s="10">
        <v>120</v>
      </c>
      <c r="F654" s="10">
        <f t="shared" si="10"/>
        <v>2400</v>
      </c>
    </row>
    <row r="655" spans="1:6" s="9" customFormat="1" x14ac:dyDescent="0.25">
      <c r="B655" s="4"/>
      <c r="C655" s="5"/>
      <c r="E655" s="10"/>
      <c r="F655" s="8">
        <f>SUM(F654)</f>
        <v>2400</v>
      </c>
    </row>
    <row r="656" spans="1:6" s="9" customFormat="1" x14ac:dyDescent="0.25">
      <c r="B656" s="4"/>
      <c r="C656" s="5"/>
      <c r="E656" s="10"/>
      <c r="F656" s="10"/>
    </row>
    <row r="657" spans="1:6" s="9" customFormat="1" x14ac:dyDescent="0.25">
      <c r="A657" s="9" t="s">
        <v>47</v>
      </c>
      <c r="B657" s="4">
        <v>45817</v>
      </c>
      <c r="C657" s="5">
        <v>19</v>
      </c>
      <c r="D657" s="9" t="s">
        <v>14</v>
      </c>
      <c r="E657" s="10">
        <v>125</v>
      </c>
      <c r="F657" s="10">
        <f t="shared" si="10"/>
        <v>2375</v>
      </c>
    </row>
    <row r="658" spans="1:6" s="9" customFormat="1" x14ac:dyDescent="0.25">
      <c r="B658" s="4"/>
      <c r="C658" s="5"/>
      <c r="E658" s="10"/>
      <c r="F658" s="8">
        <f>SUM(F657)</f>
        <v>2375</v>
      </c>
    </row>
    <row r="659" spans="1:6" s="9" customFormat="1" x14ac:dyDescent="0.25">
      <c r="B659" s="4"/>
      <c r="C659" s="5"/>
      <c r="E659" s="10"/>
      <c r="F659" s="10"/>
    </row>
    <row r="660" spans="1:6" s="9" customFormat="1" x14ac:dyDescent="0.25">
      <c r="A660" s="9" t="s">
        <v>138</v>
      </c>
      <c r="B660" s="4">
        <v>45817</v>
      </c>
      <c r="C660" s="5">
        <v>30</v>
      </c>
      <c r="D660" s="9" t="s">
        <v>377</v>
      </c>
      <c r="E660" s="10">
        <v>125</v>
      </c>
      <c r="F660" s="10">
        <f t="shared" si="10"/>
        <v>3750</v>
      </c>
    </row>
    <row r="661" spans="1:6" s="9" customFormat="1" x14ac:dyDescent="0.25">
      <c r="B661" s="4"/>
      <c r="C661" s="5"/>
      <c r="E661" s="10"/>
      <c r="F661" s="8">
        <f>SUM(F660)</f>
        <v>3750</v>
      </c>
    </row>
    <row r="662" spans="1:6" s="9" customFormat="1" x14ac:dyDescent="0.25">
      <c r="B662" s="4"/>
      <c r="C662" s="5"/>
      <c r="E662" s="10"/>
      <c r="F662" s="10"/>
    </row>
    <row r="663" spans="1:6" s="9" customFormat="1" x14ac:dyDescent="0.25">
      <c r="A663" s="9" t="s">
        <v>45</v>
      </c>
      <c r="B663" s="4">
        <v>45817</v>
      </c>
      <c r="C663" s="5">
        <v>1</v>
      </c>
      <c r="D663" s="9" t="s">
        <v>563</v>
      </c>
      <c r="E663" s="10">
        <v>125</v>
      </c>
      <c r="F663" s="10">
        <f t="shared" si="10"/>
        <v>125</v>
      </c>
    </row>
    <row r="664" spans="1:6" s="9" customFormat="1" x14ac:dyDescent="0.25">
      <c r="B664" s="4"/>
      <c r="C664" s="5">
        <v>1</v>
      </c>
      <c r="D664" s="9" t="s">
        <v>563</v>
      </c>
      <c r="E664" s="10">
        <v>125</v>
      </c>
      <c r="F664" s="10">
        <f t="shared" si="10"/>
        <v>125</v>
      </c>
    </row>
    <row r="665" spans="1:6" s="9" customFormat="1" x14ac:dyDescent="0.25">
      <c r="B665" s="4"/>
      <c r="C665" s="5"/>
      <c r="E665" s="10"/>
      <c r="F665" s="8">
        <f>SUM(F663:F664)</f>
        <v>250</v>
      </c>
    </row>
    <row r="666" spans="1:6" s="9" customFormat="1" x14ac:dyDescent="0.25">
      <c r="B666" s="4"/>
      <c r="C666" s="5"/>
      <c r="E666" s="10"/>
      <c r="F666" s="10"/>
    </row>
    <row r="667" spans="1:6" s="9" customFormat="1" x14ac:dyDescent="0.25">
      <c r="A667" s="9" t="s">
        <v>455</v>
      </c>
      <c r="B667" s="4">
        <v>45817</v>
      </c>
      <c r="C667" s="5">
        <v>150</v>
      </c>
      <c r="D667" s="9" t="s">
        <v>11</v>
      </c>
      <c r="E667" s="10"/>
      <c r="F667" s="10">
        <f t="shared" si="10"/>
        <v>0</v>
      </c>
    </row>
    <row r="668" spans="1:6" s="9" customFormat="1" x14ac:dyDescent="0.25">
      <c r="B668" s="4"/>
      <c r="C668" s="5"/>
      <c r="E668" s="10"/>
      <c r="F668" s="8">
        <f>SUM(F667)</f>
        <v>0</v>
      </c>
    </row>
    <row r="669" spans="1:6" s="9" customFormat="1" x14ac:dyDescent="0.25">
      <c r="B669" s="4"/>
      <c r="C669" s="5"/>
      <c r="E669" s="10"/>
      <c r="F669" s="10"/>
    </row>
    <row r="670" spans="1:6" s="9" customFormat="1" x14ac:dyDescent="0.25">
      <c r="A670" s="9" t="s">
        <v>558</v>
      </c>
      <c r="B670" s="4">
        <v>45817</v>
      </c>
      <c r="C670" s="5">
        <v>5</v>
      </c>
      <c r="D670" s="9" t="s">
        <v>13</v>
      </c>
      <c r="E670" s="10">
        <v>150</v>
      </c>
      <c r="F670" s="10">
        <f t="shared" si="10"/>
        <v>750</v>
      </c>
    </row>
    <row r="671" spans="1:6" s="9" customFormat="1" x14ac:dyDescent="0.25">
      <c r="B671" s="4"/>
      <c r="C671" s="5"/>
      <c r="E671" s="10"/>
      <c r="F671" s="8">
        <f>SUM(F670)</f>
        <v>750</v>
      </c>
    </row>
    <row r="672" spans="1:6" s="9" customFormat="1" x14ac:dyDescent="0.25">
      <c r="B672" s="4"/>
      <c r="C672" s="5"/>
      <c r="E672" s="10"/>
      <c r="F672" s="10"/>
    </row>
    <row r="673" spans="1:6" s="9" customFormat="1" x14ac:dyDescent="0.25">
      <c r="A673" s="9" t="s">
        <v>102</v>
      </c>
      <c r="B673" s="4">
        <v>45817</v>
      </c>
      <c r="C673" s="5">
        <v>6</v>
      </c>
      <c r="D673" s="9" t="s">
        <v>13</v>
      </c>
      <c r="E673" s="10">
        <v>145</v>
      </c>
      <c r="F673" s="10">
        <f t="shared" si="10"/>
        <v>870</v>
      </c>
    </row>
    <row r="674" spans="1:6" s="9" customFormat="1" x14ac:dyDescent="0.25">
      <c r="B674" s="4"/>
      <c r="C674" s="5"/>
      <c r="E674" s="10"/>
      <c r="F674" s="8">
        <f>SUM(F673)</f>
        <v>870</v>
      </c>
    </row>
    <row r="675" spans="1:6" s="9" customFormat="1" x14ac:dyDescent="0.25">
      <c r="B675" s="4"/>
      <c r="C675" s="5"/>
      <c r="E675" s="10"/>
      <c r="F675" s="10"/>
    </row>
    <row r="676" spans="1:6" s="9" customFormat="1" x14ac:dyDescent="0.25">
      <c r="A676" s="9" t="s">
        <v>434</v>
      </c>
      <c r="B676" s="4">
        <v>45817</v>
      </c>
      <c r="C676" s="5">
        <v>8</v>
      </c>
      <c r="D676" s="9" t="s">
        <v>12</v>
      </c>
      <c r="E676" s="10">
        <v>130</v>
      </c>
      <c r="F676" s="10">
        <f t="shared" si="10"/>
        <v>1040</v>
      </c>
    </row>
    <row r="677" spans="1:6" s="9" customFormat="1" x14ac:dyDescent="0.25">
      <c r="B677" s="4"/>
      <c r="C677" s="5"/>
      <c r="E677" s="10"/>
      <c r="F677" s="8">
        <f>SUM(F676)</f>
        <v>1040</v>
      </c>
    </row>
    <row r="678" spans="1:6" s="9" customFormat="1" x14ac:dyDescent="0.25">
      <c r="B678" s="4"/>
      <c r="C678" s="5"/>
      <c r="E678" s="10"/>
      <c r="F678" s="10"/>
    </row>
    <row r="679" spans="1:6" s="9" customFormat="1" x14ac:dyDescent="0.25">
      <c r="A679" s="9" t="s">
        <v>112</v>
      </c>
      <c r="B679" s="4">
        <v>45817</v>
      </c>
      <c r="C679" s="5">
        <v>100</v>
      </c>
      <c r="D679" s="9" t="s">
        <v>22</v>
      </c>
      <c r="E679" s="10">
        <v>90</v>
      </c>
      <c r="F679" s="10">
        <f t="shared" si="10"/>
        <v>9000</v>
      </c>
    </row>
    <row r="680" spans="1:6" s="9" customFormat="1" x14ac:dyDescent="0.25">
      <c r="B680" s="4"/>
      <c r="C680" s="5">
        <v>40</v>
      </c>
      <c r="D680" s="9" t="s">
        <v>50</v>
      </c>
      <c r="E680" s="10">
        <v>85</v>
      </c>
      <c r="F680" s="10">
        <f t="shared" si="10"/>
        <v>3400</v>
      </c>
    </row>
    <row r="681" spans="1:6" s="9" customFormat="1" x14ac:dyDescent="0.25">
      <c r="B681" s="4"/>
      <c r="C681" s="5">
        <v>30</v>
      </c>
      <c r="D681" s="9" t="s">
        <v>14</v>
      </c>
      <c r="E681" s="10">
        <v>120</v>
      </c>
      <c r="F681" s="10">
        <f t="shared" si="10"/>
        <v>3600</v>
      </c>
    </row>
    <row r="682" spans="1:6" s="9" customFormat="1" x14ac:dyDescent="0.25">
      <c r="B682" s="4"/>
      <c r="C682" s="5"/>
      <c r="E682" s="10"/>
      <c r="F682" s="8">
        <f>SUM(F679:F681)</f>
        <v>16000</v>
      </c>
    </row>
    <row r="683" spans="1:6" s="9" customFormat="1" x14ac:dyDescent="0.25">
      <c r="B683" s="4"/>
      <c r="C683" s="5"/>
      <c r="E683" s="10"/>
      <c r="F683" s="10"/>
    </row>
    <row r="684" spans="1:6" s="9" customFormat="1" x14ac:dyDescent="0.25">
      <c r="A684" s="9" t="s">
        <v>535</v>
      </c>
      <c r="B684" s="4">
        <v>45817</v>
      </c>
      <c r="C684" s="5">
        <v>23</v>
      </c>
      <c r="D684" s="9" t="s">
        <v>12</v>
      </c>
      <c r="E684" s="10">
        <v>130</v>
      </c>
      <c r="F684" s="10">
        <f t="shared" si="10"/>
        <v>2990</v>
      </c>
    </row>
    <row r="685" spans="1:6" s="9" customFormat="1" x14ac:dyDescent="0.25">
      <c r="B685" s="4"/>
      <c r="C685" s="5">
        <v>60</v>
      </c>
      <c r="D685" s="9" t="s">
        <v>13</v>
      </c>
      <c r="E685" s="10">
        <v>140</v>
      </c>
      <c r="F685" s="10">
        <f t="shared" si="10"/>
        <v>8400</v>
      </c>
    </row>
    <row r="686" spans="1:6" s="9" customFormat="1" x14ac:dyDescent="0.25">
      <c r="B686" s="4"/>
      <c r="C686" s="5">
        <v>14</v>
      </c>
      <c r="D686" s="9" t="s">
        <v>694</v>
      </c>
      <c r="E686" s="10">
        <v>160</v>
      </c>
      <c r="F686" s="10">
        <f t="shared" si="10"/>
        <v>2240</v>
      </c>
    </row>
    <row r="687" spans="1:6" s="9" customFormat="1" x14ac:dyDescent="0.25">
      <c r="B687" s="4"/>
      <c r="C687" s="5">
        <v>30</v>
      </c>
      <c r="D687" s="9" t="s">
        <v>14</v>
      </c>
      <c r="E687" s="10">
        <v>135</v>
      </c>
      <c r="F687" s="10">
        <f t="shared" si="10"/>
        <v>4050</v>
      </c>
    </row>
    <row r="688" spans="1:6" s="9" customFormat="1" x14ac:dyDescent="0.25">
      <c r="B688" s="4"/>
      <c r="C688" s="5"/>
      <c r="E688" s="10"/>
      <c r="F688" s="8">
        <f>SUM(F684:F687)</f>
        <v>17680</v>
      </c>
    </row>
    <row r="689" spans="1:6" s="9" customFormat="1" x14ac:dyDescent="0.25">
      <c r="B689" s="4"/>
      <c r="C689" s="5"/>
      <c r="E689" s="10"/>
      <c r="F689" s="10"/>
    </row>
    <row r="690" spans="1:6" s="9" customFormat="1" x14ac:dyDescent="0.25">
      <c r="A690" s="9" t="s">
        <v>101</v>
      </c>
      <c r="B690" s="4">
        <v>45817</v>
      </c>
      <c r="C690" s="5">
        <v>2</v>
      </c>
      <c r="D690" s="9" t="s">
        <v>600</v>
      </c>
      <c r="E690" s="10">
        <v>140</v>
      </c>
      <c r="F690" s="10">
        <f t="shared" si="10"/>
        <v>280</v>
      </c>
    </row>
    <row r="691" spans="1:6" s="9" customFormat="1" x14ac:dyDescent="0.25">
      <c r="B691" s="4"/>
      <c r="C691" s="5">
        <v>1</v>
      </c>
      <c r="D691" s="9" t="s">
        <v>12</v>
      </c>
      <c r="E691" s="10">
        <v>150</v>
      </c>
      <c r="F691" s="10">
        <f t="shared" si="10"/>
        <v>150</v>
      </c>
    </row>
    <row r="692" spans="1:6" s="9" customFormat="1" x14ac:dyDescent="0.25">
      <c r="B692" s="4"/>
      <c r="C692" s="5"/>
      <c r="E692" s="10"/>
      <c r="F692" s="8">
        <f>SUM(F690:F691)</f>
        <v>430</v>
      </c>
    </row>
    <row r="693" spans="1:6" s="9" customFormat="1" x14ac:dyDescent="0.25">
      <c r="B693" s="4"/>
      <c r="C693" s="5"/>
      <c r="E693" s="10"/>
      <c r="F693" s="10"/>
    </row>
    <row r="694" spans="1:6" s="9" customFormat="1" x14ac:dyDescent="0.25">
      <c r="A694" s="9" t="s">
        <v>7</v>
      </c>
      <c r="B694" s="4">
        <v>45817</v>
      </c>
      <c r="C694" s="5">
        <v>3</v>
      </c>
      <c r="D694" s="9" t="s">
        <v>695</v>
      </c>
      <c r="E694" s="10">
        <v>140</v>
      </c>
      <c r="F694" s="10">
        <f t="shared" si="10"/>
        <v>420</v>
      </c>
    </row>
    <row r="695" spans="1:6" s="9" customFormat="1" x14ac:dyDescent="0.25">
      <c r="B695" s="4"/>
      <c r="C695" s="5">
        <v>1</v>
      </c>
      <c r="D695" s="9" t="s">
        <v>14</v>
      </c>
      <c r="E695" s="10">
        <v>150</v>
      </c>
      <c r="F695" s="10">
        <f t="shared" si="10"/>
        <v>150</v>
      </c>
    </row>
    <row r="696" spans="1:6" s="9" customFormat="1" x14ac:dyDescent="0.25">
      <c r="B696" s="4"/>
      <c r="C696" s="5">
        <v>8</v>
      </c>
      <c r="D696" s="9" t="s">
        <v>12</v>
      </c>
      <c r="E696" s="10">
        <v>140</v>
      </c>
      <c r="F696" s="10">
        <f t="shared" si="10"/>
        <v>1120</v>
      </c>
    </row>
    <row r="697" spans="1:6" s="9" customFormat="1" x14ac:dyDescent="0.25">
      <c r="B697" s="4"/>
      <c r="C697" s="5"/>
      <c r="E697" s="10"/>
      <c r="F697" s="8">
        <f>SUM(F694:F696)</f>
        <v>1690</v>
      </c>
    </row>
    <row r="698" spans="1:6" s="9" customFormat="1" x14ac:dyDescent="0.25">
      <c r="B698" s="4"/>
      <c r="C698" s="5"/>
      <c r="E698" s="10"/>
      <c r="F698" s="10"/>
    </row>
    <row r="699" spans="1:6" s="9" customFormat="1" x14ac:dyDescent="0.25">
      <c r="A699" s="9" t="s">
        <v>174</v>
      </c>
      <c r="B699" s="4">
        <v>45818</v>
      </c>
      <c r="C699" s="5">
        <v>50</v>
      </c>
      <c r="D699" s="9" t="s">
        <v>12</v>
      </c>
      <c r="E699" s="10">
        <v>140</v>
      </c>
      <c r="F699" s="10">
        <f t="shared" si="10"/>
        <v>7000</v>
      </c>
    </row>
    <row r="700" spans="1:6" s="9" customFormat="1" x14ac:dyDescent="0.25">
      <c r="B700" s="4"/>
      <c r="C700" s="5">
        <v>50</v>
      </c>
      <c r="D700" s="9" t="s">
        <v>22</v>
      </c>
      <c r="E700" s="10">
        <v>120</v>
      </c>
      <c r="F700" s="10">
        <f t="shared" si="10"/>
        <v>6000</v>
      </c>
    </row>
    <row r="701" spans="1:6" s="9" customFormat="1" x14ac:dyDescent="0.25">
      <c r="B701" s="4"/>
      <c r="C701" s="5"/>
      <c r="E701" s="10"/>
      <c r="F701" s="8">
        <f>SUM(F699:F700)</f>
        <v>13000</v>
      </c>
    </row>
    <row r="702" spans="1:6" s="9" customFormat="1" x14ac:dyDescent="0.25">
      <c r="B702" s="4"/>
      <c r="C702" s="5"/>
      <c r="E702" s="10"/>
      <c r="F702" s="10"/>
    </row>
    <row r="703" spans="1:6" s="9" customFormat="1" x14ac:dyDescent="0.25">
      <c r="A703" s="9" t="s">
        <v>609</v>
      </c>
      <c r="B703" s="4">
        <v>45818</v>
      </c>
      <c r="C703" s="5">
        <v>80</v>
      </c>
      <c r="D703" s="9" t="s">
        <v>22</v>
      </c>
      <c r="E703" s="10">
        <v>90</v>
      </c>
      <c r="F703" s="10">
        <f t="shared" si="10"/>
        <v>7200</v>
      </c>
    </row>
    <row r="704" spans="1:6" s="9" customFormat="1" x14ac:dyDescent="0.25">
      <c r="B704" s="4"/>
      <c r="C704" s="5">
        <v>10</v>
      </c>
      <c r="D704" s="9" t="s">
        <v>13</v>
      </c>
      <c r="E704" s="10">
        <v>120</v>
      </c>
      <c r="F704" s="10">
        <f t="shared" si="10"/>
        <v>1200</v>
      </c>
    </row>
    <row r="705" spans="1:6" s="9" customFormat="1" x14ac:dyDescent="0.25">
      <c r="B705" s="4"/>
      <c r="C705" s="5"/>
      <c r="E705" s="10"/>
      <c r="F705" s="8">
        <f>SUM(F703:F704)</f>
        <v>8400</v>
      </c>
    </row>
    <row r="706" spans="1:6" s="9" customFormat="1" x14ac:dyDescent="0.25">
      <c r="B706" s="4"/>
      <c r="C706" s="5"/>
      <c r="E706" s="10"/>
      <c r="F706" s="10"/>
    </row>
    <row r="707" spans="1:6" s="9" customFormat="1" x14ac:dyDescent="0.25">
      <c r="A707" s="9" t="s">
        <v>116</v>
      </c>
      <c r="B707" s="4">
        <v>45818</v>
      </c>
      <c r="C707" s="5">
        <v>120</v>
      </c>
      <c r="D707" s="9" t="s">
        <v>98</v>
      </c>
      <c r="E707" s="10"/>
      <c r="F707" s="10">
        <f t="shared" si="10"/>
        <v>0</v>
      </c>
    </row>
    <row r="708" spans="1:6" s="9" customFormat="1" x14ac:dyDescent="0.25">
      <c r="B708" s="4"/>
      <c r="C708" s="5">
        <v>100</v>
      </c>
      <c r="D708" s="9" t="s">
        <v>12</v>
      </c>
      <c r="E708" s="10"/>
      <c r="F708" s="10">
        <f t="shared" ref="F708:F769" si="11">+C708*E708</f>
        <v>0</v>
      </c>
    </row>
    <row r="709" spans="1:6" s="9" customFormat="1" x14ac:dyDescent="0.25">
      <c r="B709" s="4"/>
      <c r="C709" s="5"/>
      <c r="E709" s="10"/>
      <c r="F709" s="8">
        <f>SUM(F707:F708)</f>
        <v>0</v>
      </c>
    </row>
    <row r="710" spans="1:6" s="9" customFormat="1" x14ac:dyDescent="0.25">
      <c r="B710" s="4"/>
      <c r="C710" s="5"/>
      <c r="E710" s="10"/>
      <c r="F710" s="10"/>
    </row>
    <row r="711" spans="1:6" s="9" customFormat="1" x14ac:dyDescent="0.25">
      <c r="A711" s="9" t="s">
        <v>111</v>
      </c>
      <c r="B711" s="4">
        <v>45818</v>
      </c>
      <c r="C711" s="5">
        <v>30</v>
      </c>
      <c r="D711" s="9" t="s">
        <v>13</v>
      </c>
      <c r="E711" s="10">
        <v>140</v>
      </c>
      <c r="F711" s="10">
        <f t="shared" si="11"/>
        <v>4200</v>
      </c>
    </row>
    <row r="712" spans="1:6" s="9" customFormat="1" x14ac:dyDescent="0.25">
      <c r="B712" s="4"/>
      <c r="C712" s="5">
        <v>1</v>
      </c>
      <c r="D712" s="9" t="s">
        <v>318</v>
      </c>
      <c r="E712" s="10">
        <v>0</v>
      </c>
      <c r="F712" s="10">
        <f t="shared" si="11"/>
        <v>0</v>
      </c>
    </row>
    <row r="713" spans="1:6" s="9" customFormat="1" x14ac:dyDescent="0.25">
      <c r="B713" s="4"/>
      <c r="C713" s="5"/>
      <c r="E713" s="10"/>
      <c r="F713" s="8">
        <f>SUM(F711:F712)</f>
        <v>4200</v>
      </c>
    </row>
    <row r="714" spans="1:6" s="9" customFormat="1" x14ac:dyDescent="0.25">
      <c r="B714" s="4"/>
      <c r="C714" s="5"/>
      <c r="E714" s="10"/>
      <c r="F714" s="10"/>
    </row>
    <row r="715" spans="1:6" s="9" customFormat="1" x14ac:dyDescent="0.25">
      <c r="A715" s="9" t="s">
        <v>61</v>
      </c>
      <c r="B715" s="4">
        <v>45818</v>
      </c>
      <c r="C715" s="5">
        <v>70</v>
      </c>
      <c r="D715" s="9" t="s">
        <v>13</v>
      </c>
      <c r="E715" s="10">
        <v>130</v>
      </c>
      <c r="F715" s="10">
        <f t="shared" si="11"/>
        <v>9100</v>
      </c>
    </row>
    <row r="716" spans="1:6" s="9" customFormat="1" x14ac:dyDescent="0.25">
      <c r="B716" s="4"/>
      <c r="C716" s="5"/>
      <c r="E716" s="10"/>
      <c r="F716" s="8">
        <f>SUM(F715)</f>
        <v>9100</v>
      </c>
    </row>
    <row r="717" spans="1:6" s="9" customFormat="1" x14ac:dyDescent="0.25">
      <c r="B717" s="4"/>
      <c r="C717" s="5"/>
      <c r="E717" s="10"/>
      <c r="F717" s="10"/>
    </row>
    <row r="718" spans="1:6" s="9" customFormat="1" x14ac:dyDescent="0.25">
      <c r="A718" s="9" t="s">
        <v>255</v>
      </c>
      <c r="B718" s="4">
        <v>45818</v>
      </c>
      <c r="C718" s="5">
        <v>144</v>
      </c>
      <c r="D718" s="9" t="s">
        <v>8</v>
      </c>
      <c r="E718" s="10">
        <v>150</v>
      </c>
      <c r="F718" s="10">
        <f t="shared" si="11"/>
        <v>21600</v>
      </c>
    </row>
    <row r="719" spans="1:6" s="9" customFormat="1" x14ac:dyDescent="0.25">
      <c r="B719" s="4"/>
      <c r="C719" s="5"/>
      <c r="E719" s="10"/>
      <c r="F719" s="8">
        <f>SUM(F718)</f>
        <v>21600</v>
      </c>
    </row>
    <row r="720" spans="1:6" s="9" customFormat="1" x14ac:dyDescent="0.25">
      <c r="B720" s="4"/>
      <c r="C720" s="5"/>
      <c r="E720" s="10"/>
      <c r="F720" s="10"/>
    </row>
    <row r="721" spans="1:6" s="9" customFormat="1" x14ac:dyDescent="0.25">
      <c r="A721" s="9" t="s">
        <v>514</v>
      </c>
      <c r="B721" s="4">
        <v>45818</v>
      </c>
      <c r="C721" s="5">
        <v>10</v>
      </c>
      <c r="D721" s="9" t="s">
        <v>98</v>
      </c>
      <c r="E721" s="10">
        <v>100</v>
      </c>
      <c r="F721" s="10">
        <f t="shared" si="11"/>
        <v>1000</v>
      </c>
    </row>
    <row r="722" spans="1:6" s="9" customFormat="1" x14ac:dyDescent="0.25">
      <c r="B722" s="4"/>
      <c r="C722" s="5"/>
      <c r="E722" s="10"/>
      <c r="F722" s="8">
        <f>SUM(F721)</f>
        <v>1000</v>
      </c>
    </row>
    <row r="723" spans="1:6" s="9" customFormat="1" x14ac:dyDescent="0.25">
      <c r="B723" s="4"/>
      <c r="C723" s="5"/>
      <c r="E723" s="10"/>
      <c r="F723" s="10"/>
    </row>
    <row r="724" spans="1:6" s="9" customFormat="1" x14ac:dyDescent="0.25">
      <c r="A724" s="9" t="s">
        <v>89</v>
      </c>
      <c r="B724" s="4">
        <v>45818</v>
      </c>
      <c r="C724" s="5">
        <v>30</v>
      </c>
      <c r="D724" s="9" t="s">
        <v>13</v>
      </c>
      <c r="E724" s="10">
        <v>130</v>
      </c>
      <c r="F724" s="10">
        <f t="shared" si="11"/>
        <v>3900</v>
      </c>
    </row>
    <row r="725" spans="1:6" s="9" customFormat="1" x14ac:dyDescent="0.25">
      <c r="B725" s="4"/>
      <c r="C725" s="5">
        <v>50</v>
      </c>
      <c r="D725" s="9" t="s">
        <v>22</v>
      </c>
      <c r="E725" s="10">
        <v>100</v>
      </c>
      <c r="F725" s="10">
        <f t="shared" si="11"/>
        <v>5000</v>
      </c>
    </row>
    <row r="726" spans="1:6" s="9" customFormat="1" x14ac:dyDescent="0.25">
      <c r="B726" s="4"/>
      <c r="C726" s="5"/>
      <c r="E726" s="10"/>
      <c r="F726" s="8">
        <f>SUM(F724:F725)</f>
        <v>8900</v>
      </c>
    </row>
    <row r="727" spans="1:6" s="9" customFormat="1" x14ac:dyDescent="0.25">
      <c r="B727" s="4"/>
      <c r="C727" s="5"/>
      <c r="E727" s="10"/>
      <c r="F727" s="10"/>
    </row>
    <row r="728" spans="1:6" s="9" customFormat="1" x14ac:dyDescent="0.25">
      <c r="A728" s="9" t="s">
        <v>245</v>
      </c>
      <c r="B728" s="4">
        <v>45818</v>
      </c>
      <c r="C728" s="5">
        <v>70</v>
      </c>
      <c r="D728" s="9" t="s">
        <v>13</v>
      </c>
      <c r="E728" s="10">
        <v>140</v>
      </c>
      <c r="F728" s="10">
        <f t="shared" si="11"/>
        <v>9800</v>
      </c>
    </row>
    <row r="729" spans="1:6" s="9" customFormat="1" x14ac:dyDescent="0.25">
      <c r="B729" s="4"/>
      <c r="C729" s="5">
        <v>10</v>
      </c>
      <c r="E729" s="10">
        <v>130</v>
      </c>
      <c r="F729" s="10">
        <f t="shared" si="11"/>
        <v>1300</v>
      </c>
    </row>
    <row r="730" spans="1:6" s="9" customFormat="1" x14ac:dyDescent="0.25">
      <c r="B730" s="4"/>
      <c r="C730" s="5"/>
      <c r="E730" s="10"/>
      <c r="F730" s="8">
        <f>SUM(F728:F729)</f>
        <v>11100</v>
      </c>
    </row>
    <row r="731" spans="1:6" s="9" customFormat="1" x14ac:dyDescent="0.25">
      <c r="B731" s="4"/>
      <c r="C731" s="5"/>
      <c r="E731" s="10"/>
      <c r="F731" s="10"/>
    </row>
    <row r="732" spans="1:6" s="9" customFormat="1" x14ac:dyDescent="0.25">
      <c r="A732" s="9" t="s">
        <v>535</v>
      </c>
      <c r="B732" s="4">
        <v>45818</v>
      </c>
      <c r="C732" s="5">
        <v>20</v>
      </c>
      <c r="D732" s="9" t="s">
        <v>12</v>
      </c>
      <c r="E732" s="10">
        <v>130</v>
      </c>
      <c r="F732" s="10">
        <f t="shared" si="11"/>
        <v>2600</v>
      </c>
    </row>
    <row r="733" spans="1:6" s="9" customFormat="1" x14ac:dyDescent="0.25">
      <c r="B733" s="4"/>
      <c r="C733" s="5">
        <v>56</v>
      </c>
      <c r="D733" s="9" t="s">
        <v>13</v>
      </c>
      <c r="E733" s="10">
        <v>140</v>
      </c>
      <c r="F733" s="10">
        <f t="shared" si="11"/>
        <v>7840</v>
      </c>
    </row>
    <row r="734" spans="1:6" s="9" customFormat="1" x14ac:dyDescent="0.25">
      <c r="B734" s="4"/>
      <c r="C734" s="5">
        <v>20</v>
      </c>
      <c r="D734" s="9" t="s">
        <v>13</v>
      </c>
      <c r="E734" s="10">
        <v>135</v>
      </c>
      <c r="F734" s="10">
        <f t="shared" si="11"/>
        <v>2700</v>
      </c>
    </row>
    <row r="735" spans="1:6" s="9" customFormat="1" x14ac:dyDescent="0.25">
      <c r="B735" s="4"/>
      <c r="C735" s="5">
        <v>9</v>
      </c>
      <c r="D735" s="9" t="s">
        <v>696</v>
      </c>
      <c r="E735" s="10">
        <v>160</v>
      </c>
      <c r="F735" s="10">
        <f t="shared" si="11"/>
        <v>1440</v>
      </c>
    </row>
    <row r="736" spans="1:6" s="9" customFormat="1" x14ac:dyDescent="0.25">
      <c r="B736" s="4"/>
      <c r="C736" s="5">
        <v>2</v>
      </c>
      <c r="D736" s="9" t="s">
        <v>14</v>
      </c>
      <c r="E736" s="10">
        <v>135</v>
      </c>
      <c r="F736" s="10">
        <f t="shared" si="11"/>
        <v>270</v>
      </c>
    </row>
    <row r="737" spans="1:6" s="9" customFormat="1" x14ac:dyDescent="0.25">
      <c r="B737" s="4"/>
      <c r="C737" s="5"/>
      <c r="E737" s="10"/>
      <c r="F737" s="8">
        <f>SUM(F732:F736)</f>
        <v>14850</v>
      </c>
    </row>
    <row r="738" spans="1:6" s="9" customFormat="1" x14ac:dyDescent="0.25">
      <c r="B738" s="4"/>
      <c r="C738" s="5"/>
      <c r="E738" s="10"/>
      <c r="F738" s="10"/>
    </row>
    <row r="739" spans="1:6" s="9" customFormat="1" x14ac:dyDescent="0.25">
      <c r="A739" s="9" t="s">
        <v>319</v>
      </c>
      <c r="B739" s="4">
        <v>45910</v>
      </c>
      <c r="C739" s="5">
        <v>10</v>
      </c>
      <c r="D739" s="9" t="s">
        <v>8</v>
      </c>
      <c r="E739" s="10">
        <v>160</v>
      </c>
      <c r="F739" s="10">
        <f t="shared" si="11"/>
        <v>1600</v>
      </c>
    </row>
    <row r="740" spans="1:6" s="9" customFormat="1" x14ac:dyDescent="0.25">
      <c r="B740" s="4"/>
      <c r="C740" s="5"/>
      <c r="E740" s="10"/>
      <c r="F740" s="8">
        <f>SUM(F739)</f>
        <v>1600</v>
      </c>
    </row>
    <row r="741" spans="1:6" s="9" customFormat="1" x14ac:dyDescent="0.25">
      <c r="B741" s="4"/>
      <c r="C741" s="5"/>
      <c r="E741" s="10"/>
      <c r="F741" s="10"/>
    </row>
    <row r="742" spans="1:6" s="9" customFormat="1" x14ac:dyDescent="0.25">
      <c r="A742" s="9" t="s">
        <v>697</v>
      </c>
      <c r="B742" s="4">
        <v>45910</v>
      </c>
      <c r="C742" s="5">
        <v>3</v>
      </c>
      <c r="D742" s="9" t="s">
        <v>8</v>
      </c>
      <c r="E742" s="10">
        <v>170</v>
      </c>
      <c r="F742" s="10">
        <f t="shared" si="11"/>
        <v>510</v>
      </c>
    </row>
    <row r="743" spans="1:6" s="9" customFormat="1" x14ac:dyDescent="0.25">
      <c r="B743" s="4"/>
      <c r="C743" s="5">
        <v>1</v>
      </c>
      <c r="D743" s="9" t="s">
        <v>8</v>
      </c>
      <c r="E743" s="10">
        <v>170</v>
      </c>
      <c r="F743" s="10">
        <f t="shared" si="11"/>
        <v>170</v>
      </c>
    </row>
    <row r="744" spans="1:6" s="9" customFormat="1" x14ac:dyDescent="0.25">
      <c r="B744" s="4"/>
      <c r="C744" s="5"/>
      <c r="E744" s="10"/>
      <c r="F744" s="8">
        <f>SUM(F742:F743)</f>
        <v>680</v>
      </c>
    </row>
    <row r="745" spans="1:6" s="9" customFormat="1" x14ac:dyDescent="0.25">
      <c r="B745" s="4"/>
      <c r="C745" s="5"/>
      <c r="E745" s="10"/>
      <c r="F745" s="10"/>
    </row>
    <row r="746" spans="1:6" s="9" customFormat="1" x14ac:dyDescent="0.25">
      <c r="A746" s="9" t="s">
        <v>7</v>
      </c>
      <c r="B746" s="4">
        <v>45818</v>
      </c>
      <c r="C746" s="11">
        <v>0.5</v>
      </c>
      <c r="D746" s="9" t="s">
        <v>13</v>
      </c>
      <c r="E746" s="10">
        <v>160</v>
      </c>
      <c r="F746" s="10">
        <f t="shared" si="11"/>
        <v>80</v>
      </c>
    </row>
    <row r="747" spans="1:6" s="9" customFormat="1" x14ac:dyDescent="0.25">
      <c r="B747" s="4"/>
      <c r="C747" s="5"/>
      <c r="E747" s="10"/>
      <c r="F747" s="8">
        <f>SUM(F746)</f>
        <v>80</v>
      </c>
    </row>
    <row r="748" spans="1:6" s="9" customFormat="1" x14ac:dyDescent="0.25">
      <c r="B748" s="4"/>
      <c r="C748" s="5"/>
      <c r="E748" s="10"/>
      <c r="F748" s="10"/>
    </row>
    <row r="749" spans="1:6" s="9" customFormat="1" x14ac:dyDescent="0.25">
      <c r="A749" s="9" t="s">
        <v>85</v>
      </c>
      <c r="B749" s="4">
        <v>45819</v>
      </c>
      <c r="C749" s="5">
        <v>10</v>
      </c>
      <c r="D749" s="9" t="s">
        <v>13</v>
      </c>
      <c r="E749" s="10">
        <v>140</v>
      </c>
      <c r="F749" s="10">
        <f t="shared" si="11"/>
        <v>1400</v>
      </c>
    </row>
    <row r="750" spans="1:6" s="9" customFormat="1" x14ac:dyDescent="0.25">
      <c r="B750" s="4"/>
      <c r="C750" s="5"/>
      <c r="E750" s="10"/>
      <c r="F750" s="8">
        <f>SUM(F749)</f>
        <v>1400</v>
      </c>
    </row>
    <row r="751" spans="1:6" s="9" customFormat="1" x14ac:dyDescent="0.25">
      <c r="B751" s="4"/>
      <c r="C751" s="5"/>
      <c r="E751" s="10"/>
      <c r="F751" s="10"/>
    </row>
    <row r="752" spans="1:6" s="9" customFormat="1" x14ac:dyDescent="0.25">
      <c r="A752" s="9" t="s">
        <v>698</v>
      </c>
      <c r="B752" s="4">
        <v>45819</v>
      </c>
      <c r="C752" s="5">
        <v>15</v>
      </c>
      <c r="D752" s="9" t="s">
        <v>449</v>
      </c>
      <c r="E752" s="10">
        <v>140</v>
      </c>
      <c r="F752" s="10">
        <f t="shared" si="11"/>
        <v>2100</v>
      </c>
    </row>
    <row r="753" spans="1:6" s="9" customFormat="1" x14ac:dyDescent="0.25">
      <c r="B753" s="4"/>
      <c r="C753" s="5"/>
      <c r="E753" s="10"/>
      <c r="F753" s="8">
        <f>SUM(F752)</f>
        <v>2100</v>
      </c>
    </row>
    <row r="754" spans="1:6" s="9" customFormat="1" x14ac:dyDescent="0.25">
      <c r="B754" s="4"/>
      <c r="C754" s="5"/>
      <c r="E754" s="10"/>
      <c r="F754" s="10"/>
    </row>
    <row r="755" spans="1:6" s="9" customFormat="1" x14ac:dyDescent="0.25">
      <c r="A755" s="9" t="s">
        <v>58</v>
      </c>
      <c r="B755" s="4">
        <v>45819</v>
      </c>
      <c r="C755" s="5">
        <v>12</v>
      </c>
      <c r="D755" s="9" t="s">
        <v>13</v>
      </c>
      <c r="E755" s="10">
        <v>135</v>
      </c>
      <c r="F755" s="10">
        <f t="shared" si="11"/>
        <v>1620</v>
      </c>
    </row>
    <row r="756" spans="1:6" s="9" customFormat="1" x14ac:dyDescent="0.25">
      <c r="B756" s="4"/>
      <c r="C756" s="5"/>
      <c r="E756" s="10"/>
      <c r="F756" s="8">
        <f>SUM(F755)</f>
        <v>1620</v>
      </c>
    </row>
    <row r="757" spans="1:6" s="9" customFormat="1" x14ac:dyDescent="0.25">
      <c r="B757" s="4"/>
      <c r="C757" s="5"/>
      <c r="E757" s="10"/>
      <c r="F757" s="10"/>
    </row>
    <row r="758" spans="1:6" s="9" customFormat="1" x14ac:dyDescent="0.25">
      <c r="A758" s="9" t="s">
        <v>15</v>
      </c>
      <c r="B758" s="4">
        <v>45819</v>
      </c>
      <c r="C758" s="5">
        <v>57</v>
      </c>
      <c r="D758" s="9" t="s">
        <v>98</v>
      </c>
      <c r="E758" s="10">
        <v>80</v>
      </c>
      <c r="F758" s="10">
        <f t="shared" si="11"/>
        <v>4560</v>
      </c>
    </row>
    <row r="759" spans="1:6" s="9" customFormat="1" x14ac:dyDescent="0.25">
      <c r="B759" s="4"/>
      <c r="C759" s="5"/>
      <c r="E759" s="10"/>
      <c r="F759" s="8">
        <f>SUM(F758)</f>
        <v>4560</v>
      </c>
    </row>
    <row r="760" spans="1:6" s="9" customFormat="1" x14ac:dyDescent="0.25">
      <c r="B760" s="4"/>
      <c r="C760" s="5"/>
      <c r="E760" s="10"/>
      <c r="F760" s="10"/>
    </row>
    <row r="761" spans="1:6" s="9" customFormat="1" x14ac:dyDescent="0.25">
      <c r="A761" s="9" t="s">
        <v>17</v>
      </c>
      <c r="B761" s="4">
        <v>45819</v>
      </c>
      <c r="C761" s="5">
        <v>10</v>
      </c>
      <c r="D761" s="9" t="s">
        <v>13</v>
      </c>
      <c r="E761" s="10">
        <v>140</v>
      </c>
      <c r="F761" s="10">
        <f t="shared" si="11"/>
        <v>1400</v>
      </c>
    </row>
    <row r="762" spans="1:6" s="9" customFormat="1" x14ac:dyDescent="0.25">
      <c r="B762" s="4"/>
      <c r="C762" s="5"/>
      <c r="E762" s="10"/>
      <c r="F762" s="8">
        <f>SUM(F761)</f>
        <v>1400</v>
      </c>
    </row>
    <row r="763" spans="1:6" s="9" customFormat="1" x14ac:dyDescent="0.25">
      <c r="B763" s="4"/>
      <c r="C763" s="5"/>
      <c r="E763" s="10"/>
      <c r="F763" s="10"/>
    </row>
    <row r="764" spans="1:6" s="9" customFormat="1" x14ac:dyDescent="0.25">
      <c r="A764" s="9" t="s">
        <v>673</v>
      </c>
      <c r="B764" s="4">
        <v>45819</v>
      </c>
      <c r="C764" s="5">
        <v>20</v>
      </c>
      <c r="D764" s="9" t="s">
        <v>14</v>
      </c>
      <c r="E764" s="10">
        <v>125</v>
      </c>
      <c r="F764" s="10">
        <f t="shared" si="11"/>
        <v>2500</v>
      </c>
    </row>
    <row r="765" spans="1:6" s="9" customFormat="1" x14ac:dyDescent="0.25">
      <c r="B765" s="4"/>
      <c r="C765" s="5">
        <v>15</v>
      </c>
      <c r="D765" s="9" t="s">
        <v>12</v>
      </c>
      <c r="E765" s="10">
        <v>120</v>
      </c>
      <c r="F765" s="10">
        <f t="shared" si="11"/>
        <v>1800</v>
      </c>
    </row>
    <row r="766" spans="1:6" s="9" customFormat="1" x14ac:dyDescent="0.25">
      <c r="B766" s="4"/>
      <c r="C766" s="5">
        <v>10</v>
      </c>
      <c r="D766" s="9" t="s">
        <v>13</v>
      </c>
      <c r="E766" s="10">
        <v>135</v>
      </c>
      <c r="F766" s="10">
        <f t="shared" si="11"/>
        <v>1350</v>
      </c>
    </row>
    <row r="767" spans="1:6" s="9" customFormat="1" x14ac:dyDescent="0.25">
      <c r="B767" s="4"/>
      <c r="C767" s="5"/>
      <c r="E767" s="10"/>
      <c r="F767" s="8">
        <f>SUM(F764:F766)</f>
        <v>5650</v>
      </c>
    </row>
    <row r="768" spans="1:6" s="9" customFormat="1" x14ac:dyDescent="0.25">
      <c r="B768" s="4"/>
      <c r="C768" s="5"/>
      <c r="E768" s="10"/>
      <c r="F768" s="10"/>
    </row>
    <row r="769" spans="1:6" s="9" customFormat="1" x14ac:dyDescent="0.25">
      <c r="A769" s="9" t="s">
        <v>57</v>
      </c>
      <c r="B769" s="4">
        <v>45819</v>
      </c>
      <c r="C769" s="5">
        <v>10</v>
      </c>
      <c r="D769" s="9" t="s">
        <v>13</v>
      </c>
      <c r="E769" s="10">
        <v>135</v>
      </c>
      <c r="F769" s="10">
        <f t="shared" si="11"/>
        <v>1350</v>
      </c>
    </row>
    <row r="770" spans="1:6" s="9" customFormat="1" x14ac:dyDescent="0.25">
      <c r="B770" s="4"/>
      <c r="C770" s="5"/>
      <c r="E770" s="10"/>
      <c r="F770" s="8">
        <f>SUM(F769)</f>
        <v>1350</v>
      </c>
    </row>
    <row r="771" spans="1:6" s="9" customFormat="1" x14ac:dyDescent="0.25">
      <c r="B771" s="4"/>
      <c r="C771" s="5"/>
      <c r="E771" s="10"/>
      <c r="F771" s="10"/>
    </row>
    <row r="772" spans="1:6" s="9" customFormat="1" x14ac:dyDescent="0.25">
      <c r="A772" s="9" t="s">
        <v>21</v>
      </c>
      <c r="B772" s="4">
        <v>45819</v>
      </c>
      <c r="C772" s="5">
        <v>20</v>
      </c>
      <c r="D772" s="9" t="s">
        <v>13</v>
      </c>
      <c r="E772" s="10">
        <v>135</v>
      </c>
      <c r="F772" s="10">
        <f t="shared" ref="F772:F833" si="12">+C772*E772</f>
        <v>2700</v>
      </c>
    </row>
    <row r="773" spans="1:6" s="9" customFormat="1" x14ac:dyDescent="0.25">
      <c r="B773" s="4"/>
      <c r="C773" s="5">
        <v>10</v>
      </c>
      <c r="D773" s="9" t="s">
        <v>50</v>
      </c>
      <c r="E773" s="10">
        <v>90</v>
      </c>
      <c r="F773" s="10">
        <f t="shared" si="12"/>
        <v>900</v>
      </c>
    </row>
    <row r="774" spans="1:6" s="9" customFormat="1" x14ac:dyDescent="0.25">
      <c r="B774" s="4"/>
      <c r="C774" s="5">
        <v>8</v>
      </c>
      <c r="D774" s="9" t="s">
        <v>22</v>
      </c>
      <c r="E774" s="10">
        <v>85</v>
      </c>
      <c r="F774" s="10">
        <f t="shared" si="12"/>
        <v>680</v>
      </c>
    </row>
    <row r="775" spans="1:6" s="9" customFormat="1" x14ac:dyDescent="0.25">
      <c r="B775" s="4"/>
      <c r="C775" s="5"/>
      <c r="E775" s="10"/>
      <c r="F775" s="8">
        <f>SUM(F772:F774)</f>
        <v>4280</v>
      </c>
    </row>
    <row r="776" spans="1:6" s="9" customFormat="1" x14ac:dyDescent="0.25">
      <c r="B776" s="4"/>
      <c r="C776" s="5"/>
      <c r="E776" s="10"/>
      <c r="F776" s="10"/>
    </row>
    <row r="777" spans="1:6" s="9" customFormat="1" x14ac:dyDescent="0.25">
      <c r="A777" s="9" t="s">
        <v>40</v>
      </c>
      <c r="B777" s="4">
        <v>45819</v>
      </c>
      <c r="C777" s="5">
        <v>10</v>
      </c>
      <c r="D777" s="9" t="s">
        <v>50</v>
      </c>
      <c r="E777" s="10">
        <v>85</v>
      </c>
      <c r="F777" s="10">
        <f t="shared" si="12"/>
        <v>850</v>
      </c>
    </row>
    <row r="778" spans="1:6" s="9" customFormat="1" x14ac:dyDescent="0.25">
      <c r="B778" s="4"/>
      <c r="C778" s="5">
        <v>10</v>
      </c>
      <c r="D778" s="9" t="s">
        <v>14</v>
      </c>
      <c r="E778" s="10">
        <v>125</v>
      </c>
      <c r="F778" s="10">
        <f t="shared" si="12"/>
        <v>1250</v>
      </c>
    </row>
    <row r="779" spans="1:6" s="9" customFormat="1" x14ac:dyDescent="0.25">
      <c r="B779" s="4"/>
      <c r="C779" s="5">
        <v>10</v>
      </c>
      <c r="D779" s="9" t="s">
        <v>699</v>
      </c>
      <c r="E779" s="10">
        <v>155</v>
      </c>
      <c r="F779" s="10">
        <f t="shared" si="12"/>
        <v>1550</v>
      </c>
    </row>
    <row r="780" spans="1:6" s="9" customFormat="1" x14ac:dyDescent="0.25">
      <c r="B780" s="4"/>
      <c r="C780" s="5"/>
      <c r="E780" s="10"/>
      <c r="F780" s="8">
        <f>SUM(F777:F779)</f>
        <v>3650</v>
      </c>
    </row>
    <row r="781" spans="1:6" s="9" customFormat="1" x14ac:dyDescent="0.25">
      <c r="B781" s="4"/>
      <c r="C781" s="5"/>
      <c r="E781" s="10"/>
      <c r="F781" s="10"/>
    </row>
    <row r="782" spans="1:6" s="9" customFormat="1" x14ac:dyDescent="0.25">
      <c r="A782" s="9" t="s">
        <v>37</v>
      </c>
      <c r="B782" s="4">
        <v>45819</v>
      </c>
      <c r="C782" s="5">
        <v>15</v>
      </c>
      <c r="D782" s="9" t="s">
        <v>12</v>
      </c>
      <c r="E782" s="10">
        <v>130</v>
      </c>
      <c r="F782" s="10">
        <f t="shared" si="12"/>
        <v>1950</v>
      </c>
    </row>
    <row r="783" spans="1:6" s="9" customFormat="1" x14ac:dyDescent="0.25">
      <c r="B783" s="4"/>
      <c r="C783" s="5"/>
      <c r="E783" s="10"/>
      <c r="F783" s="8">
        <f>SUM(F782)</f>
        <v>1950</v>
      </c>
    </row>
    <row r="784" spans="1:6" s="9" customFormat="1" x14ac:dyDescent="0.25">
      <c r="B784" s="4"/>
      <c r="C784" s="5"/>
      <c r="E784" s="10"/>
      <c r="F784" s="10"/>
    </row>
    <row r="785" spans="1:6" s="9" customFormat="1" x14ac:dyDescent="0.25">
      <c r="A785" s="9" t="s">
        <v>427</v>
      </c>
      <c r="B785" s="4">
        <v>45819</v>
      </c>
      <c r="C785" s="5">
        <v>10</v>
      </c>
      <c r="D785" s="9" t="s">
        <v>14</v>
      </c>
      <c r="E785" s="10">
        <v>125</v>
      </c>
      <c r="F785" s="10">
        <f t="shared" si="12"/>
        <v>1250</v>
      </c>
    </row>
    <row r="786" spans="1:6" s="9" customFormat="1" x14ac:dyDescent="0.25">
      <c r="B786" s="4"/>
      <c r="C786" s="5"/>
      <c r="E786" s="10"/>
      <c r="F786" s="8">
        <f>SUM(F785)</f>
        <v>1250</v>
      </c>
    </row>
    <row r="787" spans="1:6" s="9" customFormat="1" x14ac:dyDescent="0.25">
      <c r="B787" s="4"/>
      <c r="C787" s="5"/>
      <c r="E787" s="10"/>
      <c r="F787" s="10"/>
    </row>
    <row r="788" spans="1:6" s="9" customFormat="1" x14ac:dyDescent="0.25">
      <c r="A788" s="9" t="s">
        <v>69</v>
      </c>
      <c r="B788" s="4">
        <v>45819</v>
      </c>
      <c r="C788" s="5">
        <v>8</v>
      </c>
      <c r="D788" s="9" t="s">
        <v>98</v>
      </c>
      <c r="E788" s="10">
        <v>100</v>
      </c>
      <c r="F788" s="10">
        <f t="shared" si="12"/>
        <v>800</v>
      </c>
    </row>
    <row r="789" spans="1:6" s="9" customFormat="1" x14ac:dyDescent="0.25">
      <c r="B789" s="4"/>
      <c r="C789" s="5"/>
      <c r="E789" s="10"/>
      <c r="F789" s="8">
        <f>SUM(F788)</f>
        <v>800</v>
      </c>
    </row>
    <row r="790" spans="1:6" s="9" customFormat="1" x14ac:dyDescent="0.25">
      <c r="B790" s="4"/>
      <c r="C790" s="5"/>
      <c r="E790" s="10"/>
      <c r="F790" s="10"/>
    </row>
    <row r="791" spans="1:6" s="9" customFormat="1" x14ac:dyDescent="0.25">
      <c r="A791" s="9" t="s">
        <v>591</v>
      </c>
      <c r="B791" s="4">
        <v>45819</v>
      </c>
      <c r="C791" s="5">
        <v>2</v>
      </c>
      <c r="D791" s="9" t="s">
        <v>13</v>
      </c>
      <c r="E791" s="10">
        <v>135</v>
      </c>
      <c r="F791" s="10">
        <f t="shared" si="12"/>
        <v>270</v>
      </c>
    </row>
    <row r="792" spans="1:6" s="9" customFormat="1" x14ac:dyDescent="0.25">
      <c r="B792" s="4"/>
      <c r="C792" s="5">
        <v>2</v>
      </c>
      <c r="D792" s="9" t="s">
        <v>700</v>
      </c>
      <c r="E792" s="10">
        <v>100</v>
      </c>
      <c r="F792" s="10">
        <f t="shared" si="12"/>
        <v>200</v>
      </c>
    </row>
    <row r="793" spans="1:6" s="9" customFormat="1" x14ac:dyDescent="0.25">
      <c r="B793" s="4"/>
      <c r="C793" s="5"/>
      <c r="E793" s="10"/>
      <c r="F793" s="8">
        <f>SUM(F791:F792)</f>
        <v>470</v>
      </c>
    </row>
    <row r="794" spans="1:6" s="9" customFormat="1" x14ac:dyDescent="0.25">
      <c r="B794" s="4"/>
      <c r="C794" s="5"/>
      <c r="E794" s="10"/>
      <c r="F794" s="10"/>
    </row>
    <row r="795" spans="1:6" s="9" customFormat="1" x14ac:dyDescent="0.25">
      <c r="A795" s="9" t="s">
        <v>270</v>
      </c>
      <c r="B795" s="4">
        <v>45819</v>
      </c>
      <c r="C795" s="5">
        <v>5</v>
      </c>
      <c r="D795" s="9" t="s">
        <v>98</v>
      </c>
      <c r="E795" s="10">
        <v>100</v>
      </c>
      <c r="F795" s="10">
        <f t="shared" si="12"/>
        <v>500</v>
      </c>
    </row>
    <row r="796" spans="1:6" s="9" customFormat="1" x14ac:dyDescent="0.25">
      <c r="B796" s="4"/>
      <c r="C796" s="5"/>
      <c r="E796" s="10"/>
      <c r="F796" s="8">
        <f>SUM(F795)</f>
        <v>500</v>
      </c>
    </row>
    <row r="797" spans="1:6" s="9" customFormat="1" x14ac:dyDescent="0.25">
      <c r="B797" s="4"/>
      <c r="C797" s="5"/>
      <c r="E797" s="10"/>
      <c r="F797" s="10"/>
    </row>
    <row r="798" spans="1:6" s="9" customFormat="1" x14ac:dyDescent="0.25">
      <c r="A798" s="9" t="s">
        <v>41</v>
      </c>
      <c r="B798" s="4">
        <v>45819</v>
      </c>
      <c r="C798" s="5">
        <v>25</v>
      </c>
      <c r="D798" s="9" t="s">
        <v>14</v>
      </c>
      <c r="E798" s="10">
        <v>130</v>
      </c>
      <c r="F798" s="10">
        <f t="shared" si="12"/>
        <v>3250</v>
      </c>
    </row>
    <row r="799" spans="1:6" s="9" customFormat="1" x14ac:dyDescent="0.25">
      <c r="B799" s="4"/>
      <c r="C799" s="5"/>
      <c r="E799" s="10"/>
      <c r="F799" s="8">
        <f>SUM(F798)</f>
        <v>3250</v>
      </c>
    </row>
    <row r="800" spans="1:6" s="9" customFormat="1" x14ac:dyDescent="0.25">
      <c r="B800" s="4"/>
      <c r="C800" s="5"/>
      <c r="E800" s="10"/>
      <c r="F800" s="10"/>
    </row>
    <row r="801" spans="1:6" s="9" customFormat="1" x14ac:dyDescent="0.25">
      <c r="A801" s="9" t="s">
        <v>253</v>
      </c>
      <c r="B801" s="4">
        <v>45819</v>
      </c>
      <c r="C801" s="5">
        <v>10</v>
      </c>
      <c r="D801" s="9" t="s">
        <v>14</v>
      </c>
      <c r="E801" s="10">
        <v>125</v>
      </c>
      <c r="F801" s="10">
        <f t="shared" si="12"/>
        <v>1250</v>
      </c>
    </row>
    <row r="802" spans="1:6" s="9" customFormat="1" x14ac:dyDescent="0.25">
      <c r="B802" s="4"/>
      <c r="C802" s="5"/>
      <c r="E802" s="10"/>
      <c r="F802" s="8">
        <f>SUM(F801)</f>
        <v>1250</v>
      </c>
    </row>
    <row r="803" spans="1:6" s="9" customFormat="1" x14ac:dyDescent="0.25">
      <c r="B803" s="4"/>
      <c r="C803" s="5"/>
      <c r="E803" s="10"/>
      <c r="F803" s="10"/>
    </row>
    <row r="804" spans="1:6" s="9" customFormat="1" x14ac:dyDescent="0.25">
      <c r="A804" s="9" t="s">
        <v>43</v>
      </c>
      <c r="B804" s="4">
        <v>45819</v>
      </c>
      <c r="C804" s="5">
        <v>15</v>
      </c>
      <c r="D804" s="9" t="s">
        <v>14</v>
      </c>
      <c r="E804" s="10">
        <v>125</v>
      </c>
      <c r="F804" s="10">
        <f t="shared" si="12"/>
        <v>1875</v>
      </c>
    </row>
    <row r="805" spans="1:6" s="9" customFormat="1" x14ac:dyDescent="0.25">
      <c r="B805" s="4"/>
      <c r="C805" s="5"/>
      <c r="E805" s="10"/>
      <c r="F805" s="8">
        <f>SUM(F804)</f>
        <v>1875</v>
      </c>
    </row>
    <row r="806" spans="1:6" s="9" customFormat="1" x14ac:dyDescent="0.25">
      <c r="B806" s="4"/>
      <c r="C806" s="5"/>
      <c r="E806" s="10"/>
      <c r="F806" s="10"/>
    </row>
    <row r="807" spans="1:6" s="9" customFormat="1" x14ac:dyDescent="0.25">
      <c r="A807" s="9" t="s">
        <v>45</v>
      </c>
      <c r="B807" s="4">
        <v>45819</v>
      </c>
      <c r="C807" s="5">
        <v>3</v>
      </c>
      <c r="D807" s="9" t="s">
        <v>701</v>
      </c>
      <c r="E807" s="10">
        <v>125</v>
      </c>
      <c r="F807" s="10">
        <f t="shared" si="12"/>
        <v>375</v>
      </c>
    </row>
    <row r="808" spans="1:6" s="9" customFormat="1" x14ac:dyDescent="0.25">
      <c r="B808" s="4"/>
      <c r="C808" s="5"/>
      <c r="E808" s="10"/>
      <c r="F808" s="8">
        <f>SUM(F807)</f>
        <v>375</v>
      </c>
    </row>
    <row r="809" spans="1:6" s="9" customFormat="1" x14ac:dyDescent="0.25">
      <c r="B809" s="4"/>
      <c r="C809" s="5"/>
      <c r="E809" s="10"/>
      <c r="F809" s="10"/>
    </row>
    <row r="810" spans="1:6" s="9" customFormat="1" x14ac:dyDescent="0.25">
      <c r="A810" s="9" t="s">
        <v>44</v>
      </c>
      <c r="B810" s="4">
        <v>45819</v>
      </c>
      <c r="C810" s="5">
        <v>30</v>
      </c>
      <c r="D810" s="9" t="s">
        <v>14</v>
      </c>
      <c r="E810" s="10">
        <v>125</v>
      </c>
      <c r="F810" s="10">
        <f t="shared" si="12"/>
        <v>3750</v>
      </c>
    </row>
    <row r="811" spans="1:6" s="9" customFormat="1" x14ac:dyDescent="0.25">
      <c r="B811" s="4"/>
      <c r="C811" s="5"/>
      <c r="E811" s="10"/>
      <c r="F811" s="8">
        <f>SUM(F810)</f>
        <v>3750</v>
      </c>
    </row>
    <row r="812" spans="1:6" s="9" customFormat="1" x14ac:dyDescent="0.25">
      <c r="B812" s="4"/>
      <c r="C812" s="5"/>
      <c r="E812" s="10"/>
      <c r="F812" s="10"/>
    </row>
    <row r="813" spans="1:6" s="9" customFormat="1" x14ac:dyDescent="0.25">
      <c r="A813" s="9" t="s">
        <v>18</v>
      </c>
      <c r="B813" s="4">
        <v>45819</v>
      </c>
      <c r="C813" s="5">
        <v>40</v>
      </c>
      <c r="D813" s="9" t="s">
        <v>14</v>
      </c>
      <c r="E813" s="10">
        <v>125</v>
      </c>
      <c r="F813" s="10">
        <f t="shared" si="12"/>
        <v>5000</v>
      </c>
    </row>
    <row r="814" spans="1:6" s="9" customFormat="1" x14ac:dyDescent="0.25">
      <c r="B814" s="4"/>
      <c r="C814" s="5">
        <v>10</v>
      </c>
      <c r="D814" s="9" t="s">
        <v>13</v>
      </c>
      <c r="E814" s="10">
        <v>140</v>
      </c>
      <c r="F814" s="10">
        <f t="shared" si="12"/>
        <v>1400</v>
      </c>
    </row>
    <row r="815" spans="1:6" s="9" customFormat="1" x14ac:dyDescent="0.25">
      <c r="B815" s="4"/>
      <c r="C815" s="5"/>
      <c r="E815" s="10"/>
      <c r="F815" s="8">
        <f>SUM(F813:F814)</f>
        <v>6400</v>
      </c>
    </row>
    <row r="816" spans="1:6" s="9" customFormat="1" x14ac:dyDescent="0.25">
      <c r="B816" s="4"/>
      <c r="C816" s="5"/>
      <c r="E816" s="10"/>
      <c r="F816" s="10"/>
    </row>
    <row r="817" spans="1:6" s="9" customFormat="1" x14ac:dyDescent="0.25">
      <c r="A817" s="9" t="s">
        <v>46</v>
      </c>
      <c r="B817" s="4">
        <v>45819</v>
      </c>
      <c r="C817" s="5">
        <v>10</v>
      </c>
      <c r="D817" s="9" t="s">
        <v>14</v>
      </c>
      <c r="E817" s="10">
        <v>125</v>
      </c>
      <c r="F817" s="10">
        <f t="shared" si="12"/>
        <v>1250</v>
      </c>
    </row>
    <row r="818" spans="1:6" s="9" customFormat="1" x14ac:dyDescent="0.25">
      <c r="B818" s="4"/>
      <c r="C818" s="5"/>
      <c r="E818" s="10"/>
      <c r="F818" s="8">
        <f>SUM(F817)</f>
        <v>1250</v>
      </c>
    </row>
    <row r="819" spans="1:6" s="9" customFormat="1" x14ac:dyDescent="0.25">
      <c r="B819" s="4"/>
      <c r="C819" s="5"/>
      <c r="E819" s="10"/>
      <c r="F819" s="10"/>
    </row>
    <row r="820" spans="1:6" s="9" customFormat="1" x14ac:dyDescent="0.25">
      <c r="A820" s="9" t="s">
        <v>145</v>
      </c>
      <c r="B820" s="4">
        <v>45819</v>
      </c>
      <c r="C820" s="5">
        <v>70</v>
      </c>
      <c r="D820" s="9" t="s">
        <v>14</v>
      </c>
      <c r="E820" s="10">
        <v>125</v>
      </c>
      <c r="F820" s="10">
        <f t="shared" si="12"/>
        <v>8750</v>
      </c>
    </row>
    <row r="821" spans="1:6" s="9" customFormat="1" x14ac:dyDescent="0.25">
      <c r="B821" s="4"/>
      <c r="C821" s="5"/>
      <c r="E821" s="10"/>
      <c r="F821" s="8">
        <f>SUM(F820)</f>
        <v>8750</v>
      </c>
    </row>
    <row r="822" spans="1:6" s="9" customFormat="1" x14ac:dyDescent="0.25">
      <c r="B822" s="4"/>
      <c r="C822" s="5"/>
      <c r="E822" s="10"/>
      <c r="F822" s="10"/>
    </row>
    <row r="823" spans="1:6" s="9" customFormat="1" x14ac:dyDescent="0.25">
      <c r="A823" s="9" t="s">
        <v>47</v>
      </c>
      <c r="B823" s="4">
        <v>45819</v>
      </c>
      <c r="C823" s="5">
        <v>25</v>
      </c>
      <c r="D823" s="9" t="s">
        <v>14</v>
      </c>
      <c r="E823" s="10">
        <v>125</v>
      </c>
      <c r="F823" s="10">
        <f t="shared" si="12"/>
        <v>3125</v>
      </c>
    </row>
    <row r="824" spans="1:6" s="9" customFormat="1" x14ac:dyDescent="0.25">
      <c r="B824" s="4"/>
      <c r="C824" s="5"/>
      <c r="E824" s="10"/>
      <c r="F824" s="8">
        <f>SUM(F823)</f>
        <v>3125</v>
      </c>
    </row>
    <row r="825" spans="1:6" s="9" customFormat="1" x14ac:dyDescent="0.25">
      <c r="B825" s="4"/>
      <c r="C825" s="5"/>
      <c r="E825" s="10"/>
      <c r="F825" s="10"/>
    </row>
    <row r="826" spans="1:6" s="9" customFormat="1" x14ac:dyDescent="0.25">
      <c r="A826" s="9" t="s">
        <v>107</v>
      </c>
      <c r="B826" s="4">
        <v>45819</v>
      </c>
      <c r="C826" s="5">
        <v>30</v>
      </c>
      <c r="D826" s="9" t="s">
        <v>702</v>
      </c>
      <c r="E826" s="10">
        <v>115</v>
      </c>
      <c r="F826" s="10">
        <f t="shared" si="12"/>
        <v>3450</v>
      </c>
    </row>
    <row r="827" spans="1:6" s="9" customFormat="1" x14ac:dyDescent="0.25">
      <c r="B827" s="4"/>
      <c r="C827" s="5"/>
      <c r="E827" s="10"/>
      <c r="F827" s="8">
        <f>SUM(F826)</f>
        <v>3450</v>
      </c>
    </row>
    <row r="828" spans="1:6" s="9" customFormat="1" x14ac:dyDescent="0.25">
      <c r="B828" s="4"/>
      <c r="C828" s="5"/>
      <c r="E828" s="10"/>
      <c r="F828" s="10"/>
    </row>
    <row r="829" spans="1:6" s="9" customFormat="1" x14ac:dyDescent="0.25">
      <c r="A829" s="9" t="s">
        <v>292</v>
      </c>
      <c r="B829" s="4">
        <v>45819</v>
      </c>
      <c r="C829" s="5">
        <v>5</v>
      </c>
      <c r="D829" s="9" t="s">
        <v>13</v>
      </c>
      <c r="E829" s="10">
        <v>130</v>
      </c>
      <c r="F829" s="10">
        <f t="shared" si="12"/>
        <v>650</v>
      </c>
    </row>
    <row r="830" spans="1:6" s="9" customFormat="1" x14ac:dyDescent="0.25">
      <c r="B830" s="4"/>
      <c r="C830" s="5">
        <v>5</v>
      </c>
      <c r="D830" s="9" t="s">
        <v>14</v>
      </c>
      <c r="E830" s="10">
        <v>125</v>
      </c>
      <c r="F830" s="10">
        <f t="shared" si="12"/>
        <v>625</v>
      </c>
    </row>
    <row r="831" spans="1:6" s="9" customFormat="1" x14ac:dyDescent="0.25">
      <c r="B831" s="4"/>
      <c r="C831" s="5"/>
      <c r="E831" s="10"/>
      <c r="F831" s="8">
        <f>SUM(F829:F830)</f>
        <v>1275</v>
      </c>
    </row>
    <row r="832" spans="1:6" s="9" customFormat="1" x14ac:dyDescent="0.25">
      <c r="B832" s="4"/>
      <c r="C832" s="5"/>
      <c r="E832" s="10"/>
      <c r="F832" s="10"/>
    </row>
    <row r="833" spans="1:6" s="9" customFormat="1" x14ac:dyDescent="0.25">
      <c r="A833" s="9" t="s">
        <v>114</v>
      </c>
      <c r="B833" s="4">
        <v>45819</v>
      </c>
      <c r="C833" s="5">
        <v>4</v>
      </c>
      <c r="D833" s="9" t="s">
        <v>13</v>
      </c>
      <c r="E833" s="10">
        <v>140</v>
      </c>
      <c r="F833" s="10">
        <f t="shared" si="12"/>
        <v>560</v>
      </c>
    </row>
    <row r="834" spans="1:6" s="9" customFormat="1" x14ac:dyDescent="0.25">
      <c r="B834" s="4"/>
      <c r="C834" s="5"/>
      <c r="E834" s="10"/>
      <c r="F834" s="8">
        <f>SUM(F833)</f>
        <v>560</v>
      </c>
    </row>
    <row r="835" spans="1:6" s="9" customFormat="1" x14ac:dyDescent="0.25">
      <c r="B835" s="4"/>
      <c r="C835" s="5"/>
      <c r="E835" s="10"/>
      <c r="F835" s="10"/>
    </row>
    <row r="836" spans="1:6" s="9" customFormat="1" x14ac:dyDescent="0.25">
      <c r="A836" s="9" t="s">
        <v>586</v>
      </c>
      <c r="B836" s="4">
        <v>45819</v>
      </c>
      <c r="C836" s="5">
        <v>5</v>
      </c>
      <c r="D836" s="9" t="s">
        <v>12</v>
      </c>
      <c r="E836" s="10">
        <v>130</v>
      </c>
      <c r="F836" s="10">
        <f t="shared" ref="F836:F899" si="13">+C836*E836</f>
        <v>650</v>
      </c>
    </row>
    <row r="837" spans="1:6" s="9" customFormat="1" x14ac:dyDescent="0.25">
      <c r="B837" s="4"/>
      <c r="C837" s="5"/>
      <c r="E837" s="10"/>
      <c r="F837" s="8">
        <f>SUM(F836)</f>
        <v>650</v>
      </c>
    </row>
    <row r="838" spans="1:6" s="9" customFormat="1" x14ac:dyDescent="0.25">
      <c r="B838" s="4"/>
      <c r="C838" s="5"/>
      <c r="E838" s="10"/>
      <c r="F838" s="10"/>
    </row>
    <row r="839" spans="1:6" s="9" customFormat="1" x14ac:dyDescent="0.25">
      <c r="A839" s="9" t="s">
        <v>88</v>
      </c>
      <c r="B839" s="4">
        <v>45819</v>
      </c>
      <c r="C839" s="5">
        <v>10</v>
      </c>
      <c r="D839" s="9" t="s">
        <v>14</v>
      </c>
      <c r="E839" s="10">
        <v>135</v>
      </c>
      <c r="F839" s="10">
        <f t="shared" si="13"/>
        <v>1350</v>
      </c>
    </row>
    <row r="840" spans="1:6" s="9" customFormat="1" x14ac:dyDescent="0.25">
      <c r="B840" s="4"/>
      <c r="C840" s="5">
        <v>5</v>
      </c>
      <c r="D840" s="9" t="s">
        <v>13</v>
      </c>
      <c r="E840" s="10">
        <v>145</v>
      </c>
      <c r="F840" s="10">
        <f t="shared" si="13"/>
        <v>725</v>
      </c>
    </row>
    <row r="841" spans="1:6" s="9" customFormat="1" x14ac:dyDescent="0.25">
      <c r="B841" s="4"/>
      <c r="C841" s="5"/>
      <c r="E841" s="10"/>
      <c r="F841" s="8">
        <f>SUM(F839:F840)</f>
        <v>2075</v>
      </c>
    </row>
    <row r="842" spans="1:6" s="9" customFormat="1" x14ac:dyDescent="0.25">
      <c r="B842" s="4"/>
      <c r="C842" s="5"/>
      <c r="E842" s="10"/>
      <c r="F842" s="10"/>
    </row>
    <row r="843" spans="1:6" s="9" customFormat="1" x14ac:dyDescent="0.25">
      <c r="A843" s="9" t="s">
        <v>391</v>
      </c>
      <c r="B843" s="4">
        <v>45819</v>
      </c>
      <c r="C843" s="5">
        <v>20</v>
      </c>
      <c r="D843" s="9" t="s">
        <v>13</v>
      </c>
      <c r="E843" s="10">
        <v>135</v>
      </c>
      <c r="F843" s="10">
        <f t="shared" si="13"/>
        <v>2700</v>
      </c>
    </row>
    <row r="844" spans="1:6" s="9" customFormat="1" x14ac:dyDescent="0.25">
      <c r="B844" s="4"/>
      <c r="C844" s="5"/>
      <c r="E844" s="10"/>
      <c r="F844" s="8">
        <f>SUM(F843)</f>
        <v>2700</v>
      </c>
    </row>
    <row r="845" spans="1:6" s="9" customFormat="1" x14ac:dyDescent="0.25">
      <c r="B845" s="4"/>
      <c r="C845" s="5"/>
      <c r="E845" s="10"/>
      <c r="F845" s="10"/>
    </row>
    <row r="846" spans="1:6" s="9" customFormat="1" x14ac:dyDescent="0.25">
      <c r="A846" s="9" t="s">
        <v>151</v>
      </c>
      <c r="B846" s="4">
        <v>45819</v>
      </c>
      <c r="C846" s="5">
        <v>100</v>
      </c>
      <c r="D846" s="9" t="s">
        <v>13</v>
      </c>
      <c r="E846" s="10">
        <v>125</v>
      </c>
      <c r="F846" s="10">
        <f t="shared" si="13"/>
        <v>12500</v>
      </c>
    </row>
    <row r="847" spans="1:6" s="9" customFormat="1" x14ac:dyDescent="0.25">
      <c r="B847" s="4"/>
      <c r="C847" s="5">
        <v>70</v>
      </c>
      <c r="D847" s="9" t="s">
        <v>14</v>
      </c>
      <c r="E847" s="10">
        <v>120</v>
      </c>
      <c r="F847" s="10">
        <f t="shared" si="13"/>
        <v>8400</v>
      </c>
    </row>
    <row r="848" spans="1:6" s="9" customFormat="1" x14ac:dyDescent="0.25">
      <c r="B848" s="4"/>
      <c r="C848" s="5">
        <v>37</v>
      </c>
      <c r="D848" s="9" t="s">
        <v>50</v>
      </c>
      <c r="E848" s="10">
        <v>80</v>
      </c>
      <c r="F848" s="10">
        <f t="shared" si="13"/>
        <v>2960</v>
      </c>
    </row>
    <row r="849" spans="1:6" s="9" customFormat="1" x14ac:dyDescent="0.25">
      <c r="B849" s="4"/>
      <c r="C849" s="5">
        <v>7</v>
      </c>
      <c r="D849" s="9" t="s">
        <v>22</v>
      </c>
      <c r="E849" s="10">
        <v>85</v>
      </c>
      <c r="F849" s="10">
        <f t="shared" si="13"/>
        <v>595</v>
      </c>
    </row>
    <row r="850" spans="1:6" s="9" customFormat="1" x14ac:dyDescent="0.25">
      <c r="B850" s="4"/>
      <c r="C850" s="5"/>
      <c r="E850" s="10"/>
      <c r="F850" s="8">
        <f>SUM(F846:F849)</f>
        <v>24455</v>
      </c>
    </row>
    <row r="851" spans="1:6" s="9" customFormat="1" x14ac:dyDescent="0.25">
      <c r="B851" s="4"/>
      <c r="C851" s="5"/>
      <c r="E851" s="10"/>
      <c r="F851" s="10"/>
    </row>
    <row r="852" spans="1:6" s="9" customFormat="1" x14ac:dyDescent="0.25">
      <c r="A852" s="9" t="s">
        <v>191</v>
      </c>
      <c r="B852" s="4">
        <v>45819</v>
      </c>
      <c r="C852" s="5">
        <v>50</v>
      </c>
      <c r="D852" s="9" t="s">
        <v>13</v>
      </c>
      <c r="E852" s="10">
        <v>130</v>
      </c>
      <c r="F852" s="10">
        <f t="shared" si="13"/>
        <v>6500</v>
      </c>
    </row>
    <row r="853" spans="1:6" s="9" customFormat="1" x14ac:dyDescent="0.25">
      <c r="B853" s="4"/>
      <c r="C853" s="5">
        <v>50</v>
      </c>
      <c r="D853" s="9" t="s">
        <v>14</v>
      </c>
      <c r="E853" s="10">
        <v>120</v>
      </c>
      <c r="F853" s="10">
        <f t="shared" si="13"/>
        <v>6000</v>
      </c>
    </row>
    <row r="854" spans="1:6" s="9" customFormat="1" x14ac:dyDescent="0.25">
      <c r="B854" s="4"/>
      <c r="C854" s="5">
        <v>150</v>
      </c>
      <c r="D854" s="9" t="s">
        <v>11</v>
      </c>
      <c r="E854" s="10">
        <v>110</v>
      </c>
      <c r="F854" s="10">
        <f t="shared" si="13"/>
        <v>16500</v>
      </c>
    </row>
    <row r="855" spans="1:6" s="9" customFormat="1" x14ac:dyDescent="0.25">
      <c r="B855" s="4"/>
      <c r="C855" s="5"/>
      <c r="E855" s="10"/>
      <c r="F855" s="8">
        <f>SUM(F852:F854)</f>
        <v>29000</v>
      </c>
    </row>
    <row r="856" spans="1:6" s="9" customFormat="1" x14ac:dyDescent="0.25">
      <c r="B856" s="4"/>
      <c r="C856" s="5"/>
      <c r="E856" s="10"/>
      <c r="F856" s="10"/>
    </row>
    <row r="857" spans="1:6" s="9" customFormat="1" x14ac:dyDescent="0.25">
      <c r="A857" s="9" t="s">
        <v>72</v>
      </c>
      <c r="B857" s="4">
        <v>45819</v>
      </c>
      <c r="C857" s="5">
        <v>180</v>
      </c>
      <c r="D857" s="9" t="s">
        <v>13</v>
      </c>
      <c r="E857" s="10">
        <v>130</v>
      </c>
      <c r="F857" s="10">
        <f t="shared" si="13"/>
        <v>23400</v>
      </c>
    </row>
    <row r="858" spans="1:6" s="9" customFormat="1" x14ac:dyDescent="0.25">
      <c r="B858" s="4"/>
      <c r="C858" s="5">
        <v>120</v>
      </c>
      <c r="D858" s="9" t="s">
        <v>12</v>
      </c>
      <c r="E858" s="10">
        <v>115</v>
      </c>
      <c r="F858" s="10">
        <f t="shared" si="13"/>
        <v>13800</v>
      </c>
    </row>
    <row r="859" spans="1:6" s="9" customFormat="1" x14ac:dyDescent="0.25">
      <c r="B859" s="4"/>
      <c r="C859" s="5">
        <v>30</v>
      </c>
      <c r="D859" s="9" t="s">
        <v>14</v>
      </c>
      <c r="E859" s="10">
        <v>125</v>
      </c>
      <c r="F859" s="10">
        <f t="shared" si="13"/>
        <v>3750</v>
      </c>
    </row>
    <row r="860" spans="1:6" s="9" customFormat="1" x14ac:dyDescent="0.25">
      <c r="B860" s="4"/>
      <c r="C860" s="5">
        <v>70</v>
      </c>
      <c r="D860" s="9" t="s">
        <v>703</v>
      </c>
      <c r="E860" s="10">
        <v>115</v>
      </c>
      <c r="F860" s="10">
        <f t="shared" si="13"/>
        <v>8050</v>
      </c>
    </row>
    <row r="861" spans="1:6" s="9" customFormat="1" x14ac:dyDescent="0.25">
      <c r="B861" s="4"/>
      <c r="C861" s="5"/>
      <c r="E861" s="10"/>
      <c r="F861" s="8">
        <f>SUM(F857:F860)</f>
        <v>49000</v>
      </c>
    </row>
    <row r="862" spans="1:6" s="9" customFormat="1" x14ac:dyDescent="0.25">
      <c r="B862" s="4"/>
      <c r="C862" s="5"/>
      <c r="E862" s="10"/>
      <c r="F862" s="10"/>
    </row>
    <row r="863" spans="1:6" s="9" customFormat="1" x14ac:dyDescent="0.25">
      <c r="A863" s="9" t="s">
        <v>245</v>
      </c>
      <c r="B863" s="4">
        <v>45819</v>
      </c>
      <c r="C863" s="5">
        <v>60</v>
      </c>
      <c r="D863" s="9" t="s">
        <v>13</v>
      </c>
      <c r="E863" s="10">
        <v>140</v>
      </c>
      <c r="F863" s="10">
        <f t="shared" si="13"/>
        <v>8400</v>
      </c>
    </row>
    <row r="864" spans="1:6" s="9" customFormat="1" x14ac:dyDescent="0.25">
      <c r="B864" s="4"/>
      <c r="C864" s="5">
        <v>20</v>
      </c>
      <c r="D864" s="9" t="s">
        <v>14</v>
      </c>
      <c r="E864" s="10">
        <v>130</v>
      </c>
      <c r="F864" s="10">
        <f t="shared" si="13"/>
        <v>2600</v>
      </c>
    </row>
    <row r="865" spans="1:6" s="9" customFormat="1" x14ac:dyDescent="0.25">
      <c r="B865" s="4"/>
      <c r="C865" s="5">
        <v>2.04</v>
      </c>
      <c r="D865" s="9" t="s">
        <v>318</v>
      </c>
      <c r="E865" s="10">
        <v>0</v>
      </c>
      <c r="F865" s="10">
        <f t="shared" si="13"/>
        <v>0</v>
      </c>
    </row>
    <row r="866" spans="1:6" s="9" customFormat="1" x14ac:dyDescent="0.25">
      <c r="B866" s="4"/>
      <c r="C866" s="5"/>
      <c r="E866" s="10"/>
      <c r="F866" s="8">
        <f>SUM(F863:F865)</f>
        <v>11000</v>
      </c>
    </row>
    <row r="867" spans="1:6" s="9" customFormat="1" x14ac:dyDescent="0.25">
      <c r="B867" s="4"/>
      <c r="C867" s="5"/>
      <c r="E867" s="10"/>
      <c r="F867" s="10"/>
    </row>
    <row r="868" spans="1:6" s="9" customFormat="1" x14ac:dyDescent="0.25">
      <c r="A868" s="9" t="s">
        <v>48</v>
      </c>
      <c r="B868" s="4">
        <v>45819</v>
      </c>
      <c r="C868" s="5">
        <v>500</v>
      </c>
      <c r="D868" s="9" t="s">
        <v>14</v>
      </c>
      <c r="E868" s="10">
        <v>118</v>
      </c>
      <c r="F868" s="10">
        <f t="shared" si="13"/>
        <v>59000</v>
      </c>
    </row>
    <row r="869" spans="1:6" s="9" customFormat="1" x14ac:dyDescent="0.25">
      <c r="B869" s="4"/>
      <c r="C869" s="5">
        <v>75</v>
      </c>
      <c r="D869" s="9" t="s">
        <v>12</v>
      </c>
      <c r="E869" s="10">
        <v>115</v>
      </c>
      <c r="F869" s="10">
        <f t="shared" si="13"/>
        <v>8625</v>
      </c>
    </row>
    <row r="870" spans="1:6" s="9" customFormat="1" x14ac:dyDescent="0.25">
      <c r="B870" s="4"/>
      <c r="C870" s="5">
        <v>75</v>
      </c>
      <c r="D870" s="9" t="s">
        <v>13</v>
      </c>
      <c r="E870" s="10">
        <v>130</v>
      </c>
      <c r="F870" s="10">
        <f t="shared" si="13"/>
        <v>9750</v>
      </c>
    </row>
    <row r="871" spans="1:6" s="9" customFormat="1" x14ac:dyDescent="0.25">
      <c r="B871" s="4"/>
      <c r="C871" s="5"/>
      <c r="E871" s="10"/>
      <c r="F871" s="8">
        <f>SUM(F868:F870)</f>
        <v>77375</v>
      </c>
    </row>
    <row r="872" spans="1:6" s="9" customFormat="1" x14ac:dyDescent="0.25">
      <c r="B872" s="4"/>
      <c r="C872" s="5"/>
      <c r="E872" s="10"/>
      <c r="F872" s="10"/>
    </row>
    <row r="873" spans="1:6" s="9" customFormat="1" x14ac:dyDescent="0.25">
      <c r="A873" s="9" t="s">
        <v>28</v>
      </c>
      <c r="B873" s="4">
        <v>45819</v>
      </c>
      <c r="C873" s="5">
        <v>120</v>
      </c>
      <c r="D873" s="9" t="s">
        <v>11</v>
      </c>
      <c r="E873" s="10">
        <v>100</v>
      </c>
      <c r="F873" s="10">
        <f t="shared" si="13"/>
        <v>12000</v>
      </c>
    </row>
    <row r="874" spans="1:6" s="9" customFormat="1" x14ac:dyDescent="0.25">
      <c r="B874" s="4"/>
      <c r="C874" s="5">
        <v>30</v>
      </c>
      <c r="D874" s="9" t="s">
        <v>22</v>
      </c>
      <c r="E874" s="10">
        <v>75</v>
      </c>
      <c r="F874" s="10">
        <f t="shared" si="13"/>
        <v>2250</v>
      </c>
    </row>
    <row r="875" spans="1:6" s="9" customFormat="1" x14ac:dyDescent="0.25">
      <c r="B875" s="4"/>
      <c r="C875" s="5">
        <v>40</v>
      </c>
      <c r="D875" s="9" t="s">
        <v>50</v>
      </c>
      <c r="E875" s="10">
        <v>85</v>
      </c>
      <c r="F875" s="10">
        <f t="shared" si="13"/>
        <v>3400</v>
      </c>
    </row>
    <row r="876" spans="1:6" s="9" customFormat="1" x14ac:dyDescent="0.25">
      <c r="B876" s="4"/>
      <c r="C876" s="5"/>
      <c r="E876" s="10"/>
      <c r="F876" s="8">
        <f>SUM(F873:F875)</f>
        <v>17650</v>
      </c>
    </row>
    <row r="877" spans="1:6" s="9" customFormat="1" x14ac:dyDescent="0.25">
      <c r="B877" s="4"/>
      <c r="C877" s="5"/>
      <c r="E877" s="10"/>
      <c r="F877" s="10"/>
    </row>
    <row r="878" spans="1:6" s="9" customFormat="1" x14ac:dyDescent="0.25">
      <c r="A878" s="9" t="s">
        <v>101</v>
      </c>
      <c r="B878" s="4">
        <v>45819</v>
      </c>
      <c r="C878" s="5">
        <v>2</v>
      </c>
      <c r="D878" s="9" t="s">
        <v>12</v>
      </c>
      <c r="E878" s="10">
        <v>140</v>
      </c>
      <c r="F878" s="10">
        <f t="shared" si="13"/>
        <v>280</v>
      </c>
    </row>
    <row r="879" spans="1:6" s="9" customFormat="1" x14ac:dyDescent="0.25">
      <c r="B879" s="4"/>
      <c r="C879" s="5"/>
      <c r="E879" s="10"/>
      <c r="F879" s="8">
        <f>SUM(F878)</f>
        <v>280</v>
      </c>
    </row>
    <row r="880" spans="1:6" s="9" customFormat="1" x14ac:dyDescent="0.25">
      <c r="B880" s="4"/>
      <c r="C880" s="5"/>
      <c r="E880" s="10"/>
      <c r="F880" s="10"/>
    </row>
    <row r="881" spans="1:6" s="9" customFormat="1" x14ac:dyDescent="0.25">
      <c r="A881" s="9" t="s">
        <v>7</v>
      </c>
      <c r="B881" s="4">
        <v>45819</v>
      </c>
      <c r="C881" s="5">
        <v>1</v>
      </c>
      <c r="D881" s="9" t="s">
        <v>8</v>
      </c>
      <c r="E881" s="10">
        <v>170</v>
      </c>
      <c r="F881" s="10">
        <f t="shared" si="13"/>
        <v>170</v>
      </c>
    </row>
    <row r="882" spans="1:6" s="9" customFormat="1" x14ac:dyDescent="0.25">
      <c r="B882" s="4"/>
      <c r="C882" s="5">
        <v>1</v>
      </c>
      <c r="D882" s="9" t="s">
        <v>704</v>
      </c>
      <c r="E882" s="10">
        <v>130</v>
      </c>
      <c r="F882" s="10">
        <f t="shared" si="13"/>
        <v>130</v>
      </c>
    </row>
    <row r="883" spans="1:6" s="9" customFormat="1" x14ac:dyDescent="0.25">
      <c r="B883" s="4"/>
      <c r="C883" s="5"/>
      <c r="E883" s="10"/>
      <c r="F883" s="8">
        <f>SUM(F881:F882)</f>
        <v>300</v>
      </c>
    </row>
    <row r="884" spans="1:6" s="9" customFormat="1" x14ac:dyDescent="0.25">
      <c r="B884" s="4"/>
      <c r="C884" s="5"/>
      <c r="E884" s="10"/>
      <c r="F884" s="10"/>
    </row>
    <row r="885" spans="1:6" s="9" customFormat="1" x14ac:dyDescent="0.25">
      <c r="A885" s="9" t="s">
        <v>111</v>
      </c>
      <c r="B885" s="4">
        <v>45820</v>
      </c>
      <c r="C885" s="5">
        <v>30</v>
      </c>
      <c r="D885" s="9" t="s">
        <v>13</v>
      </c>
      <c r="E885" s="10">
        <v>140</v>
      </c>
      <c r="F885" s="10">
        <f t="shared" si="13"/>
        <v>4200</v>
      </c>
    </row>
    <row r="886" spans="1:6" s="9" customFormat="1" x14ac:dyDescent="0.25">
      <c r="B886" s="4"/>
      <c r="C886" s="5">
        <v>1</v>
      </c>
      <c r="D886" s="9" t="s">
        <v>318</v>
      </c>
      <c r="E886" s="10">
        <v>0</v>
      </c>
      <c r="F886" s="10">
        <f t="shared" si="13"/>
        <v>0</v>
      </c>
    </row>
    <row r="887" spans="1:6" s="9" customFormat="1" x14ac:dyDescent="0.25">
      <c r="B887" s="4"/>
      <c r="C887" s="5"/>
      <c r="E887" s="10"/>
      <c r="F887" s="8">
        <f>SUM(F885:F886)</f>
        <v>4200</v>
      </c>
    </row>
    <row r="888" spans="1:6" s="9" customFormat="1" x14ac:dyDescent="0.25">
      <c r="B888" s="4"/>
      <c r="C888" s="5"/>
      <c r="E888" s="10"/>
      <c r="F888" s="10"/>
    </row>
    <row r="889" spans="1:6" s="9" customFormat="1" x14ac:dyDescent="0.25">
      <c r="A889" s="9" t="s">
        <v>164</v>
      </c>
      <c r="B889" s="4">
        <v>45820</v>
      </c>
      <c r="C889" s="5">
        <v>5</v>
      </c>
      <c r="D889" s="9" t="s">
        <v>13</v>
      </c>
      <c r="E889" s="10">
        <v>140</v>
      </c>
      <c r="F889" s="10">
        <f t="shared" si="13"/>
        <v>700</v>
      </c>
    </row>
    <row r="890" spans="1:6" s="9" customFormat="1" x14ac:dyDescent="0.25">
      <c r="B890" s="4"/>
      <c r="C890" s="5"/>
      <c r="E890" s="10"/>
      <c r="F890" s="8">
        <f>SUM(F889)</f>
        <v>700</v>
      </c>
    </row>
    <row r="891" spans="1:6" s="9" customFormat="1" x14ac:dyDescent="0.25">
      <c r="B891" s="4"/>
      <c r="C891" s="5"/>
      <c r="E891" s="10"/>
      <c r="F891" s="10"/>
    </row>
    <row r="892" spans="1:6" s="9" customFormat="1" x14ac:dyDescent="0.25">
      <c r="A892" s="9" t="s">
        <v>114</v>
      </c>
      <c r="B892" s="4">
        <v>45820</v>
      </c>
      <c r="C892" s="5">
        <v>10</v>
      </c>
      <c r="D892" s="9" t="s">
        <v>8</v>
      </c>
      <c r="E892" s="10">
        <v>160</v>
      </c>
      <c r="F892" s="10">
        <f t="shared" si="13"/>
        <v>1600</v>
      </c>
    </row>
    <row r="893" spans="1:6" s="9" customFormat="1" x14ac:dyDescent="0.25">
      <c r="B893" s="4"/>
      <c r="C893" s="5"/>
      <c r="E893" s="10"/>
      <c r="F893" s="8">
        <f>SUM(F892)</f>
        <v>1600</v>
      </c>
    </row>
    <row r="894" spans="1:6" s="9" customFormat="1" x14ac:dyDescent="0.25">
      <c r="B894" s="4"/>
      <c r="C894" s="5"/>
      <c r="E894" s="10"/>
      <c r="F894" s="10"/>
    </row>
    <row r="895" spans="1:6" s="9" customFormat="1" x14ac:dyDescent="0.25">
      <c r="A895" s="9" t="s">
        <v>69</v>
      </c>
      <c r="B895" s="4">
        <v>45820</v>
      </c>
      <c r="C895" s="5">
        <v>8</v>
      </c>
      <c r="D895" s="9" t="s">
        <v>98</v>
      </c>
      <c r="E895" s="10">
        <v>100</v>
      </c>
      <c r="F895" s="10">
        <f t="shared" si="13"/>
        <v>800</v>
      </c>
    </row>
    <row r="896" spans="1:6" s="9" customFormat="1" x14ac:dyDescent="0.25">
      <c r="B896" s="4"/>
      <c r="C896" s="5"/>
      <c r="E896" s="10"/>
      <c r="F896" s="8">
        <f>SUM(F895)</f>
        <v>800</v>
      </c>
    </row>
    <row r="897" spans="1:6" s="9" customFormat="1" x14ac:dyDescent="0.25">
      <c r="B897" s="4"/>
      <c r="C897" s="5"/>
      <c r="E897" s="10"/>
      <c r="F897" s="10"/>
    </row>
    <row r="898" spans="1:6" s="9" customFormat="1" x14ac:dyDescent="0.25">
      <c r="A898" s="9" t="s">
        <v>535</v>
      </c>
      <c r="B898" s="4">
        <v>45820</v>
      </c>
      <c r="C898" s="5">
        <v>48</v>
      </c>
      <c r="D898" s="9" t="s">
        <v>13</v>
      </c>
      <c r="E898" s="10">
        <v>140</v>
      </c>
      <c r="F898" s="10">
        <f t="shared" si="13"/>
        <v>6720</v>
      </c>
    </row>
    <row r="899" spans="1:6" s="9" customFormat="1" x14ac:dyDescent="0.25">
      <c r="B899" s="4"/>
      <c r="C899" s="5">
        <v>8</v>
      </c>
      <c r="D899" s="9" t="s">
        <v>12</v>
      </c>
      <c r="E899" s="10">
        <v>130</v>
      </c>
      <c r="F899" s="10">
        <f t="shared" si="13"/>
        <v>1040</v>
      </c>
    </row>
    <row r="900" spans="1:6" s="9" customFormat="1" x14ac:dyDescent="0.25">
      <c r="B900" s="4"/>
      <c r="C900" s="5">
        <v>24</v>
      </c>
      <c r="D900" s="9" t="s">
        <v>8</v>
      </c>
      <c r="E900" s="10">
        <v>160</v>
      </c>
      <c r="F900" s="10">
        <f t="shared" ref="F900:F963" si="14">+C900*E900</f>
        <v>3840</v>
      </c>
    </row>
    <row r="901" spans="1:6" s="9" customFormat="1" x14ac:dyDescent="0.25">
      <c r="B901" s="4"/>
      <c r="C901" s="5">
        <v>5</v>
      </c>
      <c r="D901" s="9" t="s">
        <v>14</v>
      </c>
      <c r="E901" s="10">
        <v>135</v>
      </c>
      <c r="F901" s="10">
        <f t="shared" si="14"/>
        <v>675</v>
      </c>
    </row>
    <row r="902" spans="1:6" s="9" customFormat="1" x14ac:dyDescent="0.25">
      <c r="B902" s="4"/>
      <c r="C902" s="5"/>
      <c r="E902" s="10"/>
      <c r="F902" s="8">
        <f>SUM(F898:F901)</f>
        <v>12275</v>
      </c>
    </row>
    <row r="903" spans="1:6" s="9" customFormat="1" x14ac:dyDescent="0.25">
      <c r="B903" s="4"/>
      <c r="C903" s="5"/>
      <c r="E903" s="10"/>
      <c r="F903" s="10"/>
    </row>
    <row r="904" spans="1:6" s="9" customFormat="1" x14ac:dyDescent="0.25">
      <c r="A904" s="9" t="s">
        <v>101</v>
      </c>
      <c r="B904" s="4">
        <v>45820</v>
      </c>
      <c r="C904" s="5">
        <v>2</v>
      </c>
      <c r="D904" s="9" t="s">
        <v>275</v>
      </c>
      <c r="E904" s="10">
        <v>100</v>
      </c>
      <c r="F904" s="10">
        <f t="shared" si="14"/>
        <v>200</v>
      </c>
    </row>
    <row r="905" spans="1:6" s="9" customFormat="1" x14ac:dyDescent="0.25">
      <c r="B905" s="4"/>
      <c r="C905" s="5">
        <v>4</v>
      </c>
      <c r="D905" s="9" t="s">
        <v>449</v>
      </c>
      <c r="E905" s="10">
        <v>160</v>
      </c>
      <c r="F905" s="10">
        <f t="shared" si="14"/>
        <v>640</v>
      </c>
    </row>
    <row r="906" spans="1:6" s="9" customFormat="1" x14ac:dyDescent="0.25">
      <c r="B906" s="4"/>
      <c r="C906" s="5"/>
      <c r="E906" s="10"/>
      <c r="F906" s="8">
        <f>SUM(F904:F905)</f>
        <v>840</v>
      </c>
    </row>
    <row r="907" spans="1:6" s="9" customFormat="1" x14ac:dyDescent="0.25">
      <c r="B907" s="4"/>
      <c r="C907" s="5"/>
      <c r="E907" s="10"/>
      <c r="F907" s="10"/>
    </row>
    <row r="908" spans="1:6" s="9" customFormat="1" x14ac:dyDescent="0.25">
      <c r="A908" s="9" t="s">
        <v>270</v>
      </c>
      <c r="B908" s="4">
        <v>45821</v>
      </c>
      <c r="C908" s="5">
        <v>5</v>
      </c>
      <c r="D908" s="9" t="s">
        <v>98</v>
      </c>
      <c r="E908" s="10">
        <v>100</v>
      </c>
      <c r="F908" s="10">
        <f t="shared" si="14"/>
        <v>500</v>
      </c>
    </row>
    <row r="909" spans="1:6" s="9" customFormat="1" x14ac:dyDescent="0.25">
      <c r="B909" s="4"/>
      <c r="C909" s="5"/>
      <c r="E909" s="10"/>
      <c r="F909" s="8">
        <f>SUM(F908)</f>
        <v>500</v>
      </c>
    </row>
    <row r="910" spans="1:6" s="9" customFormat="1" x14ac:dyDescent="0.25">
      <c r="B910" s="4"/>
      <c r="C910" s="5"/>
      <c r="E910" s="10"/>
      <c r="F910" s="10"/>
    </row>
    <row r="911" spans="1:6" s="9" customFormat="1" x14ac:dyDescent="0.25">
      <c r="A911" s="9" t="s">
        <v>81</v>
      </c>
      <c r="B911" s="4">
        <v>45821</v>
      </c>
      <c r="C911" s="5">
        <v>8</v>
      </c>
      <c r="D911" s="9" t="s">
        <v>13</v>
      </c>
      <c r="E911" s="10">
        <v>135</v>
      </c>
      <c r="F911" s="10">
        <f t="shared" si="14"/>
        <v>1080</v>
      </c>
    </row>
    <row r="912" spans="1:6" s="9" customFormat="1" x14ac:dyDescent="0.25">
      <c r="B912" s="4"/>
      <c r="C912" s="5"/>
      <c r="E912" s="10"/>
      <c r="F912" s="8">
        <f>SUM(F911)</f>
        <v>1080</v>
      </c>
    </row>
    <row r="913" spans="1:6" s="9" customFormat="1" x14ac:dyDescent="0.25">
      <c r="B913" s="4"/>
      <c r="C913" s="5"/>
      <c r="E913" s="10"/>
      <c r="F913" s="10"/>
    </row>
    <row r="914" spans="1:6" s="9" customFormat="1" x14ac:dyDescent="0.25">
      <c r="A914" s="9" t="s">
        <v>525</v>
      </c>
      <c r="B914" s="4">
        <v>45821</v>
      </c>
      <c r="C914" s="5">
        <v>10</v>
      </c>
      <c r="D914" s="9" t="s">
        <v>22</v>
      </c>
      <c r="E914" s="10">
        <v>100</v>
      </c>
      <c r="F914" s="10">
        <f t="shared" si="14"/>
        <v>1000</v>
      </c>
    </row>
    <row r="915" spans="1:6" s="9" customFormat="1" x14ac:dyDescent="0.25">
      <c r="B915" s="4"/>
      <c r="C915" s="5"/>
      <c r="E915" s="10"/>
      <c r="F915" s="8">
        <f>SUM(F914)</f>
        <v>1000</v>
      </c>
    </row>
    <row r="916" spans="1:6" s="9" customFormat="1" x14ac:dyDescent="0.25">
      <c r="B916" s="4"/>
      <c r="C916" s="5"/>
      <c r="E916" s="10"/>
      <c r="F916" s="10"/>
    </row>
    <row r="917" spans="1:6" s="9" customFormat="1" x14ac:dyDescent="0.25">
      <c r="A917" s="9" t="s">
        <v>15</v>
      </c>
      <c r="B917" s="4">
        <v>45821</v>
      </c>
      <c r="C917" s="5">
        <v>73</v>
      </c>
      <c r="D917" s="9" t="s">
        <v>98</v>
      </c>
      <c r="E917" s="10">
        <v>80</v>
      </c>
      <c r="F917" s="10">
        <f t="shared" si="14"/>
        <v>5840</v>
      </c>
    </row>
    <row r="918" spans="1:6" s="9" customFormat="1" x14ac:dyDescent="0.25">
      <c r="B918" s="4"/>
      <c r="C918" s="5"/>
      <c r="E918" s="10"/>
      <c r="F918" s="8">
        <f>SUM(F917)</f>
        <v>5840</v>
      </c>
    </row>
    <row r="919" spans="1:6" s="9" customFormat="1" x14ac:dyDescent="0.25">
      <c r="B919" s="4"/>
      <c r="C919" s="5"/>
      <c r="E919" s="10"/>
      <c r="F919" s="10"/>
    </row>
    <row r="920" spans="1:6" s="9" customFormat="1" x14ac:dyDescent="0.25">
      <c r="A920" s="9" t="s">
        <v>17</v>
      </c>
      <c r="B920" s="4">
        <v>45821</v>
      </c>
      <c r="C920" s="5">
        <v>10</v>
      </c>
      <c r="D920" s="9" t="s">
        <v>13</v>
      </c>
      <c r="E920" s="10">
        <v>140</v>
      </c>
      <c r="F920" s="10">
        <f t="shared" si="14"/>
        <v>1400</v>
      </c>
    </row>
    <row r="921" spans="1:6" s="9" customFormat="1" x14ac:dyDescent="0.25">
      <c r="B921" s="4"/>
      <c r="C921" s="5"/>
      <c r="E921" s="10"/>
      <c r="F921" s="8">
        <f>SUM(F920)</f>
        <v>1400</v>
      </c>
    </row>
    <row r="922" spans="1:6" s="9" customFormat="1" x14ac:dyDescent="0.25">
      <c r="B922" s="4"/>
      <c r="C922" s="5"/>
      <c r="E922" s="10"/>
      <c r="F922" s="10"/>
    </row>
    <row r="923" spans="1:6" s="9" customFormat="1" x14ac:dyDescent="0.25">
      <c r="A923" s="9" t="s">
        <v>673</v>
      </c>
      <c r="B923" s="4">
        <v>45821</v>
      </c>
      <c r="C923" s="5">
        <v>10</v>
      </c>
      <c r="D923" s="9" t="s">
        <v>8</v>
      </c>
      <c r="E923" s="10">
        <v>155</v>
      </c>
      <c r="F923" s="10">
        <f t="shared" si="14"/>
        <v>1550</v>
      </c>
    </row>
    <row r="924" spans="1:6" s="9" customFormat="1" x14ac:dyDescent="0.25">
      <c r="B924" s="4"/>
      <c r="C924" s="5">
        <v>10</v>
      </c>
      <c r="D924" s="9" t="s">
        <v>13</v>
      </c>
      <c r="E924" s="10">
        <v>135</v>
      </c>
      <c r="F924" s="10">
        <f t="shared" si="14"/>
        <v>1350</v>
      </c>
    </row>
    <row r="925" spans="1:6" s="9" customFormat="1" x14ac:dyDescent="0.25">
      <c r="B925" s="4"/>
      <c r="C925" s="5"/>
      <c r="E925" s="10"/>
      <c r="F925" s="8">
        <f>SUM(F923:F924)</f>
        <v>2900</v>
      </c>
    </row>
    <row r="926" spans="1:6" s="9" customFormat="1" x14ac:dyDescent="0.25">
      <c r="B926" s="4"/>
      <c r="C926" s="5"/>
      <c r="E926" s="10"/>
      <c r="F926" s="10"/>
    </row>
    <row r="927" spans="1:6" s="9" customFormat="1" x14ac:dyDescent="0.25">
      <c r="A927" s="9" t="s">
        <v>40</v>
      </c>
      <c r="B927" s="4">
        <v>45821</v>
      </c>
      <c r="C927" s="5">
        <v>10</v>
      </c>
      <c r="D927" s="9" t="s">
        <v>22</v>
      </c>
      <c r="E927" s="10">
        <v>130</v>
      </c>
      <c r="F927" s="10">
        <f t="shared" si="14"/>
        <v>1300</v>
      </c>
    </row>
    <row r="928" spans="1:6" s="9" customFormat="1" x14ac:dyDescent="0.25">
      <c r="B928" s="4"/>
      <c r="C928" s="5">
        <v>10</v>
      </c>
      <c r="D928" s="9" t="s">
        <v>8</v>
      </c>
      <c r="E928" s="10">
        <v>155</v>
      </c>
      <c r="F928" s="10">
        <f t="shared" si="14"/>
        <v>1550</v>
      </c>
    </row>
    <row r="929" spans="1:6" s="9" customFormat="1" x14ac:dyDescent="0.25">
      <c r="B929" s="4"/>
      <c r="C929" s="5">
        <v>10</v>
      </c>
      <c r="D929" s="9" t="s">
        <v>642</v>
      </c>
      <c r="E929" s="10">
        <v>85</v>
      </c>
      <c r="F929" s="10">
        <f t="shared" si="14"/>
        <v>850</v>
      </c>
    </row>
    <row r="930" spans="1:6" s="9" customFormat="1" x14ac:dyDescent="0.25">
      <c r="B930" s="4"/>
      <c r="C930" s="5"/>
      <c r="E930" s="10"/>
      <c r="F930" s="8">
        <f>SUM(F927:F929)</f>
        <v>3700</v>
      </c>
    </row>
    <row r="931" spans="1:6" s="9" customFormat="1" x14ac:dyDescent="0.25">
      <c r="B931" s="4"/>
      <c r="C931" s="5"/>
      <c r="E931" s="10"/>
      <c r="F931" s="10"/>
    </row>
    <row r="932" spans="1:6" s="9" customFormat="1" x14ac:dyDescent="0.25">
      <c r="A932" s="9" t="s">
        <v>21</v>
      </c>
      <c r="B932" s="4">
        <v>45821</v>
      </c>
      <c r="C932" s="5">
        <v>30</v>
      </c>
      <c r="D932" s="9" t="s">
        <v>12</v>
      </c>
      <c r="E932" s="10">
        <v>115</v>
      </c>
      <c r="F932" s="10">
        <f t="shared" si="14"/>
        <v>3450</v>
      </c>
    </row>
    <row r="933" spans="1:6" s="9" customFormat="1" x14ac:dyDescent="0.25">
      <c r="B933" s="4"/>
      <c r="C933" s="5"/>
      <c r="E933" s="10"/>
      <c r="F933" s="8">
        <f>SUM(F932)</f>
        <v>3450</v>
      </c>
    </row>
    <row r="934" spans="1:6" s="9" customFormat="1" x14ac:dyDescent="0.25">
      <c r="B934" s="4"/>
      <c r="C934" s="5"/>
      <c r="E934" s="10"/>
      <c r="F934" s="10"/>
    </row>
    <row r="935" spans="1:6" s="9" customFormat="1" x14ac:dyDescent="0.25">
      <c r="A935" s="9" t="s">
        <v>80</v>
      </c>
      <c r="B935" s="4">
        <v>45821</v>
      </c>
      <c r="C935" s="5">
        <v>7</v>
      </c>
      <c r="D935" s="9" t="s">
        <v>13</v>
      </c>
      <c r="E935" s="10">
        <v>140</v>
      </c>
      <c r="F935" s="10">
        <f t="shared" si="14"/>
        <v>980</v>
      </c>
    </row>
    <row r="936" spans="1:6" s="9" customFormat="1" x14ac:dyDescent="0.25">
      <c r="B936" s="4"/>
      <c r="C936" s="5"/>
      <c r="E936" s="10"/>
      <c r="F936" s="8">
        <f>SUM(F935)</f>
        <v>980</v>
      </c>
    </row>
    <row r="937" spans="1:6" s="9" customFormat="1" x14ac:dyDescent="0.25">
      <c r="B937" s="4"/>
      <c r="C937" s="5"/>
      <c r="E937" s="10"/>
      <c r="F937" s="10"/>
    </row>
    <row r="938" spans="1:6" s="9" customFormat="1" x14ac:dyDescent="0.25">
      <c r="A938" s="9" t="s">
        <v>58</v>
      </c>
      <c r="B938" s="4">
        <v>45821</v>
      </c>
      <c r="C938" s="5">
        <v>7</v>
      </c>
      <c r="D938" s="9" t="s">
        <v>626</v>
      </c>
      <c r="E938" s="10">
        <v>135</v>
      </c>
      <c r="F938" s="10">
        <f t="shared" si="14"/>
        <v>945</v>
      </c>
    </row>
    <row r="939" spans="1:6" s="9" customFormat="1" x14ac:dyDescent="0.25">
      <c r="B939" s="4"/>
      <c r="C939" s="5"/>
      <c r="E939" s="10"/>
      <c r="F939" s="8">
        <f>SUM(F938)</f>
        <v>945</v>
      </c>
    </row>
    <row r="940" spans="1:6" s="9" customFormat="1" x14ac:dyDescent="0.25">
      <c r="B940" s="4"/>
      <c r="C940" s="5"/>
      <c r="E940" s="10"/>
      <c r="F940" s="10"/>
    </row>
    <row r="941" spans="1:6" s="9" customFormat="1" x14ac:dyDescent="0.25">
      <c r="A941" s="9" t="s">
        <v>211</v>
      </c>
      <c r="B941" s="4">
        <v>45821</v>
      </c>
      <c r="C941" s="5">
        <v>7</v>
      </c>
      <c r="D941" s="9" t="s">
        <v>98</v>
      </c>
      <c r="E941" s="10">
        <v>100</v>
      </c>
      <c r="F941" s="10">
        <f t="shared" si="14"/>
        <v>700</v>
      </c>
    </row>
    <row r="942" spans="1:6" s="9" customFormat="1" x14ac:dyDescent="0.25">
      <c r="B942" s="4"/>
      <c r="C942" s="5"/>
      <c r="E942" s="10"/>
      <c r="F942" s="8">
        <f>SUM(F941)</f>
        <v>700</v>
      </c>
    </row>
    <row r="943" spans="1:6" s="9" customFormat="1" x14ac:dyDescent="0.25">
      <c r="B943" s="4"/>
      <c r="C943" s="5"/>
      <c r="E943" s="10"/>
      <c r="F943" s="10"/>
    </row>
    <row r="944" spans="1:6" s="9" customFormat="1" x14ac:dyDescent="0.25">
      <c r="A944" s="9" t="s">
        <v>41</v>
      </c>
      <c r="B944" s="4">
        <v>45821</v>
      </c>
      <c r="C944" s="5">
        <v>20</v>
      </c>
      <c r="D944" s="9" t="s">
        <v>14</v>
      </c>
      <c r="E944" s="10">
        <v>130</v>
      </c>
      <c r="F944" s="10">
        <f t="shared" si="14"/>
        <v>2600</v>
      </c>
    </row>
    <row r="945" spans="1:6" s="9" customFormat="1" x14ac:dyDescent="0.25">
      <c r="B945" s="4"/>
      <c r="C945" s="5"/>
      <c r="E945" s="10"/>
      <c r="F945" s="8">
        <f>SUM(F944)</f>
        <v>2600</v>
      </c>
    </row>
    <row r="946" spans="1:6" s="9" customFormat="1" x14ac:dyDescent="0.25">
      <c r="B946" s="4"/>
      <c r="C946" s="5"/>
      <c r="E946" s="10"/>
      <c r="F946" s="10"/>
    </row>
    <row r="947" spans="1:6" s="9" customFormat="1" x14ac:dyDescent="0.25">
      <c r="A947" s="9" t="s">
        <v>42</v>
      </c>
      <c r="B947" s="4">
        <v>45821</v>
      </c>
      <c r="C947" s="5">
        <v>27</v>
      </c>
      <c r="D947" s="9" t="s">
        <v>14</v>
      </c>
      <c r="E947" s="10">
        <v>125</v>
      </c>
      <c r="F947" s="10">
        <f t="shared" si="14"/>
        <v>3375</v>
      </c>
    </row>
    <row r="948" spans="1:6" s="9" customFormat="1" x14ac:dyDescent="0.25">
      <c r="B948" s="4"/>
      <c r="C948" s="5"/>
      <c r="E948" s="10"/>
      <c r="F948" s="8">
        <f>SUM(F947)</f>
        <v>3375</v>
      </c>
    </row>
    <row r="949" spans="1:6" s="9" customFormat="1" x14ac:dyDescent="0.25">
      <c r="B949" s="4"/>
      <c r="C949" s="5"/>
      <c r="E949" s="10"/>
      <c r="F949" s="10"/>
    </row>
    <row r="950" spans="1:6" s="9" customFormat="1" x14ac:dyDescent="0.25">
      <c r="A950" s="9" t="s">
        <v>106</v>
      </c>
      <c r="B950" s="4">
        <v>45821</v>
      </c>
      <c r="C950" s="5">
        <v>20</v>
      </c>
      <c r="D950" s="9" t="s">
        <v>12</v>
      </c>
      <c r="E950" s="10">
        <v>125</v>
      </c>
      <c r="F950" s="10">
        <f t="shared" si="14"/>
        <v>2500</v>
      </c>
    </row>
    <row r="951" spans="1:6" s="9" customFormat="1" x14ac:dyDescent="0.25">
      <c r="B951" s="4"/>
      <c r="C951" s="5"/>
      <c r="E951" s="10"/>
      <c r="F951" s="8">
        <f>SUM(F950)</f>
        <v>2500</v>
      </c>
    </row>
    <row r="952" spans="1:6" s="9" customFormat="1" x14ac:dyDescent="0.25">
      <c r="B952" s="4"/>
      <c r="C952" s="5"/>
      <c r="E952" s="10"/>
      <c r="F952" s="10"/>
    </row>
    <row r="953" spans="1:6" s="9" customFormat="1" x14ac:dyDescent="0.25">
      <c r="A953" s="9" t="s">
        <v>43</v>
      </c>
      <c r="B953" s="4">
        <v>45821</v>
      </c>
      <c r="C953" s="5">
        <v>35</v>
      </c>
      <c r="D953" s="9" t="s">
        <v>14</v>
      </c>
      <c r="E953" s="10">
        <v>130</v>
      </c>
      <c r="F953" s="10">
        <f t="shared" si="14"/>
        <v>4550</v>
      </c>
    </row>
    <row r="954" spans="1:6" s="9" customFormat="1" x14ac:dyDescent="0.25">
      <c r="B954" s="4"/>
      <c r="C954" s="5"/>
      <c r="E954" s="10"/>
      <c r="F954" s="8">
        <f>SUM(F953)</f>
        <v>4550</v>
      </c>
    </row>
    <row r="955" spans="1:6" s="9" customFormat="1" x14ac:dyDescent="0.25">
      <c r="B955" s="4"/>
      <c r="C955" s="5"/>
      <c r="E955" s="10"/>
      <c r="F955" s="10"/>
    </row>
    <row r="956" spans="1:6" s="9" customFormat="1" x14ac:dyDescent="0.25">
      <c r="A956" s="9" t="s">
        <v>44</v>
      </c>
      <c r="B956" s="4">
        <v>45821</v>
      </c>
      <c r="C956" s="5">
        <v>50</v>
      </c>
      <c r="D956" s="9" t="s">
        <v>14</v>
      </c>
      <c r="E956" s="10">
        <v>130</v>
      </c>
      <c r="F956" s="10">
        <f t="shared" si="14"/>
        <v>6500</v>
      </c>
    </row>
    <row r="957" spans="1:6" s="9" customFormat="1" x14ac:dyDescent="0.25">
      <c r="B957" s="4"/>
      <c r="C957" s="5"/>
      <c r="E957" s="10"/>
      <c r="F957" s="8">
        <f>SUM(F956)</f>
        <v>6500</v>
      </c>
    </row>
    <row r="958" spans="1:6" s="9" customFormat="1" x14ac:dyDescent="0.25">
      <c r="B958" s="4"/>
      <c r="C958" s="5"/>
      <c r="E958" s="10"/>
      <c r="F958" s="10"/>
    </row>
    <row r="959" spans="1:6" s="9" customFormat="1" x14ac:dyDescent="0.25">
      <c r="A959" s="9" t="s">
        <v>138</v>
      </c>
      <c r="B959" s="4">
        <v>45821</v>
      </c>
      <c r="C959" s="5">
        <v>20</v>
      </c>
      <c r="D959" s="9" t="s">
        <v>14</v>
      </c>
      <c r="E959" s="10">
        <v>130</v>
      </c>
      <c r="F959" s="10">
        <f t="shared" si="14"/>
        <v>2600</v>
      </c>
    </row>
    <row r="960" spans="1:6" s="9" customFormat="1" x14ac:dyDescent="0.25">
      <c r="B960" s="4"/>
      <c r="C960" s="5"/>
      <c r="E960" s="10"/>
      <c r="F960" s="8">
        <f>SUM(F959)</f>
        <v>2600</v>
      </c>
    </row>
    <row r="961" spans="1:6" s="9" customFormat="1" x14ac:dyDescent="0.25">
      <c r="B961" s="4"/>
      <c r="C961" s="5"/>
      <c r="E961" s="10"/>
      <c r="F961" s="10"/>
    </row>
    <row r="962" spans="1:6" s="9" customFormat="1" x14ac:dyDescent="0.25">
      <c r="A962" s="9" t="s">
        <v>89</v>
      </c>
      <c r="B962" s="4">
        <v>45821</v>
      </c>
      <c r="C962" s="5">
        <v>20</v>
      </c>
      <c r="D962" s="9" t="s">
        <v>11</v>
      </c>
      <c r="E962" s="10">
        <v>110</v>
      </c>
      <c r="F962" s="10">
        <f t="shared" si="14"/>
        <v>2200</v>
      </c>
    </row>
    <row r="963" spans="1:6" s="9" customFormat="1" x14ac:dyDescent="0.25">
      <c r="B963" s="4"/>
      <c r="C963" s="5">
        <v>12</v>
      </c>
      <c r="D963" s="9" t="s">
        <v>13</v>
      </c>
      <c r="E963" s="10">
        <v>130</v>
      </c>
      <c r="F963" s="10">
        <f t="shared" si="14"/>
        <v>1560</v>
      </c>
    </row>
    <row r="964" spans="1:6" s="9" customFormat="1" x14ac:dyDescent="0.25">
      <c r="B964" s="4"/>
      <c r="C964" s="5">
        <v>60</v>
      </c>
      <c r="D964" s="9" t="s">
        <v>12</v>
      </c>
      <c r="E964" s="10">
        <v>100</v>
      </c>
      <c r="F964" s="10">
        <f t="shared" ref="F964:F1025" si="15">+C964*E964</f>
        <v>6000</v>
      </c>
    </row>
    <row r="965" spans="1:6" s="9" customFormat="1" x14ac:dyDescent="0.25">
      <c r="B965" s="4"/>
      <c r="C965" s="5"/>
      <c r="E965" s="10"/>
      <c r="F965" s="8">
        <f>SUM(F962:F964)</f>
        <v>9760</v>
      </c>
    </row>
    <row r="966" spans="1:6" s="9" customFormat="1" x14ac:dyDescent="0.25">
      <c r="B966" s="4"/>
      <c r="C966" s="5"/>
      <c r="E966" s="10"/>
      <c r="F966" s="10"/>
    </row>
    <row r="967" spans="1:6" s="9" customFormat="1" x14ac:dyDescent="0.25">
      <c r="A967" s="9" t="s">
        <v>112</v>
      </c>
      <c r="B967" s="4">
        <v>45821</v>
      </c>
      <c r="C967" s="5">
        <v>100</v>
      </c>
      <c r="D967" s="9" t="s">
        <v>22</v>
      </c>
      <c r="E967" s="10">
        <v>90</v>
      </c>
      <c r="F967" s="10">
        <f t="shared" si="15"/>
        <v>9000</v>
      </c>
    </row>
    <row r="968" spans="1:6" s="9" customFormat="1" x14ac:dyDescent="0.25">
      <c r="B968" s="4"/>
      <c r="C968" s="5"/>
      <c r="E968" s="10"/>
      <c r="F968" s="8">
        <f>SUM(F967)</f>
        <v>9000</v>
      </c>
    </row>
    <row r="969" spans="1:6" s="9" customFormat="1" x14ac:dyDescent="0.25">
      <c r="B969" s="4"/>
      <c r="C969" s="5"/>
      <c r="E969" s="10"/>
      <c r="F969" s="10"/>
    </row>
    <row r="970" spans="1:6" s="9" customFormat="1" x14ac:dyDescent="0.25">
      <c r="A970" s="9" t="s">
        <v>27</v>
      </c>
      <c r="B970" s="4">
        <v>45821</v>
      </c>
      <c r="C970" s="5">
        <v>5</v>
      </c>
      <c r="D970" s="9" t="s">
        <v>12</v>
      </c>
      <c r="E970" s="10">
        <v>130</v>
      </c>
      <c r="F970" s="10">
        <f t="shared" si="15"/>
        <v>650</v>
      </c>
    </row>
    <row r="971" spans="1:6" s="9" customFormat="1" x14ac:dyDescent="0.25">
      <c r="B971" s="4"/>
      <c r="C971" s="5"/>
      <c r="E971" s="10"/>
      <c r="F971" s="8">
        <f>SUM(F970)</f>
        <v>650</v>
      </c>
    </row>
    <row r="972" spans="1:6" s="9" customFormat="1" x14ac:dyDescent="0.25">
      <c r="B972" s="4"/>
      <c r="C972" s="5"/>
      <c r="E972" s="10"/>
      <c r="F972" s="10"/>
    </row>
    <row r="973" spans="1:6" s="9" customFormat="1" x14ac:dyDescent="0.25">
      <c r="A973" s="9" t="s">
        <v>245</v>
      </c>
      <c r="B973" s="4">
        <v>45821</v>
      </c>
      <c r="C973" s="5">
        <v>170</v>
      </c>
      <c r="D973" s="9" t="s">
        <v>13</v>
      </c>
      <c r="E973" s="10">
        <v>140</v>
      </c>
      <c r="F973" s="10">
        <f t="shared" si="15"/>
        <v>23800</v>
      </c>
    </row>
    <row r="974" spans="1:6" s="9" customFormat="1" x14ac:dyDescent="0.25">
      <c r="B974" s="4"/>
      <c r="C974" s="5">
        <v>20</v>
      </c>
      <c r="D974" s="9" t="s">
        <v>14</v>
      </c>
      <c r="E974" s="10">
        <v>130</v>
      </c>
      <c r="F974" s="10">
        <f t="shared" si="15"/>
        <v>2600</v>
      </c>
    </row>
    <row r="975" spans="1:6" s="9" customFormat="1" x14ac:dyDescent="0.25">
      <c r="B975" s="4"/>
      <c r="C975" s="5">
        <v>6.02</v>
      </c>
      <c r="D975" s="9" t="s">
        <v>13</v>
      </c>
      <c r="E975" s="10">
        <v>0</v>
      </c>
      <c r="F975" s="10">
        <f t="shared" si="15"/>
        <v>0</v>
      </c>
    </row>
    <row r="976" spans="1:6" s="9" customFormat="1" x14ac:dyDescent="0.25">
      <c r="B976" s="4"/>
      <c r="C976" s="5"/>
      <c r="E976" s="10"/>
      <c r="F976" s="8">
        <f>SUM(F973:F975)</f>
        <v>26400</v>
      </c>
    </row>
    <row r="977" spans="1:6" s="9" customFormat="1" x14ac:dyDescent="0.25">
      <c r="B977" s="4"/>
      <c r="C977" s="5"/>
      <c r="E977" s="10"/>
      <c r="F977" s="10"/>
    </row>
    <row r="978" spans="1:6" s="9" customFormat="1" x14ac:dyDescent="0.25">
      <c r="A978" s="9" t="s">
        <v>48</v>
      </c>
      <c r="B978" s="4">
        <v>45821</v>
      </c>
      <c r="C978" s="5">
        <v>34</v>
      </c>
      <c r="D978" s="9" t="s">
        <v>705</v>
      </c>
      <c r="E978" s="10"/>
      <c r="F978" s="10">
        <f t="shared" si="15"/>
        <v>0</v>
      </c>
    </row>
    <row r="979" spans="1:6" s="9" customFormat="1" x14ac:dyDescent="0.25">
      <c r="B979" s="4"/>
      <c r="C979" s="5">
        <v>333</v>
      </c>
      <c r="D979" s="9" t="s">
        <v>476</v>
      </c>
      <c r="E979" s="10"/>
      <c r="F979" s="10">
        <f t="shared" si="15"/>
        <v>0</v>
      </c>
    </row>
    <row r="980" spans="1:6" s="9" customFormat="1" x14ac:dyDescent="0.25">
      <c r="B980" s="4"/>
      <c r="C980" s="5">
        <v>66</v>
      </c>
      <c r="D980" s="9" t="s">
        <v>258</v>
      </c>
      <c r="E980" s="10"/>
      <c r="F980" s="10">
        <f t="shared" si="15"/>
        <v>0</v>
      </c>
    </row>
    <row r="981" spans="1:6" s="9" customFormat="1" x14ac:dyDescent="0.25">
      <c r="B981" s="4"/>
      <c r="C981" s="5">
        <v>24</v>
      </c>
      <c r="D981" s="9" t="s">
        <v>50</v>
      </c>
      <c r="E981" s="10"/>
      <c r="F981" s="10">
        <f t="shared" si="15"/>
        <v>0</v>
      </c>
    </row>
    <row r="982" spans="1:6" s="9" customFormat="1" x14ac:dyDescent="0.25">
      <c r="B982" s="4"/>
      <c r="C982" s="5">
        <v>38</v>
      </c>
      <c r="D982" s="9" t="s">
        <v>22</v>
      </c>
      <c r="E982" s="10"/>
      <c r="F982" s="10">
        <f t="shared" si="15"/>
        <v>0</v>
      </c>
    </row>
    <row r="983" spans="1:6" s="9" customFormat="1" x14ac:dyDescent="0.25">
      <c r="B983" s="4"/>
      <c r="C983" s="5"/>
      <c r="E983" s="10"/>
      <c r="F983" s="8">
        <f>SUM(F978:F982)</f>
        <v>0</v>
      </c>
    </row>
    <row r="984" spans="1:6" s="9" customFormat="1" x14ac:dyDescent="0.25">
      <c r="B984" s="4"/>
      <c r="C984" s="5"/>
      <c r="E984" s="10"/>
      <c r="F984" s="10"/>
    </row>
    <row r="985" spans="1:6" s="9" customFormat="1" x14ac:dyDescent="0.25">
      <c r="A985" s="9" t="s">
        <v>29</v>
      </c>
      <c r="B985" s="4">
        <v>45821</v>
      </c>
      <c r="C985" s="5">
        <v>2</v>
      </c>
      <c r="D985" s="9" t="s">
        <v>12</v>
      </c>
      <c r="E985" s="10">
        <v>150</v>
      </c>
      <c r="F985" s="10">
        <f t="shared" si="15"/>
        <v>300</v>
      </c>
    </row>
    <row r="986" spans="1:6" s="9" customFormat="1" x14ac:dyDescent="0.25">
      <c r="B986" s="4"/>
      <c r="C986" s="5"/>
      <c r="E986" s="10"/>
      <c r="F986" s="8">
        <f>SUM(F985)</f>
        <v>300</v>
      </c>
    </row>
    <row r="987" spans="1:6" s="9" customFormat="1" x14ac:dyDescent="0.25">
      <c r="B987" s="4"/>
      <c r="C987" s="5"/>
      <c r="E987" s="10"/>
      <c r="F987" s="10"/>
    </row>
    <row r="988" spans="1:6" s="9" customFormat="1" x14ac:dyDescent="0.25">
      <c r="A988" s="9" t="s">
        <v>7</v>
      </c>
      <c r="B988" s="4">
        <v>45821</v>
      </c>
      <c r="C988" s="5">
        <v>3</v>
      </c>
      <c r="D988" s="9" t="s">
        <v>13</v>
      </c>
      <c r="E988" s="10">
        <v>160</v>
      </c>
      <c r="F988" s="10">
        <f t="shared" si="15"/>
        <v>480</v>
      </c>
    </row>
    <row r="989" spans="1:6" s="9" customFormat="1" x14ac:dyDescent="0.25">
      <c r="B989" s="4"/>
      <c r="C989" s="5"/>
      <c r="E989" s="10"/>
      <c r="F989" s="8">
        <f>SUM(F988)</f>
        <v>480</v>
      </c>
    </row>
    <row r="990" spans="1:6" s="9" customFormat="1" x14ac:dyDescent="0.25">
      <c r="B990" s="4"/>
      <c r="C990" s="5"/>
      <c r="E990" s="10"/>
      <c r="F990" s="10"/>
    </row>
    <row r="991" spans="1:6" s="9" customFormat="1" x14ac:dyDescent="0.25">
      <c r="A991" s="9" t="s">
        <v>442</v>
      </c>
      <c r="B991" s="4">
        <v>45822</v>
      </c>
      <c r="C991" s="5">
        <v>24</v>
      </c>
      <c r="D991" s="9" t="s">
        <v>13</v>
      </c>
      <c r="E991" s="10">
        <v>135</v>
      </c>
      <c r="F991" s="10">
        <f t="shared" si="15"/>
        <v>3240</v>
      </c>
    </row>
    <row r="992" spans="1:6" s="9" customFormat="1" x14ac:dyDescent="0.25">
      <c r="B992" s="4"/>
      <c r="C992" s="5"/>
      <c r="E992" s="10"/>
      <c r="F992" s="8">
        <f>SUM(F991)</f>
        <v>3240</v>
      </c>
    </row>
    <row r="993" spans="1:6" s="9" customFormat="1" x14ac:dyDescent="0.25">
      <c r="B993" s="4"/>
      <c r="C993" s="5"/>
      <c r="E993" s="10"/>
      <c r="F993" s="10"/>
    </row>
    <row r="994" spans="1:6" s="9" customFormat="1" x14ac:dyDescent="0.25">
      <c r="A994" s="9" t="s">
        <v>69</v>
      </c>
      <c r="B994" s="4">
        <v>45822</v>
      </c>
      <c r="C994" s="5">
        <v>10</v>
      </c>
      <c r="D994" s="9" t="s">
        <v>98</v>
      </c>
      <c r="E994" s="10">
        <v>100</v>
      </c>
      <c r="F994" s="10">
        <f t="shared" si="15"/>
        <v>1000</v>
      </c>
    </row>
    <row r="995" spans="1:6" s="9" customFormat="1" x14ac:dyDescent="0.25">
      <c r="B995" s="4"/>
      <c r="C995" s="5"/>
      <c r="E995" s="10"/>
      <c r="F995" s="8">
        <f>SUM(F994)</f>
        <v>1000</v>
      </c>
    </row>
    <row r="996" spans="1:6" s="9" customFormat="1" x14ac:dyDescent="0.25">
      <c r="B996" s="4"/>
      <c r="C996" s="5"/>
      <c r="E996" s="10"/>
      <c r="F996" s="10"/>
    </row>
    <row r="997" spans="1:6" s="9" customFormat="1" x14ac:dyDescent="0.25">
      <c r="A997" s="9" t="s">
        <v>20</v>
      </c>
      <c r="B997" s="4">
        <v>45822</v>
      </c>
      <c r="C997" s="5">
        <v>20</v>
      </c>
      <c r="D997" s="9" t="s">
        <v>13</v>
      </c>
      <c r="E997" s="10">
        <v>135</v>
      </c>
      <c r="F997" s="10">
        <f t="shared" si="15"/>
        <v>2700</v>
      </c>
    </row>
    <row r="998" spans="1:6" s="9" customFormat="1" x14ac:dyDescent="0.25">
      <c r="B998" s="4"/>
      <c r="C998" s="5"/>
      <c r="E998" s="10"/>
      <c r="F998" s="8">
        <f>SUM(F997)</f>
        <v>2700</v>
      </c>
    </row>
    <row r="999" spans="1:6" s="9" customFormat="1" x14ac:dyDescent="0.25">
      <c r="B999" s="4"/>
      <c r="C999" s="5"/>
      <c r="E999" s="10"/>
      <c r="F999" s="10"/>
    </row>
    <row r="1000" spans="1:6" s="9" customFormat="1" x14ac:dyDescent="0.25">
      <c r="A1000" s="9" t="s">
        <v>427</v>
      </c>
      <c r="B1000" s="4">
        <v>45822</v>
      </c>
      <c r="C1000" s="5">
        <v>10</v>
      </c>
      <c r="D1000" s="9" t="s">
        <v>13</v>
      </c>
      <c r="E1000" s="10">
        <v>135</v>
      </c>
      <c r="F1000" s="10">
        <f t="shared" si="15"/>
        <v>1350</v>
      </c>
    </row>
    <row r="1001" spans="1:6" s="9" customFormat="1" x14ac:dyDescent="0.25">
      <c r="B1001" s="4"/>
      <c r="C1001" s="5"/>
      <c r="E1001" s="10"/>
      <c r="F1001" s="8">
        <f>SUM(F1000)</f>
        <v>1350</v>
      </c>
    </row>
    <row r="1002" spans="1:6" s="9" customFormat="1" x14ac:dyDescent="0.25">
      <c r="B1002" s="4"/>
      <c r="C1002" s="5"/>
      <c r="E1002" s="10"/>
      <c r="F1002" s="10"/>
    </row>
    <row r="1003" spans="1:6" s="9" customFormat="1" x14ac:dyDescent="0.25">
      <c r="A1003" s="9" t="s">
        <v>673</v>
      </c>
      <c r="B1003" s="4">
        <v>45822</v>
      </c>
      <c r="C1003" s="5">
        <v>25</v>
      </c>
      <c r="D1003" s="9" t="s">
        <v>13</v>
      </c>
      <c r="E1003" s="10">
        <v>135</v>
      </c>
      <c r="F1003" s="10">
        <f t="shared" si="15"/>
        <v>3375</v>
      </c>
    </row>
    <row r="1004" spans="1:6" s="9" customFormat="1" x14ac:dyDescent="0.25">
      <c r="B1004" s="4"/>
      <c r="C1004" s="5">
        <v>20</v>
      </c>
      <c r="D1004" s="9" t="s">
        <v>22</v>
      </c>
      <c r="E1004" s="10">
        <v>85</v>
      </c>
      <c r="F1004" s="10">
        <f t="shared" si="15"/>
        <v>1700</v>
      </c>
    </row>
    <row r="1005" spans="1:6" s="9" customFormat="1" x14ac:dyDescent="0.25">
      <c r="B1005" s="4"/>
      <c r="C1005" s="5">
        <v>10</v>
      </c>
      <c r="D1005" s="9" t="s">
        <v>12</v>
      </c>
      <c r="E1005" s="10">
        <v>120</v>
      </c>
      <c r="F1005" s="10">
        <f t="shared" si="15"/>
        <v>1200</v>
      </c>
    </row>
    <row r="1006" spans="1:6" s="9" customFormat="1" x14ac:dyDescent="0.25">
      <c r="B1006" s="4"/>
      <c r="C1006" s="5"/>
      <c r="E1006" s="10"/>
      <c r="F1006" s="8">
        <f>SUM(F1003:F1005)</f>
        <v>6275</v>
      </c>
    </row>
    <row r="1007" spans="1:6" s="9" customFormat="1" x14ac:dyDescent="0.25">
      <c r="B1007" s="4"/>
      <c r="C1007" s="5"/>
      <c r="E1007" s="10"/>
      <c r="F1007" s="10"/>
    </row>
    <row r="1008" spans="1:6" s="9" customFormat="1" x14ac:dyDescent="0.25">
      <c r="A1008" s="9" t="s">
        <v>40</v>
      </c>
      <c r="B1008" s="4">
        <v>45822</v>
      </c>
      <c r="C1008" s="5">
        <v>10</v>
      </c>
      <c r="D1008" s="9" t="s">
        <v>12</v>
      </c>
      <c r="E1008" s="10">
        <v>120</v>
      </c>
      <c r="F1008" s="10">
        <f t="shared" si="15"/>
        <v>1200</v>
      </c>
    </row>
    <row r="1009" spans="1:6" s="9" customFormat="1" x14ac:dyDescent="0.25">
      <c r="B1009" s="4"/>
      <c r="C1009" s="5">
        <v>10</v>
      </c>
      <c r="D1009" s="9" t="s">
        <v>8</v>
      </c>
      <c r="E1009" s="10">
        <v>155</v>
      </c>
      <c r="F1009" s="10">
        <f t="shared" si="15"/>
        <v>1550</v>
      </c>
    </row>
    <row r="1010" spans="1:6" s="9" customFormat="1" x14ac:dyDescent="0.25">
      <c r="B1010" s="4"/>
      <c r="C1010" s="5">
        <v>10</v>
      </c>
      <c r="D1010" s="9" t="s">
        <v>618</v>
      </c>
      <c r="E1010" s="10">
        <v>125</v>
      </c>
      <c r="F1010" s="10">
        <f t="shared" si="15"/>
        <v>1250</v>
      </c>
    </row>
    <row r="1011" spans="1:6" s="9" customFormat="1" x14ac:dyDescent="0.25">
      <c r="B1011" s="4"/>
      <c r="C1011" s="5"/>
      <c r="E1011" s="10"/>
      <c r="F1011" s="8">
        <f>SUM(F1008:F1010)</f>
        <v>4000</v>
      </c>
    </row>
    <row r="1012" spans="1:6" s="9" customFormat="1" x14ac:dyDescent="0.25">
      <c r="B1012" s="4"/>
      <c r="C1012" s="5"/>
      <c r="E1012" s="10"/>
      <c r="F1012" s="10"/>
    </row>
    <row r="1013" spans="1:6" s="9" customFormat="1" x14ac:dyDescent="0.25">
      <c r="A1013" s="9" t="s">
        <v>516</v>
      </c>
      <c r="B1013" s="4">
        <v>45822</v>
      </c>
      <c r="C1013" s="5">
        <v>7</v>
      </c>
      <c r="D1013" s="9" t="s">
        <v>13</v>
      </c>
      <c r="E1013" s="10">
        <v>135</v>
      </c>
      <c r="F1013" s="10">
        <f t="shared" si="15"/>
        <v>945</v>
      </c>
    </row>
    <row r="1014" spans="1:6" s="9" customFormat="1" x14ac:dyDescent="0.25">
      <c r="B1014" s="4"/>
      <c r="C1014" s="5"/>
      <c r="E1014" s="10"/>
      <c r="F1014" s="8">
        <f>SUM(F1013)</f>
        <v>945</v>
      </c>
    </row>
    <row r="1015" spans="1:6" s="9" customFormat="1" x14ac:dyDescent="0.25">
      <c r="B1015" s="4"/>
      <c r="C1015" s="5"/>
      <c r="E1015" s="10"/>
      <c r="F1015" s="10"/>
    </row>
    <row r="1016" spans="1:6" s="9" customFormat="1" x14ac:dyDescent="0.25">
      <c r="A1016" s="9" t="s">
        <v>514</v>
      </c>
      <c r="B1016" s="4">
        <v>45822</v>
      </c>
      <c r="C1016" s="5">
        <v>10</v>
      </c>
      <c r="D1016" s="9" t="s">
        <v>98</v>
      </c>
      <c r="E1016" s="10">
        <v>100</v>
      </c>
      <c r="F1016" s="10">
        <f t="shared" si="15"/>
        <v>1000</v>
      </c>
    </row>
    <row r="1017" spans="1:6" s="9" customFormat="1" x14ac:dyDescent="0.25">
      <c r="B1017" s="4"/>
      <c r="C1017" s="5"/>
      <c r="E1017" s="10"/>
      <c r="F1017" s="8">
        <f>SUM(F1016)</f>
        <v>1000</v>
      </c>
    </row>
    <row r="1018" spans="1:6" s="9" customFormat="1" x14ac:dyDescent="0.25">
      <c r="B1018" s="4"/>
      <c r="C1018" s="5"/>
      <c r="E1018" s="10"/>
      <c r="F1018" s="10"/>
    </row>
    <row r="1019" spans="1:6" s="9" customFormat="1" x14ac:dyDescent="0.25">
      <c r="A1019" s="9" t="s">
        <v>72</v>
      </c>
      <c r="B1019" s="4">
        <v>45822</v>
      </c>
      <c r="C1019" s="5">
        <v>270</v>
      </c>
      <c r="D1019" s="9" t="s">
        <v>13</v>
      </c>
      <c r="E1019" s="10">
        <v>130</v>
      </c>
      <c r="F1019" s="10">
        <f t="shared" si="15"/>
        <v>35100</v>
      </c>
    </row>
    <row r="1020" spans="1:6" s="9" customFormat="1" x14ac:dyDescent="0.25">
      <c r="B1020" s="4"/>
      <c r="C1020" s="5">
        <v>130</v>
      </c>
      <c r="D1020" s="9" t="s">
        <v>12</v>
      </c>
      <c r="E1020" s="10">
        <v>115</v>
      </c>
      <c r="F1020" s="10">
        <f t="shared" si="15"/>
        <v>14950</v>
      </c>
    </row>
    <row r="1021" spans="1:6" s="9" customFormat="1" x14ac:dyDescent="0.25">
      <c r="B1021" s="4"/>
      <c r="C1021" s="5">
        <v>30</v>
      </c>
      <c r="D1021" s="9" t="s">
        <v>14</v>
      </c>
      <c r="E1021" s="10">
        <v>125</v>
      </c>
      <c r="F1021" s="10">
        <f t="shared" si="15"/>
        <v>3750</v>
      </c>
    </row>
    <row r="1022" spans="1:6" s="9" customFormat="1" x14ac:dyDescent="0.25">
      <c r="B1022" s="4"/>
      <c r="C1022" s="5">
        <v>80</v>
      </c>
      <c r="D1022" s="9" t="s">
        <v>11</v>
      </c>
      <c r="E1022" s="10">
        <v>115</v>
      </c>
      <c r="F1022" s="10">
        <f t="shared" si="15"/>
        <v>9200</v>
      </c>
    </row>
    <row r="1023" spans="1:6" s="9" customFormat="1" x14ac:dyDescent="0.25">
      <c r="B1023" s="4"/>
      <c r="C1023" s="5"/>
      <c r="E1023" s="10"/>
      <c r="F1023" s="8">
        <f>SUM(F1019:F1022)</f>
        <v>63000</v>
      </c>
    </row>
    <row r="1024" spans="1:6" s="9" customFormat="1" x14ac:dyDescent="0.25">
      <c r="B1024" s="4"/>
      <c r="C1024" s="5"/>
      <c r="E1024" s="10"/>
      <c r="F1024" s="10"/>
    </row>
    <row r="1025" spans="1:6" s="9" customFormat="1" x14ac:dyDescent="0.25">
      <c r="A1025" s="9" t="s">
        <v>61</v>
      </c>
      <c r="B1025" s="4">
        <v>45822</v>
      </c>
      <c r="C1025" s="5">
        <v>100</v>
      </c>
      <c r="D1025" s="9" t="s">
        <v>13</v>
      </c>
      <c r="E1025" s="10">
        <v>135</v>
      </c>
      <c r="F1025" s="10">
        <f t="shared" si="15"/>
        <v>13500</v>
      </c>
    </row>
    <row r="1026" spans="1:6" s="9" customFormat="1" x14ac:dyDescent="0.25">
      <c r="B1026" s="4"/>
      <c r="C1026" s="5"/>
      <c r="E1026" s="10"/>
      <c r="F1026" s="8">
        <f>SUM(F1025)</f>
        <v>13500</v>
      </c>
    </row>
    <row r="1027" spans="1:6" s="9" customFormat="1" x14ac:dyDescent="0.25">
      <c r="B1027" s="4"/>
      <c r="C1027" s="5"/>
      <c r="E1027" s="10"/>
      <c r="F1027" s="10"/>
    </row>
    <row r="1028" spans="1:6" s="9" customFormat="1" x14ac:dyDescent="0.25">
      <c r="A1028" s="9" t="s">
        <v>60</v>
      </c>
      <c r="B1028" s="4">
        <v>45822</v>
      </c>
      <c r="C1028" s="5">
        <v>20</v>
      </c>
      <c r="D1028" s="9" t="s">
        <v>13</v>
      </c>
      <c r="E1028" s="10">
        <v>140</v>
      </c>
      <c r="F1028" s="10">
        <f t="shared" ref="F1028:F1089" si="16">+C1028*E1028</f>
        <v>2800</v>
      </c>
    </row>
    <row r="1029" spans="1:6" s="9" customFormat="1" x14ac:dyDescent="0.25">
      <c r="B1029" s="4"/>
      <c r="C1029" s="5">
        <v>0.2</v>
      </c>
      <c r="D1029" s="9" t="s">
        <v>510</v>
      </c>
      <c r="E1029" s="10">
        <v>0</v>
      </c>
      <c r="F1029" s="10">
        <f t="shared" si="16"/>
        <v>0</v>
      </c>
    </row>
    <row r="1030" spans="1:6" s="9" customFormat="1" x14ac:dyDescent="0.25">
      <c r="B1030" s="4"/>
      <c r="C1030" s="5"/>
      <c r="E1030" s="10"/>
      <c r="F1030" s="8">
        <f>SUM(F1028:F1029)</f>
        <v>2800</v>
      </c>
    </row>
    <row r="1031" spans="1:6" s="9" customFormat="1" x14ac:dyDescent="0.25">
      <c r="B1031" s="4"/>
      <c r="C1031" s="5"/>
      <c r="E1031" s="10"/>
      <c r="F1031" s="10"/>
    </row>
    <row r="1032" spans="1:6" s="9" customFormat="1" x14ac:dyDescent="0.25">
      <c r="A1032" s="9" t="s">
        <v>535</v>
      </c>
      <c r="B1032" s="4">
        <v>45822</v>
      </c>
      <c r="C1032" s="5">
        <v>23</v>
      </c>
      <c r="D1032" s="9" t="s">
        <v>12</v>
      </c>
      <c r="E1032" s="10">
        <v>130</v>
      </c>
      <c r="F1032" s="10">
        <f t="shared" si="16"/>
        <v>2990</v>
      </c>
    </row>
    <row r="1033" spans="1:6" s="9" customFormat="1" x14ac:dyDescent="0.25">
      <c r="B1033" s="4"/>
      <c r="C1033" s="5">
        <v>39</v>
      </c>
      <c r="D1033" s="9" t="s">
        <v>13</v>
      </c>
      <c r="E1033" s="10">
        <v>140</v>
      </c>
      <c r="F1033" s="10">
        <f t="shared" si="16"/>
        <v>5460</v>
      </c>
    </row>
    <row r="1034" spans="1:6" s="9" customFormat="1" x14ac:dyDescent="0.25">
      <c r="B1034" s="4"/>
      <c r="C1034" s="5">
        <v>10</v>
      </c>
      <c r="D1034" s="9" t="s">
        <v>13</v>
      </c>
      <c r="E1034" s="10">
        <v>135</v>
      </c>
      <c r="F1034" s="10">
        <f t="shared" si="16"/>
        <v>1350</v>
      </c>
    </row>
    <row r="1035" spans="1:6" s="9" customFormat="1" x14ac:dyDescent="0.25">
      <c r="B1035" s="4"/>
      <c r="C1035" s="5">
        <v>16</v>
      </c>
      <c r="D1035" s="9" t="s">
        <v>8</v>
      </c>
      <c r="E1035" s="10">
        <v>160</v>
      </c>
      <c r="F1035" s="10">
        <f t="shared" si="16"/>
        <v>2560</v>
      </c>
    </row>
    <row r="1036" spans="1:6" s="9" customFormat="1" x14ac:dyDescent="0.25">
      <c r="B1036" s="4"/>
      <c r="C1036" s="5"/>
      <c r="E1036" s="10"/>
      <c r="F1036" s="8">
        <f>SUM(F1032:F1035)</f>
        <v>12360</v>
      </c>
    </row>
    <row r="1037" spans="1:6" s="9" customFormat="1" x14ac:dyDescent="0.25">
      <c r="B1037" s="4"/>
      <c r="C1037" s="5"/>
      <c r="E1037" s="10"/>
      <c r="F1037" s="10"/>
    </row>
    <row r="1038" spans="1:6" s="9" customFormat="1" x14ac:dyDescent="0.25">
      <c r="A1038" s="9" t="s">
        <v>65</v>
      </c>
      <c r="B1038" s="4">
        <v>45822</v>
      </c>
      <c r="C1038" s="5">
        <v>1800</v>
      </c>
      <c r="D1038" s="9" t="s">
        <v>12</v>
      </c>
      <c r="E1038" s="10">
        <v>113</v>
      </c>
      <c r="F1038" s="10">
        <f t="shared" si="16"/>
        <v>203400</v>
      </c>
    </row>
    <row r="1039" spans="1:6" s="9" customFormat="1" x14ac:dyDescent="0.25">
      <c r="B1039" s="4"/>
      <c r="C1039" s="5">
        <v>301</v>
      </c>
      <c r="D1039" s="9" t="s">
        <v>11</v>
      </c>
      <c r="E1039" s="10">
        <v>110</v>
      </c>
      <c r="F1039" s="10">
        <f t="shared" si="16"/>
        <v>33110</v>
      </c>
    </row>
    <row r="1040" spans="1:6" s="9" customFormat="1" x14ac:dyDescent="0.25">
      <c r="B1040" s="4"/>
      <c r="C1040" s="5">
        <v>44</v>
      </c>
      <c r="D1040" s="9" t="s">
        <v>706</v>
      </c>
      <c r="E1040" s="10">
        <v>120</v>
      </c>
      <c r="F1040" s="10">
        <f t="shared" si="16"/>
        <v>5280</v>
      </c>
    </row>
    <row r="1041" spans="1:6" s="9" customFormat="1" x14ac:dyDescent="0.25">
      <c r="B1041" s="4"/>
      <c r="C1041" s="5">
        <v>200</v>
      </c>
      <c r="D1041" s="9" t="s">
        <v>13</v>
      </c>
      <c r="E1041" s="10">
        <v>125</v>
      </c>
      <c r="F1041" s="10">
        <f t="shared" si="16"/>
        <v>25000</v>
      </c>
    </row>
    <row r="1042" spans="1:6" s="9" customFormat="1" x14ac:dyDescent="0.25">
      <c r="B1042" s="4"/>
      <c r="C1042" s="5">
        <v>100</v>
      </c>
      <c r="D1042" s="9" t="s">
        <v>22</v>
      </c>
      <c r="E1042" s="10">
        <v>85</v>
      </c>
      <c r="F1042" s="10">
        <f t="shared" si="16"/>
        <v>8500</v>
      </c>
    </row>
    <row r="1043" spans="1:6" s="9" customFormat="1" x14ac:dyDescent="0.25">
      <c r="B1043" s="4"/>
      <c r="C1043" s="5">
        <v>13</v>
      </c>
      <c r="D1043" s="9" t="s">
        <v>50</v>
      </c>
      <c r="E1043" s="10">
        <v>85</v>
      </c>
      <c r="F1043" s="10">
        <f t="shared" si="16"/>
        <v>1105</v>
      </c>
    </row>
    <row r="1044" spans="1:6" s="9" customFormat="1" x14ac:dyDescent="0.25">
      <c r="B1044" s="4"/>
      <c r="C1044" s="5"/>
      <c r="E1044" s="10"/>
      <c r="F1044" s="8">
        <f>SUM(F1038:F1043)</f>
        <v>276395</v>
      </c>
    </row>
    <row r="1045" spans="1:6" s="9" customFormat="1" x14ac:dyDescent="0.25">
      <c r="B1045" s="4"/>
      <c r="C1045" s="5"/>
      <c r="E1045" s="10"/>
      <c r="F1045" s="10"/>
    </row>
    <row r="1046" spans="1:6" s="9" customFormat="1" x14ac:dyDescent="0.25">
      <c r="A1046" s="9" t="s">
        <v>174</v>
      </c>
      <c r="B1046" s="4">
        <v>45822</v>
      </c>
      <c r="C1046" s="5">
        <v>50</v>
      </c>
      <c r="D1046" s="9" t="s">
        <v>12</v>
      </c>
      <c r="E1046" s="10">
        <v>140</v>
      </c>
      <c r="F1046" s="10">
        <f t="shared" si="16"/>
        <v>7000</v>
      </c>
    </row>
    <row r="1047" spans="1:6" s="9" customFormat="1" x14ac:dyDescent="0.25">
      <c r="B1047" s="4"/>
      <c r="C1047" s="5">
        <v>50</v>
      </c>
      <c r="D1047" s="9" t="s">
        <v>22</v>
      </c>
      <c r="E1047" s="10">
        <v>120</v>
      </c>
      <c r="F1047" s="10">
        <f t="shared" si="16"/>
        <v>6000</v>
      </c>
    </row>
    <row r="1048" spans="1:6" s="9" customFormat="1" x14ac:dyDescent="0.25">
      <c r="B1048" s="4"/>
      <c r="C1048" s="5"/>
      <c r="E1048" s="10"/>
      <c r="F1048" s="8">
        <f>SUM(F1046:F1047)</f>
        <v>13000</v>
      </c>
    </row>
    <row r="1049" spans="1:6" s="9" customFormat="1" x14ac:dyDescent="0.25">
      <c r="B1049" s="4"/>
      <c r="C1049" s="5"/>
      <c r="E1049" s="10"/>
      <c r="F1049" s="10"/>
    </row>
    <row r="1050" spans="1:6" s="9" customFormat="1" x14ac:dyDescent="0.25">
      <c r="A1050" s="9" t="s">
        <v>101</v>
      </c>
      <c r="B1050" s="4">
        <v>45822</v>
      </c>
      <c r="C1050" s="5">
        <v>1</v>
      </c>
      <c r="D1050" s="9" t="s">
        <v>13</v>
      </c>
      <c r="E1050" s="10">
        <v>160</v>
      </c>
      <c r="F1050" s="10">
        <f t="shared" si="16"/>
        <v>160</v>
      </c>
    </row>
    <row r="1051" spans="1:6" s="9" customFormat="1" x14ac:dyDescent="0.25">
      <c r="B1051" s="4"/>
      <c r="C1051" s="5">
        <v>1</v>
      </c>
      <c r="D1051" s="9" t="s">
        <v>12</v>
      </c>
      <c r="E1051" s="10">
        <v>150</v>
      </c>
      <c r="F1051" s="10">
        <f t="shared" si="16"/>
        <v>150</v>
      </c>
    </row>
    <row r="1052" spans="1:6" s="9" customFormat="1" x14ac:dyDescent="0.25">
      <c r="B1052" s="4"/>
      <c r="C1052" s="5">
        <v>1</v>
      </c>
      <c r="D1052" s="9" t="s">
        <v>13</v>
      </c>
      <c r="E1052" s="10">
        <v>140</v>
      </c>
      <c r="F1052" s="10">
        <f t="shared" si="16"/>
        <v>140</v>
      </c>
    </row>
    <row r="1053" spans="1:6" s="9" customFormat="1" x14ac:dyDescent="0.25">
      <c r="B1053" s="4"/>
      <c r="C1053" s="5">
        <v>2</v>
      </c>
      <c r="D1053" s="9" t="s">
        <v>13</v>
      </c>
      <c r="E1053" s="10">
        <v>140</v>
      </c>
      <c r="F1053" s="10">
        <f t="shared" si="16"/>
        <v>280</v>
      </c>
    </row>
    <row r="1054" spans="1:6" s="9" customFormat="1" x14ac:dyDescent="0.25">
      <c r="B1054" s="4"/>
      <c r="C1054" s="5">
        <v>2</v>
      </c>
      <c r="D1054" s="9" t="s">
        <v>707</v>
      </c>
      <c r="E1054" s="10">
        <v>140</v>
      </c>
      <c r="F1054" s="10">
        <f t="shared" si="16"/>
        <v>280</v>
      </c>
    </row>
    <row r="1055" spans="1:6" s="9" customFormat="1" x14ac:dyDescent="0.25">
      <c r="B1055" s="4"/>
      <c r="C1055" s="5"/>
      <c r="E1055" s="10"/>
      <c r="F1055" s="8">
        <f>SUM(F1050:F1054)</f>
        <v>1010</v>
      </c>
    </row>
    <row r="1056" spans="1:6" s="9" customFormat="1" x14ac:dyDescent="0.25">
      <c r="B1056" s="4"/>
      <c r="C1056" s="5"/>
      <c r="E1056" s="10"/>
      <c r="F1056" s="10"/>
    </row>
    <row r="1057" spans="1:6" s="9" customFormat="1" x14ac:dyDescent="0.25">
      <c r="A1057" s="9" t="s">
        <v>7</v>
      </c>
      <c r="B1057" s="4">
        <v>45822</v>
      </c>
      <c r="C1057" s="5">
        <v>1</v>
      </c>
      <c r="D1057" s="9" t="s">
        <v>49</v>
      </c>
      <c r="E1057" s="10">
        <v>150</v>
      </c>
      <c r="F1057" s="10">
        <f t="shared" si="16"/>
        <v>150</v>
      </c>
    </row>
    <row r="1058" spans="1:6" s="9" customFormat="1" x14ac:dyDescent="0.25">
      <c r="B1058" s="4"/>
      <c r="C1058" s="5">
        <v>2</v>
      </c>
      <c r="D1058" s="9" t="s">
        <v>14</v>
      </c>
      <c r="E1058" s="10">
        <v>150</v>
      </c>
      <c r="F1058" s="10">
        <f t="shared" si="16"/>
        <v>300</v>
      </c>
    </row>
    <row r="1059" spans="1:6" s="9" customFormat="1" x14ac:dyDescent="0.25">
      <c r="B1059" s="4"/>
      <c r="C1059" s="5">
        <v>2</v>
      </c>
      <c r="D1059" s="9" t="s">
        <v>13</v>
      </c>
      <c r="E1059" s="10">
        <v>160</v>
      </c>
      <c r="F1059" s="10">
        <f t="shared" si="16"/>
        <v>320</v>
      </c>
    </row>
    <row r="1060" spans="1:6" s="9" customFormat="1" x14ac:dyDescent="0.25">
      <c r="B1060" s="4"/>
      <c r="C1060" s="5">
        <v>1</v>
      </c>
      <c r="D1060" s="9" t="s">
        <v>708</v>
      </c>
      <c r="E1060" s="10">
        <v>140</v>
      </c>
      <c r="F1060" s="10">
        <f t="shared" si="16"/>
        <v>140</v>
      </c>
    </row>
    <row r="1061" spans="1:6" s="9" customFormat="1" x14ac:dyDescent="0.25">
      <c r="B1061" s="4"/>
      <c r="C1061" s="5">
        <v>1</v>
      </c>
      <c r="D1061" s="9" t="s">
        <v>264</v>
      </c>
      <c r="E1061" s="10">
        <v>140</v>
      </c>
      <c r="F1061" s="10">
        <f t="shared" si="16"/>
        <v>140</v>
      </c>
    </row>
    <row r="1062" spans="1:6" s="9" customFormat="1" x14ac:dyDescent="0.25">
      <c r="B1062" s="4"/>
      <c r="C1062" s="5"/>
      <c r="E1062" s="10"/>
      <c r="F1062" s="8">
        <f>SUM(F1057:F1061)</f>
        <v>1050</v>
      </c>
    </row>
    <row r="1063" spans="1:6" s="9" customFormat="1" x14ac:dyDescent="0.25">
      <c r="B1063" s="4"/>
      <c r="C1063" s="5"/>
      <c r="E1063" s="10"/>
      <c r="F1063" s="10"/>
    </row>
    <row r="1064" spans="1:6" s="9" customFormat="1" x14ac:dyDescent="0.25">
      <c r="A1064" s="9" t="s">
        <v>181</v>
      </c>
      <c r="B1064" s="4">
        <v>45823</v>
      </c>
      <c r="C1064" s="5">
        <v>2</v>
      </c>
      <c r="D1064" s="9" t="s">
        <v>54</v>
      </c>
      <c r="E1064" s="10">
        <v>140</v>
      </c>
      <c r="F1064" s="10">
        <f t="shared" si="16"/>
        <v>280</v>
      </c>
    </row>
    <row r="1065" spans="1:6" s="9" customFormat="1" x14ac:dyDescent="0.25">
      <c r="B1065" s="4"/>
      <c r="C1065" s="5">
        <v>1</v>
      </c>
      <c r="D1065" s="9" t="s">
        <v>709</v>
      </c>
      <c r="E1065" s="10">
        <v>0</v>
      </c>
      <c r="F1065" s="10">
        <f t="shared" si="16"/>
        <v>0</v>
      </c>
    </row>
    <row r="1066" spans="1:6" s="9" customFormat="1" x14ac:dyDescent="0.25">
      <c r="B1066" s="4"/>
      <c r="C1066" s="5">
        <v>1</v>
      </c>
      <c r="D1066" s="9" t="s">
        <v>8</v>
      </c>
      <c r="E1066" s="10">
        <v>170</v>
      </c>
      <c r="F1066" s="10">
        <f t="shared" si="16"/>
        <v>170</v>
      </c>
    </row>
    <row r="1067" spans="1:6" s="9" customFormat="1" x14ac:dyDescent="0.25">
      <c r="B1067" s="4"/>
      <c r="C1067" s="5">
        <v>1</v>
      </c>
      <c r="D1067" s="9" t="s">
        <v>303</v>
      </c>
      <c r="E1067" s="10">
        <v>150</v>
      </c>
      <c r="F1067" s="10">
        <f t="shared" si="16"/>
        <v>150</v>
      </c>
    </row>
    <row r="1068" spans="1:6" s="9" customFormat="1" x14ac:dyDescent="0.25">
      <c r="B1068" s="4"/>
      <c r="C1068" s="5"/>
      <c r="E1068" s="10"/>
      <c r="F1068" s="8">
        <f>SUM(F1064:F1067)</f>
        <v>600</v>
      </c>
    </row>
    <row r="1069" spans="1:6" s="9" customFormat="1" x14ac:dyDescent="0.25">
      <c r="B1069" s="4"/>
      <c r="C1069" s="5"/>
      <c r="E1069" s="10"/>
      <c r="F1069" s="10"/>
    </row>
    <row r="1070" spans="1:6" s="9" customFormat="1" x14ac:dyDescent="0.25">
      <c r="A1070" s="9" t="s">
        <v>271</v>
      </c>
      <c r="B1070" s="4">
        <v>45824</v>
      </c>
      <c r="C1070" s="5">
        <v>640</v>
      </c>
      <c r="D1070" s="9" t="s">
        <v>98</v>
      </c>
      <c r="E1070" s="10">
        <v>80</v>
      </c>
      <c r="F1070" s="10">
        <f t="shared" si="16"/>
        <v>51200</v>
      </c>
    </row>
    <row r="1071" spans="1:6" s="9" customFormat="1" x14ac:dyDescent="0.25">
      <c r="B1071" s="4"/>
      <c r="C1071" s="5"/>
      <c r="E1071" s="10"/>
      <c r="F1071" s="8">
        <f>SUM(F1070)</f>
        <v>51200</v>
      </c>
    </row>
    <row r="1072" spans="1:6" s="9" customFormat="1" x14ac:dyDescent="0.25">
      <c r="B1072" s="4"/>
      <c r="C1072" s="5"/>
      <c r="E1072" s="10"/>
      <c r="F1072" s="10"/>
    </row>
    <row r="1073" spans="1:6" s="9" customFormat="1" x14ac:dyDescent="0.25">
      <c r="A1073" s="9" t="s">
        <v>18</v>
      </c>
      <c r="B1073" s="4">
        <v>45824</v>
      </c>
      <c r="C1073" s="5">
        <v>6</v>
      </c>
      <c r="D1073" s="9" t="s">
        <v>13</v>
      </c>
      <c r="E1073" s="10">
        <v>135</v>
      </c>
      <c r="F1073" s="10">
        <f t="shared" si="16"/>
        <v>810</v>
      </c>
    </row>
    <row r="1074" spans="1:6" s="9" customFormat="1" x14ac:dyDescent="0.25">
      <c r="B1074" s="4"/>
      <c r="C1074" s="5"/>
      <c r="E1074" s="10"/>
      <c r="F1074" s="8">
        <f>SUM(F1073)</f>
        <v>810</v>
      </c>
    </row>
    <row r="1075" spans="1:6" s="9" customFormat="1" x14ac:dyDescent="0.25">
      <c r="B1075" s="4"/>
      <c r="C1075" s="5"/>
      <c r="E1075" s="10"/>
      <c r="F1075" s="10"/>
    </row>
    <row r="1076" spans="1:6" s="9" customFormat="1" x14ac:dyDescent="0.25">
      <c r="A1076" s="9" t="s">
        <v>211</v>
      </c>
      <c r="B1076" s="4">
        <v>45824</v>
      </c>
      <c r="C1076" s="5">
        <v>10</v>
      </c>
      <c r="D1076" s="9" t="s">
        <v>98</v>
      </c>
      <c r="E1076" s="10">
        <v>100</v>
      </c>
      <c r="F1076" s="10">
        <f t="shared" si="16"/>
        <v>1000</v>
      </c>
    </row>
    <row r="1077" spans="1:6" s="9" customFormat="1" x14ac:dyDescent="0.25">
      <c r="B1077" s="4"/>
      <c r="C1077" s="5"/>
      <c r="E1077" s="10"/>
      <c r="F1077" s="8">
        <f>SUM(F1076)</f>
        <v>1000</v>
      </c>
    </row>
    <row r="1078" spans="1:6" s="9" customFormat="1" x14ac:dyDescent="0.25">
      <c r="B1078" s="4"/>
      <c r="C1078" s="5"/>
      <c r="E1078" s="10"/>
      <c r="F1078" s="10"/>
    </row>
    <row r="1079" spans="1:6" s="9" customFormat="1" x14ac:dyDescent="0.25">
      <c r="A1079" s="9" t="s">
        <v>79</v>
      </c>
      <c r="B1079" s="4">
        <v>45824</v>
      </c>
      <c r="C1079" s="5">
        <v>19</v>
      </c>
      <c r="D1079" s="9" t="s">
        <v>13</v>
      </c>
      <c r="E1079" s="10">
        <v>135</v>
      </c>
      <c r="F1079" s="10">
        <f t="shared" si="16"/>
        <v>2565</v>
      </c>
    </row>
    <row r="1080" spans="1:6" s="9" customFormat="1" x14ac:dyDescent="0.25">
      <c r="B1080" s="4"/>
      <c r="C1080" s="5"/>
      <c r="E1080" s="10"/>
      <c r="F1080" s="8">
        <f>SUM(F1079)</f>
        <v>2565</v>
      </c>
    </row>
    <row r="1081" spans="1:6" s="9" customFormat="1" x14ac:dyDescent="0.25">
      <c r="B1081" s="4"/>
      <c r="C1081" s="5"/>
      <c r="E1081" s="10"/>
      <c r="F1081" s="10"/>
    </row>
    <row r="1082" spans="1:6" s="9" customFormat="1" x14ac:dyDescent="0.25">
      <c r="A1082" s="9" t="s">
        <v>40</v>
      </c>
      <c r="B1082" s="4">
        <v>45824</v>
      </c>
      <c r="C1082" s="5">
        <v>15</v>
      </c>
      <c r="D1082" s="9" t="s">
        <v>13</v>
      </c>
      <c r="E1082" s="10">
        <v>135</v>
      </c>
      <c r="F1082" s="10">
        <f t="shared" si="16"/>
        <v>2025</v>
      </c>
    </row>
    <row r="1083" spans="1:6" s="9" customFormat="1" x14ac:dyDescent="0.25">
      <c r="B1083" s="4"/>
      <c r="C1083" s="5">
        <v>15</v>
      </c>
      <c r="D1083" s="9" t="s">
        <v>14</v>
      </c>
      <c r="E1083" s="10">
        <v>125</v>
      </c>
      <c r="F1083" s="10">
        <f t="shared" si="16"/>
        <v>1875</v>
      </c>
    </row>
    <row r="1084" spans="1:6" s="9" customFormat="1" x14ac:dyDescent="0.25">
      <c r="B1084" s="4"/>
      <c r="C1084" s="5">
        <v>20</v>
      </c>
      <c r="D1084" s="9" t="s">
        <v>8</v>
      </c>
      <c r="E1084" s="10">
        <v>155</v>
      </c>
      <c r="F1084" s="10">
        <f t="shared" si="16"/>
        <v>3100</v>
      </c>
    </row>
    <row r="1085" spans="1:6" s="9" customFormat="1" x14ac:dyDescent="0.25">
      <c r="B1085" s="4"/>
      <c r="C1085" s="5">
        <v>15</v>
      </c>
      <c r="D1085" s="9" t="s">
        <v>50</v>
      </c>
      <c r="E1085" s="10">
        <v>85</v>
      </c>
      <c r="F1085" s="10">
        <f t="shared" si="16"/>
        <v>1275</v>
      </c>
    </row>
    <row r="1086" spans="1:6" s="9" customFormat="1" x14ac:dyDescent="0.25">
      <c r="B1086" s="4"/>
      <c r="C1086" s="5"/>
      <c r="E1086" s="10"/>
      <c r="F1086" s="8">
        <f>SUM(F1082:F1085)</f>
        <v>8275</v>
      </c>
    </row>
    <row r="1087" spans="1:6" s="9" customFormat="1" x14ac:dyDescent="0.25">
      <c r="B1087" s="4"/>
      <c r="C1087" s="5"/>
      <c r="E1087" s="10"/>
      <c r="F1087" s="10"/>
    </row>
    <row r="1088" spans="1:6" s="9" customFormat="1" x14ac:dyDescent="0.25">
      <c r="A1088" s="9" t="s">
        <v>39</v>
      </c>
      <c r="B1088" s="4">
        <v>45824</v>
      </c>
      <c r="C1088" s="5">
        <v>30</v>
      </c>
      <c r="D1088" s="9" t="s">
        <v>8</v>
      </c>
      <c r="E1088" s="10">
        <v>155</v>
      </c>
      <c r="F1088" s="10">
        <f t="shared" si="16"/>
        <v>4650</v>
      </c>
    </row>
    <row r="1089" spans="1:6" s="9" customFormat="1" x14ac:dyDescent="0.25">
      <c r="B1089" s="4"/>
      <c r="C1089" s="5">
        <v>30</v>
      </c>
      <c r="D1089" s="9" t="s">
        <v>22</v>
      </c>
      <c r="E1089" s="10">
        <v>80</v>
      </c>
      <c r="F1089" s="10">
        <f t="shared" si="16"/>
        <v>2400</v>
      </c>
    </row>
    <row r="1090" spans="1:6" s="9" customFormat="1" x14ac:dyDescent="0.25">
      <c r="B1090" s="4"/>
      <c r="C1090" s="5"/>
      <c r="E1090" s="10"/>
      <c r="F1090" s="8">
        <f>SUM(F1088:F1089)</f>
        <v>7050</v>
      </c>
    </row>
    <row r="1091" spans="1:6" s="9" customFormat="1" x14ac:dyDescent="0.25">
      <c r="B1091" s="4"/>
      <c r="C1091" s="5"/>
      <c r="E1091" s="10"/>
      <c r="F1091" s="10"/>
    </row>
    <row r="1092" spans="1:6" s="9" customFormat="1" x14ac:dyDescent="0.25">
      <c r="A1092" s="9" t="s">
        <v>710</v>
      </c>
      <c r="B1092" s="4">
        <v>45824</v>
      </c>
      <c r="C1092" s="5">
        <v>10</v>
      </c>
      <c r="D1092" s="9" t="s">
        <v>13</v>
      </c>
      <c r="E1092" s="10">
        <v>135</v>
      </c>
      <c r="F1092" s="10">
        <f t="shared" ref="F1092:F1155" si="17">+C1092*E1092</f>
        <v>1350</v>
      </c>
    </row>
    <row r="1093" spans="1:6" s="9" customFormat="1" x14ac:dyDescent="0.25">
      <c r="B1093" s="4"/>
      <c r="C1093" s="5"/>
      <c r="E1093" s="10"/>
      <c r="F1093" s="8">
        <f>SUM(F1092)</f>
        <v>1350</v>
      </c>
    </row>
    <row r="1094" spans="1:6" s="9" customFormat="1" x14ac:dyDescent="0.25">
      <c r="B1094" s="4"/>
      <c r="C1094" s="5"/>
      <c r="E1094" s="10"/>
      <c r="F1094" s="10"/>
    </row>
    <row r="1095" spans="1:6" s="9" customFormat="1" x14ac:dyDescent="0.25">
      <c r="A1095" s="9" t="s">
        <v>673</v>
      </c>
      <c r="B1095" s="4">
        <v>45824</v>
      </c>
      <c r="C1095" s="5">
        <v>10</v>
      </c>
      <c r="D1095" s="9" t="s">
        <v>12</v>
      </c>
      <c r="E1095" s="10">
        <v>120</v>
      </c>
      <c r="F1095" s="10">
        <f t="shared" si="17"/>
        <v>1200</v>
      </c>
    </row>
    <row r="1096" spans="1:6" s="9" customFormat="1" x14ac:dyDescent="0.25">
      <c r="B1096" s="4"/>
      <c r="C1096" s="5"/>
      <c r="E1096" s="10"/>
      <c r="F1096" s="8">
        <f>SUM(F1095)</f>
        <v>1200</v>
      </c>
    </row>
    <row r="1097" spans="1:6" s="9" customFormat="1" x14ac:dyDescent="0.25">
      <c r="B1097" s="4"/>
      <c r="C1097" s="5"/>
      <c r="E1097" s="10"/>
      <c r="F1097" s="10"/>
    </row>
    <row r="1098" spans="1:6" s="9" customFormat="1" x14ac:dyDescent="0.25">
      <c r="A1098" s="9" t="s">
        <v>427</v>
      </c>
      <c r="B1098" s="4">
        <v>45824</v>
      </c>
      <c r="C1098" s="5">
        <v>10</v>
      </c>
      <c r="D1098" s="9" t="s">
        <v>449</v>
      </c>
      <c r="E1098" s="10">
        <v>135</v>
      </c>
      <c r="F1098" s="10">
        <f t="shared" si="17"/>
        <v>1350</v>
      </c>
    </row>
    <row r="1099" spans="1:6" s="9" customFormat="1" x14ac:dyDescent="0.25">
      <c r="B1099" s="4"/>
      <c r="C1099" s="5"/>
      <c r="E1099" s="10"/>
      <c r="F1099" s="8">
        <f>SUM(F1098)</f>
        <v>1350</v>
      </c>
    </row>
    <row r="1100" spans="1:6" s="9" customFormat="1" x14ac:dyDescent="0.25">
      <c r="B1100" s="4"/>
      <c r="C1100" s="5"/>
      <c r="E1100" s="10"/>
      <c r="F1100" s="10"/>
    </row>
    <row r="1101" spans="1:6" s="9" customFormat="1" x14ac:dyDescent="0.25">
      <c r="A1101" s="9" t="s">
        <v>17</v>
      </c>
      <c r="B1101" s="4">
        <v>45824</v>
      </c>
      <c r="C1101" s="5">
        <v>10</v>
      </c>
      <c r="D1101" s="9" t="s">
        <v>13</v>
      </c>
      <c r="E1101" s="10">
        <v>140</v>
      </c>
      <c r="F1101" s="10">
        <f t="shared" si="17"/>
        <v>1400</v>
      </c>
    </row>
    <row r="1102" spans="1:6" s="9" customFormat="1" x14ac:dyDescent="0.25">
      <c r="B1102" s="4"/>
      <c r="C1102" s="5"/>
      <c r="E1102" s="10"/>
      <c r="F1102" s="8">
        <f>SUM(F1101)</f>
        <v>1400</v>
      </c>
    </row>
    <row r="1103" spans="1:6" s="9" customFormat="1" x14ac:dyDescent="0.25">
      <c r="B1103" s="4"/>
      <c r="C1103" s="5"/>
      <c r="E1103" s="10"/>
      <c r="F1103" s="10"/>
    </row>
    <row r="1104" spans="1:6" s="9" customFormat="1" x14ac:dyDescent="0.25">
      <c r="A1104" s="9" t="s">
        <v>20</v>
      </c>
      <c r="B1104" s="4">
        <v>45824</v>
      </c>
      <c r="C1104" s="5">
        <v>20</v>
      </c>
      <c r="D1104" s="9" t="s">
        <v>13</v>
      </c>
      <c r="E1104" s="10">
        <v>135</v>
      </c>
      <c r="F1104" s="10">
        <f t="shared" si="17"/>
        <v>2700</v>
      </c>
    </row>
    <row r="1105" spans="1:6" s="9" customFormat="1" x14ac:dyDescent="0.25">
      <c r="B1105" s="4"/>
      <c r="C1105" s="5"/>
      <c r="E1105" s="10"/>
      <c r="F1105" s="8">
        <f>SUM(F1104)</f>
        <v>2700</v>
      </c>
    </row>
    <row r="1106" spans="1:6" s="9" customFormat="1" x14ac:dyDescent="0.25">
      <c r="B1106" s="4"/>
      <c r="C1106" s="5"/>
      <c r="E1106" s="10"/>
      <c r="F1106" s="10"/>
    </row>
    <row r="1107" spans="1:6" s="9" customFormat="1" x14ac:dyDescent="0.25">
      <c r="A1107" s="9" t="s">
        <v>711</v>
      </c>
      <c r="B1107" s="4">
        <v>45824</v>
      </c>
      <c r="C1107" s="5">
        <v>2</v>
      </c>
      <c r="D1107" s="9" t="s">
        <v>13</v>
      </c>
      <c r="E1107" s="10">
        <v>140</v>
      </c>
      <c r="F1107" s="10">
        <f t="shared" si="17"/>
        <v>280</v>
      </c>
    </row>
    <row r="1108" spans="1:6" s="9" customFormat="1" x14ac:dyDescent="0.25">
      <c r="B1108" s="4"/>
      <c r="C1108" s="5"/>
      <c r="E1108" s="10"/>
      <c r="F1108" s="8">
        <f>SUM(F1107)</f>
        <v>280</v>
      </c>
    </row>
    <row r="1109" spans="1:6" s="9" customFormat="1" x14ac:dyDescent="0.25">
      <c r="B1109" s="4"/>
      <c r="C1109" s="5"/>
      <c r="E1109" s="10"/>
      <c r="F1109" s="10"/>
    </row>
    <row r="1110" spans="1:6" s="9" customFormat="1" x14ac:dyDescent="0.25">
      <c r="A1110" s="9" t="s">
        <v>516</v>
      </c>
      <c r="B1110" s="4">
        <v>45824</v>
      </c>
      <c r="C1110" s="5">
        <v>5</v>
      </c>
      <c r="D1110" s="9" t="s">
        <v>13</v>
      </c>
      <c r="E1110" s="10">
        <v>135</v>
      </c>
      <c r="F1110" s="10">
        <f t="shared" si="17"/>
        <v>675</v>
      </c>
    </row>
    <row r="1111" spans="1:6" s="9" customFormat="1" x14ac:dyDescent="0.25">
      <c r="B1111" s="4"/>
      <c r="C1111" s="5"/>
      <c r="E1111" s="10"/>
      <c r="F1111" s="8">
        <f>SUM(F1110)</f>
        <v>675</v>
      </c>
    </row>
    <row r="1112" spans="1:6" s="9" customFormat="1" x14ac:dyDescent="0.25">
      <c r="B1112" s="4"/>
      <c r="C1112" s="5"/>
      <c r="E1112" s="10"/>
      <c r="F1112" s="10"/>
    </row>
    <row r="1113" spans="1:6" s="9" customFormat="1" x14ac:dyDescent="0.25">
      <c r="A1113" s="9" t="s">
        <v>514</v>
      </c>
      <c r="B1113" s="4">
        <v>45824</v>
      </c>
      <c r="C1113" s="5">
        <v>6</v>
      </c>
      <c r="D1113" s="9" t="s">
        <v>98</v>
      </c>
      <c r="E1113" s="10">
        <v>100</v>
      </c>
      <c r="F1113" s="10">
        <f t="shared" si="17"/>
        <v>600</v>
      </c>
    </row>
    <row r="1114" spans="1:6" s="9" customFormat="1" x14ac:dyDescent="0.25">
      <c r="B1114" s="4"/>
      <c r="C1114" s="5"/>
      <c r="E1114" s="10"/>
      <c r="F1114" s="8">
        <f>SUM(F1113)</f>
        <v>600</v>
      </c>
    </row>
    <row r="1115" spans="1:6" s="9" customFormat="1" x14ac:dyDescent="0.25">
      <c r="B1115" s="4"/>
      <c r="C1115" s="5"/>
      <c r="E1115" s="10"/>
      <c r="F1115" s="10"/>
    </row>
    <row r="1116" spans="1:6" s="9" customFormat="1" x14ac:dyDescent="0.25">
      <c r="A1116" s="9" t="s">
        <v>80</v>
      </c>
      <c r="B1116" s="4">
        <v>45824</v>
      </c>
      <c r="C1116" s="5">
        <v>2</v>
      </c>
      <c r="D1116" s="9" t="s">
        <v>13</v>
      </c>
      <c r="E1116" s="10">
        <v>140</v>
      </c>
      <c r="F1116" s="10">
        <f t="shared" si="17"/>
        <v>280</v>
      </c>
    </row>
    <row r="1117" spans="1:6" s="9" customFormat="1" x14ac:dyDescent="0.25">
      <c r="B1117" s="4"/>
      <c r="C1117" s="5">
        <v>5</v>
      </c>
      <c r="D1117" s="9" t="s">
        <v>12</v>
      </c>
      <c r="E1117" s="10">
        <v>120</v>
      </c>
      <c r="F1117" s="10">
        <f t="shared" si="17"/>
        <v>600</v>
      </c>
    </row>
    <row r="1118" spans="1:6" s="9" customFormat="1" x14ac:dyDescent="0.25">
      <c r="B1118" s="4"/>
      <c r="C1118" s="5"/>
      <c r="E1118" s="10"/>
      <c r="F1118" s="8">
        <f>SUM(F1116:F1117)</f>
        <v>880</v>
      </c>
    </row>
    <row r="1119" spans="1:6" s="9" customFormat="1" x14ac:dyDescent="0.25">
      <c r="B1119" s="4"/>
      <c r="C1119" s="5"/>
      <c r="E1119" s="10"/>
      <c r="F1119" s="10"/>
    </row>
    <row r="1120" spans="1:6" s="9" customFormat="1" x14ac:dyDescent="0.25">
      <c r="A1120" s="9" t="s">
        <v>41</v>
      </c>
      <c r="B1120" s="4">
        <v>45824</v>
      </c>
      <c r="C1120" s="5">
        <v>35</v>
      </c>
      <c r="D1120" s="9" t="s">
        <v>14</v>
      </c>
      <c r="E1120" s="10">
        <v>130</v>
      </c>
      <c r="F1120" s="10">
        <f t="shared" si="17"/>
        <v>4550</v>
      </c>
    </row>
    <row r="1121" spans="1:6" s="9" customFormat="1" x14ac:dyDescent="0.25">
      <c r="B1121" s="4"/>
      <c r="C1121" s="5"/>
      <c r="E1121" s="10"/>
      <c r="F1121" s="8">
        <f>SUM(F1120)</f>
        <v>4550</v>
      </c>
    </row>
    <row r="1122" spans="1:6" s="9" customFormat="1" x14ac:dyDescent="0.25">
      <c r="B1122" s="4"/>
      <c r="C1122" s="5"/>
      <c r="E1122" s="10"/>
      <c r="F1122" s="10"/>
    </row>
    <row r="1123" spans="1:6" s="9" customFormat="1" x14ac:dyDescent="0.25">
      <c r="A1123" s="9" t="s">
        <v>251</v>
      </c>
      <c r="B1123" s="4">
        <v>45824</v>
      </c>
      <c r="C1123" s="5">
        <v>20</v>
      </c>
      <c r="D1123" s="9" t="s">
        <v>11</v>
      </c>
      <c r="E1123" s="10">
        <v>120</v>
      </c>
      <c r="F1123" s="10">
        <f t="shared" si="17"/>
        <v>2400</v>
      </c>
    </row>
    <row r="1124" spans="1:6" s="9" customFormat="1" x14ac:dyDescent="0.25">
      <c r="B1124" s="4"/>
      <c r="C1124" s="5"/>
      <c r="E1124" s="10"/>
      <c r="F1124" s="8">
        <f>SUM(F1123)</f>
        <v>2400</v>
      </c>
    </row>
    <row r="1125" spans="1:6" s="9" customFormat="1" x14ac:dyDescent="0.25">
      <c r="B1125" s="4"/>
      <c r="C1125" s="5"/>
      <c r="E1125" s="10"/>
      <c r="F1125" s="10"/>
    </row>
    <row r="1126" spans="1:6" s="9" customFormat="1" x14ac:dyDescent="0.25">
      <c r="A1126" s="9" t="s">
        <v>43</v>
      </c>
      <c r="B1126" s="4">
        <v>45824</v>
      </c>
      <c r="C1126" s="5">
        <v>38</v>
      </c>
      <c r="D1126" s="9" t="s">
        <v>49</v>
      </c>
      <c r="E1126" s="10">
        <v>135</v>
      </c>
      <c r="F1126" s="10">
        <f t="shared" si="17"/>
        <v>5130</v>
      </c>
    </row>
    <row r="1127" spans="1:6" s="9" customFormat="1" x14ac:dyDescent="0.25">
      <c r="B1127" s="4"/>
      <c r="C1127" s="5"/>
      <c r="E1127" s="10"/>
      <c r="F1127" s="8">
        <f>SUM(F1126)</f>
        <v>5130</v>
      </c>
    </row>
    <row r="1128" spans="1:6" s="9" customFormat="1" x14ac:dyDescent="0.25">
      <c r="B1128" s="4"/>
      <c r="C1128" s="5"/>
      <c r="E1128" s="10"/>
      <c r="F1128" s="10"/>
    </row>
    <row r="1129" spans="1:6" s="9" customFormat="1" x14ac:dyDescent="0.25">
      <c r="A1129" s="9" t="s">
        <v>44</v>
      </c>
      <c r="B1129" s="4">
        <v>45824</v>
      </c>
      <c r="C1129" s="5">
        <v>70</v>
      </c>
      <c r="D1129" s="9" t="s">
        <v>14</v>
      </c>
      <c r="E1129" s="10">
        <v>130</v>
      </c>
      <c r="F1129" s="10">
        <f t="shared" si="17"/>
        <v>9100</v>
      </c>
    </row>
    <row r="1130" spans="1:6" s="9" customFormat="1" x14ac:dyDescent="0.25">
      <c r="B1130" s="4"/>
      <c r="C1130" s="5"/>
      <c r="E1130" s="10"/>
      <c r="F1130" s="8">
        <f>SUM(F1129)</f>
        <v>9100</v>
      </c>
    </row>
    <row r="1131" spans="1:6" s="9" customFormat="1" x14ac:dyDescent="0.25">
      <c r="B1131" s="4"/>
      <c r="C1131" s="5"/>
      <c r="E1131" s="10"/>
      <c r="F1131" s="10"/>
    </row>
    <row r="1132" spans="1:6" s="9" customFormat="1" x14ac:dyDescent="0.25">
      <c r="A1132" s="9" t="s">
        <v>81</v>
      </c>
      <c r="B1132" s="4">
        <v>45824</v>
      </c>
      <c r="C1132" s="5">
        <v>10</v>
      </c>
      <c r="D1132" s="9" t="s">
        <v>13</v>
      </c>
      <c r="E1132" s="10">
        <v>140</v>
      </c>
      <c r="F1132" s="10">
        <f t="shared" si="17"/>
        <v>1400</v>
      </c>
    </row>
    <row r="1133" spans="1:6" s="9" customFormat="1" x14ac:dyDescent="0.25">
      <c r="B1133" s="4"/>
      <c r="C1133" s="5">
        <v>20</v>
      </c>
      <c r="D1133" s="9" t="s">
        <v>14</v>
      </c>
      <c r="E1133" s="10">
        <v>130</v>
      </c>
      <c r="F1133" s="10">
        <f t="shared" si="17"/>
        <v>2600</v>
      </c>
    </row>
    <row r="1134" spans="1:6" s="9" customFormat="1" x14ac:dyDescent="0.25">
      <c r="B1134" s="4"/>
      <c r="C1134" s="5"/>
      <c r="E1134" s="10"/>
      <c r="F1134" s="8">
        <f>SUM(F1132:F1133)</f>
        <v>4000</v>
      </c>
    </row>
    <row r="1135" spans="1:6" s="9" customFormat="1" x14ac:dyDescent="0.25">
      <c r="B1135" s="4"/>
      <c r="C1135" s="5"/>
      <c r="E1135" s="10"/>
      <c r="F1135" s="10"/>
    </row>
    <row r="1136" spans="1:6" s="9" customFormat="1" x14ac:dyDescent="0.25">
      <c r="A1136" s="9" t="s">
        <v>455</v>
      </c>
      <c r="B1136" s="4">
        <v>45824</v>
      </c>
      <c r="C1136" s="5">
        <v>40</v>
      </c>
      <c r="D1136" s="9" t="s">
        <v>14</v>
      </c>
      <c r="E1136" s="10">
        <v>125</v>
      </c>
      <c r="F1136" s="10">
        <f t="shared" si="17"/>
        <v>5000</v>
      </c>
    </row>
    <row r="1137" spans="1:6" s="9" customFormat="1" x14ac:dyDescent="0.25">
      <c r="B1137" s="4"/>
      <c r="C1137" s="5"/>
      <c r="E1137" s="10"/>
      <c r="F1137" s="8">
        <f>SUM(F1136)</f>
        <v>5000</v>
      </c>
    </row>
    <row r="1138" spans="1:6" s="9" customFormat="1" x14ac:dyDescent="0.25">
      <c r="B1138" s="4"/>
      <c r="C1138" s="5"/>
      <c r="E1138" s="10"/>
      <c r="F1138" s="10"/>
    </row>
    <row r="1139" spans="1:6" s="9" customFormat="1" x14ac:dyDescent="0.25">
      <c r="A1139" s="9" t="s">
        <v>46</v>
      </c>
      <c r="B1139" s="4">
        <v>45824</v>
      </c>
      <c r="C1139" s="5">
        <v>20</v>
      </c>
      <c r="D1139" s="9" t="s">
        <v>14</v>
      </c>
      <c r="E1139" s="10">
        <v>130</v>
      </c>
      <c r="F1139" s="10">
        <f t="shared" si="17"/>
        <v>2600</v>
      </c>
    </row>
    <row r="1140" spans="1:6" s="9" customFormat="1" x14ac:dyDescent="0.25">
      <c r="B1140" s="4"/>
      <c r="C1140" s="5"/>
      <c r="E1140" s="10"/>
      <c r="F1140" s="8">
        <f>SUM(F1139)</f>
        <v>2600</v>
      </c>
    </row>
    <row r="1141" spans="1:6" s="9" customFormat="1" x14ac:dyDescent="0.25">
      <c r="B1141" s="4"/>
      <c r="C1141" s="5"/>
      <c r="E1141" s="10"/>
      <c r="F1141" s="10"/>
    </row>
    <row r="1142" spans="1:6" s="9" customFormat="1" x14ac:dyDescent="0.25">
      <c r="A1142" s="9" t="s">
        <v>145</v>
      </c>
      <c r="B1142" s="4">
        <v>45824</v>
      </c>
      <c r="C1142" s="5">
        <v>34</v>
      </c>
      <c r="D1142" s="9" t="s">
        <v>14</v>
      </c>
      <c r="E1142" s="10">
        <v>130</v>
      </c>
      <c r="F1142" s="10">
        <f t="shared" si="17"/>
        <v>4420</v>
      </c>
    </row>
    <row r="1143" spans="1:6" s="9" customFormat="1" x14ac:dyDescent="0.25">
      <c r="B1143" s="4"/>
      <c r="C1143" s="5"/>
      <c r="E1143" s="10"/>
      <c r="F1143" s="8">
        <f>SUM(F1142)</f>
        <v>4420</v>
      </c>
    </row>
    <row r="1144" spans="1:6" s="9" customFormat="1" x14ac:dyDescent="0.25">
      <c r="B1144" s="4"/>
      <c r="C1144" s="5"/>
      <c r="E1144" s="10"/>
      <c r="F1144" s="10"/>
    </row>
    <row r="1145" spans="1:6" s="9" customFormat="1" x14ac:dyDescent="0.25">
      <c r="A1145" s="9" t="s">
        <v>116</v>
      </c>
      <c r="B1145" s="4">
        <v>45824</v>
      </c>
      <c r="C1145" s="5">
        <v>310</v>
      </c>
      <c r="D1145" s="9" t="s">
        <v>14</v>
      </c>
      <c r="E1145" s="10"/>
      <c r="F1145" s="10">
        <f t="shared" si="17"/>
        <v>0</v>
      </c>
    </row>
    <row r="1146" spans="1:6" s="9" customFormat="1" x14ac:dyDescent="0.25">
      <c r="B1146" s="4"/>
      <c r="C1146" s="5">
        <v>200</v>
      </c>
      <c r="D1146" s="9" t="s">
        <v>712</v>
      </c>
      <c r="E1146" s="10"/>
      <c r="F1146" s="10">
        <f t="shared" si="17"/>
        <v>0</v>
      </c>
    </row>
    <row r="1147" spans="1:6" s="9" customFormat="1" x14ac:dyDescent="0.25">
      <c r="B1147" s="4"/>
      <c r="C1147" s="5">
        <v>100</v>
      </c>
      <c r="D1147" s="9" t="s">
        <v>50</v>
      </c>
      <c r="E1147" s="10"/>
      <c r="F1147" s="10">
        <f t="shared" si="17"/>
        <v>0</v>
      </c>
    </row>
    <row r="1148" spans="1:6" s="9" customFormat="1" x14ac:dyDescent="0.25">
      <c r="B1148" s="4"/>
      <c r="C1148" s="5"/>
      <c r="E1148" s="10"/>
      <c r="F1148" s="8">
        <f>SUM(F1145:F1147)</f>
        <v>0</v>
      </c>
    </row>
    <row r="1149" spans="1:6" s="9" customFormat="1" x14ac:dyDescent="0.25">
      <c r="B1149" s="4"/>
      <c r="C1149" s="5"/>
      <c r="E1149" s="10"/>
      <c r="F1149" s="10"/>
    </row>
    <row r="1150" spans="1:6" s="9" customFormat="1" x14ac:dyDescent="0.25">
      <c r="A1150" s="9" t="s">
        <v>48</v>
      </c>
      <c r="B1150" s="4">
        <v>45824</v>
      </c>
      <c r="C1150" s="5">
        <v>85</v>
      </c>
      <c r="D1150" s="9" t="s">
        <v>589</v>
      </c>
      <c r="E1150" s="10"/>
      <c r="F1150" s="10">
        <f t="shared" si="17"/>
        <v>0</v>
      </c>
    </row>
    <row r="1151" spans="1:6" s="9" customFormat="1" x14ac:dyDescent="0.25">
      <c r="B1151" s="4"/>
      <c r="C1151" s="5"/>
      <c r="E1151" s="10"/>
      <c r="F1151" s="8">
        <f>SUM(F1150)</f>
        <v>0</v>
      </c>
    </row>
    <row r="1152" spans="1:6" s="9" customFormat="1" x14ac:dyDescent="0.25">
      <c r="B1152" s="4"/>
      <c r="C1152" s="5"/>
      <c r="E1152" s="10"/>
      <c r="F1152" s="10"/>
    </row>
    <row r="1153" spans="1:6" s="9" customFormat="1" x14ac:dyDescent="0.25">
      <c r="A1153" s="9" t="s">
        <v>535</v>
      </c>
      <c r="B1153" s="4">
        <v>45824</v>
      </c>
      <c r="C1153" s="5">
        <v>73</v>
      </c>
      <c r="D1153" s="9" t="s">
        <v>13</v>
      </c>
      <c r="E1153" s="10">
        <v>145</v>
      </c>
      <c r="F1153" s="10">
        <f t="shared" si="17"/>
        <v>10585</v>
      </c>
    </row>
    <row r="1154" spans="1:6" s="9" customFormat="1" x14ac:dyDescent="0.25">
      <c r="B1154" s="4"/>
      <c r="C1154" s="5">
        <v>20</v>
      </c>
      <c r="D1154" s="9" t="s">
        <v>12</v>
      </c>
      <c r="E1154" s="10">
        <v>135</v>
      </c>
      <c r="F1154" s="10">
        <f t="shared" si="17"/>
        <v>2700</v>
      </c>
    </row>
    <row r="1155" spans="1:6" s="9" customFormat="1" x14ac:dyDescent="0.25">
      <c r="B1155" s="4"/>
      <c r="C1155" s="5">
        <v>22</v>
      </c>
      <c r="D1155" s="9" t="s">
        <v>8</v>
      </c>
      <c r="E1155" s="10">
        <v>160</v>
      </c>
      <c r="F1155" s="10">
        <f t="shared" si="17"/>
        <v>3520</v>
      </c>
    </row>
    <row r="1156" spans="1:6" s="9" customFormat="1" x14ac:dyDescent="0.25">
      <c r="B1156" s="4"/>
      <c r="C1156" s="5">
        <v>5</v>
      </c>
      <c r="D1156" s="9" t="s">
        <v>713</v>
      </c>
      <c r="E1156" s="10">
        <v>140</v>
      </c>
      <c r="F1156" s="10">
        <f t="shared" ref="F1156:F1218" si="18">+C1156*E1156</f>
        <v>700</v>
      </c>
    </row>
    <row r="1157" spans="1:6" s="9" customFormat="1" x14ac:dyDescent="0.25">
      <c r="B1157" s="4"/>
      <c r="C1157" s="5"/>
      <c r="E1157" s="10"/>
      <c r="F1157" s="8">
        <f>SUM(F1153:F1156)</f>
        <v>17505</v>
      </c>
    </row>
    <row r="1158" spans="1:6" s="9" customFormat="1" x14ac:dyDescent="0.25">
      <c r="B1158" s="4"/>
      <c r="C1158" s="5"/>
      <c r="E1158" s="10"/>
      <c r="F1158" s="10"/>
    </row>
    <row r="1159" spans="1:6" s="9" customFormat="1" x14ac:dyDescent="0.25">
      <c r="A1159" s="9" t="s">
        <v>26</v>
      </c>
      <c r="B1159" s="4">
        <v>45824</v>
      </c>
      <c r="C1159" s="5">
        <v>130</v>
      </c>
      <c r="D1159" s="9" t="s">
        <v>13</v>
      </c>
      <c r="E1159" s="10">
        <v>140</v>
      </c>
      <c r="F1159" s="10">
        <f t="shared" si="18"/>
        <v>18200</v>
      </c>
    </row>
    <row r="1160" spans="1:6" s="9" customFormat="1" x14ac:dyDescent="0.25">
      <c r="B1160" s="4"/>
      <c r="C1160" s="5">
        <v>40</v>
      </c>
      <c r="D1160" s="9" t="s">
        <v>14</v>
      </c>
      <c r="E1160" s="10">
        <v>130</v>
      </c>
      <c r="F1160" s="10">
        <f t="shared" si="18"/>
        <v>5200</v>
      </c>
    </row>
    <row r="1161" spans="1:6" s="9" customFormat="1" x14ac:dyDescent="0.25">
      <c r="B1161" s="4"/>
      <c r="C1161" s="5">
        <v>4.1900000000000004</v>
      </c>
      <c r="D1161" s="9" t="s">
        <v>318</v>
      </c>
      <c r="E1161" s="10">
        <v>0</v>
      </c>
      <c r="F1161" s="10">
        <f t="shared" si="18"/>
        <v>0</v>
      </c>
    </row>
    <row r="1162" spans="1:6" s="9" customFormat="1" x14ac:dyDescent="0.25">
      <c r="B1162" s="4"/>
      <c r="C1162" s="5"/>
      <c r="E1162" s="10"/>
      <c r="F1162" s="8">
        <f>SUM(F1159:F1161)</f>
        <v>23400</v>
      </c>
    </row>
    <row r="1163" spans="1:6" s="9" customFormat="1" x14ac:dyDescent="0.25">
      <c r="B1163" s="4"/>
      <c r="C1163" s="5"/>
      <c r="E1163" s="10"/>
      <c r="F1163" s="10"/>
    </row>
    <row r="1164" spans="1:6" s="9" customFormat="1" x14ac:dyDescent="0.25">
      <c r="A1164" s="9" t="s">
        <v>87</v>
      </c>
      <c r="B1164" s="4">
        <v>45824</v>
      </c>
      <c r="C1164" s="5">
        <v>2</v>
      </c>
      <c r="D1164" s="9" t="s">
        <v>14</v>
      </c>
      <c r="E1164" s="10">
        <v>135</v>
      </c>
      <c r="F1164" s="10">
        <f t="shared" si="18"/>
        <v>270</v>
      </c>
    </row>
    <row r="1165" spans="1:6" s="9" customFormat="1" x14ac:dyDescent="0.25">
      <c r="B1165" s="4"/>
      <c r="C1165" s="5">
        <v>2</v>
      </c>
      <c r="D1165" s="9" t="s">
        <v>22</v>
      </c>
      <c r="E1165" s="10">
        <v>120</v>
      </c>
      <c r="F1165" s="10">
        <f t="shared" si="18"/>
        <v>240</v>
      </c>
    </row>
    <row r="1166" spans="1:6" s="9" customFormat="1" x14ac:dyDescent="0.25">
      <c r="B1166" s="4"/>
      <c r="C1166" s="5"/>
      <c r="E1166" s="10"/>
      <c r="F1166" s="8">
        <f>SUM(F1164:F1165)</f>
        <v>510</v>
      </c>
    </row>
    <row r="1167" spans="1:6" s="9" customFormat="1" x14ac:dyDescent="0.25">
      <c r="B1167" s="4"/>
      <c r="C1167" s="5"/>
      <c r="E1167" s="10"/>
      <c r="F1167" s="10"/>
    </row>
    <row r="1168" spans="1:6" s="9" customFormat="1" x14ac:dyDescent="0.25">
      <c r="A1168" s="9" t="s">
        <v>140</v>
      </c>
      <c r="B1168" s="4">
        <v>45824</v>
      </c>
      <c r="C1168" s="5">
        <v>200</v>
      </c>
      <c r="D1168" s="9" t="s">
        <v>13</v>
      </c>
      <c r="E1168" s="10">
        <v>130</v>
      </c>
      <c r="F1168" s="10">
        <f t="shared" si="18"/>
        <v>26000</v>
      </c>
    </row>
    <row r="1169" spans="1:6" s="9" customFormat="1" x14ac:dyDescent="0.25">
      <c r="B1169" s="4"/>
      <c r="C1169" s="5">
        <v>130</v>
      </c>
      <c r="D1169" s="9" t="s">
        <v>14</v>
      </c>
      <c r="E1169" s="10">
        <v>125</v>
      </c>
      <c r="F1169" s="10">
        <f t="shared" si="18"/>
        <v>16250</v>
      </c>
    </row>
    <row r="1170" spans="1:6" s="9" customFormat="1" x14ac:dyDescent="0.25">
      <c r="B1170" s="4"/>
      <c r="C1170" s="5">
        <v>100</v>
      </c>
      <c r="D1170" s="9" t="s">
        <v>12</v>
      </c>
      <c r="E1170" s="10">
        <v>120</v>
      </c>
      <c r="F1170" s="10">
        <f t="shared" si="18"/>
        <v>12000</v>
      </c>
    </row>
    <row r="1171" spans="1:6" s="9" customFormat="1" x14ac:dyDescent="0.25">
      <c r="B1171" s="4"/>
      <c r="C1171" s="5">
        <v>30</v>
      </c>
      <c r="D1171" s="9" t="s">
        <v>714</v>
      </c>
      <c r="E1171" s="10">
        <v>115</v>
      </c>
      <c r="F1171" s="10">
        <f t="shared" si="18"/>
        <v>3450</v>
      </c>
    </row>
    <row r="1172" spans="1:6" s="9" customFormat="1" x14ac:dyDescent="0.25">
      <c r="B1172" s="4"/>
      <c r="C1172" s="5">
        <v>70</v>
      </c>
      <c r="D1172" s="9" t="s">
        <v>8</v>
      </c>
      <c r="E1172" s="10">
        <v>150</v>
      </c>
      <c r="F1172" s="10">
        <f t="shared" si="18"/>
        <v>10500</v>
      </c>
    </row>
    <row r="1173" spans="1:6" s="9" customFormat="1" x14ac:dyDescent="0.25">
      <c r="B1173" s="4"/>
      <c r="C1173" s="5"/>
      <c r="E1173" s="10"/>
      <c r="F1173" s="8">
        <f>SUM(F1168:F1172)</f>
        <v>68200</v>
      </c>
    </row>
    <row r="1174" spans="1:6" s="9" customFormat="1" x14ac:dyDescent="0.25">
      <c r="B1174" s="4"/>
      <c r="C1174" s="5"/>
      <c r="E1174" s="10"/>
      <c r="F1174" s="10"/>
    </row>
    <row r="1175" spans="1:6" s="9" customFormat="1" x14ac:dyDescent="0.25">
      <c r="A1175" s="9" t="s">
        <v>538</v>
      </c>
      <c r="B1175" s="4">
        <v>45824</v>
      </c>
      <c r="C1175" s="5">
        <v>18</v>
      </c>
      <c r="D1175" s="9" t="s">
        <v>50</v>
      </c>
      <c r="E1175" s="10">
        <v>80</v>
      </c>
      <c r="F1175" s="10">
        <f t="shared" si="18"/>
        <v>1440</v>
      </c>
    </row>
    <row r="1176" spans="1:6" s="9" customFormat="1" x14ac:dyDescent="0.25">
      <c r="B1176" s="4"/>
      <c r="C1176" s="5">
        <v>90</v>
      </c>
      <c r="D1176" s="9" t="s">
        <v>22</v>
      </c>
      <c r="E1176" s="10">
        <v>90</v>
      </c>
      <c r="F1176" s="10">
        <f t="shared" si="18"/>
        <v>8100</v>
      </c>
    </row>
    <row r="1177" spans="1:6" s="9" customFormat="1" x14ac:dyDescent="0.25">
      <c r="B1177" s="4"/>
      <c r="C1177" s="5">
        <v>70</v>
      </c>
      <c r="D1177" s="9" t="s">
        <v>13</v>
      </c>
      <c r="E1177" s="10">
        <v>130</v>
      </c>
      <c r="F1177" s="10">
        <f t="shared" si="18"/>
        <v>9100</v>
      </c>
    </row>
    <row r="1178" spans="1:6" s="9" customFormat="1" x14ac:dyDescent="0.25">
      <c r="B1178" s="4"/>
      <c r="C1178" s="5">
        <v>60</v>
      </c>
      <c r="D1178" s="9" t="s">
        <v>14</v>
      </c>
      <c r="E1178" s="10">
        <v>120</v>
      </c>
      <c r="F1178" s="10">
        <f t="shared" si="18"/>
        <v>7200</v>
      </c>
    </row>
    <row r="1179" spans="1:6" s="9" customFormat="1" x14ac:dyDescent="0.25">
      <c r="B1179" s="4"/>
      <c r="C1179" s="5"/>
      <c r="E1179" s="10"/>
      <c r="F1179" s="8">
        <f>SUM(F1175:F1178)</f>
        <v>25840</v>
      </c>
    </row>
    <row r="1180" spans="1:6" s="9" customFormat="1" x14ac:dyDescent="0.25">
      <c r="B1180" s="4"/>
      <c r="C1180" s="5"/>
      <c r="E1180" s="10"/>
      <c r="F1180" s="10"/>
    </row>
    <row r="1181" spans="1:6" s="9" customFormat="1" x14ac:dyDescent="0.25">
      <c r="A1181" s="9" t="s">
        <v>136</v>
      </c>
      <c r="B1181" s="4">
        <v>45824</v>
      </c>
      <c r="C1181" s="5">
        <v>15</v>
      </c>
      <c r="D1181" s="9" t="s">
        <v>13</v>
      </c>
      <c r="E1181" s="10">
        <v>140</v>
      </c>
      <c r="F1181" s="10">
        <f t="shared" si="18"/>
        <v>2100</v>
      </c>
    </row>
    <row r="1182" spans="1:6" s="9" customFormat="1" x14ac:dyDescent="0.25">
      <c r="B1182" s="4"/>
      <c r="C1182" s="5"/>
      <c r="E1182" s="10"/>
      <c r="F1182" s="8">
        <f>SUM(F1181)</f>
        <v>2100</v>
      </c>
    </row>
    <row r="1183" spans="1:6" s="9" customFormat="1" x14ac:dyDescent="0.25">
      <c r="B1183" s="4"/>
      <c r="C1183" s="5"/>
      <c r="E1183" s="10"/>
      <c r="F1183" s="10"/>
    </row>
    <row r="1184" spans="1:6" s="9" customFormat="1" x14ac:dyDescent="0.25">
      <c r="A1184" s="9" t="s">
        <v>391</v>
      </c>
      <c r="B1184" s="4">
        <v>45824</v>
      </c>
      <c r="C1184" s="5">
        <v>10</v>
      </c>
      <c r="D1184" s="9" t="s">
        <v>13</v>
      </c>
      <c r="E1184" s="10">
        <v>135</v>
      </c>
      <c r="F1184" s="10">
        <f t="shared" si="18"/>
        <v>1350</v>
      </c>
    </row>
    <row r="1185" spans="1:6" s="9" customFormat="1" x14ac:dyDescent="0.25">
      <c r="B1185" s="4"/>
      <c r="C1185" s="5"/>
      <c r="E1185" s="10"/>
      <c r="F1185" s="8">
        <f>SUM(F1184)</f>
        <v>1350</v>
      </c>
    </row>
    <row r="1186" spans="1:6" s="9" customFormat="1" x14ac:dyDescent="0.25">
      <c r="B1186" s="4"/>
      <c r="C1186" s="5"/>
      <c r="E1186" s="10"/>
      <c r="F1186" s="10"/>
    </row>
    <row r="1187" spans="1:6" s="9" customFormat="1" x14ac:dyDescent="0.25">
      <c r="A1187" s="9" t="s">
        <v>29</v>
      </c>
      <c r="B1187" s="4">
        <v>45824</v>
      </c>
      <c r="C1187" s="5">
        <v>2</v>
      </c>
      <c r="D1187" s="9" t="s">
        <v>13</v>
      </c>
      <c r="E1187" s="10">
        <v>160</v>
      </c>
      <c r="F1187" s="10">
        <f t="shared" si="18"/>
        <v>320</v>
      </c>
    </row>
    <row r="1188" spans="1:6" s="9" customFormat="1" x14ac:dyDescent="0.25">
      <c r="B1188" s="4"/>
      <c r="C1188" s="5">
        <v>1</v>
      </c>
      <c r="D1188" s="9" t="s">
        <v>13</v>
      </c>
      <c r="E1188" s="10">
        <v>160</v>
      </c>
      <c r="F1188" s="10">
        <f t="shared" si="18"/>
        <v>160</v>
      </c>
    </row>
    <row r="1189" spans="1:6" s="9" customFormat="1" x14ac:dyDescent="0.25">
      <c r="B1189" s="4"/>
      <c r="C1189" s="5">
        <v>1</v>
      </c>
      <c r="D1189" s="9" t="s">
        <v>8</v>
      </c>
      <c r="E1189" s="10">
        <v>170</v>
      </c>
      <c r="F1189" s="10">
        <f t="shared" si="18"/>
        <v>170</v>
      </c>
    </row>
    <row r="1190" spans="1:6" s="9" customFormat="1" x14ac:dyDescent="0.25">
      <c r="B1190" s="4"/>
      <c r="C1190" s="5">
        <v>1</v>
      </c>
      <c r="E1190" s="10">
        <v>100</v>
      </c>
      <c r="F1190" s="10">
        <f t="shared" si="18"/>
        <v>100</v>
      </c>
    </row>
    <row r="1191" spans="1:6" s="9" customFormat="1" x14ac:dyDescent="0.25">
      <c r="B1191" s="4"/>
      <c r="C1191" s="5"/>
      <c r="E1191" s="10"/>
      <c r="F1191" s="8">
        <f>SUM(F1187:F1190)</f>
        <v>750</v>
      </c>
    </row>
    <row r="1192" spans="1:6" s="9" customFormat="1" x14ac:dyDescent="0.25">
      <c r="B1192" s="4"/>
      <c r="C1192" s="5"/>
      <c r="E1192" s="10"/>
      <c r="F1192" s="10"/>
    </row>
    <row r="1193" spans="1:6" s="9" customFormat="1" x14ac:dyDescent="0.25">
      <c r="A1193" s="9" t="s">
        <v>7</v>
      </c>
      <c r="B1193" s="4">
        <v>45824</v>
      </c>
      <c r="C1193" s="5">
        <v>2</v>
      </c>
      <c r="D1193" s="9" t="s">
        <v>8</v>
      </c>
      <c r="E1193" s="10">
        <v>170</v>
      </c>
      <c r="F1193" s="10">
        <f t="shared" si="18"/>
        <v>340</v>
      </c>
    </row>
    <row r="1194" spans="1:6" s="9" customFormat="1" x14ac:dyDescent="0.25">
      <c r="B1194" s="4"/>
      <c r="C1194" s="5">
        <v>1</v>
      </c>
      <c r="D1194" s="9" t="s">
        <v>8</v>
      </c>
      <c r="E1194" s="10">
        <v>170</v>
      </c>
      <c r="F1194" s="10">
        <f t="shared" si="18"/>
        <v>170</v>
      </c>
    </row>
    <row r="1195" spans="1:6" s="9" customFormat="1" x14ac:dyDescent="0.25">
      <c r="B1195" s="4"/>
      <c r="C1195" s="5">
        <v>1</v>
      </c>
      <c r="D1195" s="9" t="s">
        <v>54</v>
      </c>
      <c r="E1195" s="10">
        <v>140</v>
      </c>
      <c r="F1195" s="10">
        <f t="shared" si="18"/>
        <v>140</v>
      </c>
    </row>
    <row r="1196" spans="1:6" s="9" customFormat="1" x14ac:dyDescent="0.25">
      <c r="B1196" s="4"/>
      <c r="C1196" s="5"/>
      <c r="E1196" s="10"/>
      <c r="F1196" s="8">
        <f>SUM(F1193:F1195)</f>
        <v>650</v>
      </c>
    </row>
    <row r="1197" spans="1:6" s="9" customFormat="1" x14ac:dyDescent="0.25">
      <c r="B1197" s="4"/>
      <c r="C1197" s="5"/>
      <c r="E1197" s="10"/>
      <c r="F1197" s="10"/>
    </row>
    <row r="1198" spans="1:6" s="9" customFormat="1" x14ac:dyDescent="0.25">
      <c r="A1198" s="9" t="s">
        <v>487</v>
      </c>
      <c r="B1198" s="4">
        <v>45825</v>
      </c>
      <c r="C1198" s="5">
        <v>7</v>
      </c>
      <c r="D1198" s="9" t="s">
        <v>12</v>
      </c>
      <c r="E1198" s="10">
        <v>130</v>
      </c>
      <c r="F1198" s="10">
        <f t="shared" si="18"/>
        <v>910</v>
      </c>
    </row>
    <row r="1199" spans="1:6" s="9" customFormat="1" x14ac:dyDescent="0.25">
      <c r="B1199" s="4"/>
      <c r="C1199" s="5"/>
      <c r="E1199" s="10"/>
      <c r="F1199" s="8">
        <f>SUM(F1198)</f>
        <v>910</v>
      </c>
    </row>
    <row r="1200" spans="1:6" s="9" customFormat="1" x14ac:dyDescent="0.25">
      <c r="B1200" s="4"/>
      <c r="C1200" s="5"/>
      <c r="E1200" s="10"/>
      <c r="F1200" s="10"/>
    </row>
    <row r="1201" spans="1:6" s="9" customFormat="1" x14ac:dyDescent="0.25">
      <c r="A1201" s="9" t="s">
        <v>184</v>
      </c>
      <c r="B1201" s="4">
        <v>45825</v>
      </c>
      <c r="C1201" s="5">
        <v>7</v>
      </c>
      <c r="D1201" s="9" t="s">
        <v>660</v>
      </c>
      <c r="E1201" s="10">
        <v>150</v>
      </c>
      <c r="F1201" s="10">
        <f t="shared" si="18"/>
        <v>1050</v>
      </c>
    </row>
    <row r="1202" spans="1:6" s="9" customFormat="1" x14ac:dyDescent="0.25">
      <c r="B1202" s="4"/>
      <c r="C1202" s="5"/>
      <c r="E1202" s="10"/>
      <c r="F1202" s="8">
        <f>SUM(F1201)</f>
        <v>1050</v>
      </c>
    </row>
    <row r="1203" spans="1:6" s="9" customFormat="1" x14ac:dyDescent="0.25">
      <c r="B1203" s="4"/>
      <c r="C1203" s="5"/>
      <c r="E1203" s="10"/>
      <c r="F1203" s="10"/>
    </row>
    <row r="1204" spans="1:6" s="9" customFormat="1" x14ac:dyDescent="0.25">
      <c r="A1204" s="9" t="s">
        <v>116</v>
      </c>
      <c r="B1204" s="4">
        <v>45825</v>
      </c>
      <c r="C1204" s="5">
        <v>290</v>
      </c>
      <c r="D1204" s="9" t="s">
        <v>14</v>
      </c>
      <c r="E1204" s="10"/>
      <c r="F1204" s="10">
        <f t="shared" si="18"/>
        <v>0</v>
      </c>
    </row>
    <row r="1205" spans="1:6" s="9" customFormat="1" x14ac:dyDescent="0.25">
      <c r="B1205" s="4"/>
      <c r="C1205" s="5">
        <v>100</v>
      </c>
      <c r="D1205" s="9" t="s">
        <v>11</v>
      </c>
      <c r="E1205" s="10"/>
      <c r="F1205" s="10">
        <f t="shared" si="18"/>
        <v>0</v>
      </c>
    </row>
    <row r="1206" spans="1:6" s="9" customFormat="1" x14ac:dyDescent="0.25">
      <c r="B1206" s="4"/>
      <c r="C1206" s="5"/>
      <c r="E1206" s="10"/>
      <c r="F1206" s="8">
        <f>SUM(F1204:F1205)</f>
        <v>0</v>
      </c>
    </row>
    <row r="1207" spans="1:6" s="9" customFormat="1" x14ac:dyDescent="0.25">
      <c r="B1207" s="4"/>
      <c r="C1207" s="5"/>
      <c r="E1207" s="10"/>
      <c r="F1207" s="10"/>
    </row>
    <row r="1208" spans="1:6" s="9" customFormat="1" x14ac:dyDescent="0.25">
      <c r="A1208" s="9" t="s">
        <v>89</v>
      </c>
      <c r="B1208" s="4">
        <v>45825</v>
      </c>
      <c r="C1208" s="5">
        <v>30</v>
      </c>
      <c r="D1208" s="9" t="s">
        <v>13</v>
      </c>
      <c r="E1208" s="10">
        <v>130</v>
      </c>
      <c r="F1208" s="10">
        <f t="shared" si="18"/>
        <v>3900</v>
      </c>
    </row>
    <row r="1209" spans="1:6" s="9" customFormat="1" x14ac:dyDescent="0.25">
      <c r="B1209" s="4"/>
      <c r="C1209" s="5">
        <v>60</v>
      </c>
      <c r="D1209" s="9" t="s">
        <v>12</v>
      </c>
      <c r="E1209" s="10">
        <v>100</v>
      </c>
      <c r="F1209" s="10">
        <f t="shared" si="18"/>
        <v>6000</v>
      </c>
    </row>
    <row r="1210" spans="1:6" s="9" customFormat="1" x14ac:dyDescent="0.25">
      <c r="B1210" s="4"/>
      <c r="C1210" s="5">
        <v>20</v>
      </c>
      <c r="D1210" s="9" t="s">
        <v>11</v>
      </c>
      <c r="E1210" s="10">
        <v>110</v>
      </c>
      <c r="F1210" s="10">
        <f t="shared" si="18"/>
        <v>2200</v>
      </c>
    </row>
    <row r="1211" spans="1:6" s="9" customFormat="1" x14ac:dyDescent="0.25">
      <c r="B1211" s="4"/>
      <c r="C1211" s="5"/>
      <c r="E1211" s="10"/>
      <c r="F1211" s="8">
        <f>SUM(F1208:F1210)</f>
        <v>12100</v>
      </c>
    </row>
    <row r="1212" spans="1:6" s="9" customFormat="1" x14ac:dyDescent="0.25">
      <c r="B1212" s="4"/>
      <c r="C1212" s="5"/>
      <c r="E1212" s="10"/>
      <c r="F1212" s="10"/>
    </row>
    <row r="1213" spans="1:6" s="9" customFormat="1" x14ac:dyDescent="0.25">
      <c r="A1213" s="9" t="s">
        <v>116</v>
      </c>
      <c r="B1213" s="4">
        <v>45825</v>
      </c>
      <c r="C1213" s="5">
        <v>290</v>
      </c>
      <c r="D1213" s="9" t="s">
        <v>14</v>
      </c>
      <c r="E1213" s="10">
        <v>123</v>
      </c>
      <c r="F1213" s="10">
        <f t="shared" si="18"/>
        <v>35670</v>
      </c>
    </row>
    <row r="1214" spans="1:6" s="9" customFormat="1" x14ac:dyDescent="0.25">
      <c r="B1214" s="4"/>
      <c r="C1214" s="5">
        <v>100</v>
      </c>
      <c r="D1214" s="9" t="s">
        <v>11</v>
      </c>
      <c r="E1214" s="10">
        <v>112</v>
      </c>
      <c r="F1214" s="10">
        <f t="shared" si="18"/>
        <v>11200</v>
      </c>
    </row>
    <row r="1215" spans="1:6" s="9" customFormat="1" x14ac:dyDescent="0.25">
      <c r="B1215" s="4"/>
      <c r="C1215" s="5">
        <v>100</v>
      </c>
      <c r="D1215" s="9" t="s">
        <v>98</v>
      </c>
      <c r="E1215" s="10">
        <v>80</v>
      </c>
      <c r="F1215" s="10">
        <f t="shared" si="18"/>
        <v>8000</v>
      </c>
    </row>
    <row r="1216" spans="1:6" s="9" customFormat="1" x14ac:dyDescent="0.25">
      <c r="B1216" s="4"/>
      <c r="C1216" s="5"/>
      <c r="E1216" s="10"/>
      <c r="F1216" s="8">
        <f>SUM(F1213:F1215)</f>
        <v>54870</v>
      </c>
    </row>
    <row r="1217" spans="1:6" s="9" customFormat="1" x14ac:dyDescent="0.25">
      <c r="B1217" s="4"/>
      <c r="C1217" s="5"/>
      <c r="E1217" s="10"/>
      <c r="F1217" s="10"/>
    </row>
    <row r="1218" spans="1:6" s="9" customFormat="1" x14ac:dyDescent="0.25">
      <c r="A1218" s="9" t="s">
        <v>44</v>
      </c>
      <c r="B1218" s="4">
        <v>45825</v>
      </c>
      <c r="C1218" s="5">
        <v>100</v>
      </c>
      <c r="D1218" s="9" t="s">
        <v>13</v>
      </c>
      <c r="E1218" s="10">
        <v>135</v>
      </c>
      <c r="F1218" s="10">
        <f t="shared" si="18"/>
        <v>13500</v>
      </c>
    </row>
    <row r="1219" spans="1:6" s="9" customFormat="1" x14ac:dyDescent="0.25">
      <c r="B1219" s="4"/>
      <c r="C1219" s="5"/>
      <c r="E1219" s="10"/>
      <c r="F1219" s="8">
        <f>SUM(F1218)</f>
        <v>13500</v>
      </c>
    </row>
    <row r="1220" spans="1:6" s="9" customFormat="1" x14ac:dyDescent="0.25">
      <c r="B1220" s="4"/>
      <c r="C1220" s="5"/>
      <c r="E1220" s="10"/>
      <c r="F1220" s="10"/>
    </row>
    <row r="1221" spans="1:6" s="9" customFormat="1" x14ac:dyDescent="0.25">
      <c r="A1221" s="9" t="s">
        <v>245</v>
      </c>
      <c r="B1221" s="4">
        <v>45825</v>
      </c>
      <c r="C1221" s="5">
        <v>40</v>
      </c>
      <c r="D1221" s="9" t="s">
        <v>13</v>
      </c>
      <c r="E1221" s="10">
        <v>140</v>
      </c>
      <c r="F1221" s="10">
        <f t="shared" ref="F1221:F1282" si="19">+C1221*E1221</f>
        <v>5600</v>
      </c>
    </row>
    <row r="1222" spans="1:6" s="9" customFormat="1" x14ac:dyDescent="0.25">
      <c r="B1222" s="4"/>
      <c r="C1222" s="5">
        <v>1.1200000000000001</v>
      </c>
      <c r="D1222" s="9" t="s">
        <v>318</v>
      </c>
      <c r="E1222" s="10">
        <v>0</v>
      </c>
      <c r="F1222" s="10">
        <f t="shared" si="19"/>
        <v>0</v>
      </c>
    </row>
    <row r="1223" spans="1:6" s="9" customFormat="1" x14ac:dyDescent="0.25">
      <c r="B1223" s="4"/>
      <c r="C1223" s="5"/>
      <c r="E1223" s="10"/>
      <c r="F1223" s="8">
        <f>SUM(F1221:F1222)</f>
        <v>5600</v>
      </c>
    </row>
    <row r="1224" spans="1:6" s="9" customFormat="1" x14ac:dyDescent="0.25">
      <c r="B1224" s="4"/>
      <c r="C1224" s="5"/>
      <c r="E1224" s="10"/>
      <c r="F1224" s="10"/>
    </row>
    <row r="1225" spans="1:6" s="9" customFormat="1" x14ac:dyDescent="0.25">
      <c r="A1225" s="9" t="s">
        <v>48</v>
      </c>
      <c r="B1225" s="4">
        <v>45825</v>
      </c>
      <c r="C1225" s="5">
        <v>200</v>
      </c>
      <c r="D1225" s="9" t="s">
        <v>11</v>
      </c>
      <c r="E1225" s="10">
        <v>110</v>
      </c>
      <c r="F1225" s="10">
        <f t="shared" si="19"/>
        <v>22000</v>
      </c>
    </row>
    <row r="1226" spans="1:6" s="9" customFormat="1" x14ac:dyDescent="0.25">
      <c r="B1226" s="4"/>
      <c r="C1226" s="5">
        <v>250</v>
      </c>
      <c r="D1226" s="9" t="s">
        <v>14</v>
      </c>
      <c r="E1226" s="10">
        <v>123</v>
      </c>
      <c r="F1226" s="10">
        <f t="shared" si="19"/>
        <v>30750</v>
      </c>
    </row>
    <row r="1227" spans="1:6" s="9" customFormat="1" x14ac:dyDescent="0.25">
      <c r="B1227" s="4"/>
      <c r="C1227" s="5"/>
      <c r="E1227" s="10"/>
      <c r="F1227" s="8">
        <f>SUM(F1225:F1226)</f>
        <v>52750</v>
      </c>
    </row>
    <row r="1228" spans="1:6" s="9" customFormat="1" x14ac:dyDescent="0.25">
      <c r="B1228" s="4"/>
      <c r="C1228" s="5"/>
      <c r="E1228" s="10"/>
      <c r="F1228" s="10"/>
    </row>
    <row r="1229" spans="1:6" s="9" customFormat="1" x14ac:dyDescent="0.25">
      <c r="A1229" s="9" t="s">
        <v>59</v>
      </c>
      <c r="B1229" s="4">
        <v>45825</v>
      </c>
      <c r="C1229" s="5">
        <v>30</v>
      </c>
      <c r="D1229" s="9" t="s">
        <v>13</v>
      </c>
      <c r="E1229" s="10">
        <v>135</v>
      </c>
      <c r="F1229" s="10">
        <f t="shared" si="19"/>
        <v>4050</v>
      </c>
    </row>
    <row r="1230" spans="1:6" s="9" customFormat="1" x14ac:dyDescent="0.25">
      <c r="B1230" s="4"/>
      <c r="C1230" s="5"/>
      <c r="E1230" s="10"/>
      <c r="F1230" s="8">
        <f>SUM(F1229)</f>
        <v>4050</v>
      </c>
    </row>
    <row r="1231" spans="1:6" s="9" customFormat="1" x14ac:dyDescent="0.25">
      <c r="B1231" s="4"/>
      <c r="C1231" s="5"/>
      <c r="E1231" s="10"/>
      <c r="F1231" s="10"/>
    </row>
    <row r="1232" spans="1:6" s="9" customFormat="1" x14ac:dyDescent="0.25">
      <c r="A1232" s="9" t="s">
        <v>111</v>
      </c>
      <c r="B1232" s="4">
        <v>45825</v>
      </c>
      <c r="C1232" s="5">
        <v>30</v>
      </c>
      <c r="D1232" s="9" t="s">
        <v>13</v>
      </c>
      <c r="E1232" s="10">
        <v>140</v>
      </c>
      <c r="F1232" s="10">
        <f t="shared" si="19"/>
        <v>4200</v>
      </c>
    </row>
    <row r="1233" spans="1:6" s="9" customFormat="1" x14ac:dyDescent="0.25">
      <c r="B1233" s="4"/>
      <c r="C1233" s="5">
        <v>1</v>
      </c>
      <c r="D1233" s="9" t="s">
        <v>318</v>
      </c>
      <c r="E1233" s="10">
        <v>0</v>
      </c>
      <c r="F1233" s="10">
        <f t="shared" si="19"/>
        <v>0</v>
      </c>
    </row>
    <row r="1234" spans="1:6" s="9" customFormat="1" x14ac:dyDescent="0.25">
      <c r="B1234" s="4"/>
      <c r="C1234" s="5"/>
      <c r="E1234" s="10"/>
      <c r="F1234" s="8">
        <f>SUM(F1232:F1233)</f>
        <v>4200</v>
      </c>
    </row>
    <row r="1235" spans="1:6" s="9" customFormat="1" x14ac:dyDescent="0.25">
      <c r="B1235" s="4"/>
      <c r="C1235" s="5"/>
      <c r="E1235" s="10"/>
      <c r="F1235" s="10"/>
    </row>
    <row r="1236" spans="1:6" s="9" customFormat="1" x14ac:dyDescent="0.25">
      <c r="A1236" s="9" t="s">
        <v>61</v>
      </c>
      <c r="B1236" s="4">
        <v>45825</v>
      </c>
      <c r="C1236" s="5">
        <v>60</v>
      </c>
      <c r="D1236" s="9" t="s">
        <v>13</v>
      </c>
      <c r="E1236" s="10">
        <v>135</v>
      </c>
      <c r="F1236" s="10">
        <f t="shared" si="19"/>
        <v>8100</v>
      </c>
    </row>
    <row r="1237" spans="1:6" s="9" customFormat="1" x14ac:dyDescent="0.25">
      <c r="B1237" s="4"/>
      <c r="C1237" s="5"/>
      <c r="E1237" s="10"/>
      <c r="F1237" s="8">
        <f>SUM(F1236)</f>
        <v>8100</v>
      </c>
    </row>
    <row r="1238" spans="1:6" s="9" customFormat="1" x14ac:dyDescent="0.25">
      <c r="B1238" s="4"/>
      <c r="C1238" s="5"/>
      <c r="E1238" s="10"/>
      <c r="F1238" s="10"/>
    </row>
    <row r="1239" spans="1:6" s="9" customFormat="1" x14ac:dyDescent="0.25">
      <c r="A1239" s="9" t="s">
        <v>535</v>
      </c>
      <c r="B1239" s="4">
        <v>45825</v>
      </c>
      <c r="C1239" s="5">
        <v>50</v>
      </c>
      <c r="D1239" s="9" t="s">
        <v>12</v>
      </c>
      <c r="E1239" s="10">
        <v>135</v>
      </c>
      <c r="F1239" s="10">
        <f t="shared" si="19"/>
        <v>6750</v>
      </c>
    </row>
    <row r="1240" spans="1:6" s="9" customFormat="1" x14ac:dyDescent="0.25">
      <c r="B1240" s="4"/>
      <c r="C1240" s="5">
        <v>7</v>
      </c>
      <c r="D1240" s="9" t="s">
        <v>13</v>
      </c>
      <c r="E1240" s="10">
        <v>145</v>
      </c>
      <c r="F1240" s="10">
        <f t="shared" si="19"/>
        <v>1015</v>
      </c>
    </row>
    <row r="1241" spans="1:6" s="9" customFormat="1" x14ac:dyDescent="0.25">
      <c r="B1241" s="4"/>
      <c r="C1241" s="5">
        <v>8</v>
      </c>
      <c r="D1241" s="9" t="s">
        <v>8</v>
      </c>
      <c r="E1241" s="10">
        <v>160</v>
      </c>
      <c r="F1241" s="10">
        <f t="shared" si="19"/>
        <v>1280</v>
      </c>
    </row>
    <row r="1242" spans="1:6" s="9" customFormat="1" x14ac:dyDescent="0.25">
      <c r="B1242" s="4"/>
      <c r="C1242" s="5">
        <v>2</v>
      </c>
      <c r="D1242" s="9" t="s">
        <v>14</v>
      </c>
      <c r="E1242" s="10">
        <v>140</v>
      </c>
      <c r="F1242" s="10">
        <f t="shared" si="19"/>
        <v>280</v>
      </c>
    </row>
    <row r="1243" spans="1:6" s="9" customFormat="1" x14ac:dyDescent="0.25">
      <c r="B1243" s="4"/>
      <c r="C1243" s="5"/>
      <c r="E1243" s="10"/>
      <c r="F1243" s="8">
        <f>SUM(F1239:F1242)</f>
        <v>9325</v>
      </c>
    </row>
    <row r="1244" spans="1:6" s="9" customFormat="1" x14ac:dyDescent="0.25">
      <c r="B1244" s="4"/>
      <c r="C1244" s="5"/>
      <c r="E1244" s="10"/>
      <c r="F1244" s="10"/>
    </row>
    <row r="1245" spans="1:6" s="9" customFormat="1" x14ac:dyDescent="0.25">
      <c r="A1245" s="9" t="s">
        <v>151</v>
      </c>
      <c r="B1245" s="4">
        <v>45825</v>
      </c>
      <c r="C1245" s="5">
        <v>50</v>
      </c>
      <c r="D1245" s="9" t="s">
        <v>22</v>
      </c>
      <c r="E1245" s="10">
        <v>90</v>
      </c>
      <c r="F1245" s="10">
        <f t="shared" si="19"/>
        <v>4500</v>
      </c>
    </row>
    <row r="1246" spans="1:6" s="9" customFormat="1" x14ac:dyDescent="0.25">
      <c r="B1246" s="4"/>
      <c r="C1246" s="5">
        <v>20</v>
      </c>
      <c r="D1246" s="9" t="s">
        <v>615</v>
      </c>
      <c r="E1246" s="10">
        <v>120</v>
      </c>
      <c r="F1246" s="10">
        <f t="shared" si="19"/>
        <v>2400</v>
      </c>
    </row>
    <row r="1247" spans="1:6" s="9" customFormat="1" x14ac:dyDescent="0.25">
      <c r="B1247" s="4"/>
      <c r="C1247" s="5"/>
      <c r="E1247" s="10"/>
      <c r="F1247" s="8">
        <f>SUM(F1245:F1246)</f>
        <v>6900</v>
      </c>
    </row>
    <row r="1248" spans="1:6" s="9" customFormat="1" x14ac:dyDescent="0.25">
      <c r="B1248" s="4"/>
      <c r="C1248" s="5"/>
      <c r="E1248" s="10"/>
      <c r="F1248" s="10"/>
    </row>
    <row r="1249" spans="1:6" s="9" customFormat="1" x14ac:dyDescent="0.25">
      <c r="A1249" s="9" t="s">
        <v>29</v>
      </c>
      <c r="B1249" s="4">
        <v>45825</v>
      </c>
      <c r="C1249" s="11">
        <v>0.5</v>
      </c>
      <c r="D1249" s="9" t="s">
        <v>8</v>
      </c>
      <c r="E1249" s="10">
        <v>170</v>
      </c>
      <c r="F1249" s="10">
        <f t="shared" si="19"/>
        <v>85</v>
      </c>
    </row>
    <row r="1250" spans="1:6" s="9" customFormat="1" x14ac:dyDescent="0.25">
      <c r="B1250" s="4"/>
      <c r="C1250" s="11">
        <v>1.5</v>
      </c>
      <c r="D1250" s="9" t="s">
        <v>8</v>
      </c>
      <c r="E1250" s="10">
        <v>170</v>
      </c>
      <c r="F1250" s="10">
        <f t="shared" si="19"/>
        <v>255</v>
      </c>
    </row>
    <row r="1251" spans="1:6" s="9" customFormat="1" x14ac:dyDescent="0.25">
      <c r="B1251" s="4"/>
      <c r="C1251" s="5">
        <v>1</v>
      </c>
      <c r="D1251" s="9" t="s">
        <v>13</v>
      </c>
      <c r="E1251" s="10">
        <v>160</v>
      </c>
      <c r="F1251" s="10">
        <f t="shared" si="19"/>
        <v>160</v>
      </c>
    </row>
    <row r="1252" spans="1:6" s="9" customFormat="1" x14ac:dyDescent="0.25">
      <c r="B1252" s="4"/>
      <c r="C1252" s="5">
        <v>5</v>
      </c>
      <c r="D1252" s="9" t="s">
        <v>13</v>
      </c>
      <c r="E1252" s="10">
        <v>140</v>
      </c>
      <c r="F1252" s="10">
        <f t="shared" si="19"/>
        <v>700</v>
      </c>
    </row>
    <row r="1253" spans="1:6" s="9" customFormat="1" x14ac:dyDescent="0.25">
      <c r="B1253" s="4"/>
      <c r="C1253" s="5">
        <v>1</v>
      </c>
      <c r="D1253" s="9" t="s">
        <v>13</v>
      </c>
      <c r="E1253" s="10">
        <v>140</v>
      </c>
      <c r="F1253" s="10">
        <f t="shared" si="19"/>
        <v>140</v>
      </c>
    </row>
    <row r="1254" spans="1:6" s="9" customFormat="1" x14ac:dyDescent="0.25">
      <c r="B1254" s="4"/>
      <c r="C1254" s="5"/>
      <c r="E1254" s="10"/>
      <c r="F1254" s="8">
        <f>SUM(F1249:F1253)</f>
        <v>1340</v>
      </c>
    </row>
    <row r="1255" spans="1:6" s="9" customFormat="1" x14ac:dyDescent="0.25">
      <c r="B1255" s="4"/>
      <c r="C1255" s="5"/>
      <c r="E1255" s="10"/>
      <c r="F1255" s="10"/>
    </row>
    <row r="1256" spans="1:6" s="9" customFormat="1" x14ac:dyDescent="0.25">
      <c r="A1256" s="9" t="s">
        <v>7</v>
      </c>
      <c r="B1256" s="4">
        <v>45825</v>
      </c>
      <c r="C1256" s="5">
        <v>1</v>
      </c>
      <c r="D1256" s="9" t="s">
        <v>13</v>
      </c>
      <c r="E1256" s="10">
        <v>160</v>
      </c>
      <c r="F1256" s="10">
        <f t="shared" si="19"/>
        <v>160</v>
      </c>
    </row>
    <row r="1257" spans="1:6" s="9" customFormat="1" x14ac:dyDescent="0.25">
      <c r="B1257" s="4"/>
      <c r="C1257" s="5">
        <v>1</v>
      </c>
      <c r="D1257" s="9" t="s">
        <v>8</v>
      </c>
      <c r="E1257" s="10">
        <v>170</v>
      </c>
      <c r="F1257" s="10">
        <f t="shared" si="19"/>
        <v>170</v>
      </c>
    </row>
    <row r="1258" spans="1:6" s="9" customFormat="1" x14ac:dyDescent="0.25">
      <c r="B1258" s="4"/>
      <c r="C1258" s="11">
        <v>0.5</v>
      </c>
      <c r="D1258" s="9" t="s">
        <v>483</v>
      </c>
      <c r="E1258" s="10">
        <v>160</v>
      </c>
      <c r="F1258" s="10">
        <f t="shared" si="19"/>
        <v>80</v>
      </c>
    </row>
    <row r="1259" spans="1:6" s="9" customFormat="1" x14ac:dyDescent="0.25">
      <c r="B1259" s="4"/>
      <c r="C1259" s="5">
        <v>2</v>
      </c>
      <c r="D1259" s="9" t="s">
        <v>8</v>
      </c>
      <c r="E1259" s="10">
        <v>170</v>
      </c>
      <c r="F1259" s="10">
        <f t="shared" si="19"/>
        <v>340</v>
      </c>
    </row>
    <row r="1260" spans="1:6" s="9" customFormat="1" x14ac:dyDescent="0.25">
      <c r="B1260" s="4"/>
      <c r="C1260" s="5">
        <v>5</v>
      </c>
      <c r="D1260" s="9" t="s">
        <v>8</v>
      </c>
      <c r="E1260" s="10">
        <v>145</v>
      </c>
      <c r="F1260" s="10">
        <f t="shared" si="19"/>
        <v>725</v>
      </c>
    </row>
    <row r="1261" spans="1:6" s="9" customFormat="1" x14ac:dyDescent="0.25">
      <c r="B1261" s="4"/>
      <c r="C1261" s="5">
        <v>1</v>
      </c>
      <c r="D1261" s="9" t="s">
        <v>8</v>
      </c>
      <c r="E1261" s="10">
        <v>170</v>
      </c>
      <c r="F1261" s="10">
        <f t="shared" si="19"/>
        <v>170</v>
      </c>
    </row>
    <row r="1262" spans="1:6" s="9" customFormat="1" x14ac:dyDescent="0.25">
      <c r="B1262" s="4"/>
      <c r="C1262" s="5"/>
      <c r="E1262" s="10"/>
      <c r="F1262" s="8">
        <f>SUM(F1256:F1261)</f>
        <v>1645</v>
      </c>
    </row>
    <row r="1263" spans="1:6" s="9" customFormat="1" x14ac:dyDescent="0.25">
      <c r="B1263" s="4"/>
      <c r="C1263" s="5"/>
      <c r="E1263" s="10"/>
      <c r="F1263" s="10"/>
    </row>
    <row r="1264" spans="1:6" s="9" customFormat="1" x14ac:dyDescent="0.25">
      <c r="A1264" s="9" t="s">
        <v>15</v>
      </c>
      <c r="B1264" s="4">
        <v>45826</v>
      </c>
      <c r="C1264" s="5">
        <v>63</v>
      </c>
      <c r="D1264" s="9" t="s">
        <v>98</v>
      </c>
      <c r="E1264" s="10">
        <v>80</v>
      </c>
      <c r="F1264" s="10">
        <f t="shared" si="19"/>
        <v>5040</v>
      </c>
    </row>
    <row r="1265" spans="1:6" s="9" customFormat="1" x14ac:dyDescent="0.25">
      <c r="B1265" s="4"/>
      <c r="C1265" s="5"/>
      <c r="E1265" s="10"/>
      <c r="F1265" s="8">
        <f>SUM(F1264)</f>
        <v>5040</v>
      </c>
    </row>
    <row r="1266" spans="1:6" s="9" customFormat="1" x14ac:dyDescent="0.25">
      <c r="B1266" s="4"/>
      <c r="C1266" s="5"/>
      <c r="E1266" s="10"/>
      <c r="F1266" s="10"/>
    </row>
    <row r="1267" spans="1:6" s="9" customFormat="1" x14ac:dyDescent="0.25">
      <c r="A1267" s="9" t="s">
        <v>18</v>
      </c>
      <c r="B1267" s="4">
        <v>45826</v>
      </c>
      <c r="C1267" s="5">
        <v>6</v>
      </c>
      <c r="D1267" s="9" t="s">
        <v>13</v>
      </c>
      <c r="E1267" s="10">
        <v>140</v>
      </c>
      <c r="F1267" s="10">
        <f t="shared" si="19"/>
        <v>840</v>
      </c>
    </row>
    <row r="1268" spans="1:6" s="9" customFormat="1" x14ac:dyDescent="0.25">
      <c r="B1268" s="4"/>
      <c r="C1268" s="5"/>
      <c r="E1268" s="10"/>
      <c r="F1268" s="8">
        <f>SUM(F1267)</f>
        <v>840</v>
      </c>
    </row>
    <row r="1269" spans="1:6" s="9" customFormat="1" x14ac:dyDescent="0.25">
      <c r="B1269" s="4"/>
      <c r="C1269" s="5"/>
      <c r="E1269" s="10"/>
      <c r="F1269" s="10"/>
    </row>
    <row r="1270" spans="1:6" s="9" customFormat="1" x14ac:dyDescent="0.25">
      <c r="A1270" s="9" t="s">
        <v>514</v>
      </c>
      <c r="B1270" s="4">
        <v>45826</v>
      </c>
      <c r="C1270" s="5">
        <v>10</v>
      </c>
      <c r="D1270" s="9" t="s">
        <v>715</v>
      </c>
      <c r="E1270" s="10">
        <v>100</v>
      </c>
      <c r="F1270" s="10">
        <f t="shared" si="19"/>
        <v>1000</v>
      </c>
    </row>
    <row r="1271" spans="1:6" s="9" customFormat="1" x14ac:dyDescent="0.25">
      <c r="B1271" s="4"/>
      <c r="C1271" s="5"/>
      <c r="E1271" s="10"/>
      <c r="F1271" s="8">
        <f>SUM(F1270)</f>
        <v>1000</v>
      </c>
    </row>
    <row r="1272" spans="1:6" s="9" customFormat="1" x14ac:dyDescent="0.25">
      <c r="B1272" s="4"/>
      <c r="C1272" s="5"/>
      <c r="E1272" s="10"/>
      <c r="F1272" s="10"/>
    </row>
    <row r="1273" spans="1:6" s="9" customFormat="1" x14ac:dyDescent="0.25">
      <c r="A1273" s="9" t="s">
        <v>58</v>
      </c>
      <c r="B1273" s="4">
        <v>45826</v>
      </c>
      <c r="C1273" s="5">
        <v>10</v>
      </c>
      <c r="D1273" s="9" t="s">
        <v>13</v>
      </c>
      <c r="E1273" s="10">
        <v>140</v>
      </c>
      <c r="F1273" s="10">
        <f t="shared" si="19"/>
        <v>1400</v>
      </c>
    </row>
    <row r="1274" spans="1:6" s="9" customFormat="1" x14ac:dyDescent="0.25">
      <c r="B1274" s="4"/>
      <c r="C1274" s="5"/>
      <c r="E1274" s="10"/>
      <c r="F1274" s="8">
        <f>SUM(F1273)</f>
        <v>1400</v>
      </c>
    </row>
    <row r="1275" spans="1:6" s="9" customFormat="1" x14ac:dyDescent="0.25">
      <c r="B1275" s="4"/>
      <c r="C1275" s="5"/>
      <c r="E1275" s="10"/>
      <c r="F1275" s="10"/>
    </row>
    <row r="1276" spans="1:6" s="9" customFormat="1" x14ac:dyDescent="0.25">
      <c r="A1276" s="9" t="s">
        <v>37</v>
      </c>
      <c r="B1276" s="4">
        <v>45826</v>
      </c>
      <c r="C1276" s="5">
        <v>15</v>
      </c>
      <c r="D1276" s="9" t="s">
        <v>12</v>
      </c>
      <c r="E1276" s="10">
        <v>130</v>
      </c>
      <c r="F1276" s="10">
        <f t="shared" si="19"/>
        <v>1950</v>
      </c>
    </row>
    <row r="1277" spans="1:6" s="9" customFormat="1" x14ac:dyDescent="0.25">
      <c r="B1277" s="4"/>
      <c r="C1277" s="5"/>
      <c r="E1277" s="10"/>
      <c r="F1277" s="8">
        <f>SUM(F1276)</f>
        <v>1950</v>
      </c>
    </row>
    <row r="1278" spans="1:6" s="9" customFormat="1" x14ac:dyDescent="0.25">
      <c r="B1278" s="4"/>
      <c r="C1278" s="5"/>
      <c r="E1278" s="10"/>
      <c r="F1278" s="10"/>
    </row>
    <row r="1279" spans="1:6" s="9" customFormat="1" x14ac:dyDescent="0.25">
      <c r="A1279" s="9" t="s">
        <v>17</v>
      </c>
      <c r="B1279" s="4">
        <v>45826</v>
      </c>
      <c r="C1279" s="5">
        <v>10</v>
      </c>
      <c r="D1279" s="9" t="s">
        <v>13</v>
      </c>
      <c r="E1279" s="10">
        <v>140</v>
      </c>
      <c r="F1279" s="10">
        <f t="shared" si="19"/>
        <v>1400</v>
      </c>
    </row>
    <row r="1280" spans="1:6" s="9" customFormat="1" x14ac:dyDescent="0.25">
      <c r="B1280" s="4"/>
      <c r="C1280" s="5"/>
      <c r="E1280" s="10"/>
      <c r="F1280" s="8">
        <f>SUM(F1279)</f>
        <v>1400</v>
      </c>
    </row>
    <row r="1281" spans="1:6" s="9" customFormat="1" x14ac:dyDescent="0.25">
      <c r="B1281" s="4"/>
      <c r="C1281" s="5"/>
      <c r="E1281" s="10"/>
      <c r="F1281" s="10"/>
    </row>
    <row r="1282" spans="1:6" s="9" customFormat="1" x14ac:dyDescent="0.25">
      <c r="A1282" s="9" t="s">
        <v>20</v>
      </c>
      <c r="B1282" s="4">
        <v>45826</v>
      </c>
      <c r="C1282" s="5">
        <v>10</v>
      </c>
      <c r="D1282" s="9" t="s">
        <v>13</v>
      </c>
      <c r="E1282" s="10">
        <v>140</v>
      </c>
      <c r="F1282" s="10">
        <f t="shared" si="19"/>
        <v>1400</v>
      </c>
    </row>
    <row r="1283" spans="1:6" s="9" customFormat="1" x14ac:dyDescent="0.25">
      <c r="B1283" s="4"/>
      <c r="C1283" s="5"/>
      <c r="E1283" s="10"/>
      <c r="F1283" s="8">
        <f>SUM(F1282)</f>
        <v>1400</v>
      </c>
    </row>
    <row r="1284" spans="1:6" s="9" customFormat="1" x14ac:dyDescent="0.25">
      <c r="B1284" s="4"/>
      <c r="C1284" s="5"/>
      <c r="E1284" s="10"/>
      <c r="F1284" s="10"/>
    </row>
    <row r="1285" spans="1:6" s="9" customFormat="1" x14ac:dyDescent="0.25">
      <c r="A1285" s="9" t="s">
        <v>21</v>
      </c>
      <c r="B1285" s="4">
        <v>45826</v>
      </c>
      <c r="C1285" s="5">
        <v>10</v>
      </c>
      <c r="D1285" s="9" t="s">
        <v>14</v>
      </c>
      <c r="E1285" s="10">
        <v>130</v>
      </c>
      <c r="F1285" s="10">
        <f t="shared" ref="F1285:F1347" si="20">+C1285*E1285</f>
        <v>1300</v>
      </c>
    </row>
    <row r="1286" spans="1:6" s="9" customFormat="1" x14ac:dyDescent="0.25">
      <c r="B1286" s="4"/>
      <c r="C1286" s="5"/>
      <c r="E1286" s="10"/>
      <c r="F1286" s="8">
        <f>SUM(F1285)</f>
        <v>1300</v>
      </c>
    </row>
    <row r="1287" spans="1:6" s="9" customFormat="1" x14ac:dyDescent="0.25">
      <c r="B1287" s="4"/>
      <c r="C1287" s="5"/>
      <c r="E1287" s="10"/>
      <c r="F1287" s="10"/>
    </row>
    <row r="1288" spans="1:6" s="9" customFormat="1" x14ac:dyDescent="0.25">
      <c r="A1288" s="9" t="s">
        <v>40</v>
      </c>
      <c r="B1288" s="4">
        <v>45826</v>
      </c>
      <c r="C1288" s="5">
        <v>5</v>
      </c>
      <c r="D1288" s="9" t="s">
        <v>22</v>
      </c>
      <c r="E1288" s="10">
        <v>90</v>
      </c>
      <c r="F1288" s="10">
        <f t="shared" si="20"/>
        <v>450</v>
      </c>
    </row>
    <row r="1289" spans="1:6" s="9" customFormat="1" x14ac:dyDescent="0.25">
      <c r="B1289" s="4"/>
      <c r="C1289" s="5">
        <v>5</v>
      </c>
      <c r="D1289" s="9" t="s">
        <v>50</v>
      </c>
      <c r="E1289" s="10">
        <v>90</v>
      </c>
      <c r="F1289" s="10">
        <f t="shared" si="20"/>
        <v>450</v>
      </c>
    </row>
    <row r="1290" spans="1:6" s="9" customFormat="1" x14ac:dyDescent="0.25">
      <c r="B1290" s="4"/>
      <c r="C1290" s="5">
        <v>10</v>
      </c>
      <c r="D1290" s="9" t="s">
        <v>14</v>
      </c>
      <c r="E1290" s="10">
        <v>130</v>
      </c>
      <c r="F1290" s="10">
        <f t="shared" si="20"/>
        <v>1300</v>
      </c>
    </row>
    <row r="1291" spans="1:6" s="9" customFormat="1" x14ac:dyDescent="0.25">
      <c r="B1291" s="4"/>
      <c r="C1291" s="5"/>
      <c r="E1291" s="10"/>
      <c r="F1291" s="8">
        <f>SUM(F1288:F1290)</f>
        <v>2200</v>
      </c>
    </row>
    <row r="1292" spans="1:6" s="9" customFormat="1" x14ac:dyDescent="0.25">
      <c r="B1292" s="4"/>
      <c r="C1292" s="5"/>
      <c r="E1292" s="10"/>
      <c r="F1292" s="10"/>
    </row>
    <row r="1293" spans="1:6" s="9" customFormat="1" x14ac:dyDescent="0.25">
      <c r="A1293" s="9" t="s">
        <v>427</v>
      </c>
      <c r="B1293" s="4">
        <v>45826</v>
      </c>
      <c r="C1293" s="5">
        <v>10</v>
      </c>
      <c r="D1293" s="9" t="s">
        <v>13</v>
      </c>
      <c r="E1293" s="10">
        <v>140</v>
      </c>
      <c r="F1293" s="10">
        <f t="shared" si="20"/>
        <v>1400</v>
      </c>
    </row>
    <row r="1294" spans="1:6" s="9" customFormat="1" x14ac:dyDescent="0.25">
      <c r="B1294" s="4"/>
      <c r="C1294" s="5"/>
      <c r="E1294" s="10"/>
      <c r="F1294" s="8">
        <f>SUM(F1293)</f>
        <v>1400</v>
      </c>
    </row>
    <row r="1295" spans="1:6" s="9" customFormat="1" x14ac:dyDescent="0.25">
      <c r="B1295" s="4"/>
      <c r="C1295" s="5"/>
      <c r="E1295" s="10"/>
      <c r="F1295" s="10"/>
    </row>
    <row r="1296" spans="1:6" s="9" customFormat="1" x14ac:dyDescent="0.25">
      <c r="A1296" s="9" t="s">
        <v>57</v>
      </c>
      <c r="B1296" s="4">
        <v>45826</v>
      </c>
      <c r="C1296" s="5">
        <v>20</v>
      </c>
      <c r="D1296" s="9" t="s">
        <v>13</v>
      </c>
      <c r="E1296" s="10">
        <v>140</v>
      </c>
      <c r="F1296" s="10">
        <f t="shared" si="20"/>
        <v>2800</v>
      </c>
    </row>
    <row r="1297" spans="1:6" s="9" customFormat="1" x14ac:dyDescent="0.25">
      <c r="B1297" s="4"/>
      <c r="C1297" s="5"/>
      <c r="E1297" s="10"/>
      <c r="F1297" s="8">
        <f>SUM(F1296)</f>
        <v>2800</v>
      </c>
    </row>
    <row r="1298" spans="1:6" s="9" customFormat="1" x14ac:dyDescent="0.25">
      <c r="B1298" s="4"/>
      <c r="C1298" s="5"/>
      <c r="E1298" s="10"/>
      <c r="F1298" s="10"/>
    </row>
    <row r="1299" spans="1:6" s="9" customFormat="1" x14ac:dyDescent="0.25">
      <c r="A1299" s="9" t="s">
        <v>591</v>
      </c>
      <c r="B1299" s="4">
        <v>45826</v>
      </c>
      <c r="C1299" s="5">
        <v>4</v>
      </c>
      <c r="D1299" s="9" t="s">
        <v>13</v>
      </c>
      <c r="E1299" s="10">
        <v>140</v>
      </c>
      <c r="F1299" s="10">
        <f t="shared" si="20"/>
        <v>560</v>
      </c>
    </row>
    <row r="1300" spans="1:6" s="9" customFormat="1" x14ac:dyDescent="0.25">
      <c r="B1300" s="4"/>
      <c r="C1300" s="5"/>
      <c r="E1300" s="10"/>
      <c r="F1300" s="8">
        <f>SUM(F1299)</f>
        <v>560</v>
      </c>
    </row>
    <row r="1301" spans="1:6" s="9" customFormat="1" x14ac:dyDescent="0.25">
      <c r="B1301" s="4"/>
      <c r="C1301" s="5"/>
      <c r="E1301" s="10"/>
      <c r="F1301" s="10"/>
    </row>
    <row r="1302" spans="1:6" s="9" customFormat="1" x14ac:dyDescent="0.25">
      <c r="A1302" s="9" t="s">
        <v>716</v>
      </c>
      <c r="B1302" s="4">
        <v>45826</v>
      </c>
      <c r="C1302" s="5">
        <v>10</v>
      </c>
      <c r="D1302" s="9" t="s">
        <v>304</v>
      </c>
      <c r="E1302" s="10">
        <v>140</v>
      </c>
      <c r="F1302" s="10">
        <f t="shared" si="20"/>
        <v>1400</v>
      </c>
    </row>
    <row r="1303" spans="1:6" s="9" customFormat="1" x14ac:dyDescent="0.25">
      <c r="B1303" s="4"/>
      <c r="C1303" s="5"/>
      <c r="E1303" s="10"/>
      <c r="F1303" s="8">
        <f>SUM(F1302)</f>
        <v>1400</v>
      </c>
    </row>
    <row r="1304" spans="1:6" s="9" customFormat="1" x14ac:dyDescent="0.25">
      <c r="B1304" s="4"/>
      <c r="C1304" s="5"/>
      <c r="E1304" s="10"/>
      <c r="F1304" s="10"/>
    </row>
    <row r="1305" spans="1:6" s="9" customFormat="1" x14ac:dyDescent="0.25">
      <c r="A1305" s="9" t="s">
        <v>612</v>
      </c>
      <c r="B1305" s="4">
        <v>45826</v>
      </c>
      <c r="C1305" s="5">
        <v>7</v>
      </c>
      <c r="D1305" s="9" t="s">
        <v>13</v>
      </c>
      <c r="E1305" s="10">
        <v>140</v>
      </c>
      <c r="F1305" s="10">
        <f t="shared" si="20"/>
        <v>980</v>
      </c>
    </row>
    <row r="1306" spans="1:6" s="9" customFormat="1" x14ac:dyDescent="0.25">
      <c r="B1306" s="4"/>
      <c r="C1306" s="5"/>
      <c r="E1306" s="10"/>
      <c r="F1306" s="8">
        <f>SUM(F1305)</f>
        <v>980</v>
      </c>
    </row>
    <row r="1307" spans="1:6" s="9" customFormat="1" x14ac:dyDescent="0.25">
      <c r="B1307" s="4"/>
      <c r="C1307" s="5"/>
      <c r="E1307" s="10"/>
      <c r="F1307" s="10"/>
    </row>
    <row r="1308" spans="1:6" s="9" customFormat="1" x14ac:dyDescent="0.25">
      <c r="A1308" s="9" t="s">
        <v>673</v>
      </c>
      <c r="B1308" s="4">
        <v>45826</v>
      </c>
      <c r="C1308" s="5">
        <v>10</v>
      </c>
      <c r="D1308" s="9" t="s">
        <v>22</v>
      </c>
      <c r="E1308" s="10">
        <v>90</v>
      </c>
      <c r="F1308" s="10">
        <f t="shared" si="20"/>
        <v>900</v>
      </c>
    </row>
    <row r="1309" spans="1:6" s="9" customFormat="1" x14ac:dyDescent="0.25">
      <c r="B1309" s="4"/>
      <c r="C1309" s="5"/>
      <c r="E1309" s="10"/>
      <c r="F1309" s="8">
        <f>SUM(F1308)</f>
        <v>900</v>
      </c>
    </row>
    <row r="1310" spans="1:6" s="9" customFormat="1" x14ac:dyDescent="0.25">
      <c r="B1310" s="4"/>
      <c r="C1310" s="5"/>
      <c r="E1310" s="10"/>
      <c r="F1310" s="10"/>
    </row>
    <row r="1311" spans="1:6" s="9" customFormat="1" x14ac:dyDescent="0.25">
      <c r="A1311" s="9" t="s">
        <v>107</v>
      </c>
      <c r="B1311" s="4">
        <v>45826</v>
      </c>
      <c r="C1311" s="5">
        <v>48</v>
      </c>
      <c r="D1311" s="9" t="s">
        <v>11</v>
      </c>
      <c r="E1311" s="10">
        <v>115</v>
      </c>
      <c r="F1311" s="10">
        <f t="shared" si="20"/>
        <v>5520</v>
      </c>
    </row>
    <row r="1312" spans="1:6" s="9" customFormat="1" x14ac:dyDescent="0.25">
      <c r="B1312" s="4"/>
      <c r="C1312" s="5"/>
      <c r="E1312" s="10"/>
      <c r="F1312" s="8">
        <f>SUM(F1311)</f>
        <v>5520</v>
      </c>
    </row>
    <row r="1313" spans="1:6" s="9" customFormat="1" x14ac:dyDescent="0.25">
      <c r="B1313" s="4"/>
      <c r="C1313" s="5"/>
      <c r="E1313" s="10"/>
      <c r="F1313" s="10"/>
    </row>
    <row r="1314" spans="1:6" s="9" customFormat="1" x14ac:dyDescent="0.25">
      <c r="A1314" s="9" t="s">
        <v>717</v>
      </c>
      <c r="B1314" s="4">
        <v>45826</v>
      </c>
      <c r="C1314" s="5">
        <v>10</v>
      </c>
      <c r="D1314" s="9" t="s">
        <v>49</v>
      </c>
      <c r="E1314" s="10">
        <v>135</v>
      </c>
      <c r="F1314" s="10">
        <f t="shared" si="20"/>
        <v>1350</v>
      </c>
    </row>
    <row r="1315" spans="1:6" s="9" customFormat="1" x14ac:dyDescent="0.25">
      <c r="B1315" s="4"/>
      <c r="C1315" s="5">
        <v>10</v>
      </c>
      <c r="D1315" s="9" t="s">
        <v>14</v>
      </c>
      <c r="E1315" s="10">
        <v>130</v>
      </c>
      <c r="F1315" s="10">
        <f t="shared" si="20"/>
        <v>1300</v>
      </c>
    </row>
    <row r="1316" spans="1:6" s="9" customFormat="1" x14ac:dyDescent="0.25">
      <c r="B1316" s="4"/>
      <c r="C1316" s="5"/>
      <c r="E1316" s="10"/>
      <c r="F1316" s="8">
        <f>SUM(F1314:F1315)</f>
        <v>2650</v>
      </c>
    </row>
    <row r="1317" spans="1:6" s="9" customFormat="1" x14ac:dyDescent="0.25">
      <c r="B1317" s="4"/>
      <c r="C1317" s="5"/>
      <c r="E1317" s="10"/>
      <c r="F1317" s="10"/>
    </row>
    <row r="1318" spans="1:6" s="9" customFormat="1" x14ac:dyDescent="0.25">
      <c r="A1318" s="9" t="s">
        <v>41</v>
      </c>
      <c r="B1318" s="4">
        <v>45826</v>
      </c>
      <c r="C1318" s="5">
        <v>45</v>
      </c>
      <c r="D1318" s="9" t="s">
        <v>14</v>
      </c>
      <c r="E1318" s="10">
        <v>130</v>
      </c>
      <c r="F1318" s="10">
        <f t="shared" si="20"/>
        <v>5850</v>
      </c>
    </row>
    <row r="1319" spans="1:6" s="9" customFormat="1" x14ac:dyDescent="0.25">
      <c r="B1319" s="4"/>
      <c r="C1319" s="5"/>
      <c r="E1319" s="10"/>
      <c r="F1319" s="8">
        <f>SUM(F1318)</f>
        <v>5850</v>
      </c>
    </row>
    <row r="1320" spans="1:6" s="9" customFormat="1" x14ac:dyDescent="0.25">
      <c r="B1320" s="4"/>
      <c r="C1320" s="5"/>
      <c r="E1320" s="10"/>
      <c r="F1320" s="10"/>
    </row>
    <row r="1321" spans="1:6" s="9" customFormat="1" x14ac:dyDescent="0.25">
      <c r="A1321" s="9" t="s">
        <v>44</v>
      </c>
      <c r="B1321" s="4">
        <v>45826</v>
      </c>
      <c r="C1321" s="5">
        <v>40</v>
      </c>
      <c r="D1321" s="9" t="s">
        <v>14</v>
      </c>
      <c r="E1321" s="10">
        <v>130</v>
      </c>
      <c r="F1321" s="10">
        <f t="shared" si="20"/>
        <v>5200</v>
      </c>
    </row>
    <row r="1322" spans="1:6" s="9" customFormat="1" x14ac:dyDescent="0.25">
      <c r="B1322" s="4"/>
      <c r="C1322" s="5"/>
      <c r="E1322" s="10"/>
      <c r="F1322" s="8">
        <f>SUM(F1321)</f>
        <v>5200</v>
      </c>
    </row>
    <row r="1323" spans="1:6" s="9" customFormat="1" x14ac:dyDescent="0.25">
      <c r="B1323" s="4"/>
      <c r="C1323" s="5"/>
      <c r="E1323" s="10"/>
      <c r="F1323" s="10"/>
    </row>
    <row r="1324" spans="1:6" s="9" customFormat="1" x14ac:dyDescent="0.25">
      <c r="A1324" s="9" t="s">
        <v>18</v>
      </c>
      <c r="B1324" s="4">
        <v>45826</v>
      </c>
      <c r="C1324" s="5">
        <v>20</v>
      </c>
      <c r="D1324" s="9" t="s">
        <v>14</v>
      </c>
      <c r="E1324" s="10">
        <v>130</v>
      </c>
      <c r="F1324" s="10">
        <f t="shared" si="20"/>
        <v>2600</v>
      </c>
    </row>
    <row r="1325" spans="1:6" s="9" customFormat="1" x14ac:dyDescent="0.25">
      <c r="B1325" s="4"/>
      <c r="C1325" s="5"/>
      <c r="E1325" s="10"/>
      <c r="F1325" s="8">
        <f>SUM(F1324)</f>
        <v>2600</v>
      </c>
    </row>
    <row r="1326" spans="1:6" s="9" customFormat="1" x14ac:dyDescent="0.25">
      <c r="B1326" s="4"/>
      <c r="C1326" s="5"/>
      <c r="E1326" s="10"/>
      <c r="F1326" s="10"/>
    </row>
    <row r="1327" spans="1:6" s="9" customFormat="1" x14ac:dyDescent="0.25">
      <c r="A1327" s="9" t="s">
        <v>46</v>
      </c>
      <c r="B1327" s="4">
        <v>45826</v>
      </c>
      <c r="C1327" s="5">
        <v>20</v>
      </c>
      <c r="D1327" s="9" t="s">
        <v>14</v>
      </c>
      <c r="E1327" s="10">
        <v>130</v>
      </c>
      <c r="F1327" s="10">
        <f t="shared" si="20"/>
        <v>2600</v>
      </c>
    </row>
    <row r="1328" spans="1:6" s="9" customFormat="1" x14ac:dyDescent="0.25">
      <c r="B1328" s="4"/>
      <c r="C1328" s="5"/>
      <c r="E1328" s="10"/>
      <c r="F1328" s="8">
        <f>SUM(F1327)</f>
        <v>2600</v>
      </c>
    </row>
    <row r="1329" spans="1:6" s="9" customFormat="1" x14ac:dyDescent="0.25">
      <c r="B1329" s="4"/>
      <c r="C1329" s="5"/>
      <c r="E1329" s="10"/>
      <c r="F1329" s="10"/>
    </row>
    <row r="1330" spans="1:6" s="9" customFormat="1" x14ac:dyDescent="0.25">
      <c r="A1330" s="9" t="s">
        <v>145</v>
      </c>
      <c r="B1330" s="4">
        <v>45826</v>
      </c>
      <c r="C1330" s="5">
        <v>60</v>
      </c>
      <c r="D1330" s="9" t="s">
        <v>14</v>
      </c>
      <c r="E1330" s="10">
        <v>130</v>
      </c>
      <c r="F1330" s="10">
        <f t="shared" si="20"/>
        <v>7800</v>
      </c>
    </row>
    <row r="1331" spans="1:6" s="9" customFormat="1" x14ac:dyDescent="0.25">
      <c r="B1331" s="4"/>
      <c r="C1331" s="5"/>
      <c r="E1331" s="10"/>
      <c r="F1331" s="8">
        <f>SUM(F1330)</f>
        <v>7800</v>
      </c>
    </row>
    <row r="1332" spans="1:6" s="9" customFormat="1" x14ac:dyDescent="0.25">
      <c r="B1332" s="4"/>
      <c r="C1332" s="5"/>
      <c r="E1332" s="10"/>
      <c r="F1332" s="10"/>
    </row>
    <row r="1333" spans="1:6" s="9" customFormat="1" x14ac:dyDescent="0.25">
      <c r="A1333" s="9" t="s">
        <v>47</v>
      </c>
      <c r="B1333" s="4">
        <v>45826</v>
      </c>
      <c r="C1333" s="5">
        <v>33</v>
      </c>
      <c r="D1333" s="9" t="s">
        <v>14</v>
      </c>
      <c r="E1333" s="10">
        <v>130</v>
      </c>
      <c r="F1333" s="10">
        <f t="shared" si="20"/>
        <v>4290</v>
      </c>
    </row>
    <row r="1334" spans="1:6" s="9" customFormat="1" x14ac:dyDescent="0.25">
      <c r="B1334" s="4"/>
      <c r="C1334" s="5"/>
      <c r="E1334" s="10"/>
      <c r="F1334" s="8">
        <f>SUM(F1333)</f>
        <v>4290</v>
      </c>
    </row>
    <row r="1335" spans="1:6" s="9" customFormat="1" x14ac:dyDescent="0.25">
      <c r="B1335" s="4"/>
      <c r="C1335" s="5"/>
      <c r="E1335" s="10"/>
      <c r="F1335" s="10"/>
    </row>
    <row r="1336" spans="1:6" s="9" customFormat="1" x14ac:dyDescent="0.25">
      <c r="A1336" s="9" t="s">
        <v>45</v>
      </c>
      <c r="B1336" s="4">
        <v>45826</v>
      </c>
      <c r="C1336" s="5">
        <v>2</v>
      </c>
      <c r="D1336" s="9" t="s">
        <v>14</v>
      </c>
      <c r="E1336" s="10">
        <v>130</v>
      </c>
      <c r="F1336" s="10">
        <f t="shared" si="20"/>
        <v>260</v>
      </c>
    </row>
    <row r="1337" spans="1:6" s="9" customFormat="1" x14ac:dyDescent="0.25">
      <c r="B1337" s="4"/>
      <c r="C1337" s="5"/>
      <c r="E1337" s="10"/>
      <c r="F1337" s="8">
        <f>SUM(F1336)</f>
        <v>260</v>
      </c>
    </row>
    <row r="1338" spans="1:6" s="9" customFormat="1" x14ac:dyDescent="0.25">
      <c r="B1338" s="4"/>
      <c r="C1338" s="5"/>
      <c r="E1338" s="10"/>
      <c r="F1338" s="10"/>
    </row>
    <row r="1339" spans="1:6" s="9" customFormat="1" x14ac:dyDescent="0.25">
      <c r="A1339" s="9" t="s">
        <v>32</v>
      </c>
      <c r="B1339" s="4">
        <v>45826</v>
      </c>
      <c r="C1339" s="5">
        <v>20</v>
      </c>
      <c r="D1339" s="9" t="s">
        <v>13</v>
      </c>
      <c r="E1339" s="10">
        <v>135</v>
      </c>
      <c r="F1339" s="10">
        <f t="shared" si="20"/>
        <v>2700</v>
      </c>
    </row>
    <row r="1340" spans="1:6" s="9" customFormat="1" x14ac:dyDescent="0.25">
      <c r="B1340" s="4"/>
      <c r="C1340" s="5"/>
      <c r="E1340" s="10"/>
      <c r="F1340" s="8">
        <f>SUM(F1339)</f>
        <v>2700</v>
      </c>
    </row>
    <row r="1341" spans="1:6" s="9" customFormat="1" x14ac:dyDescent="0.25">
      <c r="B1341" s="4"/>
      <c r="C1341" s="5"/>
      <c r="E1341" s="10"/>
      <c r="F1341" s="10"/>
    </row>
    <row r="1342" spans="1:6" s="9" customFormat="1" x14ac:dyDescent="0.25">
      <c r="A1342" s="9" t="s">
        <v>88</v>
      </c>
      <c r="B1342" s="4">
        <v>45826</v>
      </c>
      <c r="C1342" s="5">
        <v>10</v>
      </c>
      <c r="D1342" s="9" t="s">
        <v>14</v>
      </c>
      <c r="E1342" s="10">
        <v>135</v>
      </c>
      <c r="F1342" s="10">
        <f t="shared" si="20"/>
        <v>1350</v>
      </c>
    </row>
    <row r="1343" spans="1:6" s="9" customFormat="1" x14ac:dyDescent="0.25">
      <c r="B1343" s="4"/>
      <c r="C1343" s="5">
        <v>6</v>
      </c>
      <c r="D1343" s="9" t="s">
        <v>13</v>
      </c>
      <c r="E1343" s="10">
        <v>145</v>
      </c>
      <c r="F1343" s="10">
        <f t="shared" si="20"/>
        <v>870</v>
      </c>
    </row>
    <row r="1344" spans="1:6" s="9" customFormat="1" x14ac:dyDescent="0.25">
      <c r="B1344" s="4"/>
      <c r="C1344" s="5"/>
      <c r="E1344" s="10"/>
      <c r="F1344" s="8">
        <f>SUM(F1342:F1343)</f>
        <v>2220</v>
      </c>
    </row>
    <row r="1345" spans="1:6" s="9" customFormat="1" x14ac:dyDescent="0.25">
      <c r="B1345" s="4"/>
      <c r="C1345" s="5"/>
      <c r="E1345" s="10"/>
      <c r="F1345" s="10"/>
    </row>
    <row r="1346" spans="1:6" s="9" customFormat="1" x14ac:dyDescent="0.25">
      <c r="A1346" s="9" t="s">
        <v>245</v>
      </c>
      <c r="B1346" s="4">
        <v>45826</v>
      </c>
      <c r="C1346" s="5">
        <v>110</v>
      </c>
      <c r="D1346" s="9" t="s">
        <v>13</v>
      </c>
      <c r="E1346" s="10">
        <v>140</v>
      </c>
      <c r="F1346" s="10">
        <f t="shared" si="20"/>
        <v>15400</v>
      </c>
    </row>
    <row r="1347" spans="1:6" s="9" customFormat="1" x14ac:dyDescent="0.25">
      <c r="B1347" s="4"/>
      <c r="C1347" s="5">
        <v>10</v>
      </c>
      <c r="D1347" s="9" t="s">
        <v>14</v>
      </c>
      <c r="E1347" s="10">
        <v>130</v>
      </c>
      <c r="F1347" s="10">
        <f t="shared" si="20"/>
        <v>1300</v>
      </c>
    </row>
    <row r="1348" spans="1:6" s="9" customFormat="1" x14ac:dyDescent="0.25">
      <c r="B1348" s="4"/>
      <c r="C1348" s="5">
        <v>3.27</v>
      </c>
      <c r="D1348" s="9" t="s">
        <v>318</v>
      </c>
      <c r="E1348" s="10">
        <v>0</v>
      </c>
      <c r="F1348" s="10">
        <f t="shared" ref="F1348:F1427" si="21">+C1348*E1348</f>
        <v>0</v>
      </c>
    </row>
    <row r="1349" spans="1:6" s="9" customFormat="1" x14ac:dyDescent="0.25">
      <c r="B1349" s="4"/>
      <c r="C1349" s="5"/>
      <c r="E1349" s="10"/>
      <c r="F1349" s="8">
        <f>SUM(F1346:F1348)</f>
        <v>16700</v>
      </c>
    </row>
    <row r="1350" spans="1:6" s="9" customFormat="1" x14ac:dyDescent="0.25">
      <c r="B1350" s="4"/>
      <c r="C1350" s="5"/>
      <c r="E1350" s="10"/>
      <c r="F1350" s="10"/>
    </row>
    <row r="1351" spans="1:6" s="9" customFormat="1" x14ac:dyDescent="0.25">
      <c r="A1351" s="9" t="s">
        <v>72</v>
      </c>
      <c r="B1351" s="4">
        <v>45826</v>
      </c>
      <c r="C1351" s="5">
        <v>200</v>
      </c>
      <c r="D1351" s="9" t="s">
        <v>13</v>
      </c>
      <c r="E1351" s="10">
        <v>130</v>
      </c>
      <c r="F1351" s="10">
        <f t="shared" si="21"/>
        <v>26000</v>
      </c>
    </row>
    <row r="1352" spans="1:6" s="9" customFormat="1" x14ac:dyDescent="0.25">
      <c r="B1352" s="4"/>
      <c r="C1352" s="5">
        <v>100</v>
      </c>
      <c r="D1352" s="9" t="s">
        <v>302</v>
      </c>
      <c r="E1352" s="10">
        <v>115</v>
      </c>
      <c r="F1352" s="10">
        <f t="shared" si="21"/>
        <v>11500</v>
      </c>
    </row>
    <row r="1353" spans="1:6" s="9" customFormat="1" x14ac:dyDescent="0.25">
      <c r="B1353" s="4"/>
      <c r="C1353" s="5">
        <v>20</v>
      </c>
      <c r="D1353" s="9" t="s">
        <v>14</v>
      </c>
      <c r="E1353" s="10">
        <v>125</v>
      </c>
      <c r="F1353" s="10">
        <f t="shared" si="21"/>
        <v>2500</v>
      </c>
    </row>
    <row r="1354" spans="1:6" s="9" customFormat="1" x14ac:dyDescent="0.25">
      <c r="B1354" s="4"/>
      <c r="C1354" s="5">
        <v>80</v>
      </c>
      <c r="D1354" s="9" t="s">
        <v>11</v>
      </c>
      <c r="E1354" s="10">
        <v>115</v>
      </c>
      <c r="F1354" s="10">
        <f t="shared" si="21"/>
        <v>9200</v>
      </c>
    </row>
    <row r="1355" spans="1:6" s="9" customFormat="1" x14ac:dyDescent="0.25">
      <c r="B1355" s="4"/>
      <c r="C1355" s="5"/>
      <c r="E1355" s="10"/>
      <c r="F1355" s="8">
        <f>SUM(F1351:F1354)</f>
        <v>49200</v>
      </c>
    </row>
    <row r="1356" spans="1:6" s="9" customFormat="1" x14ac:dyDescent="0.25">
      <c r="B1356" s="4"/>
      <c r="C1356" s="5"/>
      <c r="E1356" s="10"/>
      <c r="F1356" s="10"/>
    </row>
    <row r="1357" spans="1:6" s="9" customFormat="1" x14ac:dyDescent="0.25">
      <c r="A1357" s="9" t="s">
        <v>586</v>
      </c>
      <c r="B1357" s="4">
        <v>45826</v>
      </c>
      <c r="C1357" s="5">
        <v>7</v>
      </c>
      <c r="D1357" s="9" t="s">
        <v>12</v>
      </c>
      <c r="E1357" s="10">
        <v>130</v>
      </c>
      <c r="F1357" s="10">
        <f t="shared" si="21"/>
        <v>910</v>
      </c>
    </row>
    <row r="1358" spans="1:6" s="9" customFormat="1" x14ac:dyDescent="0.25">
      <c r="B1358" s="4"/>
      <c r="C1358" s="5"/>
      <c r="E1358" s="10"/>
      <c r="F1358" s="8">
        <f>SUM(F1357)</f>
        <v>910</v>
      </c>
    </row>
    <row r="1359" spans="1:6" s="9" customFormat="1" x14ac:dyDescent="0.25">
      <c r="B1359" s="4"/>
      <c r="C1359" s="5"/>
      <c r="E1359" s="10"/>
      <c r="F1359" s="10"/>
    </row>
    <row r="1360" spans="1:6" s="9" customFormat="1" x14ac:dyDescent="0.25">
      <c r="A1360" s="9" t="s">
        <v>7</v>
      </c>
      <c r="B1360" s="4">
        <v>45826</v>
      </c>
      <c r="C1360" s="5">
        <v>2</v>
      </c>
      <c r="D1360" s="9" t="s">
        <v>13</v>
      </c>
      <c r="E1360" s="10">
        <v>160</v>
      </c>
      <c r="F1360" s="10">
        <f t="shared" si="21"/>
        <v>320</v>
      </c>
    </row>
    <row r="1361" spans="1:6" s="9" customFormat="1" x14ac:dyDescent="0.25">
      <c r="B1361" s="4"/>
      <c r="C1361" s="5">
        <v>1</v>
      </c>
      <c r="D1361" s="9" t="s">
        <v>8</v>
      </c>
      <c r="E1361" s="10">
        <v>170</v>
      </c>
      <c r="F1361" s="10">
        <f t="shared" si="21"/>
        <v>170</v>
      </c>
    </row>
    <row r="1362" spans="1:6" s="9" customFormat="1" x14ac:dyDescent="0.25">
      <c r="B1362" s="4"/>
      <c r="C1362" s="5">
        <v>1</v>
      </c>
      <c r="D1362" s="9" t="s">
        <v>8</v>
      </c>
      <c r="E1362" s="10">
        <v>170</v>
      </c>
      <c r="F1362" s="10">
        <f t="shared" si="21"/>
        <v>170</v>
      </c>
    </row>
    <row r="1363" spans="1:6" s="9" customFormat="1" x14ac:dyDescent="0.25">
      <c r="B1363" s="4"/>
      <c r="C1363" s="5">
        <v>1</v>
      </c>
      <c r="D1363" s="9" t="s">
        <v>8</v>
      </c>
      <c r="E1363" s="10">
        <v>170</v>
      </c>
      <c r="F1363" s="10">
        <f t="shared" si="21"/>
        <v>170</v>
      </c>
    </row>
    <row r="1364" spans="1:6" s="9" customFormat="1" x14ac:dyDescent="0.25">
      <c r="B1364" s="4"/>
      <c r="C1364" s="5">
        <v>1</v>
      </c>
      <c r="D1364" s="9" t="s">
        <v>75</v>
      </c>
      <c r="E1364" s="10">
        <v>150</v>
      </c>
      <c r="F1364" s="10">
        <f t="shared" si="21"/>
        <v>150</v>
      </c>
    </row>
    <row r="1365" spans="1:6" s="9" customFormat="1" x14ac:dyDescent="0.25">
      <c r="B1365" s="4"/>
      <c r="C1365" s="5"/>
      <c r="E1365" s="10"/>
      <c r="F1365" s="8">
        <f>SUM(F1360:F1364)</f>
        <v>980</v>
      </c>
    </row>
    <row r="1366" spans="1:6" s="9" customFormat="1" x14ac:dyDescent="0.25">
      <c r="B1366" s="4"/>
      <c r="C1366" s="5"/>
      <c r="E1366" s="10"/>
      <c r="F1366" s="10"/>
    </row>
    <row r="1367" spans="1:6" s="9" customFormat="1" x14ac:dyDescent="0.25">
      <c r="A1367" s="9" t="s">
        <v>718</v>
      </c>
      <c r="B1367" s="4">
        <v>45827</v>
      </c>
      <c r="C1367" s="5">
        <v>10</v>
      </c>
      <c r="D1367" s="9" t="s">
        <v>8</v>
      </c>
      <c r="E1367" s="10">
        <v>160</v>
      </c>
      <c r="F1367" s="10">
        <f t="shared" si="21"/>
        <v>1600</v>
      </c>
    </row>
    <row r="1368" spans="1:6" s="9" customFormat="1" x14ac:dyDescent="0.25">
      <c r="B1368" s="4"/>
      <c r="C1368" s="5">
        <v>10</v>
      </c>
      <c r="D1368" s="9" t="s">
        <v>13</v>
      </c>
      <c r="E1368" s="10">
        <v>140</v>
      </c>
      <c r="F1368" s="10">
        <f t="shared" si="21"/>
        <v>1400</v>
      </c>
    </row>
    <row r="1369" spans="1:6" s="9" customFormat="1" x14ac:dyDescent="0.25">
      <c r="B1369" s="4"/>
      <c r="C1369" s="5"/>
      <c r="E1369" s="10"/>
      <c r="F1369" s="8">
        <f>SUM(F1367:F1368)</f>
        <v>3000</v>
      </c>
    </row>
    <row r="1370" spans="1:6" s="9" customFormat="1" x14ac:dyDescent="0.25">
      <c r="B1370" s="4"/>
      <c r="C1370" s="5"/>
      <c r="E1370" s="10"/>
      <c r="F1370" s="10"/>
    </row>
    <row r="1371" spans="1:6" s="9" customFormat="1" x14ac:dyDescent="0.25">
      <c r="A1371" s="9" t="s">
        <v>164</v>
      </c>
      <c r="B1371" s="4">
        <v>45827</v>
      </c>
      <c r="C1371" s="5">
        <v>5</v>
      </c>
      <c r="D1371" s="9" t="s">
        <v>8</v>
      </c>
      <c r="E1371" s="10">
        <v>170</v>
      </c>
      <c r="F1371" s="10">
        <f t="shared" si="21"/>
        <v>850</v>
      </c>
    </row>
    <row r="1372" spans="1:6" s="9" customFormat="1" x14ac:dyDescent="0.25">
      <c r="B1372" s="4"/>
      <c r="C1372" s="5"/>
      <c r="E1372" s="10"/>
      <c r="F1372" s="8">
        <f>SUM(F1371)</f>
        <v>850</v>
      </c>
    </row>
    <row r="1373" spans="1:6" s="9" customFormat="1" x14ac:dyDescent="0.25">
      <c r="B1373" s="4"/>
      <c r="C1373" s="5"/>
      <c r="E1373" s="10"/>
      <c r="F1373" s="10"/>
    </row>
    <row r="1374" spans="1:6" s="9" customFormat="1" x14ac:dyDescent="0.25">
      <c r="A1374" s="9" t="s">
        <v>719</v>
      </c>
      <c r="B1374" s="4">
        <v>45827</v>
      </c>
      <c r="C1374" s="5">
        <v>2</v>
      </c>
      <c r="D1374" s="9" t="s">
        <v>8</v>
      </c>
      <c r="E1374" s="10">
        <v>170</v>
      </c>
      <c r="F1374" s="10">
        <f t="shared" si="21"/>
        <v>340</v>
      </c>
    </row>
    <row r="1375" spans="1:6" s="9" customFormat="1" x14ac:dyDescent="0.25">
      <c r="B1375" s="4"/>
      <c r="C1375" s="5"/>
      <c r="E1375" s="10"/>
      <c r="F1375" s="8">
        <f>SUM(F1374)</f>
        <v>340</v>
      </c>
    </row>
    <row r="1376" spans="1:6" s="9" customFormat="1" x14ac:dyDescent="0.25">
      <c r="B1376" s="4"/>
      <c r="C1376" s="5"/>
      <c r="E1376" s="10"/>
      <c r="F1376" s="10"/>
    </row>
    <row r="1377" spans="1:6" s="9" customFormat="1" x14ac:dyDescent="0.25">
      <c r="A1377" s="9" t="s">
        <v>181</v>
      </c>
      <c r="B1377" s="4">
        <v>45827</v>
      </c>
      <c r="C1377" s="5">
        <v>2</v>
      </c>
      <c r="D1377" s="9" t="s">
        <v>12</v>
      </c>
      <c r="E1377" s="10">
        <v>135</v>
      </c>
      <c r="F1377" s="10">
        <f t="shared" si="21"/>
        <v>270</v>
      </c>
    </row>
    <row r="1378" spans="1:6" s="9" customFormat="1" x14ac:dyDescent="0.25">
      <c r="B1378" s="4"/>
      <c r="C1378" s="5"/>
      <c r="E1378" s="10"/>
      <c r="F1378" s="8">
        <f>SUM(F1377)</f>
        <v>270</v>
      </c>
    </row>
    <row r="1379" spans="1:6" s="9" customFormat="1" x14ac:dyDescent="0.25">
      <c r="B1379" s="4"/>
      <c r="C1379" s="5"/>
      <c r="E1379" s="10"/>
      <c r="F1379" s="10"/>
    </row>
    <row r="1380" spans="1:6" s="9" customFormat="1" x14ac:dyDescent="0.25">
      <c r="A1380" s="9" t="s">
        <v>514</v>
      </c>
      <c r="B1380" s="4">
        <v>45827</v>
      </c>
      <c r="C1380" s="5">
        <v>10</v>
      </c>
      <c r="D1380" s="9" t="s">
        <v>98</v>
      </c>
      <c r="E1380" s="10">
        <v>100</v>
      </c>
      <c r="F1380" s="10">
        <f t="shared" si="21"/>
        <v>1000</v>
      </c>
    </row>
    <row r="1381" spans="1:6" s="9" customFormat="1" x14ac:dyDescent="0.25">
      <c r="B1381" s="4"/>
      <c r="C1381" s="5"/>
      <c r="E1381" s="10"/>
      <c r="F1381" s="8">
        <f>SUM(F1380)</f>
        <v>1000</v>
      </c>
    </row>
    <row r="1382" spans="1:6" s="9" customFormat="1" x14ac:dyDescent="0.25">
      <c r="B1382" s="4"/>
      <c r="C1382" s="5"/>
      <c r="E1382" s="10"/>
      <c r="F1382" s="10"/>
    </row>
    <row r="1383" spans="1:6" s="9" customFormat="1" x14ac:dyDescent="0.25">
      <c r="A1383" s="9" t="s">
        <v>362</v>
      </c>
      <c r="B1383" s="4">
        <v>45827</v>
      </c>
      <c r="C1383" s="5">
        <v>10</v>
      </c>
      <c r="D1383" s="9" t="s">
        <v>479</v>
      </c>
      <c r="E1383" s="10">
        <v>140</v>
      </c>
      <c r="F1383" s="10">
        <f t="shared" si="21"/>
        <v>1400</v>
      </c>
    </row>
    <row r="1384" spans="1:6" s="9" customFormat="1" x14ac:dyDescent="0.25">
      <c r="B1384" s="4"/>
      <c r="C1384" s="5"/>
      <c r="E1384" s="10"/>
      <c r="F1384" s="8">
        <f>SUM(F1383)</f>
        <v>1400</v>
      </c>
    </row>
    <row r="1385" spans="1:6" s="9" customFormat="1" x14ac:dyDescent="0.25">
      <c r="B1385" s="4"/>
      <c r="C1385" s="5"/>
      <c r="E1385" s="10"/>
      <c r="F1385" s="10"/>
    </row>
    <row r="1386" spans="1:6" s="9" customFormat="1" x14ac:dyDescent="0.25">
      <c r="A1386" s="9" t="s">
        <v>102</v>
      </c>
      <c r="B1386" s="4">
        <v>45827</v>
      </c>
      <c r="C1386" s="5">
        <v>6</v>
      </c>
      <c r="D1386" s="9" t="s">
        <v>13</v>
      </c>
      <c r="E1386" s="10">
        <v>145</v>
      </c>
      <c r="F1386" s="10">
        <f t="shared" si="21"/>
        <v>870</v>
      </c>
    </row>
    <row r="1387" spans="1:6" s="9" customFormat="1" x14ac:dyDescent="0.25">
      <c r="B1387" s="4"/>
      <c r="C1387" s="5"/>
      <c r="E1387" s="10"/>
      <c r="F1387" s="8">
        <f>SUM(F1386)</f>
        <v>870</v>
      </c>
    </row>
    <row r="1388" spans="1:6" s="9" customFormat="1" x14ac:dyDescent="0.25">
      <c r="B1388" s="4"/>
      <c r="C1388" s="5"/>
      <c r="E1388" s="10"/>
      <c r="F1388" s="10"/>
    </row>
    <row r="1389" spans="1:6" s="9" customFormat="1" x14ac:dyDescent="0.25">
      <c r="A1389" s="9" t="s">
        <v>7</v>
      </c>
      <c r="B1389" s="4">
        <v>45827</v>
      </c>
      <c r="C1389" s="5">
        <v>7</v>
      </c>
      <c r="D1389" s="9" t="s">
        <v>14</v>
      </c>
      <c r="E1389" s="10">
        <v>135</v>
      </c>
      <c r="F1389" s="10">
        <f t="shared" si="21"/>
        <v>945</v>
      </c>
    </row>
    <row r="1390" spans="1:6" s="9" customFormat="1" x14ac:dyDescent="0.25">
      <c r="B1390" s="4"/>
      <c r="C1390" s="5"/>
      <c r="E1390" s="10"/>
      <c r="F1390" s="8">
        <f>SUM(F1389)</f>
        <v>945</v>
      </c>
    </row>
    <row r="1391" spans="1:6" s="9" customFormat="1" x14ac:dyDescent="0.25">
      <c r="B1391" s="4"/>
      <c r="C1391" s="5"/>
      <c r="E1391" s="10"/>
      <c r="F1391" s="10"/>
    </row>
    <row r="1392" spans="1:6" s="9" customFormat="1" x14ac:dyDescent="0.25">
      <c r="A1392" s="9" t="s">
        <v>255</v>
      </c>
      <c r="B1392" s="4">
        <v>45827</v>
      </c>
      <c r="C1392" s="5">
        <v>130</v>
      </c>
      <c r="D1392" s="9" t="s">
        <v>8</v>
      </c>
      <c r="E1392" s="10">
        <v>160</v>
      </c>
      <c r="F1392" s="10">
        <f t="shared" si="21"/>
        <v>20800</v>
      </c>
    </row>
    <row r="1393" spans="1:6" s="9" customFormat="1" x14ac:dyDescent="0.25">
      <c r="B1393" s="4"/>
      <c r="C1393" s="5"/>
      <c r="E1393" s="10"/>
      <c r="F1393" s="8">
        <f>SUM(F1392)</f>
        <v>20800</v>
      </c>
    </row>
    <row r="1394" spans="1:6" s="9" customFormat="1" x14ac:dyDescent="0.25">
      <c r="B1394" s="4"/>
      <c r="C1394" s="5"/>
      <c r="E1394" s="10"/>
      <c r="F1394" s="10"/>
    </row>
    <row r="1395" spans="1:6" s="9" customFormat="1" x14ac:dyDescent="0.25">
      <c r="A1395" s="9" t="s">
        <v>112</v>
      </c>
      <c r="B1395" s="4">
        <v>45827</v>
      </c>
      <c r="C1395" s="5">
        <v>60</v>
      </c>
      <c r="D1395" s="9" t="s">
        <v>14</v>
      </c>
      <c r="E1395" s="10">
        <v>125</v>
      </c>
      <c r="F1395" s="10">
        <f t="shared" si="21"/>
        <v>7500</v>
      </c>
    </row>
    <row r="1396" spans="1:6" s="9" customFormat="1" x14ac:dyDescent="0.25">
      <c r="B1396" s="4"/>
      <c r="C1396" s="5">
        <v>80</v>
      </c>
      <c r="D1396" s="9" t="s">
        <v>22</v>
      </c>
      <c r="E1396" s="10">
        <v>95</v>
      </c>
      <c r="F1396" s="10">
        <f t="shared" si="21"/>
        <v>7600</v>
      </c>
    </row>
    <row r="1397" spans="1:6" s="9" customFormat="1" x14ac:dyDescent="0.25">
      <c r="B1397" s="4"/>
      <c r="C1397" s="5"/>
      <c r="E1397" s="10"/>
      <c r="F1397" s="8">
        <f>SUM(F1395:F1396)</f>
        <v>15100</v>
      </c>
    </row>
    <row r="1398" spans="1:6" s="9" customFormat="1" x14ac:dyDescent="0.25">
      <c r="B1398" s="4"/>
      <c r="C1398" s="5"/>
      <c r="E1398" s="10"/>
      <c r="F1398" s="10"/>
    </row>
    <row r="1399" spans="1:6" s="9" customFormat="1" x14ac:dyDescent="0.25">
      <c r="A1399" s="9" t="s">
        <v>60</v>
      </c>
      <c r="B1399" s="4">
        <v>45827</v>
      </c>
      <c r="C1399" s="5">
        <v>30</v>
      </c>
      <c r="D1399" s="9" t="s">
        <v>13</v>
      </c>
      <c r="E1399" s="10">
        <v>140</v>
      </c>
      <c r="F1399" s="10">
        <f t="shared" si="21"/>
        <v>4200</v>
      </c>
    </row>
    <row r="1400" spans="1:6" s="9" customFormat="1" x14ac:dyDescent="0.25">
      <c r="B1400" s="4"/>
      <c r="C1400" s="5">
        <v>1</v>
      </c>
      <c r="D1400" s="9" t="s">
        <v>318</v>
      </c>
      <c r="E1400" s="10">
        <v>0</v>
      </c>
      <c r="F1400" s="10">
        <f t="shared" si="21"/>
        <v>0</v>
      </c>
    </row>
    <row r="1401" spans="1:6" s="9" customFormat="1" x14ac:dyDescent="0.25">
      <c r="B1401" s="4"/>
      <c r="C1401" s="5"/>
      <c r="E1401" s="10"/>
      <c r="F1401" s="8">
        <f>SUM(F1399:F1400)</f>
        <v>4200</v>
      </c>
    </row>
    <row r="1402" spans="1:6" s="9" customFormat="1" x14ac:dyDescent="0.25">
      <c r="B1402" s="4"/>
      <c r="C1402" s="5"/>
      <c r="E1402" s="10"/>
      <c r="F1402" s="10"/>
    </row>
    <row r="1403" spans="1:6" s="9" customFormat="1" x14ac:dyDescent="0.25">
      <c r="A1403" s="9" t="s">
        <v>720</v>
      </c>
      <c r="B1403" s="4">
        <v>45827</v>
      </c>
      <c r="C1403" s="5">
        <v>10</v>
      </c>
      <c r="D1403" s="9" t="s">
        <v>8</v>
      </c>
      <c r="E1403" s="10">
        <v>145</v>
      </c>
      <c r="F1403" s="10">
        <f t="shared" si="21"/>
        <v>1450</v>
      </c>
    </row>
    <row r="1404" spans="1:6" s="9" customFormat="1" x14ac:dyDescent="0.25">
      <c r="B1404" s="4"/>
      <c r="C1404" s="5"/>
      <c r="E1404" s="10"/>
      <c r="F1404" s="8">
        <f>SUM(F1403)</f>
        <v>1450</v>
      </c>
    </row>
    <row r="1405" spans="1:6" s="9" customFormat="1" x14ac:dyDescent="0.25">
      <c r="B1405" s="4"/>
      <c r="C1405" s="5"/>
      <c r="E1405" s="10"/>
      <c r="F1405" s="10"/>
    </row>
    <row r="1406" spans="1:6" s="9" customFormat="1" x14ac:dyDescent="0.25">
      <c r="A1406" s="9" t="s">
        <v>7</v>
      </c>
      <c r="B1406" s="4">
        <v>45827</v>
      </c>
      <c r="C1406" s="5">
        <v>610</v>
      </c>
      <c r="D1406" s="9" t="s">
        <v>22</v>
      </c>
      <c r="E1406" s="10"/>
      <c r="F1406" s="10">
        <f t="shared" si="21"/>
        <v>0</v>
      </c>
    </row>
    <row r="1407" spans="1:6" s="9" customFormat="1" x14ac:dyDescent="0.25">
      <c r="B1407" s="4"/>
      <c r="C1407" s="5">
        <v>150</v>
      </c>
      <c r="D1407" s="9" t="s">
        <v>13</v>
      </c>
      <c r="E1407" s="10"/>
      <c r="F1407" s="10">
        <f t="shared" si="21"/>
        <v>0</v>
      </c>
    </row>
    <row r="1408" spans="1:6" s="9" customFormat="1" x14ac:dyDescent="0.25">
      <c r="B1408" s="4"/>
      <c r="C1408" s="5"/>
      <c r="E1408" s="10"/>
      <c r="F1408" s="8">
        <f>SUM(F1406:F1407)</f>
        <v>0</v>
      </c>
    </row>
    <row r="1409" spans="1:6" s="9" customFormat="1" x14ac:dyDescent="0.25">
      <c r="B1409" s="4"/>
      <c r="C1409" s="5"/>
      <c r="E1409" s="10"/>
      <c r="F1409" s="10"/>
    </row>
    <row r="1410" spans="1:6" s="9" customFormat="1" x14ac:dyDescent="0.25">
      <c r="A1410" s="9" t="s">
        <v>76</v>
      </c>
      <c r="B1410" s="4">
        <v>45827</v>
      </c>
      <c r="C1410" s="5">
        <v>100</v>
      </c>
      <c r="D1410" s="9" t="s">
        <v>11</v>
      </c>
      <c r="E1410" s="10"/>
      <c r="F1410" s="10">
        <f t="shared" si="21"/>
        <v>0</v>
      </c>
    </row>
    <row r="1411" spans="1:6" s="9" customFormat="1" x14ac:dyDescent="0.25">
      <c r="B1411" s="4"/>
      <c r="C1411" s="5">
        <v>160</v>
      </c>
      <c r="D1411" s="9" t="s">
        <v>22</v>
      </c>
      <c r="E1411" s="10"/>
      <c r="F1411" s="10">
        <f t="shared" si="21"/>
        <v>0</v>
      </c>
    </row>
    <row r="1412" spans="1:6" s="9" customFormat="1" x14ac:dyDescent="0.25">
      <c r="B1412" s="4"/>
      <c r="C1412" s="5"/>
      <c r="E1412" s="10"/>
      <c r="F1412" s="8">
        <f>SUM(F1410:F1411)</f>
        <v>0</v>
      </c>
    </row>
    <row r="1413" spans="1:6" s="9" customFormat="1" x14ac:dyDescent="0.25">
      <c r="B1413" s="4"/>
      <c r="C1413" s="5"/>
      <c r="E1413" s="10"/>
      <c r="F1413" s="10"/>
    </row>
    <row r="1414" spans="1:6" s="9" customFormat="1" x14ac:dyDescent="0.25">
      <c r="B1414" s="4"/>
      <c r="C1414" s="5"/>
      <c r="E1414" s="10"/>
      <c r="F1414" s="10">
        <f t="shared" si="21"/>
        <v>0</v>
      </c>
    </row>
    <row r="1415" spans="1:6" s="9" customFormat="1" x14ac:dyDescent="0.25">
      <c r="B1415" s="4"/>
      <c r="C1415" s="5"/>
      <c r="E1415" s="10"/>
      <c r="F1415" s="10"/>
    </row>
    <row r="1416" spans="1:6" s="9" customFormat="1" x14ac:dyDescent="0.25">
      <c r="A1416" s="9" t="s">
        <v>535</v>
      </c>
      <c r="B1416" s="4">
        <v>45827</v>
      </c>
      <c r="C1416" s="5">
        <v>42</v>
      </c>
      <c r="D1416" s="9" t="s">
        <v>13</v>
      </c>
      <c r="E1416" s="10">
        <v>145</v>
      </c>
      <c r="F1416" s="10">
        <f t="shared" si="21"/>
        <v>6090</v>
      </c>
    </row>
    <row r="1417" spans="1:6" s="9" customFormat="1" x14ac:dyDescent="0.25">
      <c r="B1417" s="4"/>
      <c r="C1417" s="5">
        <v>22</v>
      </c>
      <c r="D1417" s="9" t="s">
        <v>12</v>
      </c>
      <c r="E1417" s="10">
        <v>135</v>
      </c>
      <c r="F1417" s="10">
        <f t="shared" si="21"/>
        <v>2970</v>
      </c>
    </row>
    <row r="1418" spans="1:6" s="9" customFormat="1" x14ac:dyDescent="0.25">
      <c r="B1418" s="4"/>
      <c r="C1418" s="5">
        <v>5</v>
      </c>
      <c r="D1418" s="9" t="s">
        <v>8</v>
      </c>
      <c r="E1418" s="10">
        <v>160</v>
      </c>
      <c r="F1418" s="10">
        <f t="shared" si="21"/>
        <v>800</v>
      </c>
    </row>
    <row r="1419" spans="1:6" s="9" customFormat="1" x14ac:dyDescent="0.25">
      <c r="B1419" s="4"/>
      <c r="C1419" s="5">
        <v>3</v>
      </c>
      <c r="D1419" s="9" t="s">
        <v>387</v>
      </c>
      <c r="E1419" s="10">
        <v>140</v>
      </c>
      <c r="F1419" s="10">
        <f t="shared" si="21"/>
        <v>420</v>
      </c>
    </row>
    <row r="1420" spans="1:6" s="9" customFormat="1" x14ac:dyDescent="0.25">
      <c r="B1420" s="4"/>
      <c r="C1420" s="5"/>
      <c r="E1420" s="10"/>
      <c r="F1420" s="8">
        <f>SUM(F1416:F1419)</f>
        <v>10280</v>
      </c>
    </row>
    <row r="1421" spans="1:6" s="9" customFormat="1" x14ac:dyDescent="0.25">
      <c r="B1421" s="4"/>
      <c r="C1421" s="5"/>
      <c r="E1421" s="10"/>
      <c r="F1421" s="10"/>
    </row>
    <row r="1422" spans="1:6" s="9" customFormat="1" x14ac:dyDescent="0.25">
      <c r="A1422" s="9" t="s">
        <v>29</v>
      </c>
      <c r="B1422" s="4">
        <v>45827</v>
      </c>
      <c r="C1422" s="5">
        <v>1</v>
      </c>
      <c r="D1422" s="9" t="s">
        <v>12</v>
      </c>
      <c r="E1422" s="10">
        <v>150</v>
      </c>
      <c r="F1422" s="10">
        <f t="shared" si="21"/>
        <v>150</v>
      </c>
    </row>
    <row r="1423" spans="1:6" s="9" customFormat="1" x14ac:dyDescent="0.25">
      <c r="B1423" s="4"/>
      <c r="C1423" s="11">
        <v>0.5</v>
      </c>
      <c r="D1423" s="9" t="s">
        <v>22</v>
      </c>
      <c r="E1423" s="10">
        <v>120</v>
      </c>
      <c r="F1423" s="10">
        <f t="shared" si="21"/>
        <v>60</v>
      </c>
    </row>
    <row r="1424" spans="1:6" s="9" customFormat="1" x14ac:dyDescent="0.25">
      <c r="B1424" s="4"/>
      <c r="C1424" s="5"/>
      <c r="E1424" s="10"/>
      <c r="F1424" s="8">
        <f>SUM(F1422:F1423)</f>
        <v>210</v>
      </c>
    </row>
    <row r="1425" spans="1:6" s="9" customFormat="1" x14ac:dyDescent="0.25">
      <c r="B1425" s="4"/>
      <c r="C1425" s="5"/>
      <c r="E1425" s="10"/>
      <c r="F1425" s="10"/>
    </row>
    <row r="1426" spans="1:6" s="9" customFormat="1" x14ac:dyDescent="0.25">
      <c r="A1426" s="9" t="s">
        <v>7</v>
      </c>
      <c r="B1426" s="4">
        <v>45827</v>
      </c>
      <c r="C1426" s="5">
        <v>1</v>
      </c>
      <c r="D1426" s="9" t="s">
        <v>8</v>
      </c>
      <c r="E1426" s="10">
        <v>170</v>
      </c>
      <c r="F1426" s="10">
        <f t="shared" si="21"/>
        <v>170</v>
      </c>
    </row>
    <row r="1427" spans="1:6" s="9" customFormat="1" x14ac:dyDescent="0.25">
      <c r="B1427" s="4"/>
      <c r="C1427" s="5">
        <v>2</v>
      </c>
      <c r="D1427" s="9" t="s">
        <v>13</v>
      </c>
      <c r="E1427" s="10">
        <v>160</v>
      </c>
      <c r="F1427" s="10">
        <f t="shared" si="21"/>
        <v>320</v>
      </c>
    </row>
    <row r="1428" spans="1:6" s="9" customFormat="1" x14ac:dyDescent="0.25">
      <c r="B1428" s="4"/>
      <c r="C1428" s="5"/>
      <c r="E1428" s="10"/>
      <c r="F1428" s="8">
        <f>SUM(F1426:F1427)</f>
        <v>490</v>
      </c>
    </row>
    <row r="1429" spans="1:6" s="9" customFormat="1" x14ac:dyDescent="0.25">
      <c r="B1429" s="4"/>
      <c r="C1429" s="5"/>
      <c r="E1429" s="10"/>
      <c r="F1429" s="10"/>
    </row>
    <row r="1430" spans="1:6" s="9" customFormat="1" x14ac:dyDescent="0.25">
      <c r="A1430" s="9" t="s">
        <v>103</v>
      </c>
      <c r="B1430" s="4">
        <v>45828</v>
      </c>
      <c r="C1430" s="5">
        <v>4</v>
      </c>
      <c r="D1430" s="9" t="s">
        <v>13</v>
      </c>
      <c r="E1430" s="10">
        <v>150</v>
      </c>
      <c r="F1430" s="10">
        <f t="shared" ref="F1430:F1488" si="22">+C1430*E1430</f>
        <v>600</v>
      </c>
    </row>
    <row r="1431" spans="1:6" s="9" customFormat="1" x14ac:dyDescent="0.25">
      <c r="B1431" s="4"/>
      <c r="C1431" s="5"/>
      <c r="E1431" s="10"/>
      <c r="F1431" s="8">
        <f>SUM(F1430)</f>
        <v>600</v>
      </c>
    </row>
    <row r="1432" spans="1:6" s="9" customFormat="1" x14ac:dyDescent="0.25">
      <c r="B1432" s="4"/>
      <c r="C1432" s="5"/>
      <c r="E1432" s="10"/>
      <c r="F1432" s="10"/>
    </row>
    <row r="1433" spans="1:6" s="9" customFormat="1" x14ac:dyDescent="0.25">
      <c r="A1433" s="9" t="s">
        <v>26</v>
      </c>
      <c r="B1433" s="4">
        <v>45828</v>
      </c>
      <c r="C1433" s="5">
        <v>120</v>
      </c>
      <c r="D1433" s="9" t="s">
        <v>13</v>
      </c>
      <c r="E1433" s="10">
        <v>140</v>
      </c>
      <c r="F1433" s="10">
        <f t="shared" si="22"/>
        <v>16800</v>
      </c>
    </row>
    <row r="1434" spans="1:6" s="9" customFormat="1" x14ac:dyDescent="0.25">
      <c r="B1434" s="4"/>
      <c r="C1434" s="5">
        <v>20</v>
      </c>
      <c r="D1434" s="9" t="s">
        <v>14</v>
      </c>
      <c r="E1434" s="10">
        <v>130</v>
      </c>
      <c r="F1434" s="10">
        <f t="shared" si="22"/>
        <v>2600</v>
      </c>
    </row>
    <row r="1435" spans="1:6" s="9" customFormat="1" x14ac:dyDescent="0.25">
      <c r="B1435" s="4"/>
      <c r="C1435" s="5">
        <v>4.08</v>
      </c>
      <c r="D1435" s="9" t="s">
        <v>318</v>
      </c>
      <c r="E1435" s="10">
        <v>0</v>
      </c>
      <c r="F1435" s="10">
        <f t="shared" si="22"/>
        <v>0</v>
      </c>
    </row>
    <row r="1436" spans="1:6" s="9" customFormat="1" x14ac:dyDescent="0.25">
      <c r="B1436" s="4"/>
      <c r="C1436" s="5"/>
      <c r="E1436" s="10"/>
      <c r="F1436" s="8">
        <f>SUM(F1433:F1435)</f>
        <v>19400</v>
      </c>
    </row>
    <row r="1437" spans="1:6" s="9" customFormat="1" x14ac:dyDescent="0.25">
      <c r="B1437" s="4"/>
      <c r="C1437" s="5"/>
      <c r="E1437" s="10"/>
      <c r="F1437" s="10"/>
    </row>
    <row r="1438" spans="1:6" s="9" customFormat="1" x14ac:dyDescent="0.25">
      <c r="A1438" s="9" t="s">
        <v>307</v>
      </c>
      <c r="B1438" s="4">
        <v>45828</v>
      </c>
      <c r="C1438" s="5">
        <v>7</v>
      </c>
      <c r="D1438" s="9" t="s">
        <v>14</v>
      </c>
      <c r="E1438" s="10">
        <v>135</v>
      </c>
      <c r="F1438" s="10">
        <f t="shared" si="22"/>
        <v>945</v>
      </c>
    </row>
    <row r="1439" spans="1:6" s="9" customFormat="1" x14ac:dyDescent="0.25">
      <c r="B1439" s="4"/>
      <c r="C1439" s="5"/>
      <c r="E1439" s="10"/>
      <c r="F1439" s="8">
        <f>SUM(F1438)</f>
        <v>945</v>
      </c>
    </row>
    <row r="1440" spans="1:6" s="9" customFormat="1" x14ac:dyDescent="0.25">
      <c r="B1440" s="4"/>
      <c r="C1440" s="5"/>
      <c r="E1440" s="10"/>
      <c r="F1440" s="10"/>
    </row>
    <row r="1441" spans="1:6" s="9" customFormat="1" x14ac:dyDescent="0.25">
      <c r="A1441" s="9" t="s">
        <v>48</v>
      </c>
      <c r="B1441" s="4">
        <v>45828</v>
      </c>
      <c r="C1441" s="5">
        <v>110</v>
      </c>
      <c r="D1441" s="9" t="s">
        <v>11</v>
      </c>
      <c r="E1441" s="10"/>
      <c r="F1441" s="10">
        <f t="shared" si="22"/>
        <v>0</v>
      </c>
    </row>
    <row r="1442" spans="1:6" s="9" customFormat="1" x14ac:dyDescent="0.25">
      <c r="B1442" s="4"/>
      <c r="C1442" s="5">
        <v>146</v>
      </c>
      <c r="D1442" s="9" t="s">
        <v>12</v>
      </c>
      <c r="E1442" s="10"/>
      <c r="F1442" s="10">
        <f t="shared" si="22"/>
        <v>0</v>
      </c>
    </row>
    <row r="1443" spans="1:6" s="9" customFormat="1" x14ac:dyDescent="0.25">
      <c r="B1443" s="4"/>
      <c r="C1443" s="5">
        <v>200</v>
      </c>
      <c r="D1443" s="9" t="s">
        <v>13</v>
      </c>
      <c r="E1443" s="10"/>
      <c r="F1443" s="10">
        <f t="shared" si="22"/>
        <v>0</v>
      </c>
    </row>
    <row r="1444" spans="1:6" s="9" customFormat="1" x14ac:dyDescent="0.25">
      <c r="B1444" s="4"/>
      <c r="C1444" s="5"/>
      <c r="E1444" s="10"/>
      <c r="F1444" s="8">
        <f>SUM(F1441:F1443)</f>
        <v>0</v>
      </c>
    </row>
    <row r="1445" spans="1:6" s="9" customFormat="1" x14ac:dyDescent="0.25">
      <c r="B1445" s="4"/>
      <c r="C1445" s="5"/>
      <c r="E1445" s="10"/>
      <c r="F1445" s="10"/>
    </row>
    <row r="1446" spans="1:6" s="9" customFormat="1" x14ac:dyDescent="0.25">
      <c r="A1446" s="9" t="s">
        <v>514</v>
      </c>
      <c r="B1446" s="4">
        <v>45828</v>
      </c>
      <c r="C1446" s="5">
        <v>10</v>
      </c>
      <c r="D1446" s="9" t="s">
        <v>98</v>
      </c>
      <c r="E1446" s="10">
        <v>100</v>
      </c>
      <c r="F1446" s="10">
        <f t="shared" si="22"/>
        <v>1000</v>
      </c>
    </row>
    <row r="1447" spans="1:6" s="9" customFormat="1" x14ac:dyDescent="0.25">
      <c r="B1447" s="4"/>
      <c r="C1447" s="5"/>
      <c r="E1447" s="10"/>
      <c r="F1447" s="8">
        <f>SUM(F1446)</f>
        <v>1000</v>
      </c>
    </row>
    <row r="1448" spans="1:6" s="9" customFormat="1" x14ac:dyDescent="0.25">
      <c r="B1448" s="4"/>
      <c r="C1448" s="5"/>
      <c r="E1448" s="10"/>
      <c r="F1448" s="10"/>
    </row>
    <row r="1449" spans="1:6" s="9" customFormat="1" x14ac:dyDescent="0.25">
      <c r="A1449" s="9" t="s">
        <v>15</v>
      </c>
      <c r="B1449" s="4">
        <v>45828</v>
      </c>
      <c r="C1449" s="5">
        <v>70</v>
      </c>
      <c r="D1449" s="9" t="s">
        <v>98</v>
      </c>
      <c r="E1449" s="10">
        <v>80</v>
      </c>
      <c r="F1449" s="10">
        <f t="shared" si="22"/>
        <v>5600</v>
      </c>
    </row>
    <row r="1450" spans="1:6" s="9" customFormat="1" x14ac:dyDescent="0.25">
      <c r="B1450" s="4"/>
      <c r="C1450" s="5"/>
      <c r="E1450" s="10"/>
      <c r="F1450" s="8">
        <f>SUM(F1449)</f>
        <v>5600</v>
      </c>
    </row>
    <row r="1451" spans="1:6" s="9" customFormat="1" x14ac:dyDescent="0.25">
      <c r="B1451" s="4"/>
      <c r="C1451" s="5"/>
      <c r="E1451" s="10"/>
      <c r="F1451" s="10"/>
    </row>
    <row r="1452" spans="1:6" s="9" customFormat="1" x14ac:dyDescent="0.25">
      <c r="A1452" s="9" t="s">
        <v>20</v>
      </c>
      <c r="B1452" s="4">
        <v>45828</v>
      </c>
      <c r="C1452" s="5">
        <v>10</v>
      </c>
      <c r="D1452" s="9" t="s">
        <v>13</v>
      </c>
      <c r="E1452" s="10">
        <v>140</v>
      </c>
      <c r="F1452" s="10">
        <f t="shared" si="22"/>
        <v>1400</v>
      </c>
    </row>
    <row r="1453" spans="1:6" s="9" customFormat="1" x14ac:dyDescent="0.25">
      <c r="B1453" s="4"/>
      <c r="C1453" s="5"/>
      <c r="E1453" s="10"/>
      <c r="F1453" s="8">
        <f>SUM(F1452)</f>
        <v>1400</v>
      </c>
    </row>
    <row r="1454" spans="1:6" s="9" customFormat="1" x14ac:dyDescent="0.25">
      <c r="B1454" s="4"/>
      <c r="C1454" s="5"/>
      <c r="E1454" s="10"/>
      <c r="F1454" s="10"/>
    </row>
    <row r="1455" spans="1:6" s="9" customFormat="1" x14ac:dyDescent="0.25">
      <c r="A1455" s="9" t="s">
        <v>17</v>
      </c>
      <c r="B1455" s="4">
        <v>45828</v>
      </c>
      <c r="C1455" s="5">
        <v>10</v>
      </c>
      <c r="D1455" s="9" t="s">
        <v>13</v>
      </c>
      <c r="E1455" s="10">
        <v>140</v>
      </c>
      <c r="F1455" s="10">
        <f t="shared" si="22"/>
        <v>1400</v>
      </c>
    </row>
    <row r="1456" spans="1:6" s="9" customFormat="1" x14ac:dyDescent="0.25">
      <c r="B1456" s="4"/>
      <c r="C1456" s="5"/>
      <c r="E1456" s="10"/>
      <c r="F1456" s="8">
        <f>SUM(F1455)</f>
        <v>1400</v>
      </c>
    </row>
    <row r="1457" spans="1:6" s="9" customFormat="1" x14ac:dyDescent="0.25">
      <c r="B1457" s="4"/>
      <c r="C1457" s="5"/>
      <c r="E1457" s="10"/>
      <c r="F1457" s="10"/>
    </row>
    <row r="1458" spans="1:6" s="9" customFormat="1" x14ac:dyDescent="0.25">
      <c r="A1458" s="9" t="s">
        <v>25</v>
      </c>
      <c r="B1458" s="4">
        <v>45828</v>
      </c>
      <c r="C1458" s="5">
        <v>20</v>
      </c>
      <c r="D1458" s="9" t="s">
        <v>12</v>
      </c>
      <c r="E1458" s="10">
        <v>125</v>
      </c>
      <c r="F1458" s="10">
        <f t="shared" si="22"/>
        <v>2500</v>
      </c>
    </row>
    <row r="1459" spans="1:6" s="9" customFormat="1" x14ac:dyDescent="0.25">
      <c r="B1459" s="4"/>
      <c r="C1459" s="5">
        <v>20</v>
      </c>
      <c r="D1459" s="9" t="s">
        <v>11</v>
      </c>
      <c r="E1459" s="10">
        <v>120</v>
      </c>
      <c r="F1459" s="10">
        <f t="shared" si="22"/>
        <v>2400</v>
      </c>
    </row>
    <row r="1460" spans="1:6" s="9" customFormat="1" x14ac:dyDescent="0.25">
      <c r="B1460" s="4"/>
      <c r="C1460" s="5">
        <v>20</v>
      </c>
      <c r="D1460" s="9" t="s">
        <v>22</v>
      </c>
      <c r="E1460" s="10">
        <v>95</v>
      </c>
      <c r="F1460" s="10">
        <f t="shared" si="22"/>
        <v>1900</v>
      </c>
    </row>
    <row r="1461" spans="1:6" s="9" customFormat="1" x14ac:dyDescent="0.25">
      <c r="B1461" s="4"/>
      <c r="C1461" s="5"/>
      <c r="E1461" s="10"/>
      <c r="F1461" s="8">
        <f>SUM(F1458:F1460)</f>
        <v>6800</v>
      </c>
    </row>
    <row r="1462" spans="1:6" s="9" customFormat="1" x14ac:dyDescent="0.25">
      <c r="B1462" s="4"/>
      <c r="C1462" s="5"/>
      <c r="E1462" s="10"/>
      <c r="F1462" s="10"/>
    </row>
    <row r="1463" spans="1:6" s="9" customFormat="1" x14ac:dyDescent="0.25">
      <c r="A1463" s="9" t="s">
        <v>673</v>
      </c>
      <c r="B1463" s="4">
        <v>45828</v>
      </c>
      <c r="C1463" s="5">
        <v>20</v>
      </c>
      <c r="D1463" s="9" t="s">
        <v>12</v>
      </c>
      <c r="E1463" s="10">
        <v>125</v>
      </c>
      <c r="F1463" s="10">
        <f t="shared" si="22"/>
        <v>2500</v>
      </c>
    </row>
    <row r="1464" spans="1:6" s="9" customFormat="1" x14ac:dyDescent="0.25">
      <c r="B1464" s="4"/>
      <c r="C1464" s="5">
        <v>20</v>
      </c>
      <c r="D1464" s="9" t="s">
        <v>13</v>
      </c>
      <c r="E1464" s="10">
        <v>140</v>
      </c>
      <c r="F1464" s="10">
        <f t="shared" si="22"/>
        <v>2800</v>
      </c>
    </row>
    <row r="1465" spans="1:6" s="9" customFormat="1" x14ac:dyDescent="0.25">
      <c r="B1465" s="4"/>
      <c r="C1465" s="5">
        <v>20</v>
      </c>
      <c r="D1465" s="9" t="s">
        <v>22</v>
      </c>
      <c r="E1465" s="10">
        <v>95</v>
      </c>
      <c r="F1465" s="10">
        <f t="shared" si="22"/>
        <v>1900</v>
      </c>
    </row>
    <row r="1466" spans="1:6" s="9" customFormat="1" x14ac:dyDescent="0.25">
      <c r="B1466" s="4"/>
      <c r="C1466" s="5">
        <v>10</v>
      </c>
      <c r="D1466" s="9" t="s">
        <v>8</v>
      </c>
      <c r="E1466" s="10">
        <v>160</v>
      </c>
      <c r="F1466" s="10">
        <f t="shared" si="22"/>
        <v>1600</v>
      </c>
    </row>
    <row r="1467" spans="1:6" s="9" customFormat="1" x14ac:dyDescent="0.25">
      <c r="B1467" s="4"/>
      <c r="C1467" s="5"/>
      <c r="E1467" s="10"/>
      <c r="F1467" s="8">
        <f>SUM(F1463:F1466)</f>
        <v>8800</v>
      </c>
    </row>
    <row r="1468" spans="1:6" s="9" customFormat="1" x14ac:dyDescent="0.25">
      <c r="B1468" s="4"/>
      <c r="C1468" s="5"/>
      <c r="E1468" s="10"/>
      <c r="F1468" s="10"/>
    </row>
    <row r="1469" spans="1:6" s="9" customFormat="1" x14ac:dyDescent="0.25">
      <c r="A1469" s="9" t="s">
        <v>80</v>
      </c>
      <c r="B1469" s="4">
        <v>45828</v>
      </c>
      <c r="C1469" s="5">
        <v>10</v>
      </c>
      <c r="D1469" s="9" t="s">
        <v>13</v>
      </c>
      <c r="E1469" s="10">
        <v>140</v>
      </c>
      <c r="F1469" s="10">
        <f t="shared" si="22"/>
        <v>1400</v>
      </c>
    </row>
    <row r="1470" spans="1:6" s="9" customFormat="1" x14ac:dyDescent="0.25">
      <c r="B1470" s="4"/>
      <c r="C1470" s="5"/>
      <c r="E1470" s="10"/>
      <c r="F1470" s="8">
        <f>SUM(F1469)</f>
        <v>1400</v>
      </c>
    </row>
    <row r="1471" spans="1:6" s="9" customFormat="1" x14ac:dyDescent="0.25">
      <c r="B1471" s="4"/>
      <c r="C1471" s="5"/>
      <c r="E1471" s="10"/>
      <c r="F1471" s="10"/>
    </row>
    <row r="1472" spans="1:6" s="9" customFormat="1" x14ac:dyDescent="0.25">
      <c r="A1472" s="9" t="s">
        <v>58</v>
      </c>
      <c r="B1472" s="4">
        <v>45828</v>
      </c>
      <c r="C1472" s="5">
        <v>12</v>
      </c>
      <c r="D1472" s="9" t="s">
        <v>13</v>
      </c>
      <c r="E1472" s="10">
        <v>140</v>
      </c>
      <c r="F1472" s="10">
        <f t="shared" si="22"/>
        <v>1680</v>
      </c>
    </row>
    <row r="1473" spans="1:6" s="9" customFormat="1" x14ac:dyDescent="0.25">
      <c r="B1473" s="4"/>
      <c r="C1473" s="5"/>
      <c r="E1473" s="10"/>
      <c r="F1473" s="8">
        <f>SUM(F1472)</f>
        <v>1680</v>
      </c>
    </row>
    <row r="1474" spans="1:6" s="9" customFormat="1" x14ac:dyDescent="0.25">
      <c r="B1474" s="4"/>
      <c r="C1474" s="5"/>
      <c r="E1474" s="10"/>
      <c r="F1474" s="10"/>
    </row>
    <row r="1475" spans="1:6" s="9" customFormat="1" x14ac:dyDescent="0.25">
      <c r="A1475" s="9" t="s">
        <v>7</v>
      </c>
      <c r="B1475" s="4">
        <v>45828</v>
      </c>
      <c r="C1475" s="5">
        <v>2</v>
      </c>
      <c r="D1475" s="9" t="s">
        <v>13</v>
      </c>
      <c r="E1475" s="10">
        <v>140</v>
      </c>
      <c r="F1475" s="10">
        <f t="shared" si="22"/>
        <v>280</v>
      </c>
    </row>
    <row r="1476" spans="1:6" s="9" customFormat="1" x14ac:dyDescent="0.25">
      <c r="B1476" s="4"/>
      <c r="C1476" s="5"/>
      <c r="E1476" s="10"/>
      <c r="F1476" s="8">
        <f>SUM(F1475)</f>
        <v>280</v>
      </c>
    </row>
    <row r="1477" spans="1:6" s="9" customFormat="1" x14ac:dyDescent="0.25">
      <c r="B1477" s="4"/>
      <c r="C1477" s="5"/>
      <c r="E1477" s="10"/>
      <c r="F1477" s="10"/>
    </row>
    <row r="1478" spans="1:6" s="9" customFormat="1" x14ac:dyDescent="0.25">
      <c r="A1478" s="9" t="s">
        <v>722</v>
      </c>
      <c r="B1478" s="4">
        <v>45828</v>
      </c>
      <c r="C1478" s="5">
        <v>5</v>
      </c>
      <c r="D1478" s="9" t="s">
        <v>13</v>
      </c>
      <c r="E1478" s="10">
        <v>130</v>
      </c>
      <c r="F1478" s="10">
        <f t="shared" si="22"/>
        <v>650</v>
      </c>
    </row>
    <row r="1479" spans="1:6" s="9" customFormat="1" x14ac:dyDescent="0.25">
      <c r="B1479" s="4"/>
      <c r="C1479" s="5"/>
      <c r="E1479" s="10"/>
      <c r="F1479" s="8">
        <f>SUM(F1478)</f>
        <v>650</v>
      </c>
    </row>
    <row r="1480" spans="1:6" s="9" customFormat="1" x14ac:dyDescent="0.25">
      <c r="B1480" s="4"/>
      <c r="C1480" s="5"/>
      <c r="E1480" s="10"/>
      <c r="F1480" s="10"/>
    </row>
    <row r="1481" spans="1:6" s="9" customFormat="1" x14ac:dyDescent="0.25">
      <c r="A1481" s="9" t="s">
        <v>41</v>
      </c>
      <c r="B1481" s="4">
        <v>45828</v>
      </c>
      <c r="C1481" s="5">
        <v>40</v>
      </c>
      <c r="D1481" s="9" t="s">
        <v>14</v>
      </c>
      <c r="E1481" s="10">
        <v>130</v>
      </c>
      <c r="F1481" s="10">
        <f t="shared" si="22"/>
        <v>5200</v>
      </c>
    </row>
    <row r="1482" spans="1:6" s="9" customFormat="1" x14ac:dyDescent="0.25">
      <c r="B1482" s="4"/>
      <c r="C1482" s="5"/>
      <c r="E1482" s="10"/>
      <c r="F1482" s="8">
        <f>SUM(F1481)</f>
        <v>5200</v>
      </c>
    </row>
    <row r="1483" spans="1:6" s="9" customFormat="1" x14ac:dyDescent="0.25">
      <c r="B1483" s="4"/>
      <c r="C1483" s="5"/>
      <c r="E1483" s="10"/>
      <c r="F1483" s="10"/>
    </row>
    <row r="1484" spans="1:6" s="9" customFormat="1" x14ac:dyDescent="0.25">
      <c r="A1484" s="9" t="s">
        <v>106</v>
      </c>
      <c r="B1484" s="4">
        <v>45828</v>
      </c>
      <c r="C1484" s="5">
        <v>10</v>
      </c>
      <c r="D1484" s="9" t="s">
        <v>13</v>
      </c>
      <c r="E1484" s="10">
        <v>140</v>
      </c>
      <c r="F1484" s="10">
        <f t="shared" si="22"/>
        <v>1400</v>
      </c>
    </row>
    <row r="1485" spans="1:6" s="9" customFormat="1" x14ac:dyDescent="0.25">
      <c r="B1485" s="4"/>
      <c r="C1485" s="5">
        <v>50</v>
      </c>
      <c r="D1485" s="9" t="s">
        <v>12</v>
      </c>
      <c r="E1485" s="10">
        <v>125</v>
      </c>
      <c r="F1485" s="10">
        <f t="shared" si="22"/>
        <v>6250</v>
      </c>
    </row>
    <row r="1486" spans="1:6" s="9" customFormat="1" x14ac:dyDescent="0.25">
      <c r="B1486" s="4"/>
      <c r="C1486" s="5"/>
      <c r="E1486" s="10"/>
      <c r="F1486" s="8">
        <f>SUM(F1484:F1485)</f>
        <v>7650</v>
      </c>
    </row>
    <row r="1487" spans="1:6" s="9" customFormat="1" x14ac:dyDescent="0.25">
      <c r="B1487" s="4"/>
      <c r="C1487" s="5"/>
      <c r="E1487" s="10"/>
      <c r="F1487" s="10"/>
    </row>
    <row r="1488" spans="1:6" s="9" customFormat="1" x14ac:dyDescent="0.25">
      <c r="A1488" s="9" t="s">
        <v>43</v>
      </c>
      <c r="B1488" s="4">
        <v>45828</v>
      </c>
      <c r="C1488" s="5">
        <v>41</v>
      </c>
      <c r="D1488" s="9" t="s">
        <v>49</v>
      </c>
      <c r="E1488" s="10">
        <v>135</v>
      </c>
      <c r="F1488" s="10">
        <f t="shared" si="22"/>
        <v>5535</v>
      </c>
    </row>
    <row r="1489" spans="1:6" s="9" customFormat="1" x14ac:dyDescent="0.25">
      <c r="B1489" s="4"/>
      <c r="C1489" s="5"/>
      <c r="E1489" s="10"/>
      <c r="F1489" s="8">
        <f>SUM(F1488)</f>
        <v>5535</v>
      </c>
    </row>
    <row r="1490" spans="1:6" s="9" customFormat="1" x14ac:dyDescent="0.25">
      <c r="B1490" s="4"/>
      <c r="C1490" s="5"/>
      <c r="E1490" s="10"/>
      <c r="F1490" s="10"/>
    </row>
    <row r="1491" spans="1:6" s="9" customFormat="1" x14ac:dyDescent="0.25">
      <c r="A1491" s="9" t="s">
        <v>85</v>
      </c>
      <c r="B1491" s="4">
        <v>45828</v>
      </c>
      <c r="C1491" s="5">
        <v>70</v>
      </c>
      <c r="D1491" s="9" t="s">
        <v>14</v>
      </c>
      <c r="E1491" s="10">
        <v>130</v>
      </c>
      <c r="F1491" s="10">
        <f t="shared" ref="F1491:F1550" si="23">+C1491*E1491</f>
        <v>9100</v>
      </c>
    </row>
    <row r="1492" spans="1:6" s="9" customFormat="1" x14ac:dyDescent="0.25">
      <c r="B1492" s="4"/>
      <c r="C1492" s="5"/>
      <c r="E1492" s="10"/>
      <c r="F1492" s="8">
        <f>SUM(F1491)</f>
        <v>9100</v>
      </c>
    </row>
    <row r="1493" spans="1:6" s="9" customFormat="1" x14ac:dyDescent="0.25">
      <c r="B1493" s="4"/>
      <c r="C1493" s="5"/>
      <c r="E1493" s="10"/>
      <c r="F1493" s="10"/>
    </row>
    <row r="1494" spans="1:6" s="9" customFormat="1" x14ac:dyDescent="0.25">
      <c r="A1494" s="9" t="s">
        <v>18</v>
      </c>
      <c r="B1494" s="4">
        <v>45828</v>
      </c>
      <c r="C1494" s="5">
        <v>40</v>
      </c>
      <c r="D1494" s="9" t="s">
        <v>14</v>
      </c>
      <c r="E1494" s="10">
        <v>130</v>
      </c>
      <c r="F1494" s="10">
        <f t="shared" si="23"/>
        <v>5200</v>
      </c>
    </row>
    <row r="1495" spans="1:6" s="9" customFormat="1" x14ac:dyDescent="0.25">
      <c r="B1495" s="4"/>
      <c r="C1495" s="5">
        <v>10</v>
      </c>
      <c r="D1495" s="9" t="s">
        <v>13</v>
      </c>
      <c r="E1495" s="10">
        <v>140</v>
      </c>
      <c r="F1495" s="10">
        <f t="shared" si="23"/>
        <v>1400</v>
      </c>
    </row>
    <row r="1496" spans="1:6" s="9" customFormat="1" x14ac:dyDescent="0.25">
      <c r="B1496" s="4"/>
      <c r="C1496" s="5"/>
      <c r="E1496" s="10"/>
      <c r="F1496" s="8">
        <f>SUM(F1494:F1495)</f>
        <v>6600</v>
      </c>
    </row>
    <row r="1497" spans="1:6" s="9" customFormat="1" x14ac:dyDescent="0.25">
      <c r="B1497" s="4"/>
      <c r="C1497" s="5"/>
      <c r="E1497" s="10"/>
      <c r="F1497" s="10"/>
    </row>
    <row r="1498" spans="1:6" s="9" customFormat="1" x14ac:dyDescent="0.25">
      <c r="A1498" s="9" t="s">
        <v>46</v>
      </c>
      <c r="B1498" s="4">
        <v>45828</v>
      </c>
      <c r="C1498" s="5">
        <v>20</v>
      </c>
      <c r="D1498" s="9" t="s">
        <v>14</v>
      </c>
      <c r="E1498" s="10">
        <v>130</v>
      </c>
      <c r="F1498" s="10">
        <f t="shared" si="23"/>
        <v>2600</v>
      </c>
    </row>
    <row r="1499" spans="1:6" s="9" customFormat="1" x14ac:dyDescent="0.25">
      <c r="B1499" s="4"/>
      <c r="C1499" s="5"/>
      <c r="E1499" s="10"/>
      <c r="F1499" s="8">
        <f>SUM(F1498)</f>
        <v>2600</v>
      </c>
    </row>
    <row r="1500" spans="1:6" s="9" customFormat="1" x14ac:dyDescent="0.25">
      <c r="B1500" s="4"/>
      <c r="C1500" s="5"/>
      <c r="E1500" s="10"/>
      <c r="F1500" s="10"/>
    </row>
    <row r="1501" spans="1:6" s="9" customFormat="1" x14ac:dyDescent="0.25">
      <c r="A1501" s="9" t="s">
        <v>145</v>
      </c>
      <c r="B1501" s="4">
        <v>45828</v>
      </c>
      <c r="C1501" s="5">
        <v>70</v>
      </c>
      <c r="D1501" s="9" t="s">
        <v>14</v>
      </c>
      <c r="E1501" s="10">
        <v>130</v>
      </c>
      <c r="F1501" s="10">
        <f t="shared" si="23"/>
        <v>9100</v>
      </c>
    </row>
    <row r="1502" spans="1:6" s="9" customFormat="1" x14ac:dyDescent="0.25">
      <c r="B1502" s="4"/>
      <c r="C1502" s="5"/>
      <c r="E1502" s="10"/>
      <c r="F1502" s="8">
        <f>SUM(F1501)</f>
        <v>9100</v>
      </c>
    </row>
    <row r="1503" spans="1:6" s="9" customFormat="1" x14ac:dyDescent="0.25">
      <c r="B1503" s="4"/>
      <c r="C1503" s="5"/>
      <c r="E1503" s="10"/>
      <c r="F1503" s="10"/>
    </row>
    <row r="1504" spans="1:6" s="9" customFormat="1" x14ac:dyDescent="0.25">
      <c r="A1504" s="9" t="s">
        <v>47</v>
      </c>
      <c r="B1504" s="4">
        <v>45828</v>
      </c>
      <c r="C1504" s="5">
        <v>14</v>
      </c>
      <c r="D1504" s="9" t="s">
        <v>14</v>
      </c>
      <c r="E1504" s="10">
        <v>130</v>
      </c>
      <c r="F1504" s="10">
        <f t="shared" si="23"/>
        <v>1820</v>
      </c>
    </row>
    <row r="1505" spans="1:6" s="9" customFormat="1" x14ac:dyDescent="0.25">
      <c r="B1505" s="4"/>
      <c r="C1505" s="5"/>
      <c r="E1505" s="10"/>
      <c r="F1505" s="8">
        <f>SUM(F1504)</f>
        <v>1820</v>
      </c>
    </row>
    <row r="1506" spans="1:6" s="9" customFormat="1" x14ac:dyDescent="0.25">
      <c r="B1506" s="4"/>
      <c r="C1506" s="5"/>
      <c r="E1506" s="10"/>
      <c r="F1506" s="10"/>
    </row>
    <row r="1507" spans="1:6" s="9" customFormat="1" x14ac:dyDescent="0.25">
      <c r="A1507" s="9" t="s">
        <v>42</v>
      </c>
      <c r="B1507" s="4">
        <v>45828</v>
      </c>
      <c r="C1507" s="5">
        <v>10</v>
      </c>
      <c r="D1507" s="9" t="s">
        <v>14</v>
      </c>
      <c r="E1507" s="10">
        <v>130</v>
      </c>
      <c r="F1507" s="10">
        <f t="shared" si="23"/>
        <v>1300</v>
      </c>
    </row>
    <row r="1508" spans="1:6" s="9" customFormat="1" x14ac:dyDescent="0.25">
      <c r="B1508" s="4"/>
      <c r="C1508" s="5"/>
      <c r="E1508" s="10"/>
      <c r="F1508" s="8">
        <f>SUM(F1507)</f>
        <v>1300</v>
      </c>
    </row>
    <row r="1509" spans="1:6" s="9" customFormat="1" x14ac:dyDescent="0.25">
      <c r="B1509" s="4"/>
      <c r="C1509" s="5"/>
      <c r="E1509" s="10"/>
      <c r="F1509" s="10"/>
    </row>
    <row r="1510" spans="1:6" s="9" customFormat="1" x14ac:dyDescent="0.25">
      <c r="A1510" s="9" t="s">
        <v>48</v>
      </c>
      <c r="B1510" s="4">
        <v>45828</v>
      </c>
      <c r="C1510" s="5">
        <v>34</v>
      </c>
      <c r="D1510" s="9" t="s">
        <v>49</v>
      </c>
      <c r="E1510" s="10"/>
      <c r="F1510" s="10">
        <f t="shared" si="23"/>
        <v>0</v>
      </c>
    </row>
    <row r="1511" spans="1:6" s="9" customFormat="1" x14ac:dyDescent="0.25">
      <c r="B1511" s="4"/>
      <c r="C1511" s="5">
        <v>516</v>
      </c>
      <c r="D1511" s="9" t="s">
        <v>14</v>
      </c>
      <c r="E1511" s="10"/>
      <c r="F1511" s="10">
        <f t="shared" si="23"/>
        <v>0</v>
      </c>
    </row>
    <row r="1512" spans="1:6" s="9" customFormat="1" x14ac:dyDescent="0.25">
      <c r="B1512" s="4"/>
      <c r="C1512" s="5">
        <v>192</v>
      </c>
      <c r="D1512" s="9" t="s">
        <v>11</v>
      </c>
      <c r="E1512" s="10"/>
      <c r="F1512" s="10">
        <f t="shared" si="23"/>
        <v>0</v>
      </c>
    </row>
    <row r="1513" spans="1:6" s="9" customFormat="1" x14ac:dyDescent="0.25">
      <c r="B1513" s="4"/>
      <c r="C1513" s="5">
        <v>42</v>
      </c>
      <c r="D1513" s="9" t="s">
        <v>50</v>
      </c>
      <c r="E1513" s="10"/>
      <c r="F1513" s="10">
        <f t="shared" si="23"/>
        <v>0</v>
      </c>
    </row>
    <row r="1514" spans="1:6" s="9" customFormat="1" x14ac:dyDescent="0.25">
      <c r="B1514" s="4"/>
      <c r="C1514" s="5"/>
      <c r="E1514" s="10"/>
      <c r="F1514" s="8">
        <f>SUM(F1510:F1513)</f>
        <v>0</v>
      </c>
    </row>
    <row r="1515" spans="1:6" s="9" customFormat="1" x14ac:dyDescent="0.25">
      <c r="B1515" s="4"/>
      <c r="C1515" s="5"/>
      <c r="E1515" s="10"/>
      <c r="F1515" s="10"/>
    </row>
    <row r="1516" spans="1:6" s="9" customFormat="1" x14ac:dyDescent="0.25">
      <c r="A1516" s="9" t="s">
        <v>101</v>
      </c>
      <c r="B1516" s="4">
        <v>45828</v>
      </c>
      <c r="C1516" s="5">
        <v>1</v>
      </c>
      <c r="D1516" s="9" t="s">
        <v>49</v>
      </c>
      <c r="E1516" s="10">
        <v>170</v>
      </c>
      <c r="F1516" s="10">
        <f t="shared" si="23"/>
        <v>170</v>
      </c>
    </row>
    <row r="1517" spans="1:6" s="9" customFormat="1" x14ac:dyDescent="0.25">
      <c r="B1517" s="4"/>
      <c r="C1517" s="5">
        <v>1</v>
      </c>
      <c r="D1517" s="9" t="s">
        <v>723</v>
      </c>
      <c r="E1517" s="10">
        <v>100</v>
      </c>
      <c r="F1517" s="10">
        <f t="shared" si="23"/>
        <v>100</v>
      </c>
    </row>
    <row r="1518" spans="1:6" s="9" customFormat="1" x14ac:dyDescent="0.25">
      <c r="B1518" s="4"/>
      <c r="C1518" s="5">
        <v>1</v>
      </c>
      <c r="D1518" s="9" t="s">
        <v>8</v>
      </c>
      <c r="E1518" s="10">
        <v>170</v>
      </c>
      <c r="F1518" s="10">
        <f t="shared" si="23"/>
        <v>170</v>
      </c>
    </row>
    <row r="1519" spans="1:6" s="9" customFormat="1" x14ac:dyDescent="0.25">
      <c r="B1519" s="4"/>
      <c r="C1519" s="5">
        <v>3</v>
      </c>
      <c r="D1519" s="9" t="s">
        <v>75</v>
      </c>
      <c r="E1519" s="10">
        <v>150</v>
      </c>
      <c r="F1519" s="10">
        <f t="shared" si="23"/>
        <v>450</v>
      </c>
    </row>
    <row r="1520" spans="1:6" s="9" customFormat="1" x14ac:dyDescent="0.25">
      <c r="B1520" s="4"/>
      <c r="C1520" s="5"/>
      <c r="E1520" s="10"/>
      <c r="F1520" s="8">
        <f>SUM(F1516:F1519)</f>
        <v>890</v>
      </c>
    </row>
    <row r="1521" spans="1:6" s="9" customFormat="1" x14ac:dyDescent="0.25">
      <c r="B1521" s="4"/>
      <c r="C1521" s="5"/>
      <c r="E1521" s="10"/>
      <c r="F1521" s="10"/>
    </row>
    <row r="1522" spans="1:6" s="9" customFormat="1" x14ac:dyDescent="0.25">
      <c r="A1522" s="9" t="s">
        <v>7</v>
      </c>
      <c r="B1522" s="4">
        <v>45828</v>
      </c>
      <c r="C1522" s="5">
        <v>1</v>
      </c>
      <c r="D1522" s="9" t="s">
        <v>8</v>
      </c>
      <c r="E1522" s="10">
        <v>170</v>
      </c>
      <c r="F1522" s="10">
        <f t="shared" si="23"/>
        <v>170</v>
      </c>
    </row>
    <row r="1523" spans="1:6" s="9" customFormat="1" x14ac:dyDescent="0.25">
      <c r="B1523" s="4"/>
      <c r="C1523" s="5">
        <v>1</v>
      </c>
      <c r="D1523" s="9" t="s">
        <v>8</v>
      </c>
      <c r="E1523" s="10">
        <v>170</v>
      </c>
      <c r="F1523" s="10">
        <f t="shared" si="23"/>
        <v>170</v>
      </c>
    </row>
    <row r="1524" spans="1:6" s="9" customFormat="1" x14ac:dyDescent="0.25">
      <c r="B1524" s="4"/>
      <c r="C1524" s="5"/>
      <c r="E1524" s="10"/>
      <c r="F1524" s="8">
        <f>SUM(F1522:F1523)</f>
        <v>340</v>
      </c>
    </row>
    <row r="1525" spans="1:6" s="9" customFormat="1" x14ac:dyDescent="0.25">
      <c r="B1525" s="4"/>
      <c r="C1525" s="5"/>
      <c r="E1525" s="10"/>
      <c r="F1525" s="10"/>
    </row>
    <row r="1526" spans="1:6" s="9" customFormat="1" x14ac:dyDescent="0.25">
      <c r="A1526" s="9" t="s">
        <v>724</v>
      </c>
      <c r="B1526" s="4">
        <v>45829</v>
      </c>
      <c r="C1526" s="5">
        <v>5</v>
      </c>
      <c r="D1526" s="9" t="s">
        <v>98</v>
      </c>
      <c r="E1526" s="10">
        <v>100</v>
      </c>
      <c r="F1526" s="10">
        <f t="shared" si="23"/>
        <v>500</v>
      </c>
    </row>
    <row r="1527" spans="1:6" s="9" customFormat="1" x14ac:dyDescent="0.25">
      <c r="B1527" s="4"/>
      <c r="C1527" s="5"/>
      <c r="E1527" s="10"/>
      <c r="F1527" s="8">
        <f>SUM(F1526)</f>
        <v>500</v>
      </c>
    </row>
    <row r="1528" spans="1:6" s="9" customFormat="1" x14ac:dyDescent="0.25">
      <c r="B1528" s="4"/>
      <c r="C1528" s="5"/>
      <c r="E1528" s="10"/>
      <c r="F1528" s="10"/>
    </row>
    <row r="1529" spans="1:6" s="9" customFormat="1" x14ac:dyDescent="0.25">
      <c r="A1529" s="9" t="s">
        <v>69</v>
      </c>
      <c r="B1529" s="4">
        <v>45829</v>
      </c>
      <c r="C1529" s="5">
        <v>10</v>
      </c>
      <c r="D1529" s="9" t="s">
        <v>98</v>
      </c>
      <c r="E1529" s="10">
        <v>100</v>
      </c>
      <c r="F1529" s="10">
        <f t="shared" si="23"/>
        <v>1000</v>
      </c>
    </row>
    <row r="1530" spans="1:6" s="9" customFormat="1" x14ac:dyDescent="0.25">
      <c r="B1530" s="4"/>
      <c r="C1530" s="5"/>
      <c r="E1530" s="10"/>
      <c r="F1530" s="8">
        <f>SUM(F1529)</f>
        <v>1000</v>
      </c>
    </row>
    <row r="1531" spans="1:6" s="9" customFormat="1" x14ac:dyDescent="0.25">
      <c r="B1531" s="4"/>
      <c r="C1531" s="5"/>
      <c r="E1531" s="10"/>
      <c r="F1531" s="10"/>
    </row>
    <row r="1532" spans="1:6" s="9" customFormat="1" x14ac:dyDescent="0.25">
      <c r="A1532" s="9" t="s">
        <v>442</v>
      </c>
      <c r="B1532" s="4">
        <v>45829</v>
      </c>
      <c r="C1532" s="5">
        <v>25</v>
      </c>
      <c r="D1532" s="9" t="s">
        <v>13</v>
      </c>
      <c r="E1532" s="10">
        <v>140</v>
      </c>
      <c r="F1532" s="10">
        <f t="shared" si="23"/>
        <v>3500</v>
      </c>
    </row>
    <row r="1533" spans="1:6" s="9" customFormat="1" x14ac:dyDescent="0.25">
      <c r="B1533" s="4"/>
      <c r="C1533" s="5"/>
      <c r="E1533" s="10"/>
      <c r="F1533" s="8">
        <f>SUM(F1532)</f>
        <v>3500</v>
      </c>
    </row>
    <row r="1534" spans="1:6" s="9" customFormat="1" x14ac:dyDescent="0.25">
      <c r="B1534" s="4"/>
      <c r="C1534" s="5"/>
      <c r="E1534" s="10"/>
      <c r="F1534" s="10"/>
    </row>
    <row r="1535" spans="1:6" s="9" customFormat="1" x14ac:dyDescent="0.25">
      <c r="A1535" s="9" t="s">
        <v>427</v>
      </c>
      <c r="B1535" s="4">
        <v>45829</v>
      </c>
      <c r="C1535" s="5">
        <v>10</v>
      </c>
      <c r="D1535" s="9" t="s">
        <v>14</v>
      </c>
      <c r="E1535" s="10">
        <v>130</v>
      </c>
      <c r="F1535" s="10">
        <f t="shared" si="23"/>
        <v>1300</v>
      </c>
    </row>
    <row r="1536" spans="1:6" s="9" customFormat="1" x14ac:dyDescent="0.25">
      <c r="B1536" s="4"/>
      <c r="C1536" s="5"/>
      <c r="E1536" s="10"/>
      <c r="F1536" s="8">
        <f>SUM(F1535)</f>
        <v>1300</v>
      </c>
    </row>
    <row r="1537" spans="1:6" s="9" customFormat="1" x14ac:dyDescent="0.25">
      <c r="B1537" s="4"/>
      <c r="C1537" s="5"/>
      <c r="E1537" s="10"/>
      <c r="F1537" s="10"/>
    </row>
    <row r="1538" spans="1:6" s="9" customFormat="1" x14ac:dyDescent="0.25">
      <c r="A1538" s="9" t="s">
        <v>20</v>
      </c>
      <c r="B1538" s="4">
        <v>45829</v>
      </c>
      <c r="C1538" s="5">
        <v>20</v>
      </c>
      <c r="D1538" s="9" t="s">
        <v>13</v>
      </c>
      <c r="E1538" s="10">
        <v>140</v>
      </c>
      <c r="F1538" s="10">
        <f t="shared" si="23"/>
        <v>2800</v>
      </c>
    </row>
    <row r="1539" spans="1:6" s="9" customFormat="1" x14ac:dyDescent="0.25">
      <c r="B1539" s="4"/>
      <c r="C1539" s="5"/>
      <c r="E1539" s="10"/>
      <c r="F1539" s="8">
        <f>SUM(F1538)</f>
        <v>2800</v>
      </c>
    </row>
    <row r="1540" spans="1:6" s="9" customFormat="1" x14ac:dyDescent="0.25">
      <c r="B1540" s="4"/>
      <c r="C1540" s="5"/>
      <c r="E1540" s="10"/>
      <c r="F1540" s="10"/>
    </row>
    <row r="1541" spans="1:6" s="9" customFormat="1" x14ac:dyDescent="0.25">
      <c r="A1541" s="9" t="s">
        <v>673</v>
      </c>
      <c r="B1541" s="4">
        <v>45829</v>
      </c>
      <c r="C1541" s="5">
        <v>22</v>
      </c>
      <c r="D1541" s="9" t="s">
        <v>13</v>
      </c>
      <c r="E1541" s="10">
        <v>140</v>
      </c>
      <c r="F1541" s="10">
        <f t="shared" si="23"/>
        <v>3080</v>
      </c>
    </row>
    <row r="1542" spans="1:6" s="9" customFormat="1" x14ac:dyDescent="0.25">
      <c r="B1542" s="4"/>
      <c r="C1542" s="5">
        <v>10</v>
      </c>
      <c r="D1542" s="9" t="s">
        <v>725</v>
      </c>
      <c r="E1542" s="10">
        <v>95</v>
      </c>
      <c r="F1542" s="10">
        <f t="shared" si="23"/>
        <v>950</v>
      </c>
    </row>
    <row r="1543" spans="1:6" s="9" customFormat="1" x14ac:dyDescent="0.25">
      <c r="B1543" s="4"/>
      <c r="C1543" s="5"/>
      <c r="E1543" s="10"/>
      <c r="F1543" s="8">
        <f>SUM(F1541:F1542)</f>
        <v>4030</v>
      </c>
    </row>
    <row r="1544" spans="1:6" s="9" customFormat="1" x14ac:dyDescent="0.25">
      <c r="B1544" s="4"/>
      <c r="C1544" s="5"/>
      <c r="E1544" s="10"/>
      <c r="F1544" s="10"/>
    </row>
    <row r="1545" spans="1:6" s="9" customFormat="1" x14ac:dyDescent="0.25">
      <c r="A1545" s="9" t="s">
        <v>726</v>
      </c>
      <c r="B1545" s="4">
        <v>45829</v>
      </c>
      <c r="C1545" s="5">
        <v>15</v>
      </c>
      <c r="D1545" s="9" t="s">
        <v>14</v>
      </c>
      <c r="E1545" s="10">
        <v>130</v>
      </c>
      <c r="F1545" s="10">
        <f t="shared" si="23"/>
        <v>1950</v>
      </c>
    </row>
    <row r="1546" spans="1:6" s="9" customFormat="1" x14ac:dyDescent="0.25">
      <c r="B1546" s="4"/>
      <c r="C1546" s="5">
        <v>15</v>
      </c>
      <c r="D1546" s="9" t="s">
        <v>13</v>
      </c>
      <c r="E1546" s="10">
        <v>140</v>
      </c>
      <c r="F1546" s="10">
        <f t="shared" si="23"/>
        <v>2100</v>
      </c>
    </row>
    <row r="1547" spans="1:6" s="9" customFormat="1" x14ac:dyDescent="0.25">
      <c r="B1547" s="4"/>
      <c r="C1547" s="5"/>
      <c r="E1547" s="10"/>
      <c r="F1547" s="8">
        <f>SUM(F1545:F1546)</f>
        <v>4050</v>
      </c>
    </row>
    <row r="1548" spans="1:6" s="9" customFormat="1" x14ac:dyDescent="0.25">
      <c r="B1548" s="4"/>
      <c r="C1548" s="5"/>
      <c r="E1548" s="10"/>
      <c r="F1548" s="10"/>
    </row>
    <row r="1549" spans="1:6" s="9" customFormat="1" x14ac:dyDescent="0.25">
      <c r="A1549" s="9" t="s">
        <v>25</v>
      </c>
      <c r="B1549" s="4">
        <v>45829</v>
      </c>
      <c r="C1549" s="5">
        <v>20</v>
      </c>
      <c r="D1549" s="9" t="s">
        <v>14</v>
      </c>
      <c r="E1549" s="10">
        <v>130</v>
      </c>
      <c r="F1549" s="10">
        <f t="shared" si="23"/>
        <v>2600</v>
      </c>
    </row>
    <row r="1550" spans="1:6" s="9" customFormat="1" x14ac:dyDescent="0.25">
      <c r="B1550" s="4"/>
      <c r="C1550" s="5">
        <v>20</v>
      </c>
      <c r="D1550" s="9" t="s">
        <v>12</v>
      </c>
      <c r="E1550" s="10">
        <v>125</v>
      </c>
      <c r="F1550" s="10">
        <f t="shared" si="23"/>
        <v>2500</v>
      </c>
    </row>
    <row r="1551" spans="1:6" s="9" customFormat="1" x14ac:dyDescent="0.25">
      <c r="B1551" s="4"/>
      <c r="C1551" s="5"/>
      <c r="E1551" s="10"/>
      <c r="F1551" s="8">
        <f>SUM(F1549:F1550)</f>
        <v>5100</v>
      </c>
    </row>
    <row r="1552" spans="1:6" s="9" customFormat="1" x14ac:dyDescent="0.25">
      <c r="B1552" s="4"/>
      <c r="C1552" s="5"/>
      <c r="E1552" s="10"/>
      <c r="F1552" s="10"/>
    </row>
    <row r="1553" spans="1:6" s="9" customFormat="1" x14ac:dyDescent="0.25">
      <c r="A1553" s="9" t="s">
        <v>40</v>
      </c>
      <c r="B1553" s="4">
        <v>45829</v>
      </c>
      <c r="C1553" s="5">
        <v>13</v>
      </c>
      <c r="D1553" s="9" t="s">
        <v>13</v>
      </c>
      <c r="E1553" s="10">
        <v>140</v>
      </c>
      <c r="F1553" s="10">
        <f t="shared" ref="F1553:F1616" si="24">+C1553*E1553</f>
        <v>1820</v>
      </c>
    </row>
    <row r="1554" spans="1:6" s="9" customFormat="1" x14ac:dyDescent="0.25">
      <c r="B1554" s="4"/>
      <c r="C1554" s="5">
        <v>10</v>
      </c>
      <c r="D1554" s="9" t="s">
        <v>14</v>
      </c>
      <c r="E1554" s="10">
        <v>130</v>
      </c>
      <c r="F1554" s="10">
        <f t="shared" si="24"/>
        <v>1300</v>
      </c>
    </row>
    <row r="1555" spans="1:6" s="9" customFormat="1" x14ac:dyDescent="0.25">
      <c r="B1555" s="4"/>
      <c r="C1555" s="5">
        <v>10</v>
      </c>
      <c r="D1555" s="9" t="s">
        <v>12</v>
      </c>
      <c r="E1555" s="10">
        <v>125</v>
      </c>
      <c r="F1555" s="10">
        <f t="shared" si="24"/>
        <v>1250</v>
      </c>
    </row>
    <row r="1556" spans="1:6" s="9" customFormat="1" x14ac:dyDescent="0.25">
      <c r="B1556" s="4"/>
      <c r="C1556" s="5">
        <v>10</v>
      </c>
      <c r="D1556" s="9" t="s">
        <v>22</v>
      </c>
      <c r="E1556" s="10">
        <v>95</v>
      </c>
      <c r="F1556" s="10">
        <f t="shared" si="24"/>
        <v>950</v>
      </c>
    </row>
    <row r="1557" spans="1:6" s="9" customFormat="1" x14ac:dyDescent="0.25">
      <c r="B1557" s="4"/>
      <c r="C1557" s="5"/>
      <c r="E1557" s="10"/>
      <c r="F1557" s="8">
        <f>SUM(F1553:F1556)</f>
        <v>5320</v>
      </c>
    </row>
    <row r="1558" spans="1:6" s="9" customFormat="1" x14ac:dyDescent="0.25">
      <c r="B1558" s="4"/>
      <c r="C1558" s="5"/>
      <c r="E1558" s="10"/>
      <c r="F1558" s="10"/>
    </row>
    <row r="1559" spans="1:6" s="9" customFormat="1" x14ac:dyDescent="0.25">
      <c r="A1559" s="9" t="s">
        <v>591</v>
      </c>
      <c r="B1559" s="4">
        <v>45829</v>
      </c>
      <c r="C1559" s="5">
        <v>3</v>
      </c>
      <c r="D1559" s="9" t="s">
        <v>13</v>
      </c>
      <c r="E1559" s="10">
        <v>140</v>
      </c>
      <c r="F1559" s="10">
        <f t="shared" si="24"/>
        <v>420</v>
      </c>
    </row>
    <row r="1560" spans="1:6" s="9" customFormat="1" x14ac:dyDescent="0.25">
      <c r="B1560" s="4"/>
      <c r="C1560" s="5"/>
      <c r="E1560" s="10"/>
      <c r="F1560" s="8">
        <f>SUM(F1559)</f>
        <v>420</v>
      </c>
    </row>
    <row r="1561" spans="1:6" s="9" customFormat="1" x14ac:dyDescent="0.25">
      <c r="B1561" s="4"/>
      <c r="C1561" s="5"/>
      <c r="E1561" s="10"/>
      <c r="F1561" s="10"/>
    </row>
    <row r="1562" spans="1:6" s="9" customFormat="1" x14ac:dyDescent="0.25">
      <c r="A1562" s="9" t="s">
        <v>61</v>
      </c>
      <c r="B1562" s="4">
        <v>45829</v>
      </c>
      <c r="C1562" s="5">
        <v>60</v>
      </c>
      <c r="D1562" s="9" t="s">
        <v>13</v>
      </c>
      <c r="E1562" s="10">
        <v>135</v>
      </c>
      <c r="F1562" s="10">
        <f t="shared" si="24"/>
        <v>8100</v>
      </c>
    </row>
    <row r="1563" spans="1:6" s="9" customFormat="1" x14ac:dyDescent="0.25">
      <c r="B1563" s="4"/>
      <c r="C1563" s="5"/>
      <c r="E1563" s="10"/>
      <c r="F1563" s="8">
        <f>SUM(F1562)</f>
        <v>8100</v>
      </c>
    </row>
    <row r="1564" spans="1:6" s="9" customFormat="1" x14ac:dyDescent="0.25">
      <c r="B1564" s="4"/>
      <c r="C1564" s="5"/>
      <c r="E1564" s="10"/>
      <c r="F1564" s="10"/>
    </row>
    <row r="1565" spans="1:6" s="9" customFormat="1" x14ac:dyDescent="0.25">
      <c r="A1565" s="9" t="s">
        <v>112</v>
      </c>
      <c r="B1565" s="4">
        <v>45829</v>
      </c>
      <c r="C1565" s="5">
        <v>50</v>
      </c>
      <c r="D1565" s="9" t="s">
        <v>22</v>
      </c>
      <c r="E1565" s="10">
        <v>95</v>
      </c>
      <c r="F1565" s="10">
        <f t="shared" si="24"/>
        <v>4750</v>
      </c>
    </row>
    <row r="1566" spans="1:6" s="9" customFormat="1" x14ac:dyDescent="0.25">
      <c r="B1566" s="4"/>
      <c r="C1566" s="5">
        <v>17</v>
      </c>
      <c r="D1566" s="9" t="s">
        <v>727</v>
      </c>
      <c r="E1566" s="10">
        <v>90</v>
      </c>
      <c r="F1566" s="10">
        <f t="shared" si="24"/>
        <v>1530</v>
      </c>
    </row>
    <row r="1567" spans="1:6" s="9" customFormat="1" x14ac:dyDescent="0.25">
      <c r="B1567" s="4"/>
      <c r="C1567" s="5"/>
      <c r="E1567" s="10"/>
      <c r="F1567" s="8">
        <f>SUM(F1565:F1566)</f>
        <v>6280</v>
      </c>
    </row>
    <row r="1568" spans="1:6" s="9" customFormat="1" x14ac:dyDescent="0.25">
      <c r="B1568" s="4"/>
      <c r="C1568" s="5"/>
      <c r="E1568" s="10"/>
      <c r="F1568" s="10"/>
    </row>
    <row r="1569" spans="1:6" s="9" customFormat="1" x14ac:dyDescent="0.25">
      <c r="A1569" s="9" t="s">
        <v>60</v>
      </c>
      <c r="B1569" s="4">
        <v>45829</v>
      </c>
      <c r="C1569" s="5">
        <v>20</v>
      </c>
      <c r="D1569" s="9" t="s">
        <v>13</v>
      </c>
      <c r="E1569" s="10">
        <v>140</v>
      </c>
      <c r="F1569" s="10">
        <f t="shared" si="24"/>
        <v>2800</v>
      </c>
    </row>
    <row r="1570" spans="1:6" s="9" customFormat="1" x14ac:dyDescent="0.25">
      <c r="B1570" s="4"/>
      <c r="C1570" s="5"/>
      <c r="E1570" s="10"/>
      <c r="F1570" s="8">
        <f>SUM(F1569)</f>
        <v>2800</v>
      </c>
    </row>
    <row r="1571" spans="1:6" s="9" customFormat="1" x14ac:dyDescent="0.25">
      <c r="B1571" s="4"/>
      <c r="C1571" s="5"/>
      <c r="E1571" s="10"/>
      <c r="F1571" s="10"/>
    </row>
    <row r="1572" spans="1:6" s="9" customFormat="1" x14ac:dyDescent="0.25">
      <c r="A1572" s="9" t="s">
        <v>27</v>
      </c>
      <c r="B1572" s="4">
        <v>45829</v>
      </c>
      <c r="C1572" s="5">
        <v>5</v>
      </c>
      <c r="D1572" s="9" t="s">
        <v>12</v>
      </c>
      <c r="E1572" s="10">
        <v>135</v>
      </c>
      <c r="F1572" s="10">
        <f t="shared" si="24"/>
        <v>675</v>
      </c>
    </row>
    <row r="1573" spans="1:6" s="9" customFormat="1" x14ac:dyDescent="0.25">
      <c r="B1573" s="4"/>
      <c r="C1573" s="5"/>
      <c r="E1573" s="10"/>
      <c r="F1573" s="8">
        <f>SUM(F1572)</f>
        <v>675</v>
      </c>
    </row>
    <row r="1574" spans="1:6" s="9" customFormat="1" x14ac:dyDescent="0.25">
      <c r="B1574" s="4"/>
      <c r="C1574" s="5"/>
      <c r="E1574" s="10"/>
      <c r="F1574" s="10"/>
    </row>
    <row r="1575" spans="1:6" s="9" customFormat="1" x14ac:dyDescent="0.25">
      <c r="A1575" s="9" t="s">
        <v>7</v>
      </c>
      <c r="B1575" s="4">
        <v>45829</v>
      </c>
      <c r="C1575" s="5">
        <v>5</v>
      </c>
      <c r="D1575" s="9" t="s">
        <v>98</v>
      </c>
      <c r="E1575" s="10">
        <v>100</v>
      </c>
      <c r="F1575" s="10">
        <f t="shared" si="24"/>
        <v>500</v>
      </c>
    </row>
    <row r="1576" spans="1:6" s="9" customFormat="1" x14ac:dyDescent="0.25">
      <c r="B1576" s="4"/>
      <c r="C1576" s="5"/>
      <c r="E1576" s="10"/>
      <c r="F1576" s="8">
        <f>SUM(F1575)</f>
        <v>500</v>
      </c>
    </row>
    <row r="1577" spans="1:6" s="9" customFormat="1" x14ac:dyDescent="0.25">
      <c r="B1577" s="4"/>
      <c r="C1577" s="5"/>
      <c r="E1577" s="10"/>
      <c r="F1577" s="10"/>
    </row>
    <row r="1578" spans="1:6" s="9" customFormat="1" x14ac:dyDescent="0.25">
      <c r="A1578" s="9" t="s">
        <v>259</v>
      </c>
      <c r="B1578" s="4">
        <v>45829</v>
      </c>
      <c r="C1578" s="5">
        <v>10</v>
      </c>
      <c r="D1578" s="9" t="s">
        <v>8</v>
      </c>
      <c r="E1578" s="10">
        <v>160</v>
      </c>
      <c r="F1578" s="10">
        <f t="shared" si="24"/>
        <v>1600</v>
      </c>
    </row>
    <row r="1579" spans="1:6" s="9" customFormat="1" x14ac:dyDescent="0.25">
      <c r="B1579" s="4"/>
      <c r="C1579" s="5"/>
      <c r="E1579" s="10"/>
      <c r="F1579" s="8">
        <f>SUM(F1578)</f>
        <v>1600</v>
      </c>
    </row>
    <row r="1580" spans="1:6" s="9" customFormat="1" x14ac:dyDescent="0.25">
      <c r="B1580" s="4"/>
      <c r="C1580" s="5"/>
      <c r="E1580" s="10"/>
      <c r="F1580" s="10"/>
    </row>
    <row r="1581" spans="1:6" s="9" customFormat="1" x14ac:dyDescent="0.25">
      <c r="A1581" s="9" t="s">
        <v>32</v>
      </c>
      <c r="B1581" s="4">
        <v>45829</v>
      </c>
      <c r="C1581" s="5">
        <v>10</v>
      </c>
      <c r="D1581" s="9" t="s">
        <v>13</v>
      </c>
      <c r="E1581" s="10">
        <v>135</v>
      </c>
      <c r="F1581" s="10">
        <f t="shared" si="24"/>
        <v>1350</v>
      </c>
    </row>
    <row r="1582" spans="1:6" s="9" customFormat="1" x14ac:dyDescent="0.25">
      <c r="B1582" s="4"/>
      <c r="C1582" s="5"/>
      <c r="E1582" s="10"/>
      <c r="F1582" s="8">
        <f>SUM(F1581)</f>
        <v>1350</v>
      </c>
    </row>
    <row r="1583" spans="1:6" s="9" customFormat="1" x14ac:dyDescent="0.25">
      <c r="B1583" s="4"/>
      <c r="C1583" s="5"/>
      <c r="E1583" s="10"/>
      <c r="F1583" s="10"/>
    </row>
    <row r="1584" spans="1:6" s="9" customFormat="1" x14ac:dyDescent="0.25">
      <c r="A1584" s="9" t="s">
        <v>245</v>
      </c>
      <c r="B1584" s="4">
        <v>45829</v>
      </c>
      <c r="C1584" s="5">
        <v>30</v>
      </c>
      <c r="D1584" s="9" t="s">
        <v>13</v>
      </c>
      <c r="E1584" s="10">
        <v>140</v>
      </c>
      <c r="F1584" s="10">
        <f t="shared" si="24"/>
        <v>4200</v>
      </c>
    </row>
    <row r="1585" spans="1:6" s="9" customFormat="1" x14ac:dyDescent="0.25">
      <c r="B1585" s="4"/>
      <c r="C1585" s="5">
        <v>10</v>
      </c>
      <c r="D1585" s="9" t="s">
        <v>14</v>
      </c>
      <c r="E1585" s="10">
        <v>135</v>
      </c>
      <c r="F1585" s="10">
        <f t="shared" si="24"/>
        <v>1350</v>
      </c>
    </row>
    <row r="1586" spans="1:6" s="9" customFormat="1" x14ac:dyDescent="0.25">
      <c r="B1586" s="4"/>
      <c r="C1586" s="5">
        <v>1.02</v>
      </c>
      <c r="E1586" s="10">
        <v>0</v>
      </c>
      <c r="F1586" s="10">
        <f t="shared" si="24"/>
        <v>0</v>
      </c>
    </row>
    <row r="1587" spans="1:6" s="9" customFormat="1" x14ac:dyDescent="0.25">
      <c r="B1587" s="4"/>
      <c r="C1587" s="5"/>
      <c r="E1587" s="10"/>
      <c r="F1587" s="8">
        <f>SUM(F1584:F1586)</f>
        <v>5550</v>
      </c>
    </row>
    <row r="1588" spans="1:6" s="9" customFormat="1" x14ac:dyDescent="0.25">
      <c r="B1588" s="4"/>
      <c r="C1588" s="5"/>
      <c r="E1588" s="10"/>
      <c r="F1588" s="10"/>
    </row>
    <row r="1589" spans="1:6" s="9" customFormat="1" x14ac:dyDescent="0.25">
      <c r="A1589" s="9" t="s">
        <v>32</v>
      </c>
      <c r="B1589" s="4">
        <v>45829</v>
      </c>
      <c r="C1589" s="5">
        <v>20</v>
      </c>
      <c r="D1589" s="9" t="s">
        <v>13</v>
      </c>
      <c r="E1589" s="10">
        <v>135</v>
      </c>
      <c r="F1589" s="10">
        <f t="shared" si="24"/>
        <v>2700</v>
      </c>
    </row>
    <row r="1590" spans="1:6" s="9" customFormat="1" x14ac:dyDescent="0.25">
      <c r="B1590" s="4"/>
      <c r="C1590" s="5"/>
      <c r="E1590" s="10"/>
      <c r="F1590" s="8">
        <f>SUM(F1589)</f>
        <v>2700</v>
      </c>
    </row>
    <row r="1591" spans="1:6" s="9" customFormat="1" x14ac:dyDescent="0.25">
      <c r="B1591" s="4"/>
      <c r="C1591" s="5"/>
      <c r="E1591" s="10"/>
      <c r="F1591" s="10"/>
    </row>
    <row r="1592" spans="1:6" s="9" customFormat="1" x14ac:dyDescent="0.25">
      <c r="A1592" s="9" t="s">
        <v>72</v>
      </c>
      <c r="B1592" s="4">
        <v>45829</v>
      </c>
      <c r="C1592" s="5">
        <v>300</v>
      </c>
      <c r="D1592" s="9" t="s">
        <v>449</v>
      </c>
      <c r="E1592" s="10">
        <v>130</v>
      </c>
      <c r="F1592" s="10">
        <f t="shared" si="24"/>
        <v>39000</v>
      </c>
    </row>
    <row r="1593" spans="1:6" s="9" customFormat="1" x14ac:dyDescent="0.25">
      <c r="B1593" s="4"/>
      <c r="C1593" s="5">
        <v>200</v>
      </c>
      <c r="D1593" s="9" t="s">
        <v>12</v>
      </c>
      <c r="E1593" s="10">
        <v>120</v>
      </c>
      <c r="F1593" s="10">
        <f t="shared" si="24"/>
        <v>24000</v>
      </c>
    </row>
    <row r="1594" spans="1:6" s="9" customFormat="1" x14ac:dyDescent="0.25">
      <c r="B1594" s="4"/>
      <c r="C1594" s="5">
        <v>80</v>
      </c>
      <c r="D1594" s="9" t="s">
        <v>11</v>
      </c>
      <c r="E1594" s="10">
        <v>115</v>
      </c>
      <c r="F1594" s="10">
        <f t="shared" si="24"/>
        <v>9200</v>
      </c>
    </row>
    <row r="1595" spans="1:6" s="9" customFormat="1" x14ac:dyDescent="0.25">
      <c r="B1595" s="4"/>
      <c r="C1595" s="5">
        <v>20</v>
      </c>
      <c r="D1595" s="9" t="s">
        <v>14</v>
      </c>
      <c r="E1595" s="10">
        <v>125</v>
      </c>
      <c r="F1595" s="10">
        <f t="shared" si="24"/>
        <v>2500</v>
      </c>
    </row>
    <row r="1596" spans="1:6" s="9" customFormat="1" x14ac:dyDescent="0.25">
      <c r="B1596" s="4"/>
      <c r="C1596" s="5"/>
      <c r="E1596" s="10"/>
      <c r="F1596" s="8">
        <f>SUM(F1592:F1595)</f>
        <v>74700</v>
      </c>
    </row>
    <row r="1597" spans="1:6" s="9" customFormat="1" x14ac:dyDescent="0.25">
      <c r="B1597" s="4"/>
      <c r="C1597" s="5"/>
      <c r="E1597" s="10"/>
      <c r="F1597" s="10"/>
    </row>
    <row r="1598" spans="1:6" s="9" customFormat="1" x14ac:dyDescent="0.25">
      <c r="A1598" s="9" t="s">
        <v>65</v>
      </c>
      <c r="B1598" s="4">
        <v>45829</v>
      </c>
      <c r="C1598" s="5">
        <v>1400</v>
      </c>
      <c r="D1598" s="9" t="s">
        <v>12</v>
      </c>
      <c r="E1598" s="10">
        <v>120</v>
      </c>
      <c r="F1598" s="10">
        <f t="shared" si="24"/>
        <v>168000</v>
      </c>
    </row>
    <row r="1599" spans="1:6" s="9" customFormat="1" x14ac:dyDescent="0.25">
      <c r="B1599" s="4"/>
      <c r="C1599" s="5">
        <v>400</v>
      </c>
      <c r="D1599" s="9" t="s">
        <v>11</v>
      </c>
      <c r="E1599" s="10">
        <v>115</v>
      </c>
      <c r="F1599" s="10">
        <f t="shared" si="24"/>
        <v>46000</v>
      </c>
    </row>
    <row r="1600" spans="1:6" s="9" customFormat="1" x14ac:dyDescent="0.25">
      <c r="B1600" s="4"/>
      <c r="C1600" s="5">
        <v>400</v>
      </c>
      <c r="D1600" s="9" t="s">
        <v>13</v>
      </c>
      <c r="E1600" s="10">
        <v>130</v>
      </c>
      <c r="F1600" s="10">
        <f t="shared" si="24"/>
        <v>52000</v>
      </c>
    </row>
    <row r="1601" spans="1:6" s="9" customFormat="1" x14ac:dyDescent="0.25">
      <c r="B1601" s="4"/>
      <c r="C1601" s="5">
        <v>100</v>
      </c>
      <c r="D1601" s="9" t="s">
        <v>728</v>
      </c>
      <c r="E1601" s="10">
        <v>95</v>
      </c>
      <c r="F1601" s="10">
        <f t="shared" si="24"/>
        <v>9500</v>
      </c>
    </row>
    <row r="1602" spans="1:6" s="9" customFormat="1" x14ac:dyDescent="0.25">
      <c r="B1602" s="4"/>
      <c r="C1602" s="5"/>
      <c r="E1602" s="10"/>
      <c r="F1602" s="8">
        <f>SUM(F1598:F1601)</f>
        <v>275500</v>
      </c>
    </row>
    <row r="1603" spans="1:6" s="9" customFormat="1" x14ac:dyDescent="0.25">
      <c r="B1603" s="4"/>
      <c r="C1603" s="5"/>
      <c r="E1603" s="10"/>
      <c r="F1603" s="10"/>
    </row>
    <row r="1604" spans="1:6" s="9" customFormat="1" x14ac:dyDescent="0.25">
      <c r="A1604" s="9" t="s">
        <v>76</v>
      </c>
      <c r="B1604" s="4">
        <v>45829</v>
      </c>
      <c r="C1604" s="5">
        <v>120</v>
      </c>
      <c r="D1604" s="9" t="s">
        <v>49</v>
      </c>
      <c r="E1604" s="10"/>
      <c r="F1604" s="10">
        <f t="shared" si="24"/>
        <v>0</v>
      </c>
    </row>
    <row r="1605" spans="1:6" s="9" customFormat="1" x14ac:dyDescent="0.25">
      <c r="B1605" s="4"/>
      <c r="C1605" s="5">
        <v>100</v>
      </c>
      <c r="D1605" s="9" t="s">
        <v>14</v>
      </c>
      <c r="E1605" s="10"/>
      <c r="F1605" s="10">
        <f t="shared" si="24"/>
        <v>0</v>
      </c>
    </row>
    <row r="1606" spans="1:6" s="9" customFormat="1" x14ac:dyDescent="0.25">
      <c r="B1606" s="4"/>
      <c r="C1606" s="5">
        <v>50</v>
      </c>
      <c r="D1606" s="9" t="s">
        <v>11</v>
      </c>
      <c r="E1606" s="10"/>
      <c r="F1606" s="10">
        <f t="shared" si="24"/>
        <v>0</v>
      </c>
    </row>
    <row r="1607" spans="1:6" s="9" customFormat="1" x14ac:dyDescent="0.25">
      <c r="B1607" s="4"/>
      <c r="C1607" s="5"/>
      <c r="E1607" s="10"/>
      <c r="F1607" s="8">
        <f>SUM(F1604:F1606)</f>
        <v>0</v>
      </c>
    </row>
    <row r="1608" spans="1:6" s="9" customFormat="1" x14ac:dyDescent="0.25">
      <c r="B1608" s="4"/>
      <c r="C1608" s="5"/>
      <c r="E1608" s="10"/>
      <c r="F1608" s="10"/>
    </row>
    <row r="1609" spans="1:6" s="9" customFormat="1" x14ac:dyDescent="0.25">
      <c r="A1609" s="9" t="s">
        <v>101</v>
      </c>
      <c r="B1609" s="4">
        <v>45829</v>
      </c>
      <c r="C1609" s="5">
        <v>1</v>
      </c>
      <c r="D1609" s="9" t="s">
        <v>49</v>
      </c>
      <c r="E1609" s="10">
        <v>150</v>
      </c>
      <c r="F1609" s="10">
        <f t="shared" si="24"/>
        <v>150</v>
      </c>
    </row>
    <row r="1610" spans="1:6" s="9" customFormat="1" x14ac:dyDescent="0.25">
      <c r="B1610" s="4"/>
      <c r="C1610" s="5">
        <v>6</v>
      </c>
      <c r="D1610" s="9" t="s">
        <v>9</v>
      </c>
      <c r="E1610" s="10">
        <v>3.3333333333000001</v>
      </c>
      <c r="F1610" s="10">
        <f t="shared" si="24"/>
        <v>19.9999999998</v>
      </c>
    </row>
    <row r="1611" spans="1:6" s="9" customFormat="1" x14ac:dyDescent="0.25">
      <c r="B1611" s="4"/>
      <c r="C1611" s="5">
        <v>1</v>
      </c>
      <c r="D1611" s="9" t="s">
        <v>217</v>
      </c>
      <c r="E1611" s="10">
        <v>170</v>
      </c>
      <c r="F1611" s="10">
        <f t="shared" si="24"/>
        <v>170</v>
      </c>
    </row>
    <row r="1612" spans="1:6" s="9" customFormat="1" x14ac:dyDescent="0.25">
      <c r="B1612" s="4"/>
      <c r="C1612" s="5"/>
      <c r="E1612" s="10"/>
      <c r="F1612" s="8">
        <f>SUM(F1609:F1611)</f>
        <v>339.99999999980002</v>
      </c>
    </row>
    <row r="1613" spans="1:6" s="9" customFormat="1" x14ac:dyDescent="0.25">
      <c r="B1613" s="4"/>
      <c r="C1613" s="5"/>
      <c r="E1613" s="10"/>
      <c r="F1613" s="10"/>
    </row>
    <row r="1614" spans="1:6" s="9" customFormat="1" x14ac:dyDescent="0.25">
      <c r="A1614" s="9" t="s">
        <v>181</v>
      </c>
      <c r="B1614" s="4">
        <v>45829</v>
      </c>
      <c r="C1614" s="5">
        <v>1</v>
      </c>
      <c r="D1614" s="9" t="s">
        <v>8</v>
      </c>
      <c r="E1614" s="10">
        <v>140</v>
      </c>
      <c r="F1614" s="10">
        <f t="shared" si="24"/>
        <v>140</v>
      </c>
    </row>
    <row r="1615" spans="1:6" s="9" customFormat="1" x14ac:dyDescent="0.25">
      <c r="B1615" s="4"/>
      <c r="C1615" s="5">
        <v>3</v>
      </c>
      <c r="D1615" s="9" t="s">
        <v>729</v>
      </c>
      <c r="E1615" s="10">
        <v>140</v>
      </c>
      <c r="F1615" s="10">
        <f t="shared" si="24"/>
        <v>420</v>
      </c>
    </row>
    <row r="1616" spans="1:6" s="9" customFormat="1" x14ac:dyDescent="0.25">
      <c r="B1616" s="4"/>
      <c r="C1616" s="5">
        <v>1</v>
      </c>
      <c r="D1616" s="9" t="s">
        <v>729</v>
      </c>
      <c r="E1616" s="10">
        <v>0</v>
      </c>
      <c r="F1616" s="10">
        <f t="shared" si="24"/>
        <v>0</v>
      </c>
    </row>
    <row r="1617" spans="1:6" s="9" customFormat="1" x14ac:dyDescent="0.25">
      <c r="B1617" s="4"/>
      <c r="C1617" s="5"/>
      <c r="E1617" s="10"/>
      <c r="F1617" s="8">
        <f>SUM(F1614:F1616)</f>
        <v>560</v>
      </c>
    </row>
    <row r="1618" spans="1:6" s="9" customFormat="1" x14ac:dyDescent="0.25">
      <c r="B1618" s="4"/>
      <c r="C1618" s="5"/>
      <c r="E1618" s="10"/>
      <c r="F1618" s="10"/>
    </row>
    <row r="1619" spans="1:6" s="9" customFormat="1" x14ac:dyDescent="0.25">
      <c r="A1619" s="9" t="s">
        <v>15</v>
      </c>
      <c r="B1619" s="4">
        <v>45831</v>
      </c>
      <c r="C1619" s="5">
        <v>70</v>
      </c>
      <c r="D1619" s="9" t="s">
        <v>98</v>
      </c>
      <c r="E1619" s="10">
        <v>80</v>
      </c>
      <c r="F1619" s="10">
        <f t="shared" ref="F1619:F1680" si="25">+C1619*E1619</f>
        <v>5600</v>
      </c>
    </row>
    <row r="1620" spans="1:6" s="9" customFormat="1" x14ac:dyDescent="0.25">
      <c r="B1620" s="4"/>
      <c r="C1620" s="5"/>
      <c r="E1620" s="10"/>
      <c r="F1620" s="8">
        <f>SUM(F1619)</f>
        <v>5600</v>
      </c>
    </row>
    <row r="1621" spans="1:6" s="9" customFormat="1" x14ac:dyDescent="0.25">
      <c r="B1621" s="4"/>
      <c r="C1621" s="5"/>
      <c r="E1621" s="10"/>
      <c r="F1621" s="10"/>
    </row>
    <row r="1622" spans="1:6" s="9" customFormat="1" x14ac:dyDescent="0.25">
      <c r="A1622" s="9" t="s">
        <v>514</v>
      </c>
      <c r="B1622" s="4">
        <v>45831</v>
      </c>
      <c r="C1622" s="5">
        <v>10</v>
      </c>
      <c r="D1622" s="9" t="s">
        <v>98</v>
      </c>
      <c r="E1622" s="10">
        <v>100</v>
      </c>
      <c r="F1622" s="10">
        <f t="shared" si="25"/>
        <v>1000</v>
      </c>
    </row>
    <row r="1623" spans="1:6" s="9" customFormat="1" x14ac:dyDescent="0.25">
      <c r="B1623" s="4"/>
      <c r="C1623" s="5"/>
      <c r="E1623" s="10"/>
      <c r="F1623" s="8">
        <f>SUM(F1622)</f>
        <v>1000</v>
      </c>
    </row>
    <row r="1624" spans="1:6" s="9" customFormat="1" x14ac:dyDescent="0.25">
      <c r="B1624" s="4"/>
      <c r="C1624" s="5"/>
      <c r="E1624" s="10"/>
      <c r="F1624" s="10"/>
    </row>
    <row r="1625" spans="1:6" s="9" customFormat="1" x14ac:dyDescent="0.25">
      <c r="A1625" s="9" t="s">
        <v>18</v>
      </c>
      <c r="B1625" s="4">
        <v>45831</v>
      </c>
      <c r="C1625" s="5">
        <v>5</v>
      </c>
      <c r="D1625" s="9" t="s">
        <v>13</v>
      </c>
      <c r="E1625" s="10">
        <v>145</v>
      </c>
      <c r="F1625" s="10">
        <f t="shared" si="25"/>
        <v>725</v>
      </c>
    </row>
    <row r="1626" spans="1:6" s="9" customFormat="1" x14ac:dyDescent="0.25">
      <c r="B1626" s="4"/>
      <c r="C1626" s="5"/>
      <c r="E1626" s="10"/>
      <c r="F1626" s="8">
        <f>SUM(F1625)</f>
        <v>725</v>
      </c>
    </row>
    <row r="1627" spans="1:6" s="9" customFormat="1" x14ac:dyDescent="0.25">
      <c r="B1627" s="4"/>
      <c r="C1627" s="5"/>
      <c r="E1627" s="10"/>
      <c r="F1627" s="10"/>
    </row>
    <row r="1628" spans="1:6" s="9" customFormat="1" x14ac:dyDescent="0.25">
      <c r="A1628" s="9" t="s">
        <v>40</v>
      </c>
      <c r="B1628" s="4">
        <v>45831</v>
      </c>
      <c r="C1628" s="5">
        <v>5</v>
      </c>
      <c r="D1628" s="9" t="s">
        <v>50</v>
      </c>
      <c r="E1628" s="10">
        <v>100</v>
      </c>
      <c r="F1628" s="10">
        <f t="shared" si="25"/>
        <v>500</v>
      </c>
    </row>
    <row r="1629" spans="1:6" s="9" customFormat="1" x14ac:dyDescent="0.25">
      <c r="B1629" s="4"/>
      <c r="C1629" s="5">
        <v>10</v>
      </c>
      <c r="D1629" s="9" t="s">
        <v>22</v>
      </c>
      <c r="E1629" s="10">
        <v>100</v>
      </c>
      <c r="F1629" s="10">
        <f t="shared" si="25"/>
        <v>1000</v>
      </c>
    </row>
    <row r="1630" spans="1:6" s="9" customFormat="1" x14ac:dyDescent="0.25">
      <c r="B1630" s="4"/>
      <c r="C1630" s="5">
        <v>10</v>
      </c>
      <c r="D1630" s="9" t="s">
        <v>13</v>
      </c>
      <c r="E1630" s="10">
        <v>145</v>
      </c>
      <c r="F1630" s="10">
        <f t="shared" si="25"/>
        <v>1450</v>
      </c>
    </row>
    <row r="1631" spans="1:6" s="9" customFormat="1" x14ac:dyDescent="0.25">
      <c r="B1631" s="4"/>
      <c r="C1631" s="5">
        <v>10</v>
      </c>
      <c r="D1631" s="9" t="s">
        <v>14</v>
      </c>
      <c r="E1631" s="10">
        <v>135</v>
      </c>
      <c r="F1631" s="10">
        <f t="shared" si="25"/>
        <v>1350</v>
      </c>
    </row>
    <row r="1632" spans="1:6" s="9" customFormat="1" x14ac:dyDescent="0.25">
      <c r="B1632" s="4"/>
      <c r="C1632" s="5">
        <v>15</v>
      </c>
      <c r="D1632" s="9" t="s">
        <v>12</v>
      </c>
      <c r="E1632" s="10">
        <v>130</v>
      </c>
      <c r="F1632" s="10">
        <f t="shared" si="25"/>
        <v>1950</v>
      </c>
    </row>
    <row r="1633" spans="1:9" s="9" customFormat="1" x14ac:dyDescent="0.25">
      <c r="B1633" s="4"/>
      <c r="C1633" s="5">
        <v>10</v>
      </c>
      <c r="D1633" s="9" t="s">
        <v>8</v>
      </c>
      <c r="E1633" s="10">
        <v>165</v>
      </c>
      <c r="F1633" s="10">
        <f t="shared" si="25"/>
        <v>1650</v>
      </c>
    </row>
    <row r="1634" spans="1:9" s="9" customFormat="1" x14ac:dyDescent="0.25">
      <c r="B1634" s="4"/>
      <c r="C1634" s="5"/>
      <c r="E1634" s="10"/>
      <c r="F1634" s="8">
        <f>SUM(F1628:F1633)</f>
        <v>7900</v>
      </c>
    </row>
    <row r="1635" spans="1:9" s="9" customFormat="1" x14ac:dyDescent="0.25">
      <c r="B1635" s="4"/>
      <c r="C1635" s="5"/>
      <c r="E1635" s="10"/>
      <c r="F1635" s="10"/>
    </row>
    <row r="1636" spans="1:9" s="9" customFormat="1" x14ac:dyDescent="0.25">
      <c r="A1636" s="9" t="s">
        <v>20</v>
      </c>
      <c r="B1636" s="4">
        <v>45831</v>
      </c>
      <c r="C1636" s="5">
        <v>20</v>
      </c>
      <c r="D1636" s="9" t="s">
        <v>13</v>
      </c>
      <c r="E1636" s="10">
        <v>145</v>
      </c>
      <c r="F1636" s="10">
        <f t="shared" si="25"/>
        <v>2900</v>
      </c>
    </row>
    <row r="1637" spans="1:9" s="9" customFormat="1" x14ac:dyDescent="0.25">
      <c r="B1637" s="4"/>
      <c r="C1637" s="5"/>
      <c r="E1637" s="10"/>
      <c r="F1637" s="8">
        <f>SUM(F1636)</f>
        <v>2900</v>
      </c>
    </row>
    <row r="1638" spans="1:9" s="9" customFormat="1" x14ac:dyDescent="0.25">
      <c r="B1638" s="4"/>
      <c r="C1638" s="5"/>
      <c r="E1638" s="10"/>
      <c r="F1638" s="10"/>
    </row>
    <row r="1639" spans="1:9" s="9" customFormat="1" x14ac:dyDescent="0.25">
      <c r="A1639" s="9" t="s">
        <v>427</v>
      </c>
      <c r="B1639" s="4">
        <v>45831</v>
      </c>
      <c r="C1639" s="5">
        <v>10</v>
      </c>
      <c r="D1639" s="9" t="s">
        <v>13</v>
      </c>
      <c r="E1639" s="10">
        <v>145</v>
      </c>
      <c r="F1639" s="10">
        <f t="shared" si="25"/>
        <v>1450</v>
      </c>
    </row>
    <row r="1640" spans="1:9" s="9" customFormat="1" x14ac:dyDescent="0.25">
      <c r="B1640" s="4"/>
      <c r="C1640" s="5"/>
      <c r="E1640" s="10"/>
      <c r="F1640" s="8">
        <f>SUM(F1639)</f>
        <v>1450</v>
      </c>
    </row>
    <row r="1641" spans="1:9" s="9" customFormat="1" x14ac:dyDescent="0.25">
      <c r="B1641" s="4"/>
      <c r="C1641" s="5"/>
      <c r="E1641" s="10"/>
      <c r="F1641" s="10"/>
    </row>
    <row r="1642" spans="1:9" s="9" customFormat="1" x14ac:dyDescent="0.25">
      <c r="A1642" s="9" t="s">
        <v>673</v>
      </c>
      <c r="B1642" s="4">
        <v>45831</v>
      </c>
      <c r="C1642" s="5">
        <v>10</v>
      </c>
      <c r="D1642" s="9" t="s">
        <v>519</v>
      </c>
      <c r="E1642" s="10">
        <v>165</v>
      </c>
      <c r="F1642" s="10">
        <f t="shared" si="25"/>
        <v>1650</v>
      </c>
      <c r="I1642" s="9" t="s">
        <v>732</v>
      </c>
    </row>
    <row r="1643" spans="1:9" s="9" customFormat="1" x14ac:dyDescent="0.25">
      <c r="B1643" s="4"/>
      <c r="C1643" s="5">
        <v>10</v>
      </c>
      <c r="D1643" s="9" t="s">
        <v>12</v>
      </c>
      <c r="E1643" s="10">
        <v>130</v>
      </c>
      <c r="F1643" s="10">
        <f t="shared" si="25"/>
        <v>1300</v>
      </c>
    </row>
    <row r="1644" spans="1:9" s="9" customFormat="1" x14ac:dyDescent="0.25">
      <c r="B1644" s="4"/>
      <c r="C1644" s="5">
        <v>10</v>
      </c>
      <c r="D1644" s="9" t="s">
        <v>14</v>
      </c>
      <c r="E1644" s="10">
        <v>135</v>
      </c>
      <c r="F1644" s="10">
        <f t="shared" si="25"/>
        <v>1350</v>
      </c>
    </row>
    <row r="1645" spans="1:9" s="9" customFormat="1" x14ac:dyDescent="0.25">
      <c r="B1645" s="4"/>
      <c r="C1645" s="5">
        <v>10</v>
      </c>
      <c r="D1645" s="9" t="s">
        <v>13</v>
      </c>
      <c r="E1645" s="10">
        <v>145</v>
      </c>
      <c r="F1645" s="10">
        <f t="shared" si="25"/>
        <v>1450</v>
      </c>
    </row>
    <row r="1646" spans="1:9" s="9" customFormat="1" x14ac:dyDescent="0.25">
      <c r="B1646" s="4"/>
      <c r="C1646" s="5"/>
      <c r="E1646" s="10"/>
      <c r="F1646" s="8">
        <f>SUM(F1642:F1645)</f>
        <v>5750</v>
      </c>
    </row>
    <row r="1647" spans="1:9" s="9" customFormat="1" x14ac:dyDescent="0.25">
      <c r="B1647" s="4"/>
      <c r="C1647" s="5"/>
      <c r="E1647" s="10"/>
      <c r="F1647" s="10"/>
    </row>
    <row r="1648" spans="1:9" s="9" customFormat="1" x14ac:dyDescent="0.25">
      <c r="A1648" s="9" t="s">
        <v>367</v>
      </c>
      <c r="B1648" s="4">
        <v>45831</v>
      </c>
      <c r="C1648" s="5">
        <v>10</v>
      </c>
      <c r="D1648" s="9" t="s">
        <v>13</v>
      </c>
      <c r="E1648" s="10">
        <v>145</v>
      </c>
      <c r="F1648" s="10">
        <f t="shared" si="25"/>
        <v>1450</v>
      </c>
    </row>
    <row r="1649" spans="1:6" s="9" customFormat="1" x14ac:dyDescent="0.25">
      <c r="B1649" s="4"/>
      <c r="C1649" s="5">
        <v>10</v>
      </c>
      <c r="D1649" s="9" t="s">
        <v>14</v>
      </c>
      <c r="E1649" s="10">
        <v>135</v>
      </c>
      <c r="F1649" s="10">
        <f t="shared" si="25"/>
        <v>1350</v>
      </c>
    </row>
    <row r="1650" spans="1:6" s="9" customFormat="1" x14ac:dyDescent="0.25">
      <c r="B1650" s="4"/>
      <c r="C1650" s="5"/>
      <c r="E1650" s="10"/>
      <c r="F1650" s="8">
        <f>SUM(F1648:F1649)</f>
        <v>2800</v>
      </c>
    </row>
    <row r="1651" spans="1:6" s="9" customFormat="1" x14ac:dyDescent="0.25">
      <c r="B1651" s="4"/>
      <c r="C1651" s="5"/>
      <c r="E1651" s="10"/>
      <c r="F1651" s="10"/>
    </row>
    <row r="1652" spans="1:6" s="9" customFormat="1" x14ac:dyDescent="0.25">
      <c r="A1652" s="9" t="s">
        <v>525</v>
      </c>
      <c r="B1652" s="4">
        <v>45831</v>
      </c>
      <c r="C1652" s="5">
        <v>10</v>
      </c>
      <c r="D1652" s="9" t="s">
        <v>22</v>
      </c>
      <c r="E1652" s="10">
        <v>105</v>
      </c>
      <c r="F1652" s="10">
        <f t="shared" si="25"/>
        <v>1050</v>
      </c>
    </row>
    <row r="1653" spans="1:6" s="9" customFormat="1" x14ac:dyDescent="0.25">
      <c r="B1653" s="4"/>
      <c r="C1653" s="5"/>
      <c r="E1653" s="10"/>
      <c r="F1653" s="8">
        <f>SUM(F1652)</f>
        <v>1050</v>
      </c>
    </row>
    <row r="1654" spans="1:6" s="9" customFormat="1" x14ac:dyDescent="0.25">
      <c r="B1654" s="4"/>
      <c r="C1654" s="5"/>
      <c r="E1654" s="10"/>
      <c r="F1654" s="10"/>
    </row>
    <row r="1655" spans="1:6" s="9" customFormat="1" x14ac:dyDescent="0.25">
      <c r="A1655" s="9" t="s">
        <v>79</v>
      </c>
      <c r="B1655" s="4">
        <v>45831</v>
      </c>
      <c r="C1655" s="5">
        <v>20</v>
      </c>
      <c r="D1655" s="9" t="s">
        <v>13</v>
      </c>
      <c r="E1655" s="10">
        <v>140</v>
      </c>
      <c r="F1655" s="10">
        <f t="shared" si="25"/>
        <v>2800</v>
      </c>
    </row>
    <row r="1656" spans="1:6" s="9" customFormat="1" x14ac:dyDescent="0.25">
      <c r="B1656" s="4"/>
      <c r="C1656" s="5"/>
      <c r="E1656" s="10"/>
      <c r="F1656" s="8">
        <f>SUM(F1655)</f>
        <v>2800</v>
      </c>
    </row>
    <row r="1657" spans="1:6" s="9" customFormat="1" x14ac:dyDescent="0.25">
      <c r="B1657" s="4"/>
      <c r="C1657" s="5"/>
      <c r="E1657" s="10"/>
      <c r="F1657" s="10"/>
    </row>
    <row r="1658" spans="1:6" s="9" customFormat="1" x14ac:dyDescent="0.25">
      <c r="A1658" s="9" t="s">
        <v>730</v>
      </c>
      <c r="B1658" s="4">
        <v>45831</v>
      </c>
      <c r="C1658" s="5">
        <v>10</v>
      </c>
      <c r="D1658" s="9" t="s">
        <v>731</v>
      </c>
      <c r="E1658" s="10">
        <v>145</v>
      </c>
      <c r="F1658" s="10">
        <f t="shared" si="25"/>
        <v>1450</v>
      </c>
    </row>
    <row r="1659" spans="1:6" s="9" customFormat="1" x14ac:dyDescent="0.25">
      <c r="B1659" s="4"/>
      <c r="C1659" s="5">
        <v>10</v>
      </c>
      <c r="D1659" s="9" t="s">
        <v>14</v>
      </c>
      <c r="E1659" s="10">
        <v>135</v>
      </c>
      <c r="F1659" s="10">
        <f t="shared" si="25"/>
        <v>1350</v>
      </c>
    </row>
    <row r="1660" spans="1:6" s="9" customFormat="1" x14ac:dyDescent="0.25">
      <c r="B1660" s="4"/>
      <c r="C1660" s="5"/>
      <c r="E1660" s="10"/>
      <c r="F1660" s="8">
        <f>SUM(F1658:F1659)</f>
        <v>2800</v>
      </c>
    </row>
    <row r="1661" spans="1:6" s="9" customFormat="1" x14ac:dyDescent="0.25">
      <c r="B1661" s="4"/>
      <c r="C1661" s="5"/>
      <c r="E1661" s="10"/>
      <c r="F1661" s="10"/>
    </row>
    <row r="1662" spans="1:6" s="9" customFormat="1" x14ac:dyDescent="0.25">
      <c r="A1662" s="9" t="s">
        <v>44</v>
      </c>
      <c r="B1662" s="4">
        <v>45831</v>
      </c>
      <c r="C1662" s="5">
        <v>40</v>
      </c>
      <c r="D1662" s="9" t="s">
        <v>14</v>
      </c>
      <c r="E1662" s="10">
        <v>135</v>
      </c>
      <c r="F1662" s="10">
        <f t="shared" si="25"/>
        <v>5400</v>
      </c>
    </row>
    <row r="1663" spans="1:6" s="9" customFormat="1" x14ac:dyDescent="0.25">
      <c r="B1663" s="4"/>
      <c r="C1663" s="5">
        <v>10</v>
      </c>
      <c r="D1663" s="9" t="s">
        <v>14</v>
      </c>
      <c r="E1663" s="10">
        <v>135</v>
      </c>
      <c r="F1663" s="10">
        <f t="shared" si="25"/>
        <v>1350</v>
      </c>
    </row>
    <row r="1664" spans="1:6" s="9" customFormat="1" x14ac:dyDescent="0.25">
      <c r="B1664" s="4"/>
      <c r="C1664" s="5"/>
      <c r="E1664" s="10"/>
      <c r="F1664" s="8">
        <f>SUM(F1662:F1663)</f>
        <v>6750</v>
      </c>
    </row>
    <row r="1665" spans="1:6" s="9" customFormat="1" x14ac:dyDescent="0.25">
      <c r="B1665" s="4"/>
      <c r="C1665" s="5"/>
      <c r="E1665" s="10"/>
      <c r="F1665" s="10"/>
    </row>
    <row r="1666" spans="1:6" s="9" customFormat="1" x14ac:dyDescent="0.25">
      <c r="A1666" s="9" t="s">
        <v>18</v>
      </c>
      <c r="B1666" s="4">
        <v>45831</v>
      </c>
      <c r="C1666" s="5">
        <v>20</v>
      </c>
      <c r="D1666" s="9" t="s">
        <v>14</v>
      </c>
      <c r="E1666" s="10">
        <v>135</v>
      </c>
      <c r="F1666" s="10">
        <f t="shared" si="25"/>
        <v>2700</v>
      </c>
    </row>
    <row r="1667" spans="1:6" s="9" customFormat="1" x14ac:dyDescent="0.25">
      <c r="B1667" s="4"/>
      <c r="C1667" s="5">
        <v>20</v>
      </c>
      <c r="D1667" s="9" t="s">
        <v>11</v>
      </c>
      <c r="E1667" s="10">
        <v>125</v>
      </c>
      <c r="F1667" s="10">
        <f t="shared" si="25"/>
        <v>2500</v>
      </c>
    </row>
    <row r="1668" spans="1:6" s="9" customFormat="1" x14ac:dyDescent="0.25">
      <c r="B1668" s="4"/>
      <c r="C1668" s="5"/>
      <c r="E1668" s="10"/>
      <c r="F1668" s="8">
        <f>SUM(F1666:F1667)</f>
        <v>5200</v>
      </c>
    </row>
    <row r="1669" spans="1:6" s="9" customFormat="1" x14ac:dyDescent="0.25">
      <c r="B1669" s="4"/>
      <c r="C1669" s="5"/>
      <c r="E1669" s="10"/>
      <c r="F1669" s="10"/>
    </row>
    <row r="1670" spans="1:6" s="9" customFormat="1" x14ac:dyDescent="0.25">
      <c r="A1670" s="9" t="s">
        <v>46</v>
      </c>
      <c r="B1670" s="4">
        <v>45831</v>
      </c>
      <c r="C1670" s="5">
        <v>20</v>
      </c>
      <c r="D1670" s="9" t="s">
        <v>14</v>
      </c>
      <c r="E1670" s="10">
        <v>135</v>
      </c>
      <c r="F1670" s="10">
        <f t="shared" si="25"/>
        <v>2700</v>
      </c>
    </row>
    <row r="1671" spans="1:6" s="9" customFormat="1" x14ac:dyDescent="0.25">
      <c r="B1671" s="4"/>
      <c r="C1671" s="5"/>
      <c r="E1671" s="10"/>
      <c r="F1671" s="8">
        <f>SUM(F1670)</f>
        <v>2700</v>
      </c>
    </row>
    <row r="1672" spans="1:6" s="9" customFormat="1" x14ac:dyDescent="0.25">
      <c r="B1672" s="4"/>
      <c r="C1672" s="5"/>
      <c r="E1672" s="10"/>
      <c r="F1672" s="10"/>
    </row>
    <row r="1673" spans="1:6" s="9" customFormat="1" x14ac:dyDescent="0.25">
      <c r="A1673" s="9" t="s">
        <v>47</v>
      </c>
      <c r="B1673" s="4">
        <v>45831</v>
      </c>
      <c r="C1673" s="5">
        <v>30</v>
      </c>
      <c r="D1673" s="9" t="s">
        <v>13</v>
      </c>
      <c r="E1673" s="10">
        <v>135</v>
      </c>
      <c r="F1673" s="10">
        <f t="shared" si="25"/>
        <v>4050</v>
      </c>
    </row>
    <row r="1674" spans="1:6" s="9" customFormat="1" x14ac:dyDescent="0.25">
      <c r="B1674" s="4"/>
      <c r="C1674" s="5">
        <v>10</v>
      </c>
      <c r="D1674" s="9" t="s">
        <v>12</v>
      </c>
      <c r="E1674" s="10">
        <v>125</v>
      </c>
      <c r="F1674" s="10">
        <f t="shared" si="25"/>
        <v>1250</v>
      </c>
    </row>
    <row r="1675" spans="1:6" s="9" customFormat="1" x14ac:dyDescent="0.25">
      <c r="B1675" s="4"/>
      <c r="C1675" s="5"/>
      <c r="E1675" s="10"/>
      <c r="F1675" s="8">
        <f>SUM(F1673:F1674)</f>
        <v>5300</v>
      </c>
    </row>
    <row r="1676" spans="1:6" s="9" customFormat="1" x14ac:dyDescent="0.25">
      <c r="B1676" s="4"/>
      <c r="C1676" s="5"/>
      <c r="E1676" s="10"/>
      <c r="F1676" s="10"/>
    </row>
    <row r="1677" spans="1:6" s="9" customFormat="1" x14ac:dyDescent="0.25">
      <c r="A1677" s="9" t="s">
        <v>41</v>
      </c>
      <c r="B1677" s="4">
        <v>45831</v>
      </c>
      <c r="C1677" s="5">
        <v>35</v>
      </c>
      <c r="D1677" s="9" t="s">
        <v>14</v>
      </c>
      <c r="E1677" s="10">
        <v>130</v>
      </c>
      <c r="F1677" s="10">
        <f t="shared" si="25"/>
        <v>4550</v>
      </c>
    </row>
    <row r="1678" spans="1:6" s="9" customFormat="1" x14ac:dyDescent="0.25">
      <c r="B1678" s="4"/>
      <c r="C1678" s="5"/>
      <c r="E1678" s="10"/>
      <c r="F1678" s="8">
        <f>SUM(F1677)</f>
        <v>4550</v>
      </c>
    </row>
    <row r="1679" spans="1:6" s="9" customFormat="1" x14ac:dyDescent="0.25">
      <c r="B1679" s="4"/>
      <c r="C1679" s="5"/>
      <c r="E1679" s="10"/>
      <c r="F1679" s="10"/>
    </row>
    <row r="1680" spans="1:6" s="9" customFormat="1" x14ac:dyDescent="0.25">
      <c r="A1680" s="9" t="s">
        <v>455</v>
      </c>
      <c r="B1680" s="4">
        <v>45831</v>
      </c>
      <c r="C1680" s="5">
        <v>20</v>
      </c>
      <c r="D1680" s="9" t="s">
        <v>14</v>
      </c>
      <c r="E1680" s="10">
        <v>130</v>
      </c>
      <c r="F1680" s="10">
        <f t="shared" si="25"/>
        <v>2600</v>
      </c>
    </row>
    <row r="1681" spans="1:6" s="9" customFormat="1" x14ac:dyDescent="0.25">
      <c r="B1681" s="4"/>
      <c r="C1681" s="5"/>
      <c r="E1681" s="10"/>
      <c r="F1681" s="8">
        <f>SUM(F1680)</f>
        <v>2600</v>
      </c>
    </row>
    <row r="1682" spans="1:6" s="9" customFormat="1" x14ac:dyDescent="0.25">
      <c r="B1682" s="4"/>
      <c r="C1682" s="5"/>
      <c r="E1682" s="10"/>
      <c r="F1682" s="10"/>
    </row>
    <row r="1683" spans="1:6" s="9" customFormat="1" x14ac:dyDescent="0.25">
      <c r="A1683" s="9" t="s">
        <v>252</v>
      </c>
      <c r="B1683" s="4">
        <v>45831</v>
      </c>
      <c r="C1683" s="5">
        <v>1</v>
      </c>
      <c r="D1683" s="9" t="s">
        <v>14</v>
      </c>
      <c r="E1683" s="10">
        <v>130</v>
      </c>
      <c r="F1683" s="10">
        <f t="shared" ref="F1683:F1749" si="26">+C1683*E1683</f>
        <v>130</v>
      </c>
    </row>
    <row r="1684" spans="1:6" s="9" customFormat="1" x14ac:dyDescent="0.25">
      <c r="B1684" s="4"/>
      <c r="C1684" s="5"/>
      <c r="E1684" s="10"/>
      <c r="F1684" s="8">
        <f>SUM(F1683)</f>
        <v>130</v>
      </c>
    </row>
    <row r="1685" spans="1:6" s="9" customFormat="1" x14ac:dyDescent="0.25">
      <c r="B1685" s="4"/>
      <c r="C1685" s="5"/>
      <c r="E1685" s="10"/>
      <c r="F1685" s="10"/>
    </row>
    <row r="1686" spans="1:6" s="9" customFormat="1" x14ac:dyDescent="0.25">
      <c r="A1686" s="9" t="s">
        <v>535</v>
      </c>
      <c r="B1686" s="4">
        <v>45831</v>
      </c>
      <c r="C1686" s="5">
        <v>37</v>
      </c>
      <c r="D1686" s="9" t="s">
        <v>13</v>
      </c>
      <c r="E1686" s="10">
        <v>145</v>
      </c>
      <c r="F1686" s="10">
        <f t="shared" si="26"/>
        <v>5365</v>
      </c>
    </row>
    <row r="1687" spans="1:6" s="9" customFormat="1" x14ac:dyDescent="0.25">
      <c r="B1687" s="4"/>
      <c r="C1687" s="5">
        <v>10</v>
      </c>
      <c r="D1687" s="9" t="s">
        <v>8</v>
      </c>
      <c r="E1687" s="10">
        <v>160</v>
      </c>
      <c r="F1687" s="10">
        <f t="shared" si="26"/>
        <v>1600</v>
      </c>
    </row>
    <row r="1688" spans="1:6" s="9" customFormat="1" x14ac:dyDescent="0.25">
      <c r="B1688" s="4"/>
      <c r="C1688" s="5">
        <v>9</v>
      </c>
      <c r="D1688" s="9" t="s">
        <v>8</v>
      </c>
      <c r="E1688" s="10">
        <v>165</v>
      </c>
      <c r="F1688" s="10">
        <f t="shared" si="26"/>
        <v>1485</v>
      </c>
    </row>
    <row r="1689" spans="1:6" s="9" customFormat="1" x14ac:dyDescent="0.25">
      <c r="B1689" s="4"/>
      <c r="C1689" s="5">
        <v>3</v>
      </c>
      <c r="D1689" s="9" t="s">
        <v>12</v>
      </c>
      <c r="E1689" s="10">
        <v>135</v>
      </c>
      <c r="F1689" s="10">
        <f t="shared" si="26"/>
        <v>405</v>
      </c>
    </row>
    <row r="1690" spans="1:6" s="9" customFormat="1" x14ac:dyDescent="0.25">
      <c r="B1690" s="4"/>
      <c r="C1690" s="5">
        <v>4</v>
      </c>
      <c r="D1690" s="9" t="s">
        <v>14</v>
      </c>
      <c r="E1690" s="10">
        <v>140</v>
      </c>
      <c r="F1690" s="10">
        <f t="shared" si="26"/>
        <v>560</v>
      </c>
    </row>
    <row r="1691" spans="1:6" s="9" customFormat="1" x14ac:dyDescent="0.25">
      <c r="B1691" s="4"/>
      <c r="C1691" s="5"/>
      <c r="E1691" s="10"/>
      <c r="F1691" s="8">
        <f>SUM(F1686:F1690)</f>
        <v>9415</v>
      </c>
    </row>
    <row r="1692" spans="1:6" s="9" customFormat="1" x14ac:dyDescent="0.25">
      <c r="B1692" s="4"/>
      <c r="C1692" s="5"/>
      <c r="E1692" s="10"/>
      <c r="F1692" s="10"/>
    </row>
    <row r="1693" spans="1:6" s="9" customFormat="1" x14ac:dyDescent="0.25">
      <c r="A1693" s="9" t="s">
        <v>140</v>
      </c>
      <c r="B1693" s="4">
        <v>45831</v>
      </c>
      <c r="C1693" s="5">
        <v>200</v>
      </c>
      <c r="D1693" s="9" t="s">
        <v>8</v>
      </c>
      <c r="E1693" s="10">
        <v>155</v>
      </c>
      <c r="F1693" s="10">
        <f t="shared" si="26"/>
        <v>31000</v>
      </c>
    </row>
    <row r="1694" spans="1:6" s="9" customFormat="1" x14ac:dyDescent="0.25">
      <c r="B1694" s="4"/>
      <c r="C1694" s="5">
        <v>100</v>
      </c>
      <c r="D1694" s="9" t="s">
        <v>12</v>
      </c>
      <c r="E1694" s="10">
        <v>120</v>
      </c>
      <c r="F1694" s="10">
        <f t="shared" si="26"/>
        <v>12000</v>
      </c>
    </row>
    <row r="1695" spans="1:6" s="9" customFormat="1" x14ac:dyDescent="0.25">
      <c r="B1695" s="4"/>
      <c r="C1695" s="5">
        <v>100</v>
      </c>
      <c r="D1695" s="9" t="s">
        <v>11</v>
      </c>
      <c r="E1695" s="10">
        <v>115</v>
      </c>
      <c r="F1695" s="10">
        <f t="shared" si="26"/>
        <v>11500</v>
      </c>
    </row>
    <row r="1696" spans="1:6" s="9" customFormat="1" x14ac:dyDescent="0.25">
      <c r="B1696" s="4"/>
      <c r="C1696" s="5"/>
      <c r="E1696" s="10"/>
      <c r="F1696" s="8">
        <f>SUM(F1693:F1695)</f>
        <v>54500</v>
      </c>
    </row>
    <row r="1697" spans="1:6" s="9" customFormat="1" x14ac:dyDescent="0.25">
      <c r="B1697" s="4"/>
      <c r="C1697" s="5"/>
      <c r="E1697" s="10"/>
      <c r="F1697" s="10"/>
    </row>
    <row r="1698" spans="1:6" s="9" customFormat="1" x14ac:dyDescent="0.25">
      <c r="A1698" s="9" t="s">
        <v>32</v>
      </c>
      <c r="B1698" s="4">
        <v>45831</v>
      </c>
      <c r="C1698" s="5">
        <v>10</v>
      </c>
      <c r="D1698" s="9" t="s">
        <v>733</v>
      </c>
      <c r="E1698" s="10">
        <v>145</v>
      </c>
      <c r="F1698" s="10">
        <f t="shared" si="26"/>
        <v>1450</v>
      </c>
    </row>
    <row r="1699" spans="1:6" s="9" customFormat="1" x14ac:dyDescent="0.25">
      <c r="B1699" s="4"/>
      <c r="C1699" s="5"/>
      <c r="E1699" s="10"/>
      <c r="F1699" s="8">
        <f>SUM(F1698)</f>
        <v>1450</v>
      </c>
    </row>
    <row r="1700" spans="1:6" s="9" customFormat="1" x14ac:dyDescent="0.25">
      <c r="B1700" s="4"/>
      <c r="C1700" s="5"/>
      <c r="E1700" s="10"/>
      <c r="F1700" s="10"/>
    </row>
    <row r="1701" spans="1:6" s="9" customFormat="1" x14ac:dyDescent="0.25">
      <c r="A1701" s="9" t="s">
        <v>734</v>
      </c>
      <c r="B1701" s="4">
        <v>45831</v>
      </c>
      <c r="C1701" s="5">
        <v>7</v>
      </c>
      <c r="D1701" s="9" t="s">
        <v>13</v>
      </c>
      <c r="E1701" s="10">
        <v>150</v>
      </c>
      <c r="F1701" s="10">
        <f t="shared" si="26"/>
        <v>1050</v>
      </c>
    </row>
    <row r="1702" spans="1:6" s="9" customFormat="1" x14ac:dyDescent="0.25">
      <c r="B1702" s="4"/>
      <c r="C1702" s="5"/>
      <c r="E1702" s="10"/>
      <c r="F1702" s="8">
        <f>SUM(F1701)</f>
        <v>1050</v>
      </c>
    </row>
    <row r="1703" spans="1:6" s="9" customFormat="1" x14ac:dyDescent="0.25">
      <c r="B1703" s="4"/>
      <c r="C1703" s="5"/>
      <c r="E1703" s="10"/>
      <c r="F1703" s="10"/>
    </row>
    <row r="1704" spans="1:6" s="9" customFormat="1" x14ac:dyDescent="0.25">
      <c r="A1704" s="9" t="s">
        <v>160</v>
      </c>
      <c r="B1704" s="4">
        <v>45831</v>
      </c>
      <c r="C1704" s="5">
        <v>5</v>
      </c>
      <c r="D1704" s="9" t="s">
        <v>12</v>
      </c>
      <c r="E1704" s="10">
        <v>135</v>
      </c>
      <c r="F1704" s="10">
        <f t="shared" si="26"/>
        <v>675</v>
      </c>
    </row>
    <row r="1705" spans="1:6" s="9" customFormat="1" x14ac:dyDescent="0.25">
      <c r="B1705" s="4"/>
      <c r="C1705" s="5"/>
      <c r="E1705" s="10"/>
      <c r="F1705" s="8">
        <f>SUM(F1704)</f>
        <v>675</v>
      </c>
    </row>
    <row r="1706" spans="1:6" s="9" customFormat="1" x14ac:dyDescent="0.25">
      <c r="B1706" s="4"/>
      <c r="C1706" s="5"/>
      <c r="E1706" s="10"/>
      <c r="F1706" s="10"/>
    </row>
    <row r="1707" spans="1:6" s="9" customFormat="1" x14ac:dyDescent="0.25">
      <c r="A1707" s="9" t="s">
        <v>89</v>
      </c>
      <c r="B1707" s="4">
        <v>45831</v>
      </c>
      <c r="C1707" s="5">
        <v>40</v>
      </c>
      <c r="D1707" s="9" t="s">
        <v>12</v>
      </c>
      <c r="E1707" s="10">
        <v>100</v>
      </c>
      <c r="F1707" s="10">
        <f t="shared" si="26"/>
        <v>4000</v>
      </c>
    </row>
    <row r="1708" spans="1:6" s="9" customFormat="1" x14ac:dyDescent="0.25">
      <c r="B1708" s="4"/>
      <c r="C1708" s="5">
        <v>14</v>
      </c>
      <c r="D1708" s="9" t="s">
        <v>11</v>
      </c>
      <c r="E1708" s="10">
        <v>110</v>
      </c>
      <c r="F1708" s="10">
        <f t="shared" si="26"/>
        <v>1540</v>
      </c>
    </row>
    <row r="1709" spans="1:6" s="9" customFormat="1" x14ac:dyDescent="0.25">
      <c r="B1709" s="4"/>
      <c r="C1709" s="5">
        <v>30</v>
      </c>
      <c r="D1709" s="9" t="s">
        <v>13</v>
      </c>
      <c r="E1709" s="10">
        <v>130</v>
      </c>
      <c r="F1709" s="10">
        <f t="shared" si="26"/>
        <v>3900</v>
      </c>
    </row>
    <row r="1710" spans="1:6" s="9" customFormat="1" x14ac:dyDescent="0.25">
      <c r="B1710" s="4"/>
      <c r="C1710" s="5"/>
      <c r="E1710" s="10"/>
      <c r="F1710" s="8">
        <f>SUM(F1707:F1709)</f>
        <v>9440</v>
      </c>
    </row>
    <row r="1711" spans="1:6" s="9" customFormat="1" x14ac:dyDescent="0.25">
      <c r="B1711" s="4"/>
      <c r="C1711" s="5"/>
      <c r="E1711" s="10"/>
      <c r="F1711" s="10"/>
    </row>
    <row r="1712" spans="1:6" s="9" customFormat="1" x14ac:dyDescent="0.25">
      <c r="A1712" s="9" t="s">
        <v>87</v>
      </c>
      <c r="B1712" s="4">
        <v>45831</v>
      </c>
      <c r="C1712" s="5">
        <v>2</v>
      </c>
      <c r="D1712" s="9" t="s">
        <v>14</v>
      </c>
      <c r="E1712" s="10">
        <v>145</v>
      </c>
      <c r="F1712" s="10">
        <f t="shared" si="26"/>
        <v>290</v>
      </c>
    </row>
    <row r="1713" spans="1:6 16384:16384" s="9" customFormat="1" x14ac:dyDescent="0.25">
      <c r="B1713" s="4"/>
      <c r="C1713" s="5">
        <v>2</v>
      </c>
      <c r="D1713" s="9" t="s">
        <v>22</v>
      </c>
      <c r="E1713" s="10">
        <v>120</v>
      </c>
      <c r="F1713" s="10">
        <f t="shared" si="26"/>
        <v>240</v>
      </c>
    </row>
    <row r="1714" spans="1:6 16384:16384" s="9" customFormat="1" x14ac:dyDescent="0.25">
      <c r="B1714" s="4"/>
      <c r="C1714" s="5"/>
      <c r="E1714" s="10"/>
      <c r="F1714" s="8">
        <f>SUM(F1712:F1713)</f>
        <v>530</v>
      </c>
    </row>
    <row r="1715" spans="1:6 16384:16384" s="9" customFormat="1" x14ac:dyDescent="0.25">
      <c r="B1715" s="4"/>
      <c r="C1715" s="5"/>
      <c r="E1715" s="10"/>
      <c r="F1715" s="10"/>
    </row>
    <row r="1716" spans="1:6 16384:16384" s="9" customFormat="1" x14ac:dyDescent="0.25">
      <c r="A1716" s="9" t="s">
        <v>735</v>
      </c>
      <c r="B1716" s="4">
        <v>45831</v>
      </c>
      <c r="C1716" s="5">
        <v>10</v>
      </c>
      <c r="D1716" s="9" t="s">
        <v>12</v>
      </c>
      <c r="E1716" s="10">
        <v>125</v>
      </c>
      <c r="F1716" s="10">
        <f t="shared" si="26"/>
        <v>1250</v>
      </c>
    </row>
    <row r="1717" spans="1:6 16384:16384" s="9" customFormat="1" x14ac:dyDescent="0.25">
      <c r="B1717" s="4"/>
      <c r="C1717" s="5"/>
      <c r="E1717" s="10"/>
      <c r="F1717" s="8">
        <f>SUM(F1716)</f>
        <v>1250</v>
      </c>
    </row>
    <row r="1718" spans="1:6 16384:16384" s="9" customFormat="1" x14ac:dyDescent="0.25">
      <c r="B1718" s="4"/>
      <c r="C1718" s="5"/>
      <c r="E1718" s="10"/>
      <c r="F1718" s="10"/>
    </row>
    <row r="1719" spans="1:6 16384:16384" s="9" customFormat="1" x14ac:dyDescent="0.25">
      <c r="A1719" s="9" t="s">
        <v>116</v>
      </c>
      <c r="B1719" s="4">
        <v>45831</v>
      </c>
      <c r="C1719" s="5">
        <v>132</v>
      </c>
      <c r="D1719" s="9" t="s">
        <v>689</v>
      </c>
      <c r="E1719" s="10"/>
      <c r="F1719" s="10">
        <f t="shared" si="26"/>
        <v>0</v>
      </c>
    </row>
    <row r="1720" spans="1:6 16384:16384" s="9" customFormat="1" x14ac:dyDescent="0.25">
      <c r="B1720" s="4"/>
      <c r="C1720" s="5">
        <v>250</v>
      </c>
      <c r="D1720" s="9" t="s">
        <v>14</v>
      </c>
      <c r="E1720" s="10"/>
      <c r="F1720" s="10">
        <f t="shared" si="26"/>
        <v>0</v>
      </c>
    </row>
    <row r="1721" spans="1:6 16384:16384" s="9" customFormat="1" x14ac:dyDescent="0.25">
      <c r="B1721" s="4"/>
      <c r="C1721" s="5">
        <v>200</v>
      </c>
      <c r="D1721" s="9" t="s">
        <v>11</v>
      </c>
      <c r="E1721" s="10"/>
      <c r="F1721" s="10">
        <f t="shared" si="26"/>
        <v>0</v>
      </c>
    </row>
    <row r="1722" spans="1:6 16384:16384" s="9" customFormat="1" x14ac:dyDescent="0.25">
      <c r="B1722" s="4"/>
      <c r="C1722" s="5">
        <v>60</v>
      </c>
      <c r="D1722" s="9" t="s">
        <v>50</v>
      </c>
      <c r="E1722" s="10"/>
      <c r="F1722" s="10">
        <f t="shared" si="26"/>
        <v>0</v>
      </c>
    </row>
    <row r="1723" spans="1:6 16384:16384" s="9" customFormat="1" x14ac:dyDescent="0.25">
      <c r="B1723" s="4"/>
      <c r="C1723" s="5"/>
      <c r="E1723" s="10"/>
      <c r="F1723" s="10">
        <f t="shared" si="26"/>
        <v>0</v>
      </c>
    </row>
    <row r="1724" spans="1:6 16384:16384" s="9" customFormat="1" x14ac:dyDescent="0.25">
      <c r="B1724" s="4"/>
      <c r="C1724" s="5"/>
      <c r="E1724" s="10"/>
      <c r="F1724" s="10">
        <f t="shared" si="26"/>
        <v>0</v>
      </c>
    </row>
    <row r="1725" spans="1:6 16384:16384" s="9" customFormat="1" x14ac:dyDescent="0.25">
      <c r="A1725" s="9" t="s">
        <v>29</v>
      </c>
      <c r="B1725" s="4">
        <v>45831</v>
      </c>
      <c r="C1725" s="5">
        <v>1</v>
      </c>
      <c r="D1725" s="9" t="s">
        <v>98</v>
      </c>
      <c r="E1725" s="10">
        <v>160</v>
      </c>
      <c r="F1725" s="10">
        <f t="shared" si="26"/>
        <v>160</v>
      </c>
      <c r="XFD1725" s="9">
        <f>SUM(C1725:XFC1725)</f>
        <v>321</v>
      </c>
    </row>
    <row r="1726" spans="1:6 16384:16384" s="9" customFormat="1" x14ac:dyDescent="0.25">
      <c r="B1726" s="4"/>
      <c r="C1726" s="5"/>
      <c r="E1726" s="10"/>
      <c r="F1726" s="8">
        <f>SUM(F1725:F1725)</f>
        <v>160</v>
      </c>
    </row>
    <row r="1727" spans="1:6 16384:16384" s="9" customFormat="1" x14ac:dyDescent="0.25">
      <c r="B1727" s="4"/>
      <c r="C1727" s="5"/>
      <c r="E1727" s="10"/>
      <c r="F1727" s="10"/>
    </row>
    <row r="1728" spans="1:6 16384:16384" s="9" customFormat="1" x14ac:dyDescent="0.25">
      <c r="A1728" s="9" t="s">
        <v>7</v>
      </c>
      <c r="B1728" s="4">
        <v>45831</v>
      </c>
      <c r="C1728" s="5">
        <v>1</v>
      </c>
      <c r="D1728" s="9" t="s">
        <v>13</v>
      </c>
      <c r="E1728" s="10">
        <v>160</v>
      </c>
      <c r="F1728" s="10">
        <f t="shared" si="26"/>
        <v>160</v>
      </c>
    </row>
    <row r="1729" spans="1:6" s="9" customFormat="1" x14ac:dyDescent="0.25">
      <c r="B1729" s="4"/>
      <c r="C1729" s="5">
        <v>1</v>
      </c>
      <c r="D1729" s="9" t="s">
        <v>8</v>
      </c>
      <c r="E1729" s="10">
        <v>170</v>
      </c>
      <c r="F1729" s="10">
        <f t="shared" si="26"/>
        <v>170</v>
      </c>
    </row>
    <row r="1730" spans="1:6" s="9" customFormat="1" x14ac:dyDescent="0.25">
      <c r="B1730" s="4"/>
      <c r="C1730" s="5"/>
      <c r="E1730" s="10"/>
      <c r="F1730" s="8">
        <f>SUM(F1728:F1729)</f>
        <v>330</v>
      </c>
    </row>
    <row r="1731" spans="1:6" s="9" customFormat="1" x14ac:dyDescent="0.25">
      <c r="B1731" s="4"/>
      <c r="C1731" s="5"/>
      <c r="E1731" s="10"/>
      <c r="F1731" s="10"/>
    </row>
    <row r="1732" spans="1:6" s="9" customFormat="1" x14ac:dyDescent="0.25">
      <c r="A1732" s="9" t="s">
        <v>61</v>
      </c>
      <c r="B1732" s="4">
        <v>45832</v>
      </c>
      <c r="C1732" s="5">
        <v>60</v>
      </c>
      <c r="D1732" s="9" t="s">
        <v>13</v>
      </c>
      <c r="E1732" s="10">
        <v>140</v>
      </c>
      <c r="F1732" s="10">
        <f t="shared" si="26"/>
        <v>8400</v>
      </c>
    </row>
    <row r="1733" spans="1:6" s="9" customFormat="1" x14ac:dyDescent="0.25">
      <c r="B1733" s="4"/>
      <c r="C1733" s="5"/>
      <c r="E1733" s="10"/>
      <c r="F1733" s="8">
        <f>SUM(F1732)</f>
        <v>8400</v>
      </c>
    </row>
    <row r="1734" spans="1:6" s="9" customFormat="1" x14ac:dyDescent="0.25">
      <c r="B1734" s="4"/>
      <c r="C1734" s="5"/>
      <c r="E1734" s="10"/>
      <c r="F1734" s="10"/>
    </row>
    <row r="1735" spans="1:6" s="9" customFormat="1" x14ac:dyDescent="0.25">
      <c r="A1735" s="9" t="s">
        <v>111</v>
      </c>
      <c r="B1735" s="4">
        <v>45832</v>
      </c>
      <c r="C1735" s="5">
        <v>30</v>
      </c>
      <c r="D1735" s="9" t="s">
        <v>13</v>
      </c>
      <c r="E1735" s="10">
        <v>140</v>
      </c>
      <c r="F1735" s="10">
        <f t="shared" si="26"/>
        <v>4200</v>
      </c>
    </row>
    <row r="1736" spans="1:6" s="9" customFormat="1" x14ac:dyDescent="0.25">
      <c r="B1736" s="4"/>
      <c r="C1736" s="5">
        <v>1</v>
      </c>
      <c r="D1736" s="9" t="s">
        <v>318</v>
      </c>
      <c r="E1736" s="10">
        <v>0</v>
      </c>
      <c r="F1736" s="10">
        <f t="shared" si="26"/>
        <v>0</v>
      </c>
    </row>
    <row r="1737" spans="1:6" s="9" customFormat="1" x14ac:dyDescent="0.25">
      <c r="B1737" s="4"/>
      <c r="C1737" s="5"/>
      <c r="E1737" s="10"/>
      <c r="F1737" s="8">
        <f>SUM(F1735:F1736)</f>
        <v>4200</v>
      </c>
    </row>
    <row r="1738" spans="1:6" s="9" customFormat="1" x14ac:dyDescent="0.25">
      <c r="B1738" s="4"/>
      <c r="C1738" s="5"/>
      <c r="E1738" s="10"/>
      <c r="F1738" s="10"/>
    </row>
    <row r="1739" spans="1:6" s="9" customFormat="1" x14ac:dyDescent="0.25">
      <c r="A1739" s="9" t="s">
        <v>112</v>
      </c>
      <c r="B1739" s="4">
        <v>45832</v>
      </c>
      <c r="C1739" s="5">
        <v>90</v>
      </c>
      <c r="D1739" s="9" t="s">
        <v>22</v>
      </c>
      <c r="E1739" s="10">
        <v>95</v>
      </c>
      <c r="F1739" s="10">
        <f t="shared" si="26"/>
        <v>8550</v>
      </c>
    </row>
    <row r="1740" spans="1:6" s="9" customFormat="1" x14ac:dyDescent="0.25">
      <c r="B1740" s="4"/>
      <c r="C1740" s="5">
        <v>40</v>
      </c>
      <c r="D1740" s="9" t="s">
        <v>50</v>
      </c>
      <c r="E1740" s="10">
        <v>95</v>
      </c>
      <c r="F1740" s="10">
        <f t="shared" si="26"/>
        <v>3800</v>
      </c>
    </row>
    <row r="1741" spans="1:6" s="9" customFormat="1" x14ac:dyDescent="0.25">
      <c r="B1741" s="4"/>
      <c r="C1741" s="5">
        <v>60</v>
      </c>
      <c r="D1741" s="9" t="s">
        <v>14</v>
      </c>
      <c r="E1741" s="10">
        <v>125</v>
      </c>
      <c r="F1741" s="10">
        <f t="shared" si="26"/>
        <v>7500</v>
      </c>
    </row>
    <row r="1742" spans="1:6" s="9" customFormat="1" x14ac:dyDescent="0.25">
      <c r="B1742" s="4"/>
      <c r="C1742" s="5"/>
      <c r="E1742" s="10"/>
      <c r="F1742" s="8">
        <f>SUM(F1739:F1741)</f>
        <v>19850</v>
      </c>
    </row>
    <row r="1743" spans="1:6" s="9" customFormat="1" x14ac:dyDescent="0.25">
      <c r="B1743" s="4"/>
      <c r="C1743" s="5"/>
      <c r="E1743" s="10"/>
      <c r="F1743" s="10"/>
    </row>
    <row r="1744" spans="1:6" s="9" customFormat="1" x14ac:dyDescent="0.25">
      <c r="A1744" s="9" t="s">
        <v>245</v>
      </c>
      <c r="B1744" s="4">
        <v>45832</v>
      </c>
      <c r="C1744" s="5">
        <v>110</v>
      </c>
      <c r="D1744" s="9" t="s">
        <v>13</v>
      </c>
      <c r="E1744" s="10">
        <v>140</v>
      </c>
      <c r="F1744" s="10">
        <f t="shared" si="26"/>
        <v>15400</v>
      </c>
    </row>
    <row r="1745" spans="1:6" s="9" customFormat="1" x14ac:dyDescent="0.25">
      <c r="B1745" s="4"/>
      <c r="C1745" s="5">
        <v>10</v>
      </c>
      <c r="D1745" s="9" t="s">
        <v>14</v>
      </c>
      <c r="E1745" s="10">
        <v>130</v>
      </c>
      <c r="F1745" s="10">
        <f t="shared" si="26"/>
        <v>1300</v>
      </c>
    </row>
    <row r="1746" spans="1:6" s="9" customFormat="1" x14ac:dyDescent="0.25">
      <c r="B1746" s="4"/>
      <c r="C1746" s="5">
        <v>3.27</v>
      </c>
      <c r="D1746" s="9" t="s">
        <v>318</v>
      </c>
      <c r="E1746" s="10">
        <v>0</v>
      </c>
      <c r="F1746" s="10">
        <f t="shared" si="26"/>
        <v>0</v>
      </c>
    </row>
    <row r="1747" spans="1:6" s="9" customFormat="1" x14ac:dyDescent="0.25">
      <c r="B1747" s="4"/>
      <c r="C1747" s="5"/>
      <c r="E1747" s="10"/>
      <c r="F1747" s="8">
        <f>SUM(F1744:F1746)</f>
        <v>16700</v>
      </c>
    </row>
    <row r="1748" spans="1:6" s="9" customFormat="1" x14ac:dyDescent="0.25">
      <c r="B1748" s="4"/>
      <c r="C1748" s="5"/>
      <c r="E1748" s="10"/>
      <c r="F1748" s="10"/>
    </row>
    <row r="1749" spans="1:6" s="9" customFormat="1" x14ac:dyDescent="0.25">
      <c r="A1749" s="9" t="s">
        <v>136</v>
      </c>
      <c r="B1749" s="4">
        <v>45832</v>
      </c>
      <c r="C1749" s="5">
        <v>12</v>
      </c>
      <c r="D1749" s="9" t="s">
        <v>449</v>
      </c>
      <c r="E1749" s="10">
        <v>140</v>
      </c>
      <c r="F1749" s="10">
        <f t="shared" si="26"/>
        <v>1680</v>
      </c>
    </row>
    <row r="1750" spans="1:6" s="9" customFormat="1" x14ac:dyDescent="0.25">
      <c r="B1750" s="4"/>
      <c r="C1750" s="5"/>
      <c r="E1750" s="10"/>
      <c r="F1750" s="8">
        <f>SUM(F1749)</f>
        <v>1680</v>
      </c>
    </row>
    <row r="1751" spans="1:6" s="9" customFormat="1" x14ac:dyDescent="0.25">
      <c r="B1751" s="4"/>
      <c r="C1751" s="5"/>
      <c r="E1751" s="10"/>
      <c r="F1751" s="10"/>
    </row>
    <row r="1752" spans="1:6" s="9" customFormat="1" x14ac:dyDescent="0.25">
      <c r="A1752" s="9" t="s">
        <v>44</v>
      </c>
      <c r="B1752" s="4">
        <v>45832</v>
      </c>
      <c r="C1752" s="5">
        <v>100</v>
      </c>
      <c r="D1752" s="9" t="s">
        <v>13</v>
      </c>
      <c r="E1752" s="10">
        <v>135</v>
      </c>
      <c r="F1752" s="10">
        <f t="shared" ref="F1752:F1772" si="27">+C1752*E1752</f>
        <v>13500</v>
      </c>
    </row>
    <row r="1753" spans="1:6" s="9" customFormat="1" x14ac:dyDescent="0.25">
      <c r="B1753" s="4"/>
      <c r="C1753" s="5"/>
      <c r="E1753" s="10"/>
      <c r="F1753" s="8">
        <f>SUM(F1752)</f>
        <v>13500</v>
      </c>
    </row>
    <row r="1754" spans="1:6" s="9" customFormat="1" x14ac:dyDescent="0.25">
      <c r="B1754" s="4"/>
      <c r="C1754" s="5"/>
      <c r="E1754" s="10"/>
      <c r="F1754" s="10"/>
    </row>
    <row r="1755" spans="1:6" s="9" customFormat="1" x14ac:dyDescent="0.25">
      <c r="A1755" s="9" t="s">
        <v>586</v>
      </c>
      <c r="B1755" s="4">
        <v>45832</v>
      </c>
      <c r="C1755" s="5">
        <v>8</v>
      </c>
      <c r="D1755" s="9" t="s">
        <v>12</v>
      </c>
      <c r="E1755" s="10">
        <v>135</v>
      </c>
      <c r="F1755" s="10">
        <f t="shared" si="27"/>
        <v>1080</v>
      </c>
    </row>
    <row r="1756" spans="1:6" s="9" customFormat="1" x14ac:dyDescent="0.25">
      <c r="B1756" s="4"/>
      <c r="C1756" s="5"/>
      <c r="E1756" s="10"/>
      <c r="F1756" s="8">
        <f>SUM(F1755)</f>
        <v>1080</v>
      </c>
    </row>
    <row r="1757" spans="1:6" s="9" customFormat="1" x14ac:dyDescent="0.25">
      <c r="B1757" s="4"/>
      <c r="C1757" s="5"/>
      <c r="E1757" s="10"/>
      <c r="F1757" s="10"/>
    </row>
    <row r="1758" spans="1:6" s="9" customFormat="1" x14ac:dyDescent="0.25">
      <c r="A1758" s="9" t="s">
        <v>191</v>
      </c>
      <c r="B1758" s="4">
        <v>45832</v>
      </c>
      <c r="C1758" s="5">
        <v>150</v>
      </c>
      <c r="D1758" s="9" t="s">
        <v>13</v>
      </c>
      <c r="E1758" s="10">
        <v>130</v>
      </c>
      <c r="F1758" s="10">
        <f t="shared" si="27"/>
        <v>19500</v>
      </c>
    </row>
    <row r="1759" spans="1:6" s="9" customFormat="1" x14ac:dyDescent="0.25">
      <c r="B1759" s="4"/>
      <c r="C1759" s="5">
        <v>100</v>
      </c>
      <c r="D1759" s="9" t="s">
        <v>14</v>
      </c>
      <c r="E1759" s="10">
        <v>125</v>
      </c>
      <c r="F1759" s="10">
        <f t="shared" si="27"/>
        <v>12500</v>
      </c>
    </row>
    <row r="1760" spans="1:6" s="9" customFormat="1" x14ac:dyDescent="0.25">
      <c r="B1760" s="4"/>
      <c r="C1760" s="5">
        <v>100</v>
      </c>
      <c r="D1760" s="9" t="s">
        <v>11</v>
      </c>
      <c r="E1760" s="10">
        <v>115</v>
      </c>
      <c r="F1760" s="10">
        <f t="shared" si="27"/>
        <v>11500</v>
      </c>
    </row>
    <row r="1761" spans="1:6" s="9" customFormat="1" x14ac:dyDescent="0.25">
      <c r="B1761" s="4"/>
      <c r="C1761" s="5"/>
      <c r="E1761" s="10"/>
      <c r="F1761" s="8">
        <f>SUM(F1758:F1760)</f>
        <v>43500</v>
      </c>
    </row>
    <row r="1762" spans="1:6" s="9" customFormat="1" x14ac:dyDescent="0.25">
      <c r="B1762" s="4"/>
      <c r="C1762" s="5"/>
      <c r="E1762" s="10"/>
      <c r="F1762" s="10"/>
    </row>
    <row r="1763" spans="1:6" s="9" customFormat="1" x14ac:dyDescent="0.25">
      <c r="A1763" s="9" t="s">
        <v>48</v>
      </c>
      <c r="B1763" s="4">
        <v>45832</v>
      </c>
      <c r="C1763" s="5">
        <v>60</v>
      </c>
      <c r="D1763" s="9" t="s">
        <v>14</v>
      </c>
      <c r="E1763" s="10"/>
      <c r="F1763" s="10">
        <f t="shared" si="27"/>
        <v>0</v>
      </c>
    </row>
    <row r="1764" spans="1:6" s="9" customFormat="1" x14ac:dyDescent="0.25">
      <c r="B1764" s="4"/>
      <c r="C1764" s="5">
        <v>100</v>
      </c>
      <c r="D1764" s="9" t="s">
        <v>11</v>
      </c>
      <c r="E1764" s="10"/>
      <c r="F1764" s="10">
        <f t="shared" si="27"/>
        <v>0</v>
      </c>
    </row>
    <row r="1765" spans="1:6" s="9" customFormat="1" x14ac:dyDescent="0.25">
      <c r="B1765" s="4"/>
      <c r="C1765" s="5">
        <v>80</v>
      </c>
      <c r="D1765" s="9" t="s">
        <v>50</v>
      </c>
      <c r="E1765" s="10"/>
      <c r="F1765" s="10">
        <f t="shared" si="27"/>
        <v>0</v>
      </c>
    </row>
    <row r="1766" spans="1:6" s="9" customFormat="1" x14ac:dyDescent="0.25">
      <c r="B1766" s="4"/>
      <c r="C1766" s="5"/>
      <c r="E1766" s="10"/>
      <c r="F1766" s="8">
        <f>SUM(F1763:F1765)</f>
        <v>0</v>
      </c>
    </row>
    <row r="1767" spans="1:6" s="9" customFormat="1" x14ac:dyDescent="0.25">
      <c r="B1767" s="4"/>
      <c r="C1767" s="5"/>
      <c r="E1767" s="10"/>
      <c r="F1767" s="10"/>
    </row>
    <row r="1768" spans="1:6" s="9" customFormat="1" x14ac:dyDescent="0.25">
      <c r="A1768" s="9" t="s">
        <v>48</v>
      </c>
      <c r="B1768" s="4">
        <v>45832</v>
      </c>
      <c r="C1768" s="5">
        <v>22</v>
      </c>
      <c r="D1768" s="9" t="s">
        <v>49</v>
      </c>
      <c r="E1768" s="10"/>
      <c r="F1768" s="10">
        <f t="shared" si="27"/>
        <v>0</v>
      </c>
    </row>
    <row r="1769" spans="1:6" s="9" customFormat="1" x14ac:dyDescent="0.25">
      <c r="B1769" s="4"/>
      <c r="C1769" s="5">
        <v>238</v>
      </c>
      <c r="D1769" s="9" t="s">
        <v>14</v>
      </c>
      <c r="E1769" s="10"/>
      <c r="F1769" s="10">
        <f t="shared" si="27"/>
        <v>0</v>
      </c>
    </row>
    <row r="1770" spans="1:6" s="9" customFormat="1" x14ac:dyDescent="0.25">
      <c r="B1770" s="4"/>
      <c r="C1770" s="5">
        <v>66</v>
      </c>
      <c r="D1770" s="9" t="s">
        <v>11</v>
      </c>
      <c r="E1770" s="10"/>
      <c r="F1770" s="10">
        <f t="shared" si="27"/>
        <v>0</v>
      </c>
    </row>
    <row r="1771" spans="1:6" s="9" customFormat="1" x14ac:dyDescent="0.25">
      <c r="B1771" s="4"/>
      <c r="C1771" s="5">
        <v>22</v>
      </c>
      <c r="D1771" s="9" t="s">
        <v>50</v>
      </c>
      <c r="E1771" s="10"/>
      <c r="F1771" s="10">
        <f t="shared" si="27"/>
        <v>0</v>
      </c>
    </row>
    <row r="1772" spans="1:6" s="9" customFormat="1" x14ac:dyDescent="0.25">
      <c r="B1772" s="4"/>
      <c r="C1772" s="5">
        <v>38</v>
      </c>
      <c r="D1772" s="9" t="s">
        <v>22</v>
      </c>
      <c r="E1772" s="10"/>
      <c r="F1772" s="10">
        <f t="shared" si="27"/>
        <v>0</v>
      </c>
    </row>
    <row r="1773" spans="1:6" s="9" customFormat="1" x14ac:dyDescent="0.25">
      <c r="B1773" s="4"/>
      <c r="C1773" s="5"/>
      <c r="E1773" s="10"/>
      <c r="F1773" s="8">
        <f>SUM(F1768:F1772)</f>
        <v>0</v>
      </c>
    </row>
    <row r="1774" spans="1:6" s="9" customFormat="1" x14ac:dyDescent="0.25">
      <c r="B1774" s="4"/>
      <c r="C1774" s="5"/>
      <c r="E1774" s="10"/>
      <c r="F1774" s="8"/>
    </row>
    <row r="1775" spans="1:6" s="9" customFormat="1" x14ac:dyDescent="0.25">
      <c r="A1775" s="9" t="s">
        <v>95</v>
      </c>
      <c r="B1775" s="4">
        <v>45832</v>
      </c>
      <c r="C1775" s="5">
        <v>20</v>
      </c>
      <c r="D1775" s="9" t="s">
        <v>13</v>
      </c>
      <c r="E1775" s="10">
        <v>150</v>
      </c>
      <c r="F1775" s="10">
        <f>+C1775*E1775</f>
        <v>3000</v>
      </c>
    </row>
    <row r="1776" spans="1:6" s="9" customFormat="1" x14ac:dyDescent="0.25">
      <c r="B1776" s="4"/>
      <c r="C1776" s="5"/>
      <c r="E1776" s="10"/>
      <c r="F1776" s="8">
        <f>SUM(F1775)</f>
        <v>3000</v>
      </c>
    </row>
    <row r="1777" spans="1:6" s="9" customFormat="1" x14ac:dyDescent="0.25">
      <c r="B1777" s="4"/>
      <c r="C1777" s="5"/>
      <c r="E1777" s="10"/>
      <c r="F1777" s="10"/>
    </row>
    <row r="1778" spans="1:6" s="9" customFormat="1" x14ac:dyDescent="0.25">
      <c r="A1778" s="9" t="s">
        <v>736</v>
      </c>
      <c r="B1778" s="4">
        <v>45832</v>
      </c>
      <c r="C1778" s="5">
        <v>2</v>
      </c>
      <c r="D1778" s="9" t="s">
        <v>12</v>
      </c>
      <c r="E1778" s="10">
        <v>140</v>
      </c>
      <c r="F1778" s="10">
        <f>+C1778*E1778</f>
        <v>280</v>
      </c>
    </row>
    <row r="1779" spans="1:6" s="9" customFormat="1" x14ac:dyDescent="0.25">
      <c r="B1779" s="4"/>
      <c r="C1779" s="5">
        <v>1</v>
      </c>
      <c r="D1779" s="9" t="s">
        <v>12</v>
      </c>
      <c r="E1779" s="10">
        <v>150</v>
      </c>
      <c r="F1779" s="10">
        <f t="shared" ref="F1779:F1785" si="28">+C1779*E1779</f>
        <v>150</v>
      </c>
    </row>
    <row r="1780" spans="1:6" s="9" customFormat="1" x14ac:dyDescent="0.25">
      <c r="B1780" s="4"/>
      <c r="C1780" s="5">
        <v>1</v>
      </c>
      <c r="D1780" s="9" t="s">
        <v>91</v>
      </c>
      <c r="E1780" s="10">
        <v>100</v>
      </c>
      <c r="F1780" s="10">
        <f t="shared" si="28"/>
        <v>100</v>
      </c>
    </row>
    <row r="1781" spans="1:6" s="9" customFormat="1" x14ac:dyDescent="0.25">
      <c r="B1781" s="4"/>
      <c r="C1781" s="5">
        <v>1</v>
      </c>
      <c r="D1781" s="9" t="s">
        <v>13</v>
      </c>
      <c r="E1781" s="10">
        <v>160</v>
      </c>
      <c r="F1781" s="10">
        <f t="shared" si="28"/>
        <v>160</v>
      </c>
    </row>
    <row r="1782" spans="1:6" s="9" customFormat="1" x14ac:dyDescent="0.25">
      <c r="B1782" s="4"/>
      <c r="C1782" s="5">
        <v>1</v>
      </c>
      <c r="D1782" s="9" t="s">
        <v>8</v>
      </c>
      <c r="E1782" s="10">
        <v>170</v>
      </c>
      <c r="F1782" s="10">
        <f t="shared" si="28"/>
        <v>170</v>
      </c>
    </row>
    <row r="1783" spans="1:6" s="9" customFormat="1" x14ac:dyDescent="0.25">
      <c r="B1783" s="4"/>
      <c r="C1783" s="5">
        <v>2</v>
      </c>
      <c r="D1783" s="9" t="s">
        <v>12</v>
      </c>
      <c r="E1783" s="10">
        <v>140</v>
      </c>
      <c r="F1783" s="10">
        <f t="shared" si="28"/>
        <v>280</v>
      </c>
    </row>
    <row r="1784" spans="1:6" s="9" customFormat="1" x14ac:dyDescent="0.25">
      <c r="B1784" s="4"/>
      <c r="C1784" s="5">
        <v>3</v>
      </c>
      <c r="D1784" s="9" t="s">
        <v>110</v>
      </c>
      <c r="E1784" s="10">
        <v>3.3332999999999999</v>
      </c>
      <c r="F1784" s="10">
        <f t="shared" si="28"/>
        <v>9.9999000000000002</v>
      </c>
    </row>
    <row r="1785" spans="1:6" s="9" customFormat="1" x14ac:dyDescent="0.25">
      <c r="B1785" s="4"/>
      <c r="C1785" s="5">
        <v>1</v>
      </c>
      <c r="D1785" s="9" t="s">
        <v>13</v>
      </c>
      <c r="E1785" s="10">
        <v>160</v>
      </c>
      <c r="F1785" s="10">
        <f t="shared" si="28"/>
        <v>160</v>
      </c>
    </row>
    <row r="1786" spans="1:6" s="9" customFormat="1" x14ac:dyDescent="0.25">
      <c r="B1786" s="4"/>
      <c r="C1786" s="5"/>
      <c r="E1786" s="10"/>
      <c r="F1786" s="8">
        <f>SUM(F1778:F1785)</f>
        <v>1309.9999</v>
      </c>
    </row>
    <row r="1787" spans="1:6" s="9" customFormat="1" x14ac:dyDescent="0.25">
      <c r="B1787" s="4"/>
      <c r="C1787" s="5"/>
      <c r="E1787" s="10"/>
      <c r="F1787" s="10"/>
    </row>
    <row r="1788" spans="1:6" s="9" customFormat="1" x14ac:dyDescent="0.25">
      <c r="A1788" s="9" t="s">
        <v>7</v>
      </c>
      <c r="B1788" s="4">
        <v>45832</v>
      </c>
      <c r="C1788" s="5">
        <v>2</v>
      </c>
      <c r="D1788" s="9" t="s">
        <v>8</v>
      </c>
      <c r="E1788" s="10">
        <v>170</v>
      </c>
      <c r="F1788" s="10">
        <f>+C1788*E1788</f>
        <v>340</v>
      </c>
    </row>
    <row r="1789" spans="1:6" s="9" customFormat="1" x14ac:dyDescent="0.25">
      <c r="B1789" s="4"/>
      <c r="C1789" s="5"/>
      <c r="E1789" s="10"/>
      <c r="F1789" s="8">
        <f>SUM(F1788)</f>
        <v>340</v>
      </c>
    </row>
    <row r="1790" spans="1:6" s="9" customFormat="1" x14ac:dyDescent="0.25">
      <c r="B1790" s="4"/>
      <c r="C1790" s="5"/>
      <c r="E1790" s="10"/>
      <c r="F1790" s="10"/>
    </row>
    <row r="1791" spans="1:6" s="9" customFormat="1" x14ac:dyDescent="0.25">
      <c r="A1791" s="9" t="s">
        <v>15</v>
      </c>
      <c r="B1791" s="4">
        <v>45832</v>
      </c>
      <c r="C1791" s="5">
        <v>40</v>
      </c>
      <c r="D1791" s="9" t="s">
        <v>98</v>
      </c>
      <c r="E1791" s="10">
        <v>80</v>
      </c>
      <c r="F1791" s="10">
        <f t="shared" ref="F1791:F1798" si="29">+C1791*E1791</f>
        <v>3200</v>
      </c>
    </row>
    <row r="1792" spans="1:6" s="9" customFormat="1" x14ac:dyDescent="0.25">
      <c r="B1792" s="4"/>
      <c r="C1792" s="5">
        <v>1</v>
      </c>
      <c r="D1792" s="9" t="s">
        <v>737</v>
      </c>
      <c r="E1792" s="10">
        <v>0</v>
      </c>
      <c r="F1792" s="10">
        <f t="shared" si="29"/>
        <v>0</v>
      </c>
    </row>
    <row r="1793" spans="1:6" s="9" customFormat="1" x14ac:dyDescent="0.25">
      <c r="B1793" s="4"/>
      <c r="C1793" s="5"/>
      <c r="E1793" s="10"/>
      <c r="F1793" s="8">
        <f>SUM(F1791:F1792)</f>
        <v>3200</v>
      </c>
    </row>
    <row r="1794" spans="1:6" s="9" customFormat="1" x14ac:dyDescent="0.25">
      <c r="B1794" s="4"/>
      <c r="C1794" s="5"/>
      <c r="E1794" s="10"/>
      <c r="F1794" s="10"/>
    </row>
    <row r="1795" spans="1:6" s="9" customFormat="1" x14ac:dyDescent="0.25">
      <c r="A1795" s="9" t="s">
        <v>58</v>
      </c>
      <c r="B1795" s="4">
        <v>45833</v>
      </c>
      <c r="C1795" s="5">
        <v>12</v>
      </c>
      <c r="D1795" s="9" t="s">
        <v>13</v>
      </c>
      <c r="E1795" s="10">
        <v>140</v>
      </c>
      <c r="F1795" s="10">
        <f t="shared" si="29"/>
        <v>1680</v>
      </c>
    </row>
    <row r="1796" spans="1:6" s="9" customFormat="1" x14ac:dyDescent="0.25">
      <c r="B1796" s="4"/>
      <c r="C1796" s="5"/>
      <c r="E1796" s="10"/>
      <c r="F1796" s="8">
        <f>SUM(F1795)</f>
        <v>1680</v>
      </c>
    </row>
    <row r="1797" spans="1:6" s="9" customFormat="1" x14ac:dyDescent="0.25">
      <c r="B1797" s="4"/>
      <c r="C1797" s="5"/>
      <c r="E1797" s="10"/>
      <c r="F1797" s="10"/>
    </row>
    <row r="1798" spans="1:6" s="9" customFormat="1" x14ac:dyDescent="0.25">
      <c r="A1798" s="9" t="s">
        <v>37</v>
      </c>
      <c r="B1798" s="4">
        <v>45833</v>
      </c>
      <c r="C1798" s="5">
        <v>15</v>
      </c>
      <c r="D1798" s="9" t="s">
        <v>12</v>
      </c>
      <c r="E1798" s="10">
        <v>135</v>
      </c>
      <c r="F1798" s="10">
        <f t="shared" si="29"/>
        <v>2025</v>
      </c>
    </row>
    <row r="1799" spans="1:6" s="9" customFormat="1" x14ac:dyDescent="0.25">
      <c r="B1799" s="4"/>
      <c r="C1799" s="5"/>
      <c r="E1799" s="10"/>
      <c r="F1799" s="8">
        <f>SUM(F1798)</f>
        <v>2025</v>
      </c>
    </row>
    <row r="1800" spans="1:6" s="9" customFormat="1" x14ac:dyDescent="0.25">
      <c r="B1800" s="4"/>
      <c r="C1800" s="5"/>
      <c r="E1800" s="10"/>
      <c r="F1800" s="10"/>
    </row>
    <row r="1801" spans="1:6" s="9" customFormat="1" x14ac:dyDescent="0.25">
      <c r="A1801" s="9" t="s">
        <v>17</v>
      </c>
      <c r="B1801" s="4">
        <v>45833</v>
      </c>
      <c r="C1801" s="5">
        <v>10</v>
      </c>
      <c r="D1801" s="9" t="s">
        <v>13</v>
      </c>
      <c r="E1801" s="10">
        <v>145</v>
      </c>
      <c r="F1801" s="10">
        <f>+C1801*E1801</f>
        <v>1450</v>
      </c>
    </row>
    <row r="1802" spans="1:6" s="9" customFormat="1" x14ac:dyDescent="0.25">
      <c r="B1802" s="4"/>
      <c r="C1802" s="5"/>
      <c r="E1802" s="10"/>
      <c r="F1802" s="8">
        <f>SUM(F1801)</f>
        <v>1450</v>
      </c>
    </row>
    <row r="1803" spans="1:6" s="9" customFormat="1" x14ac:dyDescent="0.25">
      <c r="B1803" s="4"/>
      <c r="C1803" s="5"/>
      <c r="E1803" s="10"/>
      <c r="F1803" s="10"/>
    </row>
    <row r="1804" spans="1:6" s="9" customFormat="1" x14ac:dyDescent="0.25">
      <c r="A1804" s="9" t="s">
        <v>39</v>
      </c>
      <c r="B1804" s="4">
        <v>45833</v>
      </c>
      <c r="C1804" s="5">
        <v>20</v>
      </c>
      <c r="D1804" s="9" t="s">
        <v>22</v>
      </c>
      <c r="E1804" s="10">
        <v>105</v>
      </c>
      <c r="F1804" s="10">
        <f>+C1804*E1804</f>
        <v>2100</v>
      </c>
    </row>
    <row r="1805" spans="1:6" s="9" customFormat="1" x14ac:dyDescent="0.25">
      <c r="B1805" s="4"/>
      <c r="C1805" s="5">
        <v>10</v>
      </c>
      <c r="D1805" s="9" t="s">
        <v>14</v>
      </c>
      <c r="E1805" s="10">
        <v>135</v>
      </c>
      <c r="F1805" s="10">
        <f>+C1805*E1805</f>
        <v>1350</v>
      </c>
    </row>
    <row r="1806" spans="1:6" s="9" customFormat="1" x14ac:dyDescent="0.25">
      <c r="B1806" s="4"/>
      <c r="C1806" s="5"/>
      <c r="E1806" s="10"/>
      <c r="F1806" s="8">
        <f>SUM(F1804:F1805)</f>
        <v>3450</v>
      </c>
    </row>
    <row r="1807" spans="1:6" s="9" customFormat="1" x14ac:dyDescent="0.25">
      <c r="B1807" s="4"/>
      <c r="C1807" s="5"/>
      <c r="E1807" s="10"/>
      <c r="F1807" s="10"/>
    </row>
    <row r="1808" spans="1:6" s="9" customFormat="1" x14ac:dyDescent="0.25">
      <c r="A1808" s="9" t="s">
        <v>80</v>
      </c>
      <c r="B1808" s="4">
        <v>45833</v>
      </c>
      <c r="C1808" s="5">
        <v>10</v>
      </c>
      <c r="D1808" s="9" t="s">
        <v>13</v>
      </c>
      <c r="E1808" s="10">
        <v>145</v>
      </c>
      <c r="F1808" s="10">
        <f>+C1808*E1808</f>
        <v>1450</v>
      </c>
    </row>
    <row r="1809" spans="1:6" s="9" customFormat="1" x14ac:dyDescent="0.25">
      <c r="B1809" s="4"/>
      <c r="C1809" s="5"/>
      <c r="E1809" s="10"/>
      <c r="F1809" s="8">
        <f>SUM(F1808)</f>
        <v>1450</v>
      </c>
    </row>
    <row r="1810" spans="1:6" s="9" customFormat="1" x14ac:dyDescent="0.25">
      <c r="B1810" s="4"/>
      <c r="C1810" s="5"/>
      <c r="E1810" s="10"/>
      <c r="F1810" s="10"/>
    </row>
    <row r="1811" spans="1:6" s="9" customFormat="1" x14ac:dyDescent="0.25">
      <c r="A1811" s="9" t="s">
        <v>673</v>
      </c>
      <c r="B1811" s="4">
        <v>45833</v>
      </c>
      <c r="C1811" s="5">
        <v>20</v>
      </c>
      <c r="D1811" s="9" t="s">
        <v>22</v>
      </c>
      <c r="E1811" s="10">
        <v>105</v>
      </c>
      <c r="F1811" s="10">
        <f>+C1811*E1811</f>
        <v>2100</v>
      </c>
    </row>
    <row r="1812" spans="1:6" s="9" customFormat="1" x14ac:dyDescent="0.25">
      <c r="B1812" s="4"/>
      <c r="C1812" s="5"/>
      <c r="E1812" s="10"/>
      <c r="F1812" s="8">
        <f>SUM(F1811)</f>
        <v>2100</v>
      </c>
    </row>
    <row r="1813" spans="1:6" s="9" customFormat="1" x14ac:dyDescent="0.25">
      <c r="B1813" s="4"/>
      <c r="C1813" s="5"/>
      <c r="E1813" s="10"/>
      <c r="F1813" s="10"/>
    </row>
    <row r="1814" spans="1:6" s="9" customFormat="1" x14ac:dyDescent="0.25">
      <c r="A1814" s="9" t="s">
        <v>41</v>
      </c>
      <c r="B1814" s="4">
        <v>45833</v>
      </c>
      <c r="C1814" s="5">
        <v>30</v>
      </c>
      <c r="D1814" s="9" t="s">
        <v>14</v>
      </c>
      <c r="E1814" s="10">
        <v>130</v>
      </c>
      <c r="F1814" s="10">
        <f t="shared" ref="F1814:F1877" si="30">+C1814*E1814</f>
        <v>3900</v>
      </c>
    </row>
    <row r="1815" spans="1:6" s="9" customFormat="1" x14ac:dyDescent="0.25">
      <c r="B1815" s="4"/>
      <c r="C1815" s="5"/>
      <c r="E1815" s="10"/>
      <c r="F1815" s="8">
        <f>SUM(F1814)</f>
        <v>3900</v>
      </c>
    </row>
    <row r="1816" spans="1:6" s="9" customFormat="1" x14ac:dyDescent="0.25">
      <c r="B1816" s="4"/>
      <c r="C1816" s="5"/>
      <c r="E1816" s="10"/>
      <c r="F1816" s="10"/>
    </row>
    <row r="1817" spans="1:6" s="9" customFormat="1" x14ac:dyDescent="0.25">
      <c r="A1817" s="9" t="s">
        <v>43</v>
      </c>
      <c r="B1817" s="4">
        <v>45833</v>
      </c>
      <c r="C1817" s="5">
        <v>18</v>
      </c>
      <c r="D1817" s="9" t="s">
        <v>49</v>
      </c>
      <c r="E1817" s="10">
        <v>140</v>
      </c>
      <c r="F1817" s="10">
        <f t="shared" si="30"/>
        <v>2520</v>
      </c>
    </row>
    <row r="1818" spans="1:6" s="9" customFormat="1" x14ac:dyDescent="0.25">
      <c r="B1818" s="4"/>
      <c r="C1818" s="5">
        <v>10</v>
      </c>
      <c r="D1818" s="9" t="s">
        <v>14</v>
      </c>
      <c r="E1818" s="10">
        <v>135</v>
      </c>
      <c r="F1818" s="10">
        <f t="shared" si="30"/>
        <v>1350</v>
      </c>
    </row>
    <row r="1819" spans="1:6" s="9" customFormat="1" x14ac:dyDescent="0.25">
      <c r="B1819" s="4"/>
      <c r="C1819" s="5"/>
      <c r="E1819" s="10"/>
      <c r="F1819" s="8">
        <f>SUM(F1817:F1818)</f>
        <v>3870</v>
      </c>
    </row>
    <row r="1820" spans="1:6" s="9" customFormat="1" x14ac:dyDescent="0.25">
      <c r="B1820" s="4"/>
      <c r="C1820" s="5"/>
      <c r="E1820" s="10"/>
      <c r="F1820" s="10"/>
    </row>
    <row r="1821" spans="1:6" s="9" customFormat="1" x14ac:dyDescent="0.25">
      <c r="A1821" s="9" t="s">
        <v>44</v>
      </c>
      <c r="B1821" s="4">
        <v>45833</v>
      </c>
      <c r="C1821" s="5">
        <v>30</v>
      </c>
      <c r="D1821" s="9" t="s">
        <v>14</v>
      </c>
      <c r="E1821" s="10">
        <v>135</v>
      </c>
      <c r="F1821" s="10">
        <f t="shared" si="30"/>
        <v>4050</v>
      </c>
    </row>
    <row r="1822" spans="1:6" s="9" customFormat="1" x14ac:dyDescent="0.25">
      <c r="B1822" s="4"/>
      <c r="C1822" s="5"/>
      <c r="E1822" s="10"/>
      <c r="F1822" s="8">
        <f>SUM(F1821)</f>
        <v>4050</v>
      </c>
    </row>
    <row r="1823" spans="1:6" s="9" customFormat="1" x14ac:dyDescent="0.25">
      <c r="B1823" s="4"/>
      <c r="C1823" s="5"/>
      <c r="E1823" s="10"/>
      <c r="F1823" s="10"/>
    </row>
    <row r="1824" spans="1:6" s="9" customFormat="1" x14ac:dyDescent="0.25">
      <c r="A1824" s="9" t="s">
        <v>18</v>
      </c>
      <c r="B1824" s="4">
        <v>45833</v>
      </c>
      <c r="C1824" s="5">
        <v>10</v>
      </c>
      <c r="D1824" s="9" t="s">
        <v>14</v>
      </c>
      <c r="E1824" s="10">
        <v>135</v>
      </c>
      <c r="F1824" s="10">
        <f t="shared" si="30"/>
        <v>1350</v>
      </c>
    </row>
    <row r="1825" spans="1:6" s="9" customFormat="1" x14ac:dyDescent="0.25">
      <c r="B1825" s="4"/>
      <c r="C1825" s="5"/>
      <c r="E1825" s="10"/>
      <c r="F1825" s="8">
        <f>SUM(F1824)</f>
        <v>1350</v>
      </c>
    </row>
    <row r="1826" spans="1:6" s="9" customFormat="1" x14ac:dyDescent="0.25">
      <c r="B1826" s="4"/>
      <c r="C1826" s="5"/>
      <c r="E1826" s="10"/>
      <c r="F1826" s="10"/>
    </row>
    <row r="1827" spans="1:6" s="9" customFormat="1" x14ac:dyDescent="0.25">
      <c r="A1827" s="9" t="s">
        <v>46</v>
      </c>
      <c r="B1827" s="4">
        <v>45833</v>
      </c>
      <c r="C1827" s="5">
        <v>20</v>
      </c>
      <c r="D1827" s="9" t="s">
        <v>14</v>
      </c>
      <c r="E1827" s="10">
        <v>135</v>
      </c>
      <c r="F1827" s="10">
        <f t="shared" si="30"/>
        <v>2700</v>
      </c>
    </row>
    <row r="1828" spans="1:6" s="9" customFormat="1" x14ac:dyDescent="0.25">
      <c r="B1828" s="4"/>
      <c r="C1828" s="5"/>
      <c r="E1828" s="10"/>
      <c r="F1828" s="8">
        <f>SUM(F1827)</f>
        <v>2700</v>
      </c>
    </row>
    <row r="1829" spans="1:6" s="9" customFormat="1" x14ac:dyDescent="0.25">
      <c r="B1829" s="4"/>
      <c r="C1829" s="5"/>
      <c r="E1829" s="10"/>
      <c r="F1829" s="10"/>
    </row>
    <row r="1830" spans="1:6" s="9" customFormat="1" x14ac:dyDescent="0.25">
      <c r="A1830" s="9" t="s">
        <v>45</v>
      </c>
      <c r="B1830" s="4">
        <v>45833</v>
      </c>
      <c r="C1830" s="5">
        <v>1</v>
      </c>
      <c r="D1830" s="9" t="s">
        <v>14</v>
      </c>
      <c r="E1830" s="10">
        <v>135</v>
      </c>
      <c r="F1830" s="10">
        <f t="shared" si="30"/>
        <v>135</v>
      </c>
    </row>
    <row r="1831" spans="1:6" s="9" customFormat="1" x14ac:dyDescent="0.25">
      <c r="B1831" s="4"/>
      <c r="C1831" s="5"/>
      <c r="E1831" s="10"/>
      <c r="F1831" s="8">
        <f>SUM(F1830)</f>
        <v>135</v>
      </c>
    </row>
    <row r="1832" spans="1:6" s="9" customFormat="1" x14ac:dyDescent="0.25">
      <c r="B1832" s="4"/>
      <c r="C1832" s="5"/>
      <c r="E1832" s="10"/>
      <c r="F1832" s="10"/>
    </row>
    <row r="1833" spans="1:6" s="9" customFormat="1" x14ac:dyDescent="0.25">
      <c r="A1833" s="9" t="s">
        <v>485</v>
      </c>
      <c r="B1833" s="4">
        <v>45833</v>
      </c>
      <c r="C1833" s="5">
        <v>150</v>
      </c>
      <c r="D1833" s="9" t="s">
        <v>14</v>
      </c>
      <c r="E1833" s="10">
        <v>125</v>
      </c>
      <c r="F1833" s="10">
        <f t="shared" si="30"/>
        <v>18750</v>
      </c>
    </row>
    <row r="1834" spans="1:6" s="9" customFormat="1" x14ac:dyDescent="0.25">
      <c r="B1834" s="4"/>
      <c r="C1834" s="5"/>
      <c r="E1834" s="10"/>
      <c r="F1834" s="8">
        <f>SUM(F1833)</f>
        <v>18750</v>
      </c>
    </row>
    <row r="1835" spans="1:6" s="9" customFormat="1" x14ac:dyDescent="0.25">
      <c r="B1835" s="4"/>
      <c r="C1835" s="5"/>
      <c r="E1835" s="10"/>
      <c r="F1835" s="10"/>
    </row>
    <row r="1836" spans="1:6" s="9" customFormat="1" x14ac:dyDescent="0.25">
      <c r="A1836" s="9" t="s">
        <v>26</v>
      </c>
      <c r="B1836" s="4">
        <v>45833</v>
      </c>
      <c r="C1836" s="5">
        <v>90</v>
      </c>
      <c r="D1836" s="9" t="s">
        <v>13</v>
      </c>
      <c r="E1836" s="10">
        <v>140</v>
      </c>
      <c r="F1836" s="10">
        <f t="shared" si="30"/>
        <v>12600</v>
      </c>
    </row>
    <row r="1837" spans="1:6" s="9" customFormat="1" x14ac:dyDescent="0.25">
      <c r="B1837" s="4"/>
      <c r="C1837" s="5">
        <v>30</v>
      </c>
      <c r="D1837" s="9" t="s">
        <v>14</v>
      </c>
      <c r="E1837" s="10">
        <v>130</v>
      </c>
      <c r="F1837" s="10">
        <f t="shared" si="30"/>
        <v>3900</v>
      </c>
    </row>
    <row r="1838" spans="1:6" s="9" customFormat="1" x14ac:dyDescent="0.25">
      <c r="B1838" s="4"/>
      <c r="C1838" s="5">
        <v>3.06</v>
      </c>
      <c r="D1838" s="9" t="s">
        <v>318</v>
      </c>
      <c r="E1838" s="10">
        <v>0</v>
      </c>
      <c r="F1838" s="10">
        <f t="shared" si="30"/>
        <v>0</v>
      </c>
    </row>
    <row r="1839" spans="1:6" s="9" customFormat="1" x14ac:dyDescent="0.25">
      <c r="B1839" s="4"/>
      <c r="C1839" s="5"/>
      <c r="E1839" s="10"/>
      <c r="F1839" s="8">
        <f>SUM(F1836:F1838)</f>
        <v>16500</v>
      </c>
    </row>
    <row r="1840" spans="1:6" s="9" customFormat="1" x14ac:dyDescent="0.25">
      <c r="B1840" s="4"/>
      <c r="C1840" s="5"/>
      <c r="E1840" s="10"/>
      <c r="F1840" s="10"/>
    </row>
    <row r="1841" spans="1:6" s="9" customFormat="1" x14ac:dyDescent="0.25">
      <c r="A1841" s="9" t="s">
        <v>72</v>
      </c>
      <c r="B1841" s="4">
        <v>45833</v>
      </c>
      <c r="C1841" s="5">
        <v>200</v>
      </c>
      <c r="D1841" s="9" t="s">
        <v>13</v>
      </c>
      <c r="E1841" s="10">
        <v>130</v>
      </c>
      <c r="F1841" s="10">
        <f t="shared" si="30"/>
        <v>26000</v>
      </c>
    </row>
    <row r="1842" spans="1:6" s="9" customFormat="1" x14ac:dyDescent="0.25">
      <c r="B1842" s="4"/>
      <c r="C1842" s="5">
        <v>100</v>
      </c>
      <c r="D1842" s="9" t="s">
        <v>12</v>
      </c>
      <c r="E1842" s="10">
        <v>120</v>
      </c>
      <c r="F1842" s="10">
        <f t="shared" si="30"/>
        <v>12000</v>
      </c>
    </row>
    <row r="1843" spans="1:6" s="9" customFormat="1" x14ac:dyDescent="0.25">
      <c r="B1843" s="4"/>
      <c r="C1843" s="5">
        <v>20</v>
      </c>
      <c r="D1843" s="9" t="s">
        <v>14</v>
      </c>
      <c r="E1843" s="10">
        <v>125</v>
      </c>
      <c r="F1843" s="10">
        <f t="shared" si="30"/>
        <v>2500</v>
      </c>
    </row>
    <row r="1844" spans="1:6" s="9" customFormat="1" x14ac:dyDescent="0.25">
      <c r="B1844" s="4"/>
      <c r="C1844" s="5">
        <v>80</v>
      </c>
      <c r="D1844" s="9" t="s">
        <v>11</v>
      </c>
      <c r="E1844" s="10">
        <v>115</v>
      </c>
      <c r="F1844" s="10">
        <f t="shared" si="30"/>
        <v>9200</v>
      </c>
    </row>
    <row r="1845" spans="1:6" s="9" customFormat="1" x14ac:dyDescent="0.25">
      <c r="B1845" s="4"/>
      <c r="C1845" s="5"/>
      <c r="E1845" s="10"/>
      <c r="F1845" s="8">
        <f>SUM(F1841:F1844)</f>
        <v>49700</v>
      </c>
    </row>
    <row r="1846" spans="1:6" s="9" customFormat="1" x14ac:dyDescent="0.25">
      <c r="B1846" s="4"/>
      <c r="C1846" s="5"/>
      <c r="E1846" s="10"/>
      <c r="F1846" s="10"/>
    </row>
    <row r="1847" spans="1:6" s="9" customFormat="1" x14ac:dyDescent="0.25">
      <c r="A1847" s="9" t="s">
        <v>88</v>
      </c>
      <c r="B1847" s="4">
        <v>45833</v>
      </c>
      <c r="C1847" s="5">
        <v>12</v>
      </c>
      <c r="D1847" s="9" t="s">
        <v>14</v>
      </c>
      <c r="E1847" s="10">
        <v>135</v>
      </c>
      <c r="F1847" s="10">
        <f t="shared" si="30"/>
        <v>1620</v>
      </c>
    </row>
    <row r="1848" spans="1:6" s="9" customFormat="1" x14ac:dyDescent="0.25">
      <c r="B1848" s="4"/>
      <c r="C1848" s="5">
        <v>5</v>
      </c>
      <c r="D1848" s="9" t="s">
        <v>13</v>
      </c>
      <c r="E1848" s="10">
        <v>145</v>
      </c>
      <c r="F1848" s="10">
        <f t="shared" si="30"/>
        <v>725</v>
      </c>
    </row>
    <row r="1849" spans="1:6" s="9" customFormat="1" x14ac:dyDescent="0.25">
      <c r="B1849" s="4"/>
      <c r="C1849" s="5"/>
      <c r="E1849" s="10"/>
      <c r="F1849" s="8">
        <f>SUM(F1847:F1848)</f>
        <v>2345</v>
      </c>
    </row>
    <row r="1850" spans="1:6" s="9" customFormat="1" x14ac:dyDescent="0.25">
      <c r="B1850" s="4"/>
      <c r="C1850" s="5"/>
      <c r="E1850" s="10"/>
      <c r="F1850" s="10"/>
    </row>
    <row r="1851" spans="1:6" s="9" customFormat="1" x14ac:dyDescent="0.25">
      <c r="A1851" s="9" t="s">
        <v>181</v>
      </c>
      <c r="B1851" s="4">
        <v>45833</v>
      </c>
      <c r="C1851" s="5">
        <v>500</v>
      </c>
      <c r="D1851" s="9" t="s">
        <v>22</v>
      </c>
      <c r="E1851" s="10"/>
      <c r="F1851" s="10">
        <f t="shared" si="30"/>
        <v>0</v>
      </c>
    </row>
    <row r="1852" spans="1:6" s="9" customFormat="1" x14ac:dyDescent="0.25">
      <c r="B1852" s="4"/>
      <c r="C1852" s="5">
        <v>300</v>
      </c>
      <c r="D1852" s="9" t="s">
        <v>738</v>
      </c>
      <c r="E1852" s="10"/>
      <c r="F1852" s="10">
        <f t="shared" si="30"/>
        <v>0</v>
      </c>
    </row>
    <row r="1853" spans="1:6" s="9" customFormat="1" x14ac:dyDescent="0.25">
      <c r="B1853" s="4"/>
      <c r="C1853" s="5"/>
      <c r="E1853" s="10"/>
      <c r="F1853" s="8">
        <f>SUM(F1851:F1852)</f>
        <v>0</v>
      </c>
    </row>
    <row r="1854" spans="1:6" s="9" customFormat="1" x14ac:dyDescent="0.25">
      <c r="B1854" s="4"/>
      <c r="C1854" s="5"/>
      <c r="E1854" s="10"/>
      <c r="F1854" s="10"/>
    </row>
    <row r="1855" spans="1:6" s="9" customFormat="1" x14ac:dyDescent="0.25">
      <c r="A1855" s="9" t="s">
        <v>76</v>
      </c>
      <c r="B1855" s="4">
        <v>45833</v>
      </c>
      <c r="C1855" s="5">
        <v>100</v>
      </c>
      <c r="D1855" s="9" t="s">
        <v>13</v>
      </c>
      <c r="E1855" s="10"/>
      <c r="F1855" s="10">
        <f t="shared" si="30"/>
        <v>0</v>
      </c>
    </row>
    <row r="1856" spans="1:6" s="9" customFormat="1" x14ac:dyDescent="0.25">
      <c r="B1856" s="4"/>
      <c r="C1856" s="5">
        <v>270</v>
      </c>
      <c r="D1856" s="9" t="s">
        <v>14</v>
      </c>
      <c r="E1856" s="10"/>
      <c r="F1856" s="10">
        <f t="shared" si="30"/>
        <v>0</v>
      </c>
    </row>
    <row r="1857" spans="1:6" s="9" customFormat="1" x14ac:dyDescent="0.25">
      <c r="B1857" s="4"/>
      <c r="C1857" s="5"/>
      <c r="E1857" s="10"/>
      <c r="F1857" s="8">
        <f>SUM(F1855:F1856)</f>
        <v>0</v>
      </c>
    </row>
    <row r="1858" spans="1:6" s="9" customFormat="1" x14ac:dyDescent="0.25">
      <c r="B1858" s="4"/>
      <c r="C1858" s="5"/>
      <c r="E1858" s="10"/>
      <c r="F1858" s="10"/>
    </row>
    <row r="1859" spans="1:6" s="9" customFormat="1" x14ac:dyDescent="0.25">
      <c r="A1859" s="9" t="s">
        <v>29</v>
      </c>
      <c r="B1859" s="4">
        <v>45833</v>
      </c>
      <c r="C1859" s="5">
        <v>1</v>
      </c>
      <c r="D1859" s="9" t="s">
        <v>22</v>
      </c>
      <c r="E1859" s="10">
        <v>110</v>
      </c>
      <c r="F1859" s="10">
        <f t="shared" si="30"/>
        <v>110</v>
      </c>
    </row>
    <row r="1860" spans="1:6" s="9" customFormat="1" x14ac:dyDescent="0.25">
      <c r="B1860" s="4"/>
      <c r="C1860" s="5">
        <v>1</v>
      </c>
      <c r="D1860" s="9" t="s">
        <v>54</v>
      </c>
      <c r="E1860" s="10">
        <v>0</v>
      </c>
      <c r="F1860" s="10">
        <f t="shared" si="30"/>
        <v>0</v>
      </c>
    </row>
    <row r="1861" spans="1:6" s="9" customFormat="1" x14ac:dyDescent="0.25">
      <c r="B1861" s="4"/>
      <c r="C1861" s="5">
        <v>1</v>
      </c>
      <c r="D1861" s="9" t="s">
        <v>8</v>
      </c>
      <c r="E1861" s="10">
        <v>170</v>
      </c>
      <c r="F1861" s="10">
        <f t="shared" si="30"/>
        <v>170</v>
      </c>
    </row>
    <row r="1862" spans="1:6" s="9" customFormat="1" x14ac:dyDescent="0.25">
      <c r="B1862" s="4"/>
      <c r="C1862" s="5">
        <v>3</v>
      </c>
      <c r="D1862" s="9" t="s">
        <v>8</v>
      </c>
      <c r="E1862" s="10">
        <v>160</v>
      </c>
      <c r="F1862" s="10">
        <f t="shared" si="30"/>
        <v>480</v>
      </c>
    </row>
    <row r="1863" spans="1:6" s="9" customFormat="1" x14ac:dyDescent="0.25">
      <c r="B1863" s="4"/>
      <c r="C1863" s="5"/>
      <c r="E1863" s="10"/>
      <c r="F1863" s="8">
        <f>SUM(F1859:F1862)</f>
        <v>760</v>
      </c>
    </row>
    <row r="1864" spans="1:6" s="9" customFormat="1" x14ac:dyDescent="0.25">
      <c r="B1864" s="4"/>
      <c r="C1864" s="5"/>
      <c r="E1864" s="10"/>
      <c r="F1864" s="10"/>
    </row>
    <row r="1865" spans="1:6" s="9" customFormat="1" x14ac:dyDescent="0.25">
      <c r="A1865" s="9" t="s">
        <v>7</v>
      </c>
      <c r="B1865" s="4">
        <v>45833</v>
      </c>
      <c r="C1865" s="5">
        <v>1</v>
      </c>
      <c r="D1865" s="9" t="s">
        <v>8</v>
      </c>
      <c r="E1865" s="10">
        <v>170</v>
      </c>
      <c r="F1865" s="10">
        <f t="shared" si="30"/>
        <v>170</v>
      </c>
    </row>
    <row r="1866" spans="1:6" s="9" customFormat="1" x14ac:dyDescent="0.25">
      <c r="B1866" s="4"/>
      <c r="C1866" s="5"/>
      <c r="E1866" s="10"/>
      <c r="F1866" s="8">
        <f>SUM(F1865)</f>
        <v>170</v>
      </c>
    </row>
    <row r="1867" spans="1:6" s="9" customFormat="1" x14ac:dyDescent="0.25">
      <c r="B1867" s="4"/>
      <c r="C1867" s="5"/>
      <c r="E1867" s="10"/>
      <c r="F1867" s="10"/>
    </row>
    <row r="1868" spans="1:6" s="9" customFormat="1" x14ac:dyDescent="0.25">
      <c r="A1868" s="9" t="s">
        <v>112</v>
      </c>
      <c r="B1868" s="4">
        <v>45834</v>
      </c>
      <c r="C1868" s="5">
        <v>70</v>
      </c>
      <c r="D1868" s="9" t="s">
        <v>424</v>
      </c>
      <c r="E1868" s="10">
        <v>95</v>
      </c>
      <c r="F1868" s="10">
        <f t="shared" si="30"/>
        <v>6650</v>
      </c>
    </row>
    <row r="1869" spans="1:6" s="9" customFormat="1" x14ac:dyDescent="0.25">
      <c r="B1869" s="4"/>
      <c r="C1869" s="5"/>
      <c r="E1869" s="10"/>
      <c r="F1869" s="8">
        <f>SUM(F1868)</f>
        <v>6650</v>
      </c>
    </row>
    <row r="1870" spans="1:6" s="9" customFormat="1" x14ac:dyDescent="0.25">
      <c r="B1870" s="4"/>
      <c r="C1870" s="5"/>
      <c r="E1870" s="10"/>
      <c r="F1870" s="10"/>
    </row>
    <row r="1871" spans="1:6" s="9" customFormat="1" x14ac:dyDescent="0.25">
      <c r="A1871" s="9" t="s">
        <v>111</v>
      </c>
      <c r="B1871" s="4">
        <v>45834</v>
      </c>
      <c r="C1871" s="5">
        <v>30</v>
      </c>
      <c r="D1871" s="9" t="s">
        <v>13</v>
      </c>
      <c r="E1871" s="10">
        <v>140</v>
      </c>
      <c r="F1871" s="10">
        <f t="shared" si="30"/>
        <v>4200</v>
      </c>
    </row>
    <row r="1872" spans="1:6" s="9" customFormat="1" x14ac:dyDescent="0.25">
      <c r="B1872" s="4"/>
      <c r="C1872" s="5"/>
      <c r="E1872" s="10"/>
      <c r="F1872" s="8">
        <f>SUM(F1871)</f>
        <v>4200</v>
      </c>
    </row>
    <row r="1873" spans="1:6" s="9" customFormat="1" x14ac:dyDescent="0.25">
      <c r="B1873" s="4"/>
      <c r="C1873" s="5"/>
      <c r="E1873" s="10"/>
      <c r="F1873" s="10"/>
    </row>
    <row r="1874" spans="1:6" s="9" customFormat="1" x14ac:dyDescent="0.25">
      <c r="A1874" s="9" t="s">
        <v>61</v>
      </c>
      <c r="B1874" s="4">
        <v>45834</v>
      </c>
      <c r="C1874" s="5">
        <v>60</v>
      </c>
      <c r="D1874" s="9" t="s">
        <v>13</v>
      </c>
      <c r="E1874" s="10">
        <v>140</v>
      </c>
      <c r="F1874" s="10">
        <f t="shared" si="30"/>
        <v>8400</v>
      </c>
    </row>
    <row r="1875" spans="1:6" s="9" customFormat="1" x14ac:dyDescent="0.25">
      <c r="B1875" s="4"/>
      <c r="C1875" s="5"/>
      <c r="E1875" s="10"/>
      <c r="F1875" s="8">
        <f>SUM(F1874)</f>
        <v>8400</v>
      </c>
    </row>
    <row r="1876" spans="1:6" s="9" customFormat="1" x14ac:dyDescent="0.25">
      <c r="B1876" s="4"/>
      <c r="C1876" s="5"/>
      <c r="E1876" s="10"/>
      <c r="F1876" s="10"/>
    </row>
    <row r="1877" spans="1:6" s="9" customFormat="1" x14ac:dyDescent="0.25">
      <c r="A1877" s="9" t="s">
        <v>62</v>
      </c>
      <c r="B1877" s="4">
        <v>45834</v>
      </c>
      <c r="C1877" s="5">
        <v>120</v>
      </c>
      <c r="D1877" s="9" t="s">
        <v>739</v>
      </c>
      <c r="E1877" s="10">
        <v>160</v>
      </c>
      <c r="F1877" s="10">
        <f t="shared" si="30"/>
        <v>19200</v>
      </c>
    </row>
    <row r="1878" spans="1:6" s="9" customFormat="1" x14ac:dyDescent="0.25">
      <c r="B1878" s="4"/>
      <c r="C1878" s="5">
        <v>10</v>
      </c>
      <c r="D1878" s="9" t="s">
        <v>12</v>
      </c>
      <c r="E1878" s="10">
        <v>130</v>
      </c>
      <c r="F1878" s="10">
        <f t="shared" ref="F1878:F1944" si="31">+C1878*E1878</f>
        <v>1300</v>
      </c>
    </row>
    <row r="1879" spans="1:6" s="9" customFormat="1" x14ac:dyDescent="0.25">
      <c r="B1879" s="4"/>
      <c r="C1879" s="5"/>
      <c r="E1879" s="10"/>
      <c r="F1879" s="8">
        <f>SUM(F1877:F1878)</f>
        <v>20500</v>
      </c>
    </row>
    <row r="1880" spans="1:6" s="9" customFormat="1" x14ac:dyDescent="0.25">
      <c r="B1880" s="4"/>
      <c r="C1880" s="5"/>
      <c r="E1880" s="10"/>
      <c r="F1880" s="10"/>
    </row>
    <row r="1881" spans="1:6" s="9" customFormat="1" x14ac:dyDescent="0.25">
      <c r="A1881" s="9" t="s">
        <v>127</v>
      </c>
      <c r="B1881" s="4">
        <v>45834</v>
      </c>
      <c r="C1881" s="5">
        <v>30</v>
      </c>
      <c r="D1881" s="9" t="s">
        <v>13</v>
      </c>
      <c r="E1881" s="10">
        <v>140</v>
      </c>
      <c r="F1881" s="10">
        <f t="shared" si="31"/>
        <v>4200</v>
      </c>
    </row>
    <row r="1882" spans="1:6" s="9" customFormat="1" x14ac:dyDescent="0.25">
      <c r="B1882" s="4"/>
      <c r="C1882" s="5"/>
      <c r="E1882" s="10"/>
      <c r="F1882" s="8">
        <f>SUM(F1881)</f>
        <v>4200</v>
      </c>
    </row>
    <row r="1883" spans="1:6" s="9" customFormat="1" x14ac:dyDescent="0.25">
      <c r="B1883" s="4"/>
      <c r="C1883" s="5"/>
      <c r="E1883" s="10"/>
      <c r="F1883" s="10"/>
    </row>
    <row r="1884" spans="1:6" s="9" customFormat="1" x14ac:dyDescent="0.25">
      <c r="A1884" s="9" t="s">
        <v>740</v>
      </c>
      <c r="B1884" s="4">
        <v>45834</v>
      </c>
      <c r="C1884" s="5">
        <v>10</v>
      </c>
      <c r="D1884" s="9" t="s">
        <v>8</v>
      </c>
      <c r="E1884" s="10">
        <v>145</v>
      </c>
      <c r="F1884" s="10">
        <f t="shared" si="31"/>
        <v>1450</v>
      </c>
    </row>
    <row r="1885" spans="1:6" s="9" customFormat="1" x14ac:dyDescent="0.25">
      <c r="B1885" s="4"/>
      <c r="C1885" s="5"/>
      <c r="E1885" s="10"/>
      <c r="F1885" s="8">
        <f>SUM(F1884)</f>
        <v>1450</v>
      </c>
    </row>
    <row r="1886" spans="1:6" s="9" customFormat="1" x14ac:dyDescent="0.25">
      <c r="B1886" s="4"/>
      <c r="C1886" s="5"/>
      <c r="E1886" s="10"/>
      <c r="F1886" s="10"/>
    </row>
    <row r="1887" spans="1:6" s="9" customFormat="1" x14ac:dyDescent="0.25">
      <c r="A1887" s="9" t="s">
        <v>89</v>
      </c>
      <c r="B1887" s="4">
        <v>45834</v>
      </c>
      <c r="C1887" s="5">
        <v>20</v>
      </c>
      <c r="D1887" s="9" t="s">
        <v>13</v>
      </c>
      <c r="E1887" s="10">
        <v>130</v>
      </c>
      <c r="F1887" s="10">
        <f t="shared" si="31"/>
        <v>2600</v>
      </c>
    </row>
    <row r="1888" spans="1:6" s="9" customFormat="1" x14ac:dyDescent="0.25">
      <c r="B1888" s="4"/>
      <c r="C1888" s="5">
        <v>30</v>
      </c>
      <c r="D1888" s="9" t="s">
        <v>22</v>
      </c>
      <c r="E1888" s="10">
        <v>100</v>
      </c>
      <c r="F1888" s="10">
        <f t="shared" si="31"/>
        <v>3000</v>
      </c>
    </row>
    <row r="1889" spans="1:6" s="9" customFormat="1" x14ac:dyDescent="0.25">
      <c r="B1889" s="4"/>
      <c r="C1889" s="5">
        <v>5</v>
      </c>
      <c r="D1889" s="9" t="s">
        <v>741</v>
      </c>
      <c r="E1889" s="10">
        <v>110</v>
      </c>
      <c r="F1889" s="10">
        <f t="shared" si="31"/>
        <v>550</v>
      </c>
    </row>
    <row r="1890" spans="1:6" s="9" customFormat="1" x14ac:dyDescent="0.25">
      <c r="B1890" s="4"/>
      <c r="C1890" s="5"/>
      <c r="E1890" s="10"/>
      <c r="F1890" s="8">
        <f>SUM(F1887:F1889)</f>
        <v>6150</v>
      </c>
    </row>
    <row r="1891" spans="1:6" s="9" customFormat="1" x14ac:dyDescent="0.25">
      <c r="B1891" s="4"/>
      <c r="C1891" s="5"/>
      <c r="E1891" s="10"/>
      <c r="F1891" s="10"/>
    </row>
    <row r="1892" spans="1:6" s="9" customFormat="1" x14ac:dyDescent="0.25">
      <c r="A1892" s="9" t="s">
        <v>76</v>
      </c>
      <c r="B1892" s="4">
        <v>45834</v>
      </c>
      <c r="C1892" s="5">
        <v>38</v>
      </c>
      <c r="D1892" s="9" t="s">
        <v>49</v>
      </c>
      <c r="E1892" s="10"/>
      <c r="F1892" s="10">
        <f t="shared" si="31"/>
        <v>0</v>
      </c>
    </row>
    <row r="1893" spans="1:6" s="9" customFormat="1" x14ac:dyDescent="0.25">
      <c r="B1893" s="4"/>
      <c r="C1893" s="5">
        <v>18</v>
      </c>
      <c r="D1893" s="9" t="s">
        <v>11</v>
      </c>
      <c r="E1893" s="10"/>
      <c r="F1893" s="10">
        <f t="shared" si="31"/>
        <v>0</v>
      </c>
    </row>
    <row r="1894" spans="1:6" s="9" customFormat="1" x14ac:dyDescent="0.25">
      <c r="B1894" s="4"/>
      <c r="C1894" s="5">
        <v>229</v>
      </c>
      <c r="D1894" s="9" t="s">
        <v>14</v>
      </c>
      <c r="E1894" s="10"/>
      <c r="F1894" s="10">
        <f t="shared" si="31"/>
        <v>0</v>
      </c>
    </row>
    <row r="1895" spans="1:6" s="9" customFormat="1" x14ac:dyDescent="0.25">
      <c r="B1895" s="4"/>
      <c r="C1895" s="5">
        <v>15</v>
      </c>
      <c r="D1895" s="9" t="s">
        <v>50</v>
      </c>
      <c r="E1895" s="10"/>
      <c r="F1895" s="10">
        <f t="shared" si="31"/>
        <v>0</v>
      </c>
    </row>
    <row r="1896" spans="1:6" s="9" customFormat="1" x14ac:dyDescent="0.25">
      <c r="B1896" s="4"/>
      <c r="C1896" s="5">
        <v>30</v>
      </c>
      <c r="D1896" s="9" t="s">
        <v>22</v>
      </c>
      <c r="E1896" s="10"/>
      <c r="F1896" s="10">
        <f t="shared" si="31"/>
        <v>0</v>
      </c>
    </row>
    <row r="1897" spans="1:6" s="9" customFormat="1" x14ac:dyDescent="0.25">
      <c r="B1897" s="4"/>
      <c r="C1897" s="5">
        <v>93</v>
      </c>
      <c r="D1897" s="9" t="s">
        <v>742</v>
      </c>
      <c r="E1897" s="10"/>
      <c r="F1897" s="10">
        <f t="shared" si="31"/>
        <v>0</v>
      </c>
    </row>
    <row r="1898" spans="1:6" s="9" customFormat="1" x14ac:dyDescent="0.25">
      <c r="B1898" s="4"/>
      <c r="C1898" s="5"/>
      <c r="E1898" s="10"/>
      <c r="F1898" s="8">
        <f>SUM(F1892:F1897)</f>
        <v>0</v>
      </c>
    </row>
    <row r="1899" spans="1:6" s="9" customFormat="1" x14ac:dyDescent="0.25">
      <c r="B1899" s="4"/>
      <c r="C1899" s="5"/>
      <c r="E1899" s="10"/>
      <c r="F1899" s="10"/>
    </row>
    <row r="1900" spans="1:6" s="9" customFormat="1" x14ac:dyDescent="0.25">
      <c r="A1900" s="9" t="s">
        <v>754</v>
      </c>
      <c r="B1900" s="4">
        <v>45834</v>
      </c>
      <c r="C1900" s="5">
        <v>20</v>
      </c>
      <c r="D1900" s="9" t="s">
        <v>13</v>
      </c>
      <c r="E1900" s="10">
        <v>135</v>
      </c>
      <c r="F1900" s="10">
        <f t="shared" si="31"/>
        <v>2700</v>
      </c>
    </row>
    <row r="1901" spans="1:6" s="9" customFormat="1" x14ac:dyDescent="0.25">
      <c r="B1901" s="4"/>
      <c r="C1901" s="5"/>
      <c r="E1901" s="10"/>
      <c r="F1901" s="8">
        <f>SUM(F1900)</f>
        <v>2700</v>
      </c>
    </row>
    <row r="1902" spans="1:6" s="9" customFormat="1" x14ac:dyDescent="0.25">
      <c r="B1902" s="4"/>
      <c r="C1902" s="5"/>
      <c r="E1902" s="10"/>
      <c r="F1902" s="10"/>
    </row>
    <row r="1903" spans="1:6" s="9" customFormat="1" x14ac:dyDescent="0.25">
      <c r="A1903" s="9" t="s">
        <v>101</v>
      </c>
      <c r="B1903" s="4">
        <v>45834</v>
      </c>
      <c r="C1903" s="5">
        <v>2</v>
      </c>
      <c r="D1903" s="9" t="s">
        <v>600</v>
      </c>
      <c r="E1903" s="10">
        <v>140</v>
      </c>
      <c r="F1903" s="10">
        <f t="shared" si="31"/>
        <v>280</v>
      </c>
    </row>
    <row r="1904" spans="1:6" s="9" customFormat="1" x14ac:dyDescent="0.25">
      <c r="B1904" s="4"/>
      <c r="C1904" s="5">
        <v>1</v>
      </c>
      <c r="D1904" s="9" t="s">
        <v>8</v>
      </c>
      <c r="E1904" s="10">
        <v>160</v>
      </c>
      <c r="F1904" s="10">
        <f t="shared" si="31"/>
        <v>160</v>
      </c>
    </row>
    <row r="1905" spans="1:6" s="9" customFormat="1" x14ac:dyDescent="0.25">
      <c r="B1905" s="4"/>
      <c r="C1905" s="5"/>
      <c r="E1905" s="10"/>
      <c r="F1905" s="8">
        <f>SUM(F1903:F1904)</f>
        <v>440</v>
      </c>
    </row>
    <row r="1906" spans="1:6" s="9" customFormat="1" x14ac:dyDescent="0.25">
      <c r="B1906" s="4"/>
      <c r="C1906" s="5"/>
      <c r="E1906" s="10"/>
      <c r="F1906" s="10"/>
    </row>
    <row r="1907" spans="1:6" s="9" customFormat="1" x14ac:dyDescent="0.25">
      <c r="A1907" s="9" t="s">
        <v>44</v>
      </c>
      <c r="B1907" s="4">
        <v>45835</v>
      </c>
      <c r="C1907" s="5">
        <v>10</v>
      </c>
      <c r="D1907" s="9" t="s">
        <v>13</v>
      </c>
      <c r="E1907" s="10">
        <v>140</v>
      </c>
      <c r="F1907" s="10">
        <f t="shared" si="31"/>
        <v>1400</v>
      </c>
    </row>
    <row r="1908" spans="1:6" s="9" customFormat="1" x14ac:dyDescent="0.25">
      <c r="B1908" s="4"/>
      <c r="C1908" s="5"/>
      <c r="E1908" s="10"/>
      <c r="F1908" s="8">
        <f>SUM(F1907)</f>
        <v>1400</v>
      </c>
    </row>
    <row r="1909" spans="1:6" s="9" customFormat="1" x14ac:dyDescent="0.25">
      <c r="B1909" s="4"/>
      <c r="C1909" s="5"/>
      <c r="E1909" s="10"/>
      <c r="F1909" s="10"/>
    </row>
    <row r="1910" spans="1:6" s="9" customFormat="1" x14ac:dyDescent="0.25">
      <c r="A1910" s="9" t="s">
        <v>724</v>
      </c>
      <c r="B1910" s="4">
        <v>45835</v>
      </c>
      <c r="C1910" s="5">
        <v>10</v>
      </c>
      <c r="D1910" s="9" t="s">
        <v>98</v>
      </c>
      <c r="E1910" s="10">
        <v>100</v>
      </c>
      <c r="F1910" s="10">
        <f t="shared" si="31"/>
        <v>1000</v>
      </c>
    </row>
    <row r="1911" spans="1:6" s="9" customFormat="1" x14ac:dyDescent="0.25">
      <c r="B1911" s="4"/>
      <c r="C1911" s="5"/>
      <c r="E1911" s="10"/>
      <c r="F1911" s="8">
        <f>SUM(F1910)</f>
        <v>1000</v>
      </c>
    </row>
    <row r="1912" spans="1:6" s="9" customFormat="1" x14ac:dyDescent="0.25">
      <c r="B1912" s="4"/>
      <c r="C1912" s="5"/>
      <c r="E1912" s="10"/>
      <c r="F1912" s="10"/>
    </row>
    <row r="1913" spans="1:6" s="9" customFormat="1" x14ac:dyDescent="0.25">
      <c r="A1913" s="9" t="s">
        <v>15</v>
      </c>
      <c r="B1913" s="4">
        <v>45835</v>
      </c>
      <c r="C1913" s="5">
        <v>40</v>
      </c>
      <c r="D1913" s="9" t="s">
        <v>98</v>
      </c>
      <c r="E1913" s="10">
        <v>80</v>
      </c>
      <c r="F1913" s="10">
        <f t="shared" si="31"/>
        <v>3200</v>
      </c>
    </row>
    <row r="1914" spans="1:6" s="9" customFormat="1" x14ac:dyDescent="0.25">
      <c r="B1914" s="4"/>
      <c r="C1914" s="5"/>
      <c r="E1914" s="10"/>
      <c r="F1914" s="8">
        <f>SUM(F1913)</f>
        <v>3200</v>
      </c>
    </row>
    <row r="1915" spans="1:6" s="9" customFormat="1" x14ac:dyDescent="0.25">
      <c r="B1915" s="4"/>
      <c r="C1915" s="5"/>
      <c r="E1915" s="10"/>
      <c r="F1915" s="10"/>
    </row>
    <row r="1916" spans="1:6" s="9" customFormat="1" x14ac:dyDescent="0.25">
      <c r="A1916" s="9" t="s">
        <v>40</v>
      </c>
      <c r="B1916" s="4">
        <v>45835</v>
      </c>
      <c r="C1916" s="5">
        <v>15</v>
      </c>
      <c r="D1916" s="9" t="s">
        <v>13</v>
      </c>
      <c r="E1916" s="10">
        <v>140</v>
      </c>
      <c r="F1916" s="10">
        <f t="shared" si="31"/>
        <v>2100</v>
      </c>
    </row>
    <row r="1917" spans="1:6" s="9" customFormat="1" x14ac:dyDescent="0.25">
      <c r="B1917" s="4"/>
      <c r="C1917" s="5">
        <v>15</v>
      </c>
      <c r="D1917" s="9" t="s">
        <v>22</v>
      </c>
      <c r="E1917" s="10">
        <v>105</v>
      </c>
      <c r="F1917" s="10">
        <f t="shared" si="31"/>
        <v>1575</v>
      </c>
    </row>
    <row r="1918" spans="1:6" s="9" customFormat="1" x14ac:dyDescent="0.25">
      <c r="B1918" s="4"/>
      <c r="C1918" s="5">
        <v>10</v>
      </c>
      <c r="D1918" s="9" t="s">
        <v>14</v>
      </c>
      <c r="E1918" s="10">
        <v>135</v>
      </c>
      <c r="F1918" s="10">
        <f t="shared" si="31"/>
        <v>1350</v>
      </c>
    </row>
    <row r="1919" spans="1:6" s="9" customFormat="1" x14ac:dyDescent="0.25">
      <c r="B1919" s="4"/>
      <c r="C1919" s="5"/>
      <c r="E1919" s="10"/>
      <c r="F1919" s="8">
        <f>SUM(F1916:F1918)</f>
        <v>5025</v>
      </c>
    </row>
    <row r="1920" spans="1:6" s="9" customFormat="1" x14ac:dyDescent="0.25">
      <c r="B1920" s="4"/>
      <c r="C1920" s="5"/>
      <c r="E1920" s="10"/>
      <c r="F1920" s="10"/>
    </row>
    <row r="1921" spans="1:6" s="9" customFormat="1" x14ac:dyDescent="0.25">
      <c r="A1921" s="9" t="s">
        <v>23</v>
      </c>
      <c r="B1921" s="4">
        <v>45835</v>
      </c>
      <c r="C1921" s="5">
        <v>20</v>
      </c>
      <c r="D1921" s="9" t="s">
        <v>22</v>
      </c>
      <c r="E1921" s="10">
        <v>105</v>
      </c>
      <c r="F1921" s="10">
        <f t="shared" si="31"/>
        <v>2100</v>
      </c>
    </row>
    <row r="1922" spans="1:6" s="9" customFormat="1" x14ac:dyDescent="0.25">
      <c r="B1922" s="4"/>
      <c r="C1922" s="5"/>
      <c r="E1922" s="10"/>
      <c r="F1922" s="8">
        <f>SUM(F1921)</f>
        <v>2100</v>
      </c>
    </row>
    <row r="1923" spans="1:6" s="9" customFormat="1" x14ac:dyDescent="0.25">
      <c r="B1923" s="4"/>
      <c r="C1923" s="5"/>
      <c r="E1923" s="10"/>
      <c r="F1923" s="10"/>
    </row>
    <row r="1924" spans="1:6" s="9" customFormat="1" x14ac:dyDescent="0.25">
      <c r="A1924" s="9" t="s">
        <v>673</v>
      </c>
      <c r="B1924" s="4">
        <v>45835</v>
      </c>
      <c r="C1924" s="5">
        <v>30</v>
      </c>
      <c r="D1924" s="9" t="s">
        <v>13</v>
      </c>
      <c r="E1924" s="10">
        <v>140</v>
      </c>
      <c r="F1924" s="10">
        <f t="shared" si="31"/>
        <v>4200</v>
      </c>
    </row>
    <row r="1925" spans="1:6" s="9" customFormat="1" x14ac:dyDescent="0.25">
      <c r="B1925" s="4"/>
      <c r="C1925" s="5"/>
      <c r="E1925" s="10"/>
      <c r="F1925" s="8">
        <f>SUM(F1924)</f>
        <v>4200</v>
      </c>
    </row>
    <row r="1926" spans="1:6" s="9" customFormat="1" x14ac:dyDescent="0.25">
      <c r="B1926" s="4"/>
      <c r="C1926" s="5"/>
      <c r="E1926" s="10"/>
      <c r="F1926" s="10"/>
    </row>
    <row r="1927" spans="1:6" s="9" customFormat="1" x14ac:dyDescent="0.25">
      <c r="A1927" s="9" t="s">
        <v>58</v>
      </c>
      <c r="B1927" s="4">
        <v>45835</v>
      </c>
      <c r="C1927" s="5">
        <v>10</v>
      </c>
      <c r="D1927" s="9" t="s">
        <v>13</v>
      </c>
      <c r="E1927" s="10">
        <v>140</v>
      </c>
      <c r="F1927" s="10">
        <f t="shared" si="31"/>
        <v>1400</v>
      </c>
    </row>
    <row r="1928" spans="1:6" s="9" customFormat="1" x14ac:dyDescent="0.25">
      <c r="B1928" s="4"/>
      <c r="C1928" s="5"/>
      <c r="E1928" s="10"/>
      <c r="F1928" s="8">
        <f>SUM(F1927)</f>
        <v>1400</v>
      </c>
    </row>
    <row r="1929" spans="1:6" s="9" customFormat="1" x14ac:dyDescent="0.25">
      <c r="B1929" s="4"/>
      <c r="C1929" s="5"/>
      <c r="E1929" s="10"/>
      <c r="F1929" s="10"/>
    </row>
    <row r="1930" spans="1:6" s="9" customFormat="1" x14ac:dyDescent="0.25">
      <c r="A1930" s="9" t="s">
        <v>18</v>
      </c>
      <c r="B1930" s="4">
        <v>45835</v>
      </c>
      <c r="C1930" s="5">
        <v>10</v>
      </c>
      <c r="D1930" s="9" t="s">
        <v>13</v>
      </c>
      <c r="E1930" s="10">
        <v>140</v>
      </c>
      <c r="F1930" s="10">
        <f t="shared" si="31"/>
        <v>1400</v>
      </c>
    </row>
    <row r="1931" spans="1:6" s="9" customFormat="1" x14ac:dyDescent="0.25">
      <c r="B1931" s="4"/>
      <c r="C1931" s="5">
        <v>10</v>
      </c>
      <c r="D1931" s="9" t="s">
        <v>11</v>
      </c>
      <c r="E1931" s="10">
        <v>130</v>
      </c>
      <c r="F1931" s="10">
        <f t="shared" si="31"/>
        <v>1300</v>
      </c>
    </row>
    <row r="1932" spans="1:6" s="9" customFormat="1" x14ac:dyDescent="0.25">
      <c r="B1932" s="4"/>
      <c r="C1932" s="5">
        <v>20</v>
      </c>
      <c r="D1932" s="9" t="s">
        <v>14</v>
      </c>
      <c r="E1932" s="10">
        <v>135</v>
      </c>
      <c r="F1932" s="10">
        <f t="shared" si="31"/>
        <v>2700</v>
      </c>
    </row>
    <row r="1933" spans="1:6" s="9" customFormat="1" x14ac:dyDescent="0.25">
      <c r="B1933" s="4"/>
      <c r="C1933" s="5"/>
      <c r="E1933" s="10"/>
      <c r="F1933" s="8">
        <f>SUM(F1930:F1932)</f>
        <v>5400</v>
      </c>
    </row>
    <row r="1934" spans="1:6" s="9" customFormat="1" x14ac:dyDescent="0.25">
      <c r="B1934" s="4"/>
      <c r="C1934" s="5"/>
      <c r="E1934" s="10"/>
      <c r="F1934" s="10"/>
    </row>
    <row r="1935" spans="1:6" s="9" customFormat="1" x14ac:dyDescent="0.25">
      <c r="A1935" s="9" t="s">
        <v>43</v>
      </c>
      <c r="B1935" s="4">
        <v>45835</v>
      </c>
      <c r="C1935" s="5">
        <v>50</v>
      </c>
      <c r="D1935" s="9" t="s">
        <v>49</v>
      </c>
      <c r="E1935" s="10">
        <v>145</v>
      </c>
      <c r="F1935" s="10">
        <f t="shared" si="31"/>
        <v>7250</v>
      </c>
    </row>
    <row r="1936" spans="1:6" s="9" customFormat="1" x14ac:dyDescent="0.25">
      <c r="B1936" s="4"/>
      <c r="C1936" s="5"/>
      <c r="E1936" s="10"/>
      <c r="F1936" s="8">
        <f>SUM(F1935)</f>
        <v>7250</v>
      </c>
    </row>
    <row r="1937" spans="1:6" s="9" customFormat="1" x14ac:dyDescent="0.25">
      <c r="B1937" s="4"/>
      <c r="C1937" s="5"/>
      <c r="E1937" s="10"/>
      <c r="F1937" s="10"/>
    </row>
    <row r="1938" spans="1:6" s="9" customFormat="1" x14ac:dyDescent="0.25">
      <c r="A1938" s="9" t="s">
        <v>382</v>
      </c>
      <c r="B1938" s="4">
        <v>45835</v>
      </c>
      <c r="C1938" s="5">
        <v>10</v>
      </c>
      <c r="D1938" s="9" t="s">
        <v>14</v>
      </c>
      <c r="E1938" s="10">
        <v>135</v>
      </c>
      <c r="F1938" s="10">
        <f t="shared" si="31"/>
        <v>1350</v>
      </c>
    </row>
    <row r="1939" spans="1:6" s="9" customFormat="1" x14ac:dyDescent="0.25">
      <c r="B1939" s="4"/>
      <c r="C1939" s="5"/>
      <c r="E1939" s="10"/>
      <c r="F1939" s="8">
        <f>SUM(F1938)</f>
        <v>1350</v>
      </c>
    </row>
    <row r="1940" spans="1:6" s="9" customFormat="1" x14ac:dyDescent="0.25">
      <c r="B1940" s="4"/>
      <c r="C1940" s="5"/>
      <c r="E1940" s="10"/>
      <c r="F1940" s="10"/>
    </row>
    <row r="1941" spans="1:6" s="9" customFormat="1" x14ac:dyDescent="0.25">
      <c r="A1941" s="9" t="s">
        <v>743</v>
      </c>
      <c r="B1941" s="4">
        <v>45835</v>
      </c>
      <c r="C1941" s="5">
        <v>30</v>
      </c>
      <c r="D1941" s="9" t="s">
        <v>14</v>
      </c>
      <c r="E1941" s="10">
        <v>130</v>
      </c>
      <c r="F1941" s="10">
        <f t="shared" si="31"/>
        <v>3900</v>
      </c>
    </row>
    <row r="1942" spans="1:6" s="9" customFormat="1" x14ac:dyDescent="0.25">
      <c r="B1942" s="4"/>
      <c r="C1942" s="5"/>
      <c r="E1942" s="10"/>
      <c r="F1942" s="8">
        <f>SUM(F1941)</f>
        <v>3900</v>
      </c>
    </row>
    <row r="1943" spans="1:6" s="9" customFormat="1" x14ac:dyDescent="0.25">
      <c r="B1943" s="4"/>
      <c r="C1943" s="5"/>
      <c r="E1943" s="10"/>
      <c r="F1943" s="10"/>
    </row>
    <row r="1944" spans="1:6" s="9" customFormat="1" x14ac:dyDescent="0.25">
      <c r="A1944" s="9" t="s">
        <v>383</v>
      </c>
      <c r="B1944" s="4">
        <v>45835</v>
      </c>
      <c r="C1944" s="5">
        <v>10</v>
      </c>
      <c r="D1944" s="9" t="s">
        <v>14</v>
      </c>
      <c r="E1944" s="10">
        <v>135</v>
      </c>
      <c r="F1944" s="10">
        <f t="shared" si="31"/>
        <v>1350</v>
      </c>
    </row>
    <row r="1945" spans="1:6" s="9" customFormat="1" x14ac:dyDescent="0.25">
      <c r="B1945" s="4"/>
      <c r="C1945" s="5"/>
      <c r="E1945" s="10"/>
      <c r="F1945" s="8">
        <f>SUM(F1944)</f>
        <v>1350</v>
      </c>
    </row>
    <row r="1946" spans="1:6" s="9" customFormat="1" x14ac:dyDescent="0.25">
      <c r="B1946" s="4"/>
      <c r="C1946" s="5"/>
      <c r="E1946" s="10"/>
      <c r="F1946" s="10"/>
    </row>
    <row r="1947" spans="1:6" s="9" customFormat="1" x14ac:dyDescent="0.25">
      <c r="A1947" s="9" t="s">
        <v>252</v>
      </c>
      <c r="B1947" s="4">
        <v>45835</v>
      </c>
      <c r="C1947" s="5">
        <v>2</v>
      </c>
      <c r="D1947" s="9" t="s">
        <v>187</v>
      </c>
      <c r="E1947" s="10">
        <v>135</v>
      </c>
      <c r="F1947" s="10">
        <f t="shared" ref="F1947:F1953" si="32">+C1947*E1947</f>
        <v>270</v>
      </c>
    </row>
    <row r="1948" spans="1:6" s="9" customFormat="1" x14ac:dyDescent="0.25">
      <c r="B1948" s="4"/>
      <c r="C1948" s="5"/>
      <c r="E1948" s="10"/>
      <c r="F1948" s="8">
        <f>SUM(F1947)</f>
        <v>270</v>
      </c>
    </row>
    <row r="1949" spans="1:6" s="9" customFormat="1" x14ac:dyDescent="0.25">
      <c r="B1949" s="4"/>
      <c r="C1949" s="5"/>
      <c r="E1949" s="10"/>
      <c r="F1949" s="10"/>
    </row>
    <row r="1950" spans="1:6" s="9" customFormat="1" x14ac:dyDescent="0.25">
      <c r="A1950" s="9" t="s">
        <v>44</v>
      </c>
      <c r="B1950" s="4">
        <v>45835</v>
      </c>
      <c r="C1950" s="5">
        <v>40</v>
      </c>
      <c r="D1950" s="9" t="s">
        <v>14</v>
      </c>
      <c r="E1950" s="10">
        <v>135</v>
      </c>
      <c r="F1950" s="10">
        <f t="shared" si="32"/>
        <v>5400</v>
      </c>
    </row>
    <row r="1951" spans="1:6" s="9" customFormat="1" x14ac:dyDescent="0.25">
      <c r="B1951" s="4"/>
      <c r="C1951" s="5"/>
      <c r="E1951" s="10"/>
      <c r="F1951" s="8">
        <f>SUM(F1950)</f>
        <v>5400</v>
      </c>
    </row>
    <row r="1952" spans="1:6" s="9" customFormat="1" x14ac:dyDescent="0.25">
      <c r="B1952" s="4"/>
      <c r="C1952" s="5"/>
      <c r="E1952" s="10"/>
      <c r="F1952" s="10"/>
    </row>
    <row r="1953" spans="1:6" s="9" customFormat="1" x14ac:dyDescent="0.25">
      <c r="A1953" s="9" t="s">
        <v>744</v>
      </c>
      <c r="B1953" s="4">
        <v>45835</v>
      </c>
      <c r="C1953" s="5">
        <v>5</v>
      </c>
      <c r="D1953" s="9" t="s">
        <v>14</v>
      </c>
      <c r="E1953" s="10">
        <v>135</v>
      </c>
      <c r="F1953" s="10">
        <f t="shared" si="32"/>
        <v>675</v>
      </c>
    </row>
    <row r="1954" spans="1:6" s="9" customFormat="1" x14ac:dyDescent="0.25">
      <c r="B1954" s="4"/>
      <c r="C1954" s="5"/>
      <c r="E1954" s="10"/>
      <c r="F1954" s="8">
        <f>SUM(F1953)</f>
        <v>675</v>
      </c>
    </row>
    <row r="1955" spans="1:6" s="9" customFormat="1" x14ac:dyDescent="0.25">
      <c r="B1955" s="4"/>
      <c r="C1955" s="5"/>
      <c r="E1955" s="10"/>
      <c r="F1955" s="10"/>
    </row>
    <row r="1956" spans="1:6" s="9" customFormat="1" x14ac:dyDescent="0.25">
      <c r="A1956" s="9" t="s">
        <v>85</v>
      </c>
      <c r="B1956" s="4">
        <v>45835</v>
      </c>
      <c r="C1956" s="5">
        <v>10</v>
      </c>
      <c r="D1956" s="9" t="s">
        <v>14</v>
      </c>
      <c r="E1956" s="10">
        <v>135</v>
      </c>
      <c r="F1956" s="10">
        <f>+C1956*E1956</f>
        <v>1350</v>
      </c>
    </row>
    <row r="1957" spans="1:6" s="9" customFormat="1" x14ac:dyDescent="0.25">
      <c r="B1957" s="4"/>
      <c r="C1957" s="5"/>
      <c r="E1957" s="10"/>
      <c r="F1957" s="8">
        <f>SUM(F1956)</f>
        <v>1350</v>
      </c>
    </row>
    <row r="1958" spans="1:6" s="9" customFormat="1" x14ac:dyDescent="0.25">
      <c r="B1958" s="4"/>
      <c r="C1958" s="5"/>
      <c r="E1958" s="10"/>
      <c r="F1958" s="10"/>
    </row>
    <row r="1959" spans="1:6" s="9" customFormat="1" x14ac:dyDescent="0.25">
      <c r="A1959" s="9" t="s">
        <v>205</v>
      </c>
      <c r="B1959" s="4">
        <v>45835</v>
      </c>
      <c r="C1959" s="5">
        <v>10</v>
      </c>
      <c r="D1959" s="9" t="s">
        <v>13</v>
      </c>
      <c r="E1959" s="10">
        <v>140</v>
      </c>
      <c r="F1959" s="10">
        <f t="shared" ref="F1959:F2020" si="33">+C1959*E1959</f>
        <v>1400</v>
      </c>
    </row>
    <row r="1960" spans="1:6" s="9" customFormat="1" x14ac:dyDescent="0.25">
      <c r="B1960" s="4"/>
      <c r="C1960" s="5"/>
      <c r="E1960" s="10"/>
      <c r="F1960" s="8">
        <f>SUM(F1959)</f>
        <v>1400</v>
      </c>
    </row>
    <row r="1961" spans="1:6" s="9" customFormat="1" x14ac:dyDescent="0.25">
      <c r="B1961" s="4"/>
      <c r="C1961" s="5"/>
      <c r="E1961" s="10"/>
      <c r="F1961" s="10"/>
    </row>
    <row r="1962" spans="1:6" s="9" customFormat="1" x14ac:dyDescent="0.25">
      <c r="A1962" s="9" t="s">
        <v>117</v>
      </c>
      <c r="B1962" s="4">
        <v>45835</v>
      </c>
      <c r="C1962" s="5">
        <v>5</v>
      </c>
      <c r="D1962" s="9" t="s">
        <v>483</v>
      </c>
      <c r="E1962" s="10">
        <v>145</v>
      </c>
      <c r="F1962" s="10">
        <f t="shared" si="33"/>
        <v>725</v>
      </c>
    </row>
    <row r="1963" spans="1:6" s="9" customFormat="1" x14ac:dyDescent="0.25">
      <c r="B1963" s="4"/>
      <c r="C1963" s="5"/>
      <c r="E1963" s="10"/>
      <c r="F1963" s="8">
        <f>SUM(F1962)</f>
        <v>725</v>
      </c>
    </row>
    <row r="1964" spans="1:6" s="9" customFormat="1" x14ac:dyDescent="0.25">
      <c r="B1964" s="4"/>
      <c r="C1964" s="5"/>
      <c r="E1964" s="10"/>
      <c r="F1964" s="10"/>
    </row>
    <row r="1965" spans="1:6" s="9" customFormat="1" x14ac:dyDescent="0.25">
      <c r="A1965" s="9" t="s">
        <v>734</v>
      </c>
      <c r="B1965" s="4">
        <v>45835</v>
      </c>
      <c r="C1965" s="5">
        <v>7</v>
      </c>
      <c r="D1965" s="9" t="s">
        <v>483</v>
      </c>
      <c r="E1965" s="10">
        <v>150</v>
      </c>
      <c r="F1965" s="10">
        <f t="shared" si="33"/>
        <v>1050</v>
      </c>
    </row>
    <row r="1966" spans="1:6" s="9" customFormat="1" x14ac:dyDescent="0.25">
      <c r="B1966" s="4"/>
      <c r="C1966" s="5"/>
      <c r="E1966" s="10"/>
      <c r="F1966" s="8">
        <f>SUM(F1965)</f>
        <v>1050</v>
      </c>
    </row>
    <row r="1967" spans="1:6" s="9" customFormat="1" x14ac:dyDescent="0.25">
      <c r="B1967" s="4"/>
      <c r="C1967" s="5"/>
      <c r="E1967" s="10"/>
      <c r="F1967" s="10"/>
    </row>
    <row r="1968" spans="1:6" s="9" customFormat="1" x14ac:dyDescent="0.25">
      <c r="A1968" s="9" t="s">
        <v>141</v>
      </c>
      <c r="B1968" s="4">
        <v>45835</v>
      </c>
      <c r="C1968" s="5">
        <v>10</v>
      </c>
      <c r="D1968" s="9" t="s">
        <v>8</v>
      </c>
      <c r="E1968" s="10">
        <v>160</v>
      </c>
      <c r="F1968" s="10">
        <f t="shared" si="33"/>
        <v>1600</v>
      </c>
    </row>
    <row r="1969" spans="1:6" s="9" customFormat="1" x14ac:dyDescent="0.25">
      <c r="B1969" s="4"/>
      <c r="C1969" s="5"/>
      <c r="E1969" s="10"/>
      <c r="F1969" s="8">
        <f>SUM(F1968)</f>
        <v>1600</v>
      </c>
    </row>
    <row r="1970" spans="1:6" s="9" customFormat="1" x14ac:dyDescent="0.25">
      <c r="B1970" s="4"/>
      <c r="C1970" s="5"/>
      <c r="E1970" s="10"/>
      <c r="F1970" s="10"/>
    </row>
    <row r="1971" spans="1:6" s="9" customFormat="1" x14ac:dyDescent="0.25">
      <c r="A1971" s="9" t="s">
        <v>245</v>
      </c>
      <c r="B1971" s="4">
        <v>45835</v>
      </c>
      <c r="C1971" s="5">
        <v>70</v>
      </c>
      <c r="D1971" s="9" t="s">
        <v>13</v>
      </c>
      <c r="E1971" s="10">
        <v>140</v>
      </c>
      <c r="F1971" s="10">
        <f t="shared" si="33"/>
        <v>9800</v>
      </c>
    </row>
    <row r="1972" spans="1:6" s="9" customFormat="1" x14ac:dyDescent="0.25">
      <c r="B1972" s="4"/>
      <c r="C1972" s="5">
        <v>10</v>
      </c>
      <c r="D1972" s="9" t="s">
        <v>745</v>
      </c>
      <c r="E1972" s="10">
        <v>130</v>
      </c>
      <c r="F1972" s="10">
        <f t="shared" si="33"/>
        <v>1300</v>
      </c>
    </row>
    <row r="1973" spans="1:6" s="9" customFormat="1" x14ac:dyDescent="0.25">
      <c r="B1973" s="4"/>
      <c r="C1973" s="5">
        <v>2.5</v>
      </c>
      <c r="D1973" s="9" t="s">
        <v>318</v>
      </c>
      <c r="E1973" s="10">
        <v>0</v>
      </c>
      <c r="F1973" s="10">
        <f t="shared" si="33"/>
        <v>0</v>
      </c>
    </row>
    <row r="1974" spans="1:6" s="9" customFormat="1" x14ac:dyDescent="0.25">
      <c r="B1974" s="4"/>
      <c r="C1974" s="5"/>
      <c r="E1974" s="10"/>
      <c r="F1974" s="8">
        <f>SUM(F1971:F1973)</f>
        <v>11100</v>
      </c>
    </row>
    <row r="1975" spans="1:6" s="9" customFormat="1" x14ac:dyDescent="0.25">
      <c r="B1975" s="4"/>
      <c r="C1975" s="5"/>
      <c r="E1975" s="10"/>
      <c r="F1975" s="10"/>
    </row>
    <row r="1976" spans="1:6" s="9" customFormat="1" x14ac:dyDescent="0.25">
      <c r="A1976" s="9" t="s">
        <v>112</v>
      </c>
      <c r="B1976" s="4">
        <v>45835</v>
      </c>
      <c r="C1976" s="5">
        <v>70</v>
      </c>
      <c r="D1976" s="9" t="s">
        <v>14</v>
      </c>
      <c r="E1976" s="10">
        <v>125</v>
      </c>
      <c r="F1976" s="10">
        <f t="shared" si="33"/>
        <v>8750</v>
      </c>
    </row>
    <row r="1977" spans="1:6" s="9" customFormat="1" x14ac:dyDescent="0.25">
      <c r="B1977" s="4"/>
      <c r="C1977" s="5">
        <v>24</v>
      </c>
      <c r="D1977" s="9" t="s">
        <v>50</v>
      </c>
      <c r="E1977" s="10">
        <v>95</v>
      </c>
      <c r="F1977" s="10">
        <f t="shared" si="33"/>
        <v>2280</v>
      </c>
    </row>
    <row r="1978" spans="1:6" s="9" customFormat="1" x14ac:dyDescent="0.25">
      <c r="B1978" s="4"/>
      <c r="C1978" s="5">
        <v>83</v>
      </c>
      <c r="D1978" s="9" t="s">
        <v>22</v>
      </c>
      <c r="E1978" s="10">
        <v>95</v>
      </c>
      <c r="F1978" s="10">
        <f t="shared" si="33"/>
        <v>7885</v>
      </c>
    </row>
    <row r="1979" spans="1:6" s="9" customFormat="1" x14ac:dyDescent="0.25">
      <c r="B1979" s="4"/>
      <c r="C1979" s="5"/>
      <c r="E1979" s="10"/>
      <c r="F1979" s="8">
        <f>SUM(F1976:F1978)</f>
        <v>18915</v>
      </c>
    </row>
    <row r="1980" spans="1:6" s="9" customFormat="1" x14ac:dyDescent="0.25">
      <c r="B1980" s="4"/>
      <c r="C1980" s="5"/>
      <c r="E1980" s="10"/>
      <c r="F1980" s="10"/>
    </row>
    <row r="1981" spans="1:6" s="9" customFormat="1" x14ac:dyDescent="0.25">
      <c r="A1981" s="9" t="s">
        <v>29</v>
      </c>
      <c r="B1981" s="4">
        <v>45835</v>
      </c>
      <c r="C1981" s="5">
        <v>1</v>
      </c>
      <c r="D1981" s="9" t="s">
        <v>13</v>
      </c>
      <c r="E1981" s="10">
        <v>160</v>
      </c>
      <c r="F1981" s="10">
        <f t="shared" si="33"/>
        <v>160</v>
      </c>
    </row>
    <row r="1982" spans="1:6" s="9" customFormat="1" x14ac:dyDescent="0.25">
      <c r="B1982" s="4"/>
      <c r="C1982" s="5">
        <v>1</v>
      </c>
      <c r="D1982" s="9" t="s">
        <v>8</v>
      </c>
      <c r="E1982" s="10">
        <v>170</v>
      </c>
      <c r="F1982" s="10">
        <f t="shared" si="33"/>
        <v>170</v>
      </c>
    </row>
    <row r="1983" spans="1:6" s="9" customFormat="1" x14ac:dyDescent="0.25">
      <c r="B1983" s="4"/>
      <c r="C1983" s="5"/>
      <c r="E1983" s="10"/>
      <c r="F1983" s="8">
        <f>SUM(F1981:F1982)</f>
        <v>330</v>
      </c>
    </row>
    <row r="1984" spans="1:6" s="9" customFormat="1" x14ac:dyDescent="0.25">
      <c r="B1984" s="4"/>
      <c r="C1984" s="5"/>
      <c r="E1984" s="10"/>
      <c r="F1984" s="10"/>
    </row>
    <row r="1985" spans="1:6" s="9" customFormat="1" x14ac:dyDescent="0.25">
      <c r="A1985" s="9" t="s">
        <v>7</v>
      </c>
      <c r="B1985" s="4">
        <v>45835</v>
      </c>
      <c r="C1985" s="5">
        <v>2</v>
      </c>
      <c r="D1985" s="9" t="s">
        <v>8</v>
      </c>
      <c r="E1985" s="10">
        <v>170</v>
      </c>
      <c r="F1985" s="10">
        <f t="shared" si="33"/>
        <v>340</v>
      </c>
    </row>
    <row r="1986" spans="1:6" s="9" customFormat="1" x14ac:dyDescent="0.25">
      <c r="B1986" s="4"/>
      <c r="C1986" s="5">
        <v>1</v>
      </c>
      <c r="D1986" s="9" t="s">
        <v>746</v>
      </c>
      <c r="E1986" s="10">
        <v>150</v>
      </c>
      <c r="F1986" s="10">
        <f t="shared" si="33"/>
        <v>150</v>
      </c>
    </row>
    <row r="1987" spans="1:6" s="9" customFormat="1" x14ac:dyDescent="0.25">
      <c r="B1987" s="4"/>
      <c r="C1987" s="5">
        <v>10</v>
      </c>
      <c r="D1987" s="9" t="s">
        <v>747</v>
      </c>
      <c r="E1987" s="10">
        <v>140</v>
      </c>
      <c r="F1987" s="10">
        <f t="shared" si="33"/>
        <v>1400</v>
      </c>
    </row>
    <row r="1988" spans="1:6" s="9" customFormat="1" x14ac:dyDescent="0.25">
      <c r="B1988" s="4"/>
      <c r="C1988" s="5"/>
      <c r="E1988" s="10"/>
      <c r="F1988" s="8">
        <f>SUM(F1985:F1987)</f>
        <v>1890</v>
      </c>
    </row>
    <row r="1989" spans="1:6" s="9" customFormat="1" x14ac:dyDescent="0.25">
      <c r="B1989" s="4"/>
      <c r="C1989" s="5"/>
      <c r="E1989" s="10"/>
      <c r="F1989" s="10"/>
    </row>
    <row r="1990" spans="1:6" s="9" customFormat="1" x14ac:dyDescent="0.25">
      <c r="A1990" s="9" t="s">
        <v>211</v>
      </c>
      <c r="B1990" s="4">
        <v>45836</v>
      </c>
      <c r="C1990" s="5">
        <v>12</v>
      </c>
      <c r="D1990" s="9" t="s">
        <v>98</v>
      </c>
      <c r="E1990" s="10">
        <v>100</v>
      </c>
      <c r="F1990" s="10">
        <f t="shared" si="33"/>
        <v>1200</v>
      </c>
    </row>
    <row r="1991" spans="1:6" s="9" customFormat="1" x14ac:dyDescent="0.25">
      <c r="B1991" s="4"/>
      <c r="C1991" s="5"/>
      <c r="E1991" s="10"/>
      <c r="F1991" s="8">
        <f>SUM(F1990)</f>
        <v>1200</v>
      </c>
    </row>
    <row r="1992" spans="1:6" s="9" customFormat="1" x14ac:dyDescent="0.25">
      <c r="B1992" s="4"/>
      <c r="C1992" s="5"/>
      <c r="E1992" s="10"/>
      <c r="F1992" s="10"/>
    </row>
    <row r="1993" spans="1:6" s="9" customFormat="1" x14ac:dyDescent="0.25">
      <c r="A1993" s="9" t="s">
        <v>748</v>
      </c>
      <c r="B1993" s="4">
        <v>45836</v>
      </c>
      <c r="C1993" s="5">
        <v>4</v>
      </c>
      <c r="D1993" s="9" t="s">
        <v>13</v>
      </c>
      <c r="E1993" s="10">
        <v>145</v>
      </c>
      <c r="F1993" s="10">
        <f t="shared" si="33"/>
        <v>580</v>
      </c>
    </row>
    <row r="1994" spans="1:6" s="9" customFormat="1" x14ac:dyDescent="0.25">
      <c r="B1994" s="4"/>
      <c r="C1994" s="5"/>
      <c r="E1994" s="10"/>
      <c r="F1994" s="8">
        <f>SUM(F1993)</f>
        <v>580</v>
      </c>
    </row>
    <row r="1995" spans="1:6" s="9" customFormat="1" x14ac:dyDescent="0.25">
      <c r="B1995" s="4"/>
      <c r="C1995" s="5"/>
      <c r="E1995" s="10"/>
      <c r="F1995" s="10"/>
    </row>
    <row r="1996" spans="1:6" s="9" customFormat="1" x14ac:dyDescent="0.25">
      <c r="A1996" s="9" t="s">
        <v>724</v>
      </c>
      <c r="B1996" s="4">
        <v>45836</v>
      </c>
      <c r="C1996" s="5">
        <v>10</v>
      </c>
      <c r="D1996" s="9" t="s">
        <v>98</v>
      </c>
      <c r="E1996" s="10">
        <v>100</v>
      </c>
      <c r="F1996" s="10">
        <f t="shared" si="33"/>
        <v>1000</v>
      </c>
    </row>
    <row r="1997" spans="1:6" s="9" customFormat="1" x14ac:dyDescent="0.25">
      <c r="B1997" s="4"/>
      <c r="C1997" s="5"/>
      <c r="E1997" s="10"/>
      <c r="F1997" s="8">
        <f>SUM(F1996)</f>
        <v>1000</v>
      </c>
    </row>
    <row r="1998" spans="1:6" s="9" customFormat="1" x14ac:dyDescent="0.25">
      <c r="B1998" s="4"/>
      <c r="C1998" s="5"/>
      <c r="E1998" s="10"/>
      <c r="F1998" s="10"/>
    </row>
    <row r="1999" spans="1:6" s="9" customFormat="1" x14ac:dyDescent="0.25">
      <c r="A1999" s="9" t="s">
        <v>18</v>
      </c>
      <c r="B1999" s="4">
        <v>45836</v>
      </c>
      <c r="C1999" s="5">
        <v>6</v>
      </c>
      <c r="D1999" s="9" t="s">
        <v>13</v>
      </c>
      <c r="E1999" s="10">
        <v>140</v>
      </c>
      <c r="F1999" s="10">
        <f t="shared" si="33"/>
        <v>840</v>
      </c>
    </row>
    <row r="2000" spans="1:6" s="9" customFormat="1" x14ac:dyDescent="0.25">
      <c r="B2000" s="4"/>
      <c r="C2000" s="5"/>
      <c r="E2000" s="10"/>
      <c r="F2000" s="8">
        <f>SUM(F1999)</f>
        <v>840</v>
      </c>
    </row>
    <row r="2001" spans="1:6" s="9" customFormat="1" x14ac:dyDescent="0.25">
      <c r="B2001" s="4"/>
      <c r="C2001" s="5"/>
      <c r="E2001" s="10"/>
      <c r="F2001" s="10"/>
    </row>
    <row r="2002" spans="1:6" s="9" customFormat="1" x14ac:dyDescent="0.25">
      <c r="A2002" s="9" t="s">
        <v>365</v>
      </c>
      <c r="B2002" s="4">
        <v>45836</v>
      </c>
      <c r="C2002" s="5">
        <v>15</v>
      </c>
      <c r="D2002" s="9" t="s">
        <v>483</v>
      </c>
      <c r="E2002" s="10">
        <v>145</v>
      </c>
      <c r="F2002" s="10">
        <f t="shared" si="33"/>
        <v>2175</v>
      </c>
    </row>
    <row r="2003" spans="1:6" s="9" customFormat="1" x14ac:dyDescent="0.25">
      <c r="B2003" s="4"/>
      <c r="C2003" s="5"/>
      <c r="E2003" s="10"/>
      <c r="F2003" s="8">
        <f>SUM(F2002)</f>
        <v>2175</v>
      </c>
    </row>
    <row r="2004" spans="1:6" s="9" customFormat="1" x14ac:dyDescent="0.25">
      <c r="B2004" s="4"/>
      <c r="C2004" s="5"/>
      <c r="E2004" s="10"/>
      <c r="F2004" s="10"/>
    </row>
    <row r="2005" spans="1:6" s="9" customFormat="1" x14ac:dyDescent="0.25">
      <c r="A2005" s="9" t="s">
        <v>17</v>
      </c>
      <c r="B2005" s="4">
        <v>45836</v>
      </c>
      <c r="C2005" s="5">
        <v>10</v>
      </c>
      <c r="D2005" s="9" t="s">
        <v>13</v>
      </c>
      <c r="E2005" s="10">
        <v>145</v>
      </c>
      <c r="F2005" s="10">
        <f t="shared" si="33"/>
        <v>1450</v>
      </c>
    </row>
    <row r="2006" spans="1:6" s="9" customFormat="1" x14ac:dyDescent="0.25">
      <c r="B2006" s="4"/>
      <c r="C2006" s="5"/>
      <c r="E2006" s="10"/>
      <c r="F2006" s="8">
        <f>SUM(F2005)</f>
        <v>1450</v>
      </c>
    </row>
    <row r="2007" spans="1:6" s="9" customFormat="1" x14ac:dyDescent="0.25">
      <c r="B2007" s="4"/>
      <c r="C2007" s="5"/>
      <c r="E2007" s="10"/>
      <c r="F2007" s="10"/>
    </row>
    <row r="2008" spans="1:6" s="9" customFormat="1" x14ac:dyDescent="0.25">
      <c r="A2008" s="9" t="s">
        <v>601</v>
      </c>
      <c r="B2008" s="4">
        <v>45836</v>
      </c>
      <c r="C2008" s="5">
        <v>10</v>
      </c>
      <c r="D2008" s="9" t="s">
        <v>13</v>
      </c>
      <c r="E2008" s="10">
        <v>140</v>
      </c>
      <c r="F2008" s="10">
        <f t="shared" si="33"/>
        <v>1400</v>
      </c>
    </row>
    <row r="2009" spans="1:6" s="9" customFormat="1" x14ac:dyDescent="0.25">
      <c r="B2009" s="4"/>
      <c r="C2009" s="5"/>
      <c r="E2009" s="10"/>
      <c r="F2009" s="8">
        <f>SUM(F2008)</f>
        <v>1400</v>
      </c>
    </row>
    <row r="2010" spans="1:6" s="9" customFormat="1" x14ac:dyDescent="0.25">
      <c r="B2010" s="4"/>
      <c r="C2010" s="5"/>
      <c r="E2010" s="10"/>
      <c r="F2010" s="10"/>
    </row>
    <row r="2011" spans="1:6" s="9" customFormat="1" x14ac:dyDescent="0.25">
      <c r="A2011" s="9" t="s">
        <v>673</v>
      </c>
      <c r="B2011" s="4">
        <v>45836</v>
      </c>
      <c r="C2011" s="5">
        <v>10</v>
      </c>
      <c r="D2011" s="9" t="s">
        <v>8</v>
      </c>
      <c r="E2011" s="10">
        <v>165</v>
      </c>
      <c r="F2011" s="10">
        <f t="shared" si="33"/>
        <v>1650</v>
      </c>
    </row>
    <row r="2012" spans="1:6" s="9" customFormat="1" x14ac:dyDescent="0.25">
      <c r="B2012" s="4"/>
      <c r="C2012" s="5">
        <v>10</v>
      </c>
      <c r="D2012" s="9" t="s">
        <v>14</v>
      </c>
      <c r="E2012" s="10">
        <v>135</v>
      </c>
      <c r="F2012" s="10">
        <f t="shared" si="33"/>
        <v>1350</v>
      </c>
    </row>
    <row r="2013" spans="1:6" s="9" customFormat="1" x14ac:dyDescent="0.25">
      <c r="B2013" s="4"/>
      <c r="C2013" s="5">
        <v>10</v>
      </c>
      <c r="D2013" s="9" t="s">
        <v>13</v>
      </c>
      <c r="E2013" s="10">
        <v>140</v>
      </c>
      <c r="F2013" s="10">
        <f t="shared" si="33"/>
        <v>1400</v>
      </c>
    </row>
    <row r="2014" spans="1:6" s="9" customFormat="1" x14ac:dyDescent="0.25">
      <c r="B2014" s="4"/>
      <c r="C2014" s="5">
        <v>15</v>
      </c>
      <c r="D2014" s="9" t="s">
        <v>12</v>
      </c>
      <c r="E2014" s="10">
        <v>130</v>
      </c>
      <c r="F2014" s="10">
        <f t="shared" si="33"/>
        <v>1950</v>
      </c>
    </row>
    <row r="2015" spans="1:6" s="9" customFormat="1" x14ac:dyDescent="0.25">
      <c r="B2015" s="4"/>
      <c r="C2015" s="5"/>
      <c r="E2015" s="10"/>
      <c r="F2015" s="8">
        <f>SUM(F2011:F2014)</f>
        <v>6350</v>
      </c>
    </row>
    <row r="2016" spans="1:6" s="9" customFormat="1" x14ac:dyDescent="0.25">
      <c r="B2016" s="4"/>
      <c r="C2016" s="5"/>
      <c r="E2016" s="10"/>
      <c r="F2016" s="10"/>
    </row>
    <row r="2017" spans="1:6" s="9" customFormat="1" x14ac:dyDescent="0.25">
      <c r="A2017" s="9" t="s">
        <v>57</v>
      </c>
      <c r="B2017" s="4">
        <v>45836</v>
      </c>
      <c r="C2017" s="5">
        <v>10</v>
      </c>
      <c r="D2017" s="9" t="s">
        <v>13</v>
      </c>
      <c r="E2017" s="10">
        <v>140</v>
      </c>
      <c r="F2017" s="10">
        <f t="shared" si="33"/>
        <v>1400</v>
      </c>
    </row>
    <row r="2018" spans="1:6" s="9" customFormat="1" x14ac:dyDescent="0.25">
      <c r="B2018" s="4"/>
      <c r="C2018" s="5"/>
      <c r="E2018" s="10"/>
      <c r="F2018" s="8">
        <f>SUM(F2017)</f>
        <v>1400</v>
      </c>
    </row>
    <row r="2019" spans="1:6" s="9" customFormat="1" x14ac:dyDescent="0.25">
      <c r="B2019" s="4"/>
      <c r="C2019" s="5"/>
      <c r="E2019" s="10"/>
      <c r="F2019" s="10"/>
    </row>
    <row r="2020" spans="1:6" s="9" customFormat="1" x14ac:dyDescent="0.25">
      <c r="A2020" s="9" t="s">
        <v>21</v>
      </c>
      <c r="B2020" s="4">
        <v>45836</v>
      </c>
      <c r="C2020" s="5">
        <v>10</v>
      </c>
      <c r="D2020" s="9" t="s">
        <v>14</v>
      </c>
      <c r="E2020" s="10">
        <v>135</v>
      </c>
      <c r="F2020" s="10">
        <f t="shared" si="33"/>
        <v>1350</v>
      </c>
    </row>
    <row r="2021" spans="1:6" s="9" customFormat="1" x14ac:dyDescent="0.25">
      <c r="B2021" s="4"/>
      <c r="C2021" s="5"/>
      <c r="E2021" s="10"/>
      <c r="F2021" s="8">
        <f>SUM(F2020)</f>
        <v>1350</v>
      </c>
    </row>
    <row r="2022" spans="1:6" s="9" customFormat="1" x14ac:dyDescent="0.25">
      <c r="B2022" s="4"/>
      <c r="C2022" s="5"/>
      <c r="E2022" s="10"/>
      <c r="F2022" s="10"/>
    </row>
    <row r="2023" spans="1:6" s="9" customFormat="1" x14ac:dyDescent="0.25">
      <c r="A2023" s="9" t="s">
        <v>25</v>
      </c>
      <c r="B2023" s="4">
        <v>45836</v>
      </c>
      <c r="C2023" s="5">
        <v>30</v>
      </c>
      <c r="D2023" s="9" t="s">
        <v>14</v>
      </c>
      <c r="E2023" s="10">
        <v>135</v>
      </c>
      <c r="F2023" s="10">
        <f t="shared" ref="F2023:F2084" si="34">+C2023*E2023</f>
        <v>4050</v>
      </c>
    </row>
    <row r="2024" spans="1:6" s="9" customFormat="1" x14ac:dyDescent="0.25">
      <c r="B2024" s="4"/>
      <c r="C2024" s="5"/>
      <c r="E2024" s="10"/>
      <c r="F2024" s="8">
        <f>SUM(F2023)</f>
        <v>4050</v>
      </c>
    </row>
    <row r="2025" spans="1:6" s="9" customFormat="1" x14ac:dyDescent="0.25">
      <c r="B2025" s="4"/>
      <c r="C2025" s="5"/>
      <c r="E2025" s="10"/>
      <c r="F2025" s="10"/>
    </row>
    <row r="2026" spans="1:6" s="9" customFormat="1" x14ac:dyDescent="0.25">
      <c r="A2026" s="9" t="s">
        <v>292</v>
      </c>
      <c r="B2026" s="4">
        <v>45836</v>
      </c>
      <c r="C2026" s="5">
        <v>6</v>
      </c>
      <c r="D2026" s="9" t="s">
        <v>13</v>
      </c>
      <c r="E2026" s="10">
        <v>130</v>
      </c>
      <c r="F2026" s="10">
        <f t="shared" si="34"/>
        <v>780</v>
      </c>
    </row>
    <row r="2027" spans="1:6" s="9" customFormat="1" x14ac:dyDescent="0.25">
      <c r="B2027" s="4"/>
      <c r="C2027" s="5">
        <v>4</v>
      </c>
      <c r="D2027" s="9" t="s">
        <v>14</v>
      </c>
      <c r="E2027" s="10">
        <v>130</v>
      </c>
      <c r="F2027" s="10">
        <f t="shared" si="34"/>
        <v>520</v>
      </c>
    </row>
    <row r="2028" spans="1:6" s="9" customFormat="1" x14ac:dyDescent="0.25">
      <c r="B2028" s="4"/>
      <c r="C2028" s="5"/>
      <c r="E2028" s="10"/>
      <c r="F2028" s="8">
        <f>SUM(F2026:F2027)</f>
        <v>1300</v>
      </c>
    </row>
    <row r="2029" spans="1:6" s="9" customFormat="1" x14ac:dyDescent="0.25">
      <c r="B2029" s="4"/>
      <c r="C2029" s="5"/>
      <c r="E2029" s="10"/>
      <c r="F2029" s="10"/>
    </row>
    <row r="2030" spans="1:6" s="9" customFormat="1" x14ac:dyDescent="0.25">
      <c r="A2030" s="9" t="s">
        <v>611</v>
      </c>
      <c r="B2030" s="4">
        <v>45836</v>
      </c>
      <c r="C2030" s="5">
        <v>10</v>
      </c>
      <c r="D2030" s="9" t="s">
        <v>13</v>
      </c>
      <c r="E2030" s="10">
        <v>140</v>
      </c>
      <c r="F2030" s="10">
        <f t="shared" si="34"/>
        <v>1400</v>
      </c>
    </row>
    <row r="2031" spans="1:6" s="9" customFormat="1" x14ac:dyDescent="0.25">
      <c r="B2031" s="4"/>
      <c r="C2031" s="5"/>
      <c r="E2031" s="10"/>
      <c r="F2031" s="8">
        <f>SUM(F2030)</f>
        <v>1400</v>
      </c>
    </row>
    <row r="2032" spans="1:6" s="9" customFormat="1" x14ac:dyDescent="0.25">
      <c r="B2032" s="4"/>
      <c r="C2032" s="5"/>
      <c r="E2032" s="10"/>
      <c r="F2032" s="10"/>
    </row>
    <row r="2033" spans="1:6" s="9" customFormat="1" x14ac:dyDescent="0.25">
      <c r="A2033" s="9" t="s">
        <v>151</v>
      </c>
      <c r="B2033" s="4">
        <v>45836</v>
      </c>
      <c r="C2033" s="5">
        <v>100</v>
      </c>
      <c r="D2033" s="9" t="s">
        <v>424</v>
      </c>
      <c r="E2033" s="10">
        <v>95</v>
      </c>
      <c r="F2033" s="10">
        <f t="shared" si="34"/>
        <v>9500</v>
      </c>
    </row>
    <row r="2034" spans="1:6" s="9" customFormat="1" x14ac:dyDescent="0.25">
      <c r="B2034" s="4"/>
      <c r="C2034" s="5"/>
      <c r="E2034" s="10"/>
      <c r="F2034" s="8">
        <f>SUM(F2033)</f>
        <v>9500</v>
      </c>
    </row>
    <row r="2035" spans="1:6" s="9" customFormat="1" x14ac:dyDescent="0.25">
      <c r="B2035" s="4"/>
      <c r="C2035" s="5"/>
      <c r="E2035" s="10"/>
      <c r="F2035" s="10"/>
    </row>
    <row r="2036" spans="1:6" s="9" customFormat="1" x14ac:dyDescent="0.25">
      <c r="A2036" s="9" t="s">
        <v>61</v>
      </c>
      <c r="B2036" s="4">
        <v>45836</v>
      </c>
      <c r="C2036" s="5">
        <v>50</v>
      </c>
      <c r="D2036" s="9" t="s">
        <v>13</v>
      </c>
      <c r="E2036" s="10">
        <v>140</v>
      </c>
      <c r="F2036" s="10">
        <f t="shared" si="34"/>
        <v>7000</v>
      </c>
    </row>
    <row r="2037" spans="1:6" s="9" customFormat="1" x14ac:dyDescent="0.25">
      <c r="B2037" s="4"/>
      <c r="C2037" s="5"/>
      <c r="E2037" s="10"/>
      <c r="F2037" s="8">
        <f>SUM(F2036)</f>
        <v>7000</v>
      </c>
    </row>
    <row r="2038" spans="1:6" s="9" customFormat="1" x14ac:dyDescent="0.25">
      <c r="B2038" s="4"/>
      <c r="C2038" s="5"/>
      <c r="E2038" s="10"/>
      <c r="F2038" s="10"/>
    </row>
    <row r="2039" spans="1:6" s="9" customFormat="1" x14ac:dyDescent="0.25">
      <c r="A2039" s="9" t="s">
        <v>111</v>
      </c>
      <c r="B2039" s="4">
        <v>45836</v>
      </c>
      <c r="C2039" s="5">
        <v>30</v>
      </c>
      <c r="D2039" s="9" t="s">
        <v>13</v>
      </c>
      <c r="E2039" s="10">
        <v>140</v>
      </c>
      <c r="F2039" s="10">
        <f t="shared" si="34"/>
        <v>4200</v>
      </c>
    </row>
    <row r="2040" spans="1:6" s="9" customFormat="1" x14ac:dyDescent="0.25">
      <c r="B2040" s="4"/>
      <c r="C2040" s="5"/>
      <c r="E2040" s="10"/>
      <c r="F2040" s="8">
        <f>SUM(F2039)</f>
        <v>4200</v>
      </c>
    </row>
    <row r="2041" spans="1:6" s="9" customFormat="1" x14ac:dyDescent="0.25">
      <c r="B2041" s="4"/>
      <c r="C2041" s="5"/>
      <c r="E2041" s="10"/>
      <c r="F2041" s="10"/>
    </row>
    <row r="2042" spans="1:6" s="9" customFormat="1" x14ac:dyDescent="0.25">
      <c r="A2042" s="9" t="s">
        <v>66</v>
      </c>
      <c r="B2042" s="4">
        <v>45836</v>
      </c>
      <c r="C2042" s="5">
        <v>20</v>
      </c>
      <c r="D2042" s="9" t="s">
        <v>8</v>
      </c>
      <c r="E2042" s="10">
        <v>160</v>
      </c>
      <c r="F2042" s="10">
        <f t="shared" si="34"/>
        <v>3200</v>
      </c>
    </row>
    <row r="2043" spans="1:6" s="9" customFormat="1" x14ac:dyDescent="0.25">
      <c r="B2043" s="4"/>
      <c r="C2043" s="5"/>
      <c r="E2043" s="10"/>
      <c r="F2043" s="8">
        <f>SUM(F2042)</f>
        <v>3200</v>
      </c>
    </row>
    <row r="2044" spans="1:6" s="9" customFormat="1" x14ac:dyDescent="0.25">
      <c r="B2044" s="4"/>
      <c r="C2044" s="5"/>
      <c r="E2044" s="10"/>
      <c r="F2044" s="10"/>
    </row>
    <row r="2045" spans="1:6" s="9" customFormat="1" x14ac:dyDescent="0.25">
      <c r="A2045" s="9" t="s">
        <v>113</v>
      </c>
      <c r="B2045" s="4">
        <v>45836</v>
      </c>
      <c r="C2045" s="5">
        <v>10</v>
      </c>
      <c r="D2045" s="9" t="s">
        <v>8</v>
      </c>
      <c r="E2045" s="10">
        <v>160</v>
      </c>
      <c r="F2045" s="10">
        <f t="shared" si="34"/>
        <v>1600</v>
      </c>
    </row>
    <row r="2046" spans="1:6" s="9" customFormat="1" x14ac:dyDescent="0.25">
      <c r="B2046" s="4"/>
      <c r="C2046" s="5">
        <v>10</v>
      </c>
      <c r="D2046" s="9" t="s">
        <v>13</v>
      </c>
      <c r="E2046" s="10">
        <v>140</v>
      </c>
      <c r="F2046" s="10">
        <f t="shared" si="34"/>
        <v>1400</v>
      </c>
    </row>
    <row r="2047" spans="1:6" s="9" customFormat="1" x14ac:dyDescent="0.25">
      <c r="B2047" s="4"/>
      <c r="C2047" s="5"/>
      <c r="E2047" s="10"/>
      <c r="F2047" s="8">
        <f>SUM(F2045:F2046)</f>
        <v>3000</v>
      </c>
    </row>
    <row r="2048" spans="1:6" s="9" customFormat="1" x14ac:dyDescent="0.25">
      <c r="B2048" s="4"/>
      <c r="C2048" s="5"/>
      <c r="E2048" s="10"/>
      <c r="F2048" s="10"/>
    </row>
    <row r="2049" spans="1:6" s="9" customFormat="1" x14ac:dyDescent="0.25">
      <c r="A2049" s="9" t="s">
        <v>59</v>
      </c>
      <c r="B2049" s="4">
        <v>45836</v>
      </c>
      <c r="C2049" s="5">
        <v>30</v>
      </c>
      <c r="D2049" s="9" t="s">
        <v>13</v>
      </c>
      <c r="E2049" s="10">
        <v>140</v>
      </c>
      <c r="F2049" s="10">
        <f t="shared" si="34"/>
        <v>4200</v>
      </c>
    </row>
    <row r="2050" spans="1:6" s="9" customFormat="1" x14ac:dyDescent="0.25">
      <c r="B2050" s="4"/>
      <c r="C2050" s="5"/>
      <c r="E2050" s="10"/>
      <c r="F2050" s="8">
        <f>SUM(F2049)</f>
        <v>4200</v>
      </c>
    </row>
    <row r="2051" spans="1:6" s="9" customFormat="1" x14ac:dyDescent="0.25">
      <c r="B2051" s="4"/>
      <c r="C2051" s="5"/>
      <c r="E2051" s="10"/>
      <c r="F2051" s="10"/>
    </row>
    <row r="2052" spans="1:6" s="9" customFormat="1" x14ac:dyDescent="0.25">
      <c r="A2052" s="9" t="s">
        <v>661</v>
      </c>
      <c r="B2052" s="4">
        <v>45836</v>
      </c>
      <c r="C2052" s="5">
        <v>6</v>
      </c>
      <c r="D2052" s="9" t="s">
        <v>323</v>
      </c>
      <c r="E2052" s="10">
        <v>145</v>
      </c>
      <c r="F2052" s="10">
        <f t="shared" si="34"/>
        <v>870</v>
      </c>
    </row>
    <row r="2053" spans="1:6" s="9" customFormat="1" x14ac:dyDescent="0.25">
      <c r="B2053" s="4"/>
      <c r="C2053" s="5"/>
      <c r="E2053" s="10"/>
      <c r="F2053" s="8">
        <f>SUM(F2052)</f>
        <v>870</v>
      </c>
    </row>
    <row r="2054" spans="1:6" s="9" customFormat="1" x14ac:dyDescent="0.25">
      <c r="B2054" s="4"/>
      <c r="C2054" s="5"/>
      <c r="E2054" s="10"/>
      <c r="F2054" s="10"/>
    </row>
    <row r="2055" spans="1:6" s="9" customFormat="1" x14ac:dyDescent="0.25">
      <c r="A2055" s="9" t="s">
        <v>749</v>
      </c>
      <c r="B2055" s="4">
        <v>45836</v>
      </c>
      <c r="C2055" s="5">
        <v>4</v>
      </c>
      <c r="D2055" s="9" t="s">
        <v>13</v>
      </c>
      <c r="E2055" s="10">
        <v>150</v>
      </c>
      <c r="F2055" s="10">
        <f t="shared" si="34"/>
        <v>600</v>
      </c>
    </row>
    <row r="2056" spans="1:6" s="9" customFormat="1" x14ac:dyDescent="0.25">
      <c r="B2056" s="4"/>
      <c r="C2056" s="5"/>
      <c r="E2056" s="10"/>
      <c r="F2056" s="8">
        <f>SUM(F2055)</f>
        <v>600</v>
      </c>
    </row>
    <row r="2057" spans="1:6" s="9" customFormat="1" x14ac:dyDescent="0.25">
      <c r="B2057" s="4"/>
      <c r="C2057" s="5"/>
      <c r="E2057" s="10"/>
      <c r="F2057" s="10"/>
    </row>
    <row r="2058" spans="1:6" s="9" customFormat="1" x14ac:dyDescent="0.25">
      <c r="A2058" s="9" t="s">
        <v>72</v>
      </c>
      <c r="B2058" s="4">
        <v>45836</v>
      </c>
      <c r="C2058" s="5">
        <v>250</v>
      </c>
      <c r="D2058" s="9" t="s">
        <v>13</v>
      </c>
      <c r="E2058" s="10">
        <v>130</v>
      </c>
      <c r="F2058" s="10">
        <f t="shared" si="34"/>
        <v>32500</v>
      </c>
    </row>
    <row r="2059" spans="1:6" s="9" customFormat="1" x14ac:dyDescent="0.25">
      <c r="B2059" s="4"/>
      <c r="C2059" s="5">
        <v>150</v>
      </c>
      <c r="D2059" s="9" t="s">
        <v>12</v>
      </c>
      <c r="E2059" s="10">
        <v>120</v>
      </c>
      <c r="F2059" s="10">
        <f t="shared" si="34"/>
        <v>18000</v>
      </c>
    </row>
    <row r="2060" spans="1:6" s="9" customFormat="1" x14ac:dyDescent="0.25">
      <c r="B2060" s="4"/>
      <c r="C2060" s="5">
        <v>20</v>
      </c>
      <c r="D2060" s="9" t="s">
        <v>14</v>
      </c>
      <c r="E2060" s="10">
        <v>125</v>
      </c>
      <c r="F2060" s="10">
        <f t="shared" si="34"/>
        <v>2500</v>
      </c>
    </row>
    <row r="2061" spans="1:6" s="9" customFormat="1" x14ac:dyDescent="0.25">
      <c r="B2061" s="4"/>
      <c r="C2061" s="5">
        <v>80</v>
      </c>
      <c r="D2061" s="9" t="s">
        <v>11</v>
      </c>
      <c r="E2061" s="10">
        <v>120</v>
      </c>
      <c r="F2061" s="10">
        <f t="shared" si="34"/>
        <v>9600</v>
      </c>
    </row>
    <row r="2062" spans="1:6" s="9" customFormat="1" x14ac:dyDescent="0.25">
      <c r="B2062" s="4"/>
      <c r="C2062" s="5"/>
      <c r="E2062" s="10"/>
      <c r="F2062" s="8">
        <f>SUM(F2058:F2061)</f>
        <v>62600</v>
      </c>
    </row>
    <row r="2063" spans="1:6" s="9" customFormat="1" x14ac:dyDescent="0.25">
      <c r="B2063" s="4"/>
      <c r="C2063" s="5"/>
      <c r="E2063" s="10"/>
      <c r="F2063" s="10"/>
    </row>
    <row r="2064" spans="1:6" s="9" customFormat="1" x14ac:dyDescent="0.25">
      <c r="A2064" s="9" t="s">
        <v>26</v>
      </c>
      <c r="B2064" s="4">
        <v>45836</v>
      </c>
      <c r="C2064" s="5">
        <v>130</v>
      </c>
      <c r="D2064" s="9" t="s">
        <v>13</v>
      </c>
      <c r="E2064" s="10">
        <v>140</v>
      </c>
      <c r="F2064" s="10">
        <f t="shared" si="34"/>
        <v>18200</v>
      </c>
    </row>
    <row r="2065" spans="1:6" s="9" customFormat="1" x14ac:dyDescent="0.25">
      <c r="B2065" s="4"/>
      <c r="C2065" s="5">
        <v>20</v>
      </c>
      <c r="D2065" s="9" t="s">
        <v>14</v>
      </c>
      <c r="E2065" s="10">
        <v>130</v>
      </c>
      <c r="F2065" s="10">
        <f t="shared" si="34"/>
        <v>2600</v>
      </c>
    </row>
    <row r="2066" spans="1:6" s="9" customFormat="1" x14ac:dyDescent="0.25">
      <c r="B2066" s="4"/>
      <c r="C2066" s="5">
        <v>4.1900000000000004</v>
      </c>
      <c r="D2066" s="9" t="s">
        <v>318</v>
      </c>
      <c r="E2066" s="10">
        <v>0</v>
      </c>
      <c r="F2066" s="10">
        <f t="shared" si="34"/>
        <v>0</v>
      </c>
    </row>
    <row r="2067" spans="1:6" s="9" customFormat="1" x14ac:dyDescent="0.25">
      <c r="B2067" s="4"/>
      <c r="C2067" s="5"/>
      <c r="E2067" s="10"/>
      <c r="F2067" s="8">
        <f>SUM(F2064:F2066)</f>
        <v>20800</v>
      </c>
    </row>
    <row r="2068" spans="1:6" s="9" customFormat="1" x14ac:dyDescent="0.25">
      <c r="B2068" s="4"/>
      <c r="C2068" s="5"/>
      <c r="E2068" s="10"/>
      <c r="F2068" s="10"/>
    </row>
    <row r="2069" spans="1:6" s="9" customFormat="1" x14ac:dyDescent="0.25">
      <c r="A2069" s="9" t="s">
        <v>586</v>
      </c>
      <c r="B2069" s="4">
        <v>45836</v>
      </c>
      <c r="C2069" s="5">
        <v>5</v>
      </c>
      <c r="D2069" s="9" t="s">
        <v>12</v>
      </c>
      <c r="E2069" s="10">
        <v>135</v>
      </c>
      <c r="F2069" s="10">
        <f t="shared" si="34"/>
        <v>675</v>
      </c>
    </row>
    <row r="2070" spans="1:6" s="9" customFormat="1" x14ac:dyDescent="0.25">
      <c r="B2070" s="4"/>
      <c r="C2070" s="5"/>
      <c r="E2070" s="10"/>
      <c r="F2070" s="8">
        <f>SUM(F2069)</f>
        <v>675</v>
      </c>
    </row>
    <row r="2071" spans="1:6" s="9" customFormat="1" x14ac:dyDescent="0.25">
      <c r="B2071" s="4"/>
      <c r="C2071" s="5"/>
      <c r="E2071" s="10"/>
      <c r="F2071" s="10"/>
    </row>
    <row r="2072" spans="1:6" s="9" customFormat="1" x14ac:dyDescent="0.25">
      <c r="A2072" s="9" t="s">
        <v>65</v>
      </c>
      <c r="B2072" s="4">
        <v>45836</v>
      </c>
      <c r="C2072" s="5">
        <v>1350</v>
      </c>
      <c r="D2072" s="9" t="s">
        <v>12</v>
      </c>
      <c r="E2072" s="10">
        <v>120</v>
      </c>
      <c r="F2072" s="10">
        <f t="shared" si="34"/>
        <v>162000</v>
      </c>
    </row>
    <row r="2073" spans="1:6" s="9" customFormat="1" x14ac:dyDescent="0.25">
      <c r="B2073" s="4"/>
      <c r="C2073" s="5">
        <v>300</v>
      </c>
      <c r="D2073" s="9" t="s">
        <v>11</v>
      </c>
      <c r="E2073" s="10">
        <v>120</v>
      </c>
      <c r="F2073" s="10">
        <f t="shared" si="34"/>
        <v>36000</v>
      </c>
    </row>
    <row r="2074" spans="1:6" s="9" customFormat="1" x14ac:dyDescent="0.25">
      <c r="B2074" s="4"/>
      <c r="C2074" s="5">
        <v>90</v>
      </c>
      <c r="D2074" s="9" t="s">
        <v>22</v>
      </c>
      <c r="E2074" s="10">
        <v>100</v>
      </c>
      <c r="F2074" s="10">
        <f t="shared" si="34"/>
        <v>9000</v>
      </c>
    </row>
    <row r="2075" spans="1:6" s="9" customFormat="1" x14ac:dyDescent="0.25">
      <c r="B2075" s="4"/>
      <c r="C2075" s="5">
        <v>100</v>
      </c>
      <c r="D2075" s="9" t="s">
        <v>750</v>
      </c>
      <c r="E2075" s="10">
        <v>130</v>
      </c>
      <c r="F2075" s="10">
        <f t="shared" si="34"/>
        <v>13000</v>
      </c>
    </row>
    <row r="2076" spans="1:6" s="9" customFormat="1" x14ac:dyDescent="0.25">
      <c r="B2076" s="4"/>
      <c r="C2076" s="5">
        <v>400</v>
      </c>
      <c r="D2076" s="9" t="s">
        <v>13</v>
      </c>
      <c r="E2076" s="10">
        <v>130</v>
      </c>
      <c r="F2076" s="10">
        <f t="shared" si="34"/>
        <v>52000</v>
      </c>
    </row>
    <row r="2077" spans="1:6" s="9" customFormat="1" x14ac:dyDescent="0.25">
      <c r="B2077" s="4"/>
      <c r="C2077" s="5"/>
      <c r="E2077" s="10"/>
      <c r="F2077" s="8">
        <f>SUM(F2072:F2076)</f>
        <v>272000</v>
      </c>
    </row>
    <row r="2078" spans="1:6" s="9" customFormat="1" x14ac:dyDescent="0.25">
      <c r="B2078" s="4"/>
      <c r="C2078" s="5"/>
      <c r="E2078" s="10"/>
      <c r="F2078" s="10"/>
    </row>
    <row r="2079" spans="1:6" s="9" customFormat="1" x14ac:dyDescent="0.25">
      <c r="A2079" s="9" t="s">
        <v>29</v>
      </c>
      <c r="B2079" s="4">
        <v>45836</v>
      </c>
      <c r="C2079" s="11">
        <v>0.5</v>
      </c>
      <c r="D2079" s="9" t="s">
        <v>8</v>
      </c>
      <c r="E2079" s="10">
        <v>170</v>
      </c>
      <c r="F2079" s="10">
        <f t="shared" si="34"/>
        <v>85</v>
      </c>
    </row>
    <row r="2080" spans="1:6" s="9" customFormat="1" x14ac:dyDescent="0.25">
      <c r="B2080" s="4"/>
      <c r="C2080" s="5">
        <v>3</v>
      </c>
      <c r="D2080" s="9" t="s">
        <v>751</v>
      </c>
      <c r="E2080" s="10">
        <v>140</v>
      </c>
      <c r="F2080" s="10">
        <f t="shared" si="34"/>
        <v>420</v>
      </c>
    </row>
    <row r="2081" spans="1:6" s="9" customFormat="1" x14ac:dyDescent="0.25">
      <c r="B2081" s="4"/>
      <c r="C2081" s="5"/>
      <c r="E2081" s="10"/>
      <c r="F2081" s="8">
        <f>SUM(F2079:F2080)</f>
        <v>505</v>
      </c>
    </row>
    <row r="2082" spans="1:6" s="9" customFormat="1" x14ac:dyDescent="0.25">
      <c r="B2082" s="4"/>
      <c r="C2082" s="5"/>
      <c r="E2082" s="10"/>
      <c r="F2082" s="10"/>
    </row>
    <row r="2083" spans="1:6" s="9" customFormat="1" x14ac:dyDescent="0.25">
      <c r="A2083" s="9" t="s">
        <v>7</v>
      </c>
      <c r="B2083" s="4">
        <v>45836</v>
      </c>
      <c r="C2083" s="5">
        <v>8</v>
      </c>
      <c r="D2083" s="9" t="s">
        <v>12</v>
      </c>
      <c r="E2083" s="10">
        <v>140</v>
      </c>
      <c r="F2083" s="10">
        <f t="shared" si="34"/>
        <v>1120</v>
      </c>
    </row>
    <row r="2084" spans="1:6" s="9" customFormat="1" x14ac:dyDescent="0.25">
      <c r="B2084" s="4"/>
      <c r="C2084" s="5">
        <v>1</v>
      </c>
      <c r="D2084" s="9" t="s">
        <v>8</v>
      </c>
      <c r="E2084" s="10">
        <v>150</v>
      </c>
      <c r="F2084" s="10">
        <f t="shared" si="34"/>
        <v>150</v>
      </c>
    </row>
    <row r="2085" spans="1:6" s="9" customFormat="1" x14ac:dyDescent="0.25">
      <c r="B2085" s="4"/>
      <c r="C2085" s="5"/>
      <c r="E2085" s="10"/>
      <c r="F2085" s="8">
        <f>SUM(F2083:F2084)</f>
        <v>1270</v>
      </c>
    </row>
    <row r="2086" spans="1:6" s="9" customFormat="1" x14ac:dyDescent="0.25">
      <c r="B2086" s="4"/>
      <c r="C2086" s="5"/>
      <c r="E2086" s="10"/>
      <c r="F2086" s="10"/>
    </row>
    <row r="2087" spans="1:6" s="9" customFormat="1" x14ac:dyDescent="0.25">
      <c r="A2087" s="9" t="s">
        <v>140</v>
      </c>
      <c r="B2087" s="4">
        <v>45837</v>
      </c>
      <c r="C2087" s="5">
        <v>150</v>
      </c>
      <c r="D2087" s="9" t="s">
        <v>13</v>
      </c>
      <c r="E2087" s="10">
        <v>135</v>
      </c>
      <c r="F2087" s="10">
        <f t="shared" ref="F2087:F2149" si="35">+C2087*E2087</f>
        <v>20250</v>
      </c>
    </row>
    <row r="2088" spans="1:6" s="9" customFormat="1" x14ac:dyDescent="0.25">
      <c r="B2088" s="4"/>
      <c r="C2088" s="5">
        <v>200</v>
      </c>
      <c r="D2088" s="9" t="s">
        <v>12</v>
      </c>
      <c r="E2088" s="10">
        <v>125</v>
      </c>
      <c r="F2088" s="10">
        <f t="shared" si="35"/>
        <v>25000</v>
      </c>
    </row>
    <row r="2089" spans="1:6" s="9" customFormat="1" x14ac:dyDescent="0.25">
      <c r="B2089" s="4"/>
      <c r="C2089" s="5">
        <v>50</v>
      </c>
      <c r="D2089" s="9" t="s">
        <v>557</v>
      </c>
      <c r="E2089" s="10">
        <v>120</v>
      </c>
      <c r="F2089" s="10">
        <f t="shared" si="35"/>
        <v>6000</v>
      </c>
    </row>
    <row r="2090" spans="1:6" s="9" customFormat="1" x14ac:dyDescent="0.25">
      <c r="B2090" s="4"/>
      <c r="C2090" s="5">
        <v>100</v>
      </c>
      <c r="D2090" s="9" t="s">
        <v>14</v>
      </c>
      <c r="E2090" s="10">
        <v>130</v>
      </c>
      <c r="F2090" s="10">
        <f t="shared" si="35"/>
        <v>13000</v>
      </c>
    </row>
    <row r="2091" spans="1:6" s="9" customFormat="1" x14ac:dyDescent="0.25">
      <c r="B2091" s="4"/>
      <c r="C2091" s="5">
        <v>100</v>
      </c>
      <c r="D2091" s="9" t="s">
        <v>8</v>
      </c>
      <c r="E2091" s="10">
        <v>150</v>
      </c>
      <c r="F2091" s="10">
        <f t="shared" si="35"/>
        <v>15000</v>
      </c>
    </row>
    <row r="2092" spans="1:6" s="9" customFormat="1" x14ac:dyDescent="0.25">
      <c r="B2092" s="4"/>
      <c r="C2092" s="5"/>
      <c r="E2092" s="10"/>
      <c r="F2092" s="8">
        <f>SUM(F2087:F2091)</f>
        <v>79250</v>
      </c>
    </row>
    <row r="2093" spans="1:6" s="9" customFormat="1" x14ac:dyDescent="0.25">
      <c r="B2093" s="4"/>
      <c r="C2093" s="5"/>
      <c r="E2093" s="10"/>
      <c r="F2093" s="10"/>
    </row>
    <row r="2094" spans="1:6" s="9" customFormat="1" x14ac:dyDescent="0.25">
      <c r="A2094" s="9" t="s">
        <v>7</v>
      </c>
      <c r="B2094" s="4">
        <v>45837</v>
      </c>
      <c r="C2094" s="5">
        <v>3</v>
      </c>
      <c r="D2094" s="9" t="s">
        <v>208</v>
      </c>
      <c r="E2094" s="10">
        <v>140</v>
      </c>
      <c r="F2094" s="10">
        <f t="shared" si="35"/>
        <v>420</v>
      </c>
    </row>
    <row r="2095" spans="1:6" s="9" customFormat="1" x14ac:dyDescent="0.25">
      <c r="B2095" s="4"/>
      <c r="C2095" s="5"/>
      <c r="E2095" s="10"/>
      <c r="F2095" s="8">
        <f>SUM(F2094)</f>
        <v>420</v>
      </c>
    </row>
    <row r="2096" spans="1:6" s="9" customFormat="1" x14ac:dyDescent="0.25">
      <c r="B2096" s="4"/>
      <c r="C2096" s="5"/>
      <c r="E2096" s="10"/>
      <c r="F2096" s="10"/>
    </row>
    <row r="2097" spans="1:6" s="9" customFormat="1" x14ac:dyDescent="0.25">
      <c r="A2097" s="9" t="s">
        <v>15</v>
      </c>
      <c r="B2097" s="4">
        <v>45838</v>
      </c>
      <c r="C2097" s="5">
        <v>47</v>
      </c>
      <c r="D2097" s="9" t="s">
        <v>752</v>
      </c>
      <c r="E2097" s="10">
        <v>80</v>
      </c>
      <c r="F2097" s="10">
        <f t="shared" si="35"/>
        <v>3760</v>
      </c>
    </row>
    <row r="2098" spans="1:6" s="9" customFormat="1" x14ac:dyDescent="0.25">
      <c r="B2098" s="4"/>
      <c r="C2098" s="5"/>
      <c r="E2098" s="10"/>
      <c r="F2098" s="8">
        <f>SUM(F2097)</f>
        <v>3760</v>
      </c>
    </row>
    <row r="2099" spans="1:6" s="9" customFormat="1" x14ac:dyDescent="0.25">
      <c r="B2099" s="4"/>
      <c r="C2099" s="5"/>
      <c r="E2099" s="10"/>
      <c r="F2099" s="10"/>
    </row>
    <row r="2100" spans="1:6" s="9" customFormat="1" x14ac:dyDescent="0.25">
      <c r="A2100" s="9" t="s">
        <v>253</v>
      </c>
      <c r="B2100" s="4">
        <v>45838</v>
      </c>
      <c r="C2100" s="5">
        <v>10</v>
      </c>
      <c r="D2100" s="9" t="s">
        <v>22</v>
      </c>
      <c r="E2100" s="10">
        <v>105</v>
      </c>
      <c r="F2100" s="10">
        <f t="shared" si="35"/>
        <v>1050</v>
      </c>
    </row>
    <row r="2101" spans="1:6" s="9" customFormat="1" x14ac:dyDescent="0.25">
      <c r="B2101" s="4"/>
      <c r="C2101" s="5">
        <v>5</v>
      </c>
      <c r="D2101" s="9" t="s">
        <v>14</v>
      </c>
      <c r="E2101" s="10">
        <v>135</v>
      </c>
      <c r="F2101" s="10">
        <f t="shared" si="35"/>
        <v>675</v>
      </c>
    </row>
    <row r="2102" spans="1:6" s="9" customFormat="1" x14ac:dyDescent="0.25">
      <c r="B2102" s="4"/>
      <c r="C2102" s="5"/>
      <c r="E2102" s="10"/>
      <c r="F2102" s="8">
        <f>SUM(F2100:F2101)</f>
        <v>1725</v>
      </c>
    </row>
    <row r="2103" spans="1:6" s="9" customFormat="1" x14ac:dyDescent="0.25">
      <c r="B2103" s="4"/>
      <c r="C2103" s="5"/>
      <c r="E2103" s="10"/>
      <c r="F2103" s="10"/>
    </row>
    <row r="2104" spans="1:6" s="9" customFormat="1" x14ac:dyDescent="0.25">
      <c r="A2104" s="9" t="s">
        <v>20</v>
      </c>
      <c r="B2104" s="4">
        <v>45838</v>
      </c>
      <c r="C2104" s="5">
        <v>15</v>
      </c>
      <c r="D2104" s="9" t="s">
        <v>13</v>
      </c>
      <c r="E2104" s="10">
        <v>140</v>
      </c>
      <c r="F2104" s="10">
        <f t="shared" si="35"/>
        <v>2100</v>
      </c>
    </row>
    <row r="2105" spans="1:6" s="9" customFormat="1" x14ac:dyDescent="0.25">
      <c r="B2105" s="4"/>
      <c r="C2105" s="5"/>
      <c r="E2105" s="10"/>
      <c r="F2105" s="8">
        <f>SUM(F2104)</f>
        <v>2100</v>
      </c>
    </row>
    <row r="2106" spans="1:6" s="9" customFormat="1" x14ac:dyDescent="0.25">
      <c r="B2106" s="4"/>
      <c r="C2106" s="5"/>
      <c r="E2106" s="10"/>
      <c r="F2106" s="10"/>
    </row>
    <row r="2107" spans="1:6" s="9" customFormat="1" x14ac:dyDescent="0.25">
      <c r="A2107" s="9" t="s">
        <v>673</v>
      </c>
      <c r="B2107" s="4">
        <v>45838</v>
      </c>
      <c r="C2107" s="5">
        <v>30</v>
      </c>
      <c r="D2107" s="9" t="s">
        <v>22</v>
      </c>
      <c r="E2107" s="10">
        <v>105</v>
      </c>
      <c r="F2107" s="10">
        <f t="shared" si="35"/>
        <v>3150</v>
      </c>
    </row>
    <row r="2108" spans="1:6" s="9" customFormat="1" x14ac:dyDescent="0.25">
      <c r="B2108" s="4"/>
      <c r="C2108" s="5">
        <v>10</v>
      </c>
      <c r="D2108" s="9" t="s">
        <v>14</v>
      </c>
      <c r="E2108" s="10">
        <v>135</v>
      </c>
      <c r="F2108" s="10">
        <f t="shared" si="35"/>
        <v>1350</v>
      </c>
    </row>
    <row r="2109" spans="1:6" s="9" customFormat="1" x14ac:dyDescent="0.25">
      <c r="B2109" s="4"/>
      <c r="C2109" s="5">
        <v>10</v>
      </c>
      <c r="D2109" s="9" t="s">
        <v>753</v>
      </c>
      <c r="E2109" s="10">
        <v>130</v>
      </c>
      <c r="F2109" s="10">
        <f t="shared" si="35"/>
        <v>1300</v>
      </c>
    </row>
    <row r="2110" spans="1:6" s="9" customFormat="1" x14ac:dyDescent="0.25">
      <c r="B2110" s="4"/>
      <c r="C2110" s="5">
        <v>15</v>
      </c>
      <c r="D2110" s="9" t="s">
        <v>13</v>
      </c>
      <c r="E2110" s="10">
        <v>140</v>
      </c>
      <c r="F2110" s="10">
        <f t="shared" si="35"/>
        <v>2100</v>
      </c>
    </row>
    <row r="2111" spans="1:6" s="9" customFormat="1" x14ac:dyDescent="0.25">
      <c r="B2111" s="4"/>
      <c r="C2111" s="5"/>
      <c r="E2111" s="10"/>
      <c r="F2111" s="8">
        <f>SUM(F2107:F2110)</f>
        <v>7900</v>
      </c>
    </row>
    <row r="2112" spans="1:6" s="9" customFormat="1" x14ac:dyDescent="0.25">
      <c r="B2112" s="4"/>
      <c r="C2112" s="5"/>
      <c r="E2112" s="10"/>
      <c r="F2112" s="10"/>
    </row>
    <row r="2113" spans="1:6" s="9" customFormat="1" x14ac:dyDescent="0.25">
      <c r="A2113" s="9" t="s">
        <v>367</v>
      </c>
      <c r="B2113" s="4">
        <v>45838</v>
      </c>
      <c r="C2113" s="5">
        <v>10</v>
      </c>
      <c r="D2113" s="9" t="s">
        <v>13</v>
      </c>
      <c r="E2113" s="10">
        <v>140</v>
      </c>
      <c r="F2113" s="10">
        <f t="shared" si="35"/>
        <v>1400</v>
      </c>
    </row>
    <row r="2114" spans="1:6" s="9" customFormat="1" x14ac:dyDescent="0.25">
      <c r="B2114" s="4"/>
      <c r="C2114" s="5"/>
      <c r="E2114" s="10"/>
      <c r="F2114" s="8">
        <f>SUM(F2113)</f>
        <v>1400</v>
      </c>
    </row>
    <row r="2115" spans="1:6" s="9" customFormat="1" x14ac:dyDescent="0.25">
      <c r="B2115" s="4"/>
      <c r="C2115" s="5"/>
      <c r="E2115" s="10"/>
      <c r="F2115" s="10"/>
    </row>
    <row r="2116" spans="1:6" s="9" customFormat="1" x14ac:dyDescent="0.25">
      <c r="A2116" s="9" t="s">
        <v>40</v>
      </c>
      <c r="B2116" s="4">
        <v>45838</v>
      </c>
      <c r="C2116" s="5">
        <v>10</v>
      </c>
      <c r="D2116" s="9" t="s">
        <v>13</v>
      </c>
      <c r="E2116" s="10">
        <v>140</v>
      </c>
      <c r="F2116" s="10">
        <f t="shared" si="35"/>
        <v>1400</v>
      </c>
    </row>
    <row r="2117" spans="1:6" s="9" customFormat="1" x14ac:dyDescent="0.25">
      <c r="B2117" s="4"/>
      <c r="C2117" s="5">
        <v>12</v>
      </c>
      <c r="D2117" s="9" t="s">
        <v>14</v>
      </c>
      <c r="E2117" s="10">
        <v>135</v>
      </c>
      <c r="F2117" s="10">
        <f t="shared" si="35"/>
        <v>1620</v>
      </c>
    </row>
    <row r="2118" spans="1:6" s="9" customFormat="1" x14ac:dyDescent="0.25">
      <c r="B2118" s="4"/>
      <c r="C2118" s="5">
        <v>8</v>
      </c>
      <c r="D2118" s="9" t="s">
        <v>50</v>
      </c>
      <c r="E2118" s="10">
        <v>105</v>
      </c>
      <c r="F2118" s="10">
        <f t="shared" si="35"/>
        <v>840</v>
      </c>
    </row>
    <row r="2119" spans="1:6" s="9" customFormat="1" x14ac:dyDescent="0.25">
      <c r="B2119" s="4"/>
      <c r="C2119" s="5">
        <v>10</v>
      </c>
      <c r="D2119" s="9" t="s">
        <v>704</v>
      </c>
      <c r="E2119" s="10">
        <v>130</v>
      </c>
      <c r="F2119" s="10">
        <f t="shared" si="35"/>
        <v>1300</v>
      </c>
    </row>
    <row r="2120" spans="1:6" s="9" customFormat="1" x14ac:dyDescent="0.25">
      <c r="B2120" s="4"/>
      <c r="C2120" s="5"/>
      <c r="E2120" s="10"/>
      <c r="F2120" s="8">
        <f>SUM(F2116:F2119)</f>
        <v>5160</v>
      </c>
    </row>
    <row r="2121" spans="1:6" s="9" customFormat="1" x14ac:dyDescent="0.25">
      <c r="B2121" s="4"/>
      <c r="C2121" s="5"/>
      <c r="E2121" s="10"/>
      <c r="F2121" s="10"/>
    </row>
    <row r="2122" spans="1:6" s="9" customFormat="1" x14ac:dyDescent="0.25">
      <c r="A2122" s="9" t="s">
        <v>25</v>
      </c>
      <c r="B2122" s="4">
        <v>45838</v>
      </c>
      <c r="C2122" s="5">
        <v>20</v>
      </c>
      <c r="D2122" s="9" t="s">
        <v>22</v>
      </c>
      <c r="E2122" s="10">
        <v>105</v>
      </c>
      <c r="F2122" s="10">
        <f t="shared" si="35"/>
        <v>2100</v>
      </c>
    </row>
    <row r="2123" spans="1:6" s="9" customFormat="1" x14ac:dyDescent="0.25">
      <c r="B2123" s="4"/>
      <c r="C2123" s="5"/>
      <c r="E2123" s="10"/>
      <c r="F2123" s="8">
        <f>SUM(F2122)</f>
        <v>2100</v>
      </c>
    </row>
    <row r="2124" spans="1:6" s="9" customFormat="1" x14ac:dyDescent="0.25">
      <c r="B2124" s="4"/>
      <c r="C2124" s="5"/>
      <c r="E2124" s="10"/>
      <c r="F2124" s="10"/>
    </row>
    <row r="2125" spans="1:6" s="9" customFormat="1" x14ac:dyDescent="0.25">
      <c r="A2125" s="9" t="s">
        <v>58</v>
      </c>
      <c r="B2125" s="4">
        <v>45838</v>
      </c>
      <c r="C2125" s="5">
        <v>10</v>
      </c>
      <c r="D2125" s="9" t="s">
        <v>13</v>
      </c>
      <c r="E2125" s="10">
        <v>140</v>
      </c>
      <c r="F2125" s="10">
        <f t="shared" si="35"/>
        <v>1400</v>
      </c>
    </row>
    <row r="2126" spans="1:6" s="9" customFormat="1" x14ac:dyDescent="0.25">
      <c r="B2126" s="4"/>
      <c r="C2126" s="5"/>
      <c r="E2126" s="10"/>
      <c r="F2126" s="8">
        <f>SUM(F2125)</f>
        <v>1400</v>
      </c>
    </row>
    <row r="2127" spans="1:6" s="9" customFormat="1" x14ac:dyDescent="0.25">
      <c r="B2127" s="4"/>
      <c r="C2127" s="5"/>
      <c r="E2127" s="10"/>
      <c r="F2127" s="10"/>
    </row>
    <row r="2128" spans="1:6" s="9" customFormat="1" x14ac:dyDescent="0.25">
      <c r="A2128" s="9" t="s">
        <v>58</v>
      </c>
      <c r="B2128" s="4">
        <v>45838</v>
      </c>
      <c r="C2128" s="5">
        <v>10</v>
      </c>
      <c r="D2128" s="9" t="s">
        <v>13</v>
      </c>
      <c r="E2128" s="10">
        <v>140</v>
      </c>
      <c r="F2128" s="10">
        <f t="shared" si="35"/>
        <v>1400</v>
      </c>
    </row>
    <row r="2129" spans="1:6" s="9" customFormat="1" x14ac:dyDescent="0.25">
      <c r="B2129" s="4"/>
      <c r="C2129" s="5"/>
      <c r="E2129" s="10"/>
      <c r="F2129" s="8">
        <f>SUM(F2128)</f>
        <v>1400</v>
      </c>
    </row>
    <row r="2130" spans="1:6" s="9" customFormat="1" x14ac:dyDescent="0.25">
      <c r="B2130" s="4"/>
      <c r="C2130" s="5"/>
      <c r="E2130" s="10"/>
      <c r="F2130" s="10"/>
    </row>
    <row r="2131" spans="1:6" s="9" customFormat="1" x14ac:dyDescent="0.25">
      <c r="A2131" s="9" t="s">
        <v>442</v>
      </c>
      <c r="B2131" s="4">
        <v>45838</v>
      </c>
      <c r="C2131" s="5">
        <v>20</v>
      </c>
      <c r="D2131" s="9" t="s">
        <v>13</v>
      </c>
      <c r="E2131" s="10">
        <v>140</v>
      </c>
      <c r="F2131" s="10">
        <f t="shared" si="35"/>
        <v>2800</v>
      </c>
    </row>
    <row r="2132" spans="1:6" s="9" customFormat="1" x14ac:dyDescent="0.25">
      <c r="B2132" s="4"/>
      <c r="C2132" s="5"/>
      <c r="E2132" s="10"/>
      <c r="F2132" s="8">
        <f>SUM(F2131)</f>
        <v>2800</v>
      </c>
    </row>
    <row r="2133" spans="1:6" s="9" customFormat="1" x14ac:dyDescent="0.25">
      <c r="B2133" s="4"/>
      <c r="C2133" s="5"/>
      <c r="E2133" s="10"/>
      <c r="F2133" s="10"/>
    </row>
    <row r="2134" spans="1:6" s="9" customFormat="1" x14ac:dyDescent="0.25">
      <c r="A2134" s="9" t="s">
        <v>79</v>
      </c>
      <c r="B2134" s="4">
        <v>45838</v>
      </c>
      <c r="C2134" s="5">
        <v>20</v>
      </c>
      <c r="D2134" s="9" t="s">
        <v>13</v>
      </c>
      <c r="E2134" s="10">
        <v>140</v>
      </c>
      <c r="F2134" s="10">
        <f t="shared" si="35"/>
        <v>2800</v>
      </c>
    </row>
    <row r="2135" spans="1:6" s="9" customFormat="1" x14ac:dyDescent="0.25">
      <c r="B2135" s="4"/>
      <c r="C2135" s="5"/>
      <c r="E2135" s="10"/>
      <c r="F2135" s="8">
        <f>SUM(F2134)</f>
        <v>2800</v>
      </c>
    </row>
    <row r="2136" spans="1:6" s="9" customFormat="1" x14ac:dyDescent="0.25">
      <c r="B2136" s="4"/>
      <c r="C2136" s="5"/>
      <c r="E2136" s="10"/>
      <c r="F2136" s="10"/>
    </row>
    <row r="2137" spans="1:6" s="9" customFormat="1" x14ac:dyDescent="0.25">
      <c r="A2137" s="9" t="s">
        <v>18</v>
      </c>
      <c r="B2137" s="4">
        <v>45838</v>
      </c>
      <c r="C2137" s="5">
        <v>6</v>
      </c>
      <c r="D2137" s="9" t="s">
        <v>13</v>
      </c>
      <c r="E2137" s="10">
        <v>140</v>
      </c>
      <c r="F2137" s="10">
        <f t="shared" si="35"/>
        <v>840</v>
      </c>
    </row>
    <row r="2138" spans="1:6" s="9" customFormat="1" x14ac:dyDescent="0.25">
      <c r="B2138" s="4"/>
      <c r="C2138" s="5"/>
      <c r="E2138" s="10"/>
      <c r="F2138" s="8">
        <f>SUM(F2137)</f>
        <v>840</v>
      </c>
    </row>
    <row r="2139" spans="1:6" s="9" customFormat="1" x14ac:dyDescent="0.25">
      <c r="B2139" s="4"/>
      <c r="C2139" s="5"/>
      <c r="E2139" s="10"/>
      <c r="F2139" s="10"/>
    </row>
    <row r="2140" spans="1:6" s="9" customFormat="1" x14ac:dyDescent="0.25">
      <c r="A2140" s="9" t="s">
        <v>724</v>
      </c>
      <c r="B2140" s="4">
        <v>45838</v>
      </c>
      <c r="C2140" s="5">
        <v>10</v>
      </c>
      <c r="D2140" s="9" t="s">
        <v>98</v>
      </c>
      <c r="E2140" s="10">
        <v>100</v>
      </c>
      <c r="F2140" s="10">
        <f t="shared" si="35"/>
        <v>1000</v>
      </c>
    </row>
    <row r="2141" spans="1:6" s="9" customFormat="1" x14ac:dyDescent="0.25">
      <c r="B2141" s="4"/>
      <c r="C2141" s="5"/>
      <c r="E2141" s="10"/>
      <c r="F2141" s="8">
        <f>SUM(F2140)</f>
        <v>1000</v>
      </c>
    </row>
    <row r="2142" spans="1:6" s="9" customFormat="1" x14ac:dyDescent="0.25">
      <c r="B2142" s="4"/>
      <c r="C2142" s="5"/>
      <c r="E2142" s="10"/>
      <c r="F2142" s="10"/>
    </row>
    <row r="2143" spans="1:6" s="9" customFormat="1" x14ac:dyDescent="0.25">
      <c r="A2143" s="9" t="s">
        <v>516</v>
      </c>
      <c r="B2143" s="4">
        <v>45838</v>
      </c>
      <c r="C2143" s="5">
        <v>4</v>
      </c>
      <c r="D2143" s="9" t="s">
        <v>13</v>
      </c>
      <c r="E2143" s="10">
        <v>140</v>
      </c>
      <c r="F2143" s="10">
        <f t="shared" si="35"/>
        <v>560</v>
      </c>
    </row>
    <row r="2144" spans="1:6" s="9" customFormat="1" x14ac:dyDescent="0.25">
      <c r="B2144" s="4"/>
      <c r="C2144" s="5"/>
      <c r="E2144" s="10"/>
      <c r="F2144" s="8">
        <f>SUM(F2143)</f>
        <v>560</v>
      </c>
    </row>
    <row r="2145" spans="1:6" s="9" customFormat="1" x14ac:dyDescent="0.25">
      <c r="B2145" s="4"/>
      <c r="C2145" s="5"/>
      <c r="E2145" s="10"/>
      <c r="F2145" s="10"/>
    </row>
    <row r="2146" spans="1:6" s="9" customFormat="1" x14ac:dyDescent="0.25">
      <c r="A2146" s="9" t="s">
        <v>755</v>
      </c>
      <c r="B2146" s="4">
        <v>45838</v>
      </c>
      <c r="C2146" s="5">
        <v>5</v>
      </c>
      <c r="D2146" s="9" t="s">
        <v>14</v>
      </c>
      <c r="E2146" s="10">
        <v>135</v>
      </c>
      <c r="F2146" s="10">
        <f t="shared" si="35"/>
        <v>675</v>
      </c>
    </row>
    <row r="2147" spans="1:6" s="9" customFormat="1" x14ac:dyDescent="0.25">
      <c r="B2147" s="4"/>
      <c r="C2147" s="5"/>
      <c r="E2147" s="10"/>
      <c r="F2147" s="8">
        <f>SUM(F2146)</f>
        <v>675</v>
      </c>
    </row>
    <row r="2148" spans="1:6" s="9" customFormat="1" x14ac:dyDescent="0.25">
      <c r="B2148" s="4"/>
      <c r="C2148" s="5"/>
      <c r="E2148" s="10"/>
      <c r="F2148" s="10"/>
    </row>
    <row r="2149" spans="1:6" s="9" customFormat="1" x14ac:dyDescent="0.25">
      <c r="A2149" s="9" t="s">
        <v>455</v>
      </c>
      <c r="B2149" s="4">
        <v>45838</v>
      </c>
      <c r="C2149" s="5">
        <v>80</v>
      </c>
      <c r="D2149" s="9" t="s">
        <v>14</v>
      </c>
      <c r="E2149" s="10">
        <v>130</v>
      </c>
      <c r="F2149" s="10">
        <f t="shared" si="35"/>
        <v>10400</v>
      </c>
    </row>
    <row r="2150" spans="1:6" s="9" customFormat="1" x14ac:dyDescent="0.25">
      <c r="B2150" s="4"/>
      <c r="C2150" s="5"/>
      <c r="E2150" s="10"/>
      <c r="F2150" s="8">
        <f>SUM(F2149)</f>
        <v>10400</v>
      </c>
    </row>
    <row r="2151" spans="1:6" s="9" customFormat="1" x14ac:dyDescent="0.25">
      <c r="B2151" s="4"/>
      <c r="C2151" s="5"/>
      <c r="E2151" s="10"/>
      <c r="F2151" s="10"/>
    </row>
    <row r="2152" spans="1:6" s="9" customFormat="1" x14ac:dyDescent="0.25">
      <c r="A2152" s="9" t="s">
        <v>43</v>
      </c>
      <c r="B2152" s="4">
        <v>45838</v>
      </c>
      <c r="C2152" s="5">
        <v>16</v>
      </c>
      <c r="D2152" s="9" t="s">
        <v>49</v>
      </c>
      <c r="E2152" s="10">
        <v>145</v>
      </c>
      <c r="F2152" s="10">
        <f t="shared" ref="F2152:F2222" si="36">+C2152*E2152</f>
        <v>2320</v>
      </c>
    </row>
    <row r="2153" spans="1:6" s="9" customFormat="1" x14ac:dyDescent="0.25">
      <c r="B2153" s="4"/>
      <c r="C2153" s="5"/>
      <c r="E2153" s="10"/>
      <c r="F2153" s="8">
        <f>SUM(F2152)</f>
        <v>2320</v>
      </c>
    </row>
    <row r="2154" spans="1:6" s="9" customFormat="1" x14ac:dyDescent="0.25">
      <c r="B2154" s="4"/>
      <c r="C2154" s="5"/>
      <c r="E2154" s="10"/>
      <c r="F2154" s="10"/>
    </row>
    <row r="2155" spans="1:6" s="9" customFormat="1" x14ac:dyDescent="0.25">
      <c r="A2155" s="9" t="s">
        <v>18</v>
      </c>
      <c r="B2155" s="4">
        <v>45838</v>
      </c>
      <c r="C2155" s="5">
        <v>10</v>
      </c>
      <c r="D2155" s="9" t="s">
        <v>14</v>
      </c>
      <c r="E2155" s="10">
        <v>135</v>
      </c>
      <c r="F2155" s="10">
        <f t="shared" si="36"/>
        <v>1350</v>
      </c>
    </row>
    <row r="2156" spans="1:6" s="9" customFormat="1" x14ac:dyDescent="0.25">
      <c r="B2156" s="4"/>
      <c r="C2156" s="5">
        <v>20</v>
      </c>
      <c r="D2156" s="9" t="s">
        <v>11</v>
      </c>
      <c r="E2156" s="10">
        <v>125</v>
      </c>
      <c r="F2156" s="10">
        <f t="shared" si="36"/>
        <v>2500</v>
      </c>
    </row>
    <row r="2157" spans="1:6" s="9" customFormat="1" x14ac:dyDescent="0.25">
      <c r="B2157" s="4"/>
      <c r="C2157" s="5"/>
      <c r="E2157" s="10"/>
      <c r="F2157" s="8">
        <f>SUM(F2155:F2156)</f>
        <v>3850</v>
      </c>
    </row>
    <row r="2158" spans="1:6" s="9" customFormat="1" x14ac:dyDescent="0.25">
      <c r="B2158" s="4"/>
      <c r="C2158" s="5"/>
      <c r="E2158" s="10"/>
      <c r="F2158" s="10"/>
    </row>
    <row r="2159" spans="1:6" s="9" customFormat="1" x14ac:dyDescent="0.25">
      <c r="A2159" s="9" t="s">
        <v>46</v>
      </c>
      <c r="B2159" s="4">
        <v>45838</v>
      </c>
      <c r="C2159" s="5">
        <v>20</v>
      </c>
      <c r="D2159" s="9" t="s">
        <v>14</v>
      </c>
      <c r="E2159" s="10">
        <v>135</v>
      </c>
      <c r="F2159" s="10">
        <f t="shared" si="36"/>
        <v>2700</v>
      </c>
    </row>
    <row r="2160" spans="1:6" s="9" customFormat="1" x14ac:dyDescent="0.25">
      <c r="B2160" s="4"/>
      <c r="C2160" s="5"/>
      <c r="E2160" s="10"/>
      <c r="F2160" s="8">
        <f>SUM(F2159)</f>
        <v>2700</v>
      </c>
    </row>
    <row r="2161" spans="1:6" s="9" customFormat="1" x14ac:dyDescent="0.25">
      <c r="B2161" s="4"/>
      <c r="C2161" s="5"/>
      <c r="E2161" s="10"/>
      <c r="F2161" s="10"/>
    </row>
    <row r="2162" spans="1:6" s="9" customFormat="1" x14ac:dyDescent="0.25">
      <c r="A2162" s="9" t="s">
        <v>47</v>
      </c>
      <c r="B2162" s="4">
        <v>45838</v>
      </c>
      <c r="C2162" s="5">
        <v>40</v>
      </c>
      <c r="D2162" s="9" t="s">
        <v>14</v>
      </c>
      <c r="E2162" s="10">
        <v>135</v>
      </c>
      <c r="F2162" s="10">
        <f t="shared" si="36"/>
        <v>5400</v>
      </c>
    </row>
    <row r="2163" spans="1:6" s="9" customFormat="1" x14ac:dyDescent="0.25">
      <c r="B2163" s="4"/>
      <c r="C2163" s="5"/>
      <c r="E2163" s="10"/>
      <c r="F2163" s="8">
        <f>SUM(F2162)</f>
        <v>5400</v>
      </c>
    </row>
    <row r="2164" spans="1:6" s="9" customFormat="1" x14ac:dyDescent="0.25">
      <c r="B2164" s="4"/>
      <c r="C2164" s="5"/>
      <c r="E2164" s="10"/>
      <c r="F2164" s="10"/>
    </row>
    <row r="2165" spans="1:6" s="9" customFormat="1" x14ac:dyDescent="0.25">
      <c r="A2165" s="9" t="s">
        <v>253</v>
      </c>
      <c r="B2165" s="4">
        <v>45838</v>
      </c>
      <c r="C2165" s="5">
        <v>10</v>
      </c>
      <c r="D2165" s="9" t="s">
        <v>14</v>
      </c>
      <c r="E2165" s="10">
        <v>135</v>
      </c>
      <c r="F2165" s="10">
        <f t="shared" si="36"/>
        <v>1350</v>
      </c>
    </row>
    <row r="2166" spans="1:6" s="9" customFormat="1" x14ac:dyDescent="0.25">
      <c r="B2166" s="4"/>
      <c r="C2166" s="5"/>
      <c r="E2166" s="10"/>
      <c r="F2166" s="8">
        <f>SUM(F2165)</f>
        <v>1350</v>
      </c>
    </row>
    <row r="2167" spans="1:6" s="9" customFormat="1" x14ac:dyDescent="0.25">
      <c r="B2167" s="4"/>
      <c r="C2167" s="5"/>
      <c r="E2167" s="10"/>
      <c r="F2167" s="10"/>
    </row>
    <row r="2168" spans="1:6" s="9" customFormat="1" x14ac:dyDescent="0.25">
      <c r="A2168" s="9" t="s">
        <v>41</v>
      </c>
      <c r="B2168" s="4">
        <v>45838</v>
      </c>
      <c r="C2168" s="5">
        <v>35</v>
      </c>
      <c r="D2168" s="9" t="s">
        <v>14</v>
      </c>
      <c r="E2168" s="10">
        <v>130</v>
      </c>
      <c r="F2168" s="10">
        <f t="shared" si="36"/>
        <v>4550</v>
      </c>
    </row>
    <row r="2169" spans="1:6" s="9" customFormat="1" x14ac:dyDescent="0.25">
      <c r="B2169" s="4"/>
      <c r="C2169" s="5"/>
      <c r="E2169" s="10"/>
      <c r="F2169" s="8">
        <f>SUM(F2168)</f>
        <v>4550</v>
      </c>
    </row>
    <row r="2170" spans="1:6" s="9" customFormat="1" x14ac:dyDescent="0.25">
      <c r="B2170" s="4"/>
      <c r="C2170" s="5"/>
      <c r="E2170" s="10"/>
      <c r="F2170" s="10"/>
    </row>
    <row r="2171" spans="1:6" s="9" customFormat="1" x14ac:dyDescent="0.25">
      <c r="A2171" s="9" t="s">
        <v>48</v>
      </c>
      <c r="B2171" s="4">
        <v>45838</v>
      </c>
      <c r="C2171" s="5">
        <v>61</v>
      </c>
      <c r="D2171" s="9" t="s">
        <v>14</v>
      </c>
      <c r="E2171" s="10"/>
      <c r="F2171" s="10">
        <f t="shared" si="36"/>
        <v>0</v>
      </c>
    </row>
    <row r="2172" spans="1:6" s="9" customFormat="1" x14ac:dyDescent="0.25">
      <c r="B2172" s="4"/>
      <c r="C2172" s="5">
        <v>170</v>
      </c>
      <c r="D2172" s="9" t="s">
        <v>756</v>
      </c>
      <c r="E2172" s="10"/>
      <c r="F2172" s="10">
        <f t="shared" si="36"/>
        <v>0</v>
      </c>
    </row>
    <row r="2173" spans="1:6" s="9" customFormat="1" x14ac:dyDescent="0.25">
      <c r="B2173" s="4"/>
      <c r="C2173" s="5">
        <v>128</v>
      </c>
      <c r="D2173" s="9" t="s">
        <v>757</v>
      </c>
      <c r="E2173" s="10"/>
      <c r="F2173" s="10">
        <f t="shared" si="36"/>
        <v>0</v>
      </c>
    </row>
    <row r="2174" spans="1:6" s="9" customFormat="1" x14ac:dyDescent="0.25">
      <c r="B2174" s="4"/>
      <c r="C2174" s="5"/>
      <c r="E2174" s="10"/>
      <c r="F2174" s="8">
        <f>SUM(F2171:F2173)</f>
        <v>0</v>
      </c>
    </row>
    <row r="2175" spans="1:6" s="9" customFormat="1" x14ac:dyDescent="0.25">
      <c r="B2175" s="4"/>
      <c r="C2175" s="5"/>
      <c r="E2175" s="10"/>
      <c r="F2175" s="10"/>
    </row>
    <row r="2176" spans="1:6" s="9" customFormat="1" x14ac:dyDescent="0.25">
      <c r="A2176" s="9" t="s">
        <v>87</v>
      </c>
      <c r="B2176" s="4">
        <v>45838</v>
      </c>
      <c r="C2176" s="5">
        <v>2</v>
      </c>
      <c r="D2176" s="9" t="s">
        <v>14</v>
      </c>
      <c r="E2176" s="10">
        <v>145</v>
      </c>
      <c r="F2176" s="10">
        <f t="shared" si="36"/>
        <v>290</v>
      </c>
    </row>
    <row r="2177" spans="1:6" s="9" customFormat="1" x14ac:dyDescent="0.25">
      <c r="B2177" s="4"/>
      <c r="C2177" s="5">
        <v>2</v>
      </c>
      <c r="D2177" s="9" t="s">
        <v>22</v>
      </c>
      <c r="E2177" s="10">
        <v>120</v>
      </c>
      <c r="F2177" s="10">
        <f t="shared" si="36"/>
        <v>240</v>
      </c>
    </row>
    <row r="2178" spans="1:6" s="9" customFormat="1" x14ac:dyDescent="0.25">
      <c r="B2178" s="4"/>
      <c r="C2178" s="5"/>
      <c r="E2178" s="10"/>
      <c r="F2178" s="8">
        <f>SUM(F2176:F2177)</f>
        <v>530</v>
      </c>
    </row>
    <row r="2179" spans="1:6" s="9" customFormat="1" x14ac:dyDescent="0.25">
      <c r="B2179" s="4"/>
      <c r="C2179" s="5"/>
      <c r="E2179" s="8"/>
      <c r="F2179" s="10"/>
    </row>
    <row r="2180" spans="1:6" s="9" customFormat="1" x14ac:dyDescent="0.25">
      <c r="A2180" s="9" t="s">
        <v>319</v>
      </c>
      <c r="B2180" s="4">
        <v>45838</v>
      </c>
      <c r="C2180" s="5">
        <v>10</v>
      </c>
      <c r="D2180" s="9" t="s">
        <v>8</v>
      </c>
      <c r="E2180" s="10">
        <v>160</v>
      </c>
      <c r="F2180" s="10">
        <f t="shared" si="36"/>
        <v>1600</v>
      </c>
    </row>
    <row r="2181" spans="1:6" s="9" customFormat="1" x14ac:dyDescent="0.25">
      <c r="B2181" s="4"/>
      <c r="C2181" s="5"/>
      <c r="E2181" s="10"/>
      <c r="F2181" s="8">
        <f>SUM(F2180)</f>
        <v>1600</v>
      </c>
    </row>
    <row r="2182" spans="1:6" s="9" customFormat="1" x14ac:dyDescent="0.25">
      <c r="B2182" s="4"/>
      <c r="C2182" s="5"/>
      <c r="E2182" s="10"/>
      <c r="F2182" s="10"/>
    </row>
    <row r="2183" spans="1:6" s="9" customFormat="1" x14ac:dyDescent="0.25">
      <c r="A2183" s="9" t="s">
        <v>32</v>
      </c>
      <c r="B2183" s="4">
        <v>45838</v>
      </c>
      <c r="C2183" s="5">
        <v>30</v>
      </c>
      <c r="D2183" s="9" t="s">
        <v>13</v>
      </c>
      <c r="E2183" s="10">
        <v>140</v>
      </c>
      <c r="F2183" s="10">
        <f t="shared" si="36"/>
        <v>4200</v>
      </c>
    </row>
    <row r="2184" spans="1:6" s="9" customFormat="1" x14ac:dyDescent="0.25">
      <c r="B2184" s="4"/>
      <c r="C2184" s="5"/>
      <c r="E2184" s="10"/>
      <c r="F2184" s="8">
        <f>SUM(F2183)</f>
        <v>4200</v>
      </c>
    </row>
    <row r="2185" spans="1:6" s="9" customFormat="1" x14ac:dyDescent="0.25">
      <c r="B2185" s="4"/>
      <c r="C2185" s="5"/>
      <c r="E2185" s="10"/>
      <c r="F2185" s="10"/>
    </row>
    <row r="2186" spans="1:6" s="9" customFormat="1" x14ac:dyDescent="0.25">
      <c r="A2186" s="9" t="s">
        <v>89</v>
      </c>
      <c r="B2186" s="4">
        <v>45838</v>
      </c>
      <c r="C2186" s="5">
        <v>30</v>
      </c>
      <c r="D2186" s="9" t="s">
        <v>13</v>
      </c>
      <c r="E2186" s="10">
        <v>130</v>
      </c>
      <c r="F2186" s="10">
        <f t="shared" si="36"/>
        <v>3900</v>
      </c>
    </row>
    <row r="2187" spans="1:6" s="9" customFormat="1" x14ac:dyDescent="0.25">
      <c r="B2187" s="4"/>
      <c r="C2187" s="5">
        <v>18</v>
      </c>
      <c r="D2187" s="9" t="s">
        <v>11</v>
      </c>
      <c r="E2187" s="10">
        <v>120</v>
      </c>
      <c r="F2187" s="10">
        <f t="shared" si="36"/>
        <v>2160</v>
      </c>
    </row>
    <row r="2188" spans="1:6" s="9" customFormat="1" x14ac:dyDescent="0.25">
      <c r="B2188" s="4"/>
      <c r="C2188" s="5">
        <v>30</v>
      </c>
      <c r="D2188" s="9" t="s">
        <v>22</v>
      </c>
      <c r="E2188" s="10">
        <v>100</v>
      </c>
      <c r="F2188" s="10">
        <f t="shared" si="36"/>
        <v>3000</v>
      </c>
    </row>
    <row r="2189" spans="1:6" s="9" customFormat="1" x14ac:dyDescent="0.25">
      <c r="B2189" s="4"/>
      <c r="C2189" s="5"/>
      <c r="E2189" s="10"/>
      <c r="F2189" s="8">
        <f>SUM(F2186:F2188)</f>
        <v>9060</v>
      </c>
    </row>
    <row r="2190" spans="1:6" s="9" customFormat="1" x14ac:dyDescent="0.25">
      <c r="B2190" s="4"/>
      <c r="C2190" s="5"/>
      <c r="E2190" s="10"/>
      <c r="F2190" s="10"/>
    </row>
    <row r="2191" spans="1:6" s="9" customFormat="1" x14ac:dyDescent="0.25">
      <c r="A2191" s="9" t="s">
        <v>117</v>
      </c>
      <c r="B2191" s="4">
        <v>45838</v>
      </c>
      <c r="C2191" s="5">
        <v>5</v>
      </c>
      <c r="D2191" s="9" t="s">
        <v>13</v>
      </c>
      <c r="E2191" s="10">
        <v>145</v>
      </c>
      <c r="F2191" s="10">
        <f t="shared" si="36"/>
        <v>725</v>
      </c>
    </row>
    <row r="2192" spans="1:6" s="9" customFormat="1" x14ac:dyDescent="0.25">
      <c r="B2192" s="4"/>
      <c r="C2192" s="5"/>
      <c r="E2192" s="10"/>
      <c r="F2192" s="8">
        <f>SUM(F2191)</f>
        <v>725</v>
      </c>
    </row>
    <row r="2193" spans="1:6 16384:16384" s="9" customFormat="1" x14ac:dyDescent="0.25">
      <c r="B2193" s="4"/>
      <c r="C2193" s="5"/>
      <c r="E2193" s="10"/>
      <c r="F2193" s="10"/>
    </row>
    <row r="2194" spans="1:6 16384:16384" s="9" customFormat="1" x14ac:dyDescent="0.25">
      <c r="A2194" s="9" t="s">
        <v>116</v>
      </c>
      <c r="B2194" s="4">
        <v>45838</v>
      </c>
      <c r="C2194" s="5">
        <v>250</v>
      </c>
      <c r="D2194" s="9" t="s">
        <v>14</v>
      </c>
      <c r="E2194" s="10"/>
      <c r="F2194" s="10">
        <f t="shared" si="36"/>
        <v>0</v>
      </c>
    </row>
    <row r="2195" spans="1:6 16384:16384" s="9" customFormat="1" x14ac:dyDescent="0.25">
      <c r="B2195" s="4"/>
      <c r="C2195" s="5">
        <v>150</v>
      </c>
      <c r="D2195" s="9" t="s">
        <v>11</v>
      </c>
      <c r="E2195" s="10"/>
      <c r="F2195" s="10">
        <f t="shared" si="36"/>
        <v>0</v>
      </c>
    </row>
    <row r="2196" spans="1:6 16384:16384" s="9" customFormat="1" x14ac:dyDescent="0.25">
      <c r="B2196" s="4"/>
      <c r="C2196" s="5">
        <v>132</v>
      </c>
      <c r="D2196" s="9" t="s">
        <v>98</v>
      </c>
      <c r="E2196" s="10"/>
      <c r="F2196" s="10">
        <f t="shared" si="36"/>
        <v>0</v>
      </c>
    </row>
    <row r="2197" spans="1:6 16384:16384" s="9" customFormat="1" x14ac:dyDescent="0.25">
      <c r="B2197" s="4"/>
      <c r="C2197" s="5"/>
      <c r="E2197" s="10"/>
      <c r="F2197" s="10">
        <f t="shared" si="36"/>
        <v>0</v>
      </c>
    </row>
    <row r="2198" spans="1:6 16384:16384" s="9" customFormat="1" x14ac:dyDescent="0.25">
      <c r="B2198" s="4"/>
      <c r="C2198" s="5"/>
      <c r="E2198" s="10"/>
      <c r="F2198" s="10">
        <f t="shared" si="36"/>
        <v>0</v>
      </c>
    </row>
    <row r="2199" spans="1:6 16384:16384" s="9" customFormat="1" x14ac:dyDescent="0.25">
      <c r="B2199" s="4"/>
      <c r="C2199" s="5"/>
      <c r="E2199" s="10"/>
      <c r="F2199" s="10">
        <f t="shared" si="36"/>
        <v>0</v>
      </c>
    </row>
    <row r="2200" spans="1:6 16384:16384" s="9" customFormat="1" x14ac:dyDescent="0.25">
      <c r="A2200" s="9" t="s">
        <v>245</v>
      </c>
      <c r="B2200" s="4">
        <v>45838</v>
      </c>
      <c r="C2200" s="5">
        <v>60</v>
      </c>
      <c r="D2200" s="9" t="s">
        <v>13</v>
      </c>
      <c r="E2200" s="10">
        <v>140</v>
      </c>
      <c r="F2200" s="10">
        <f t="shared" si="36"/>
        <v>8400</v>
      </c>
      <c r="XFD2200" s="9">
        <f>SUM(C2200:XFC2200)</f>
        <v>8600</v>
      </c>
    </row>
    <row r="2201" spans="1:6 16384:16384" s="9" customFormat="1" x14ac:dyDescent="0.25">
      <c r="B2201" s="4"/>
      <c r="C2201" s="5">
        <v>10</v>
      </c>
      <c r="D2201" s="9" t="s">
        <v>14</v>
      </c>
      <c r="E2201" s="10">
        <v>130</v>
      </c>
      <c r="F2201" s="10">
        <f t="shared" si="36"/>
        <v>1300</v>
      </c>
    </row>
    <row r="2202" spans="1:6 16384:16384" s="9" customFormat="1" x14ac:dyDescent="0.25">
      <c r="B2202" s="4"/>
      <c r="C2202" s="5">
        <v>2.04</v>
      </c>
      <c r="D2202" s="9" t="s">
        <v>318</v>
      </c>
      <c r="E2202" s="10">
        <v>0</v>
      </c>
      <c r="F2202" s="10">
        <f t="shared" si="36"/>
        <v>0</v>
      </c>
    </row>
    <row r="2203" spans="1:6 16384:16384" s="9" customFormat="1" x14ac:dyDescent="0.25">
      <c r="B2203" s="4"/>
      <c r="C2203" s="5"/>
      <c r="E2203" s="10"/>
      <c r="F2203" s="8">
        <f>SUM(F2200:F2202)</f>
        <v>9700</v>
      </c>
    </row>
    <row r="2204" spans="1:6 16384:16384" s="9" customFormat="1" x14ac:dyDescent="0.25">
      <c r="B2204" s="4"/>
      <c r="C2204" s="5"/>
      <c r="E2204" s="10"/>
      <c r="F2204" s="10"/>
    </row>
    <row r="2205" spans="1:6 16384:16384" s="9" customFormat="1" x14ac:dyDescent="0.25">
      <c r="A2205" s="9" t="s">
        <v>758</v>
      </c>
      <c r="B2205" s="4">
        <v>45838</v>
      </c>
      <c r="C2205" s="5">
        <v>4</v>
      </c>
      <c r="D2205" s="9" t="s">
        <v>13</v>
      </c>
      <c r="E2205" s="10">
        <v>145</v>
      </c>
      <c r="F2205" s="10">
        <f t="shared" si="36"/>
        <v>580</v>
      </c>
    </row>
    <row r="2206" spans="1:6 16384:16384" s="9" customFormat="1" x14ac:dyDescent="0.25">
      <c r="B2206" s="4"/>
      <c r="C2206" s="5"/>
      <c r="E2206" s="10"/>
      <c r="F2206" s="8">
        <f>SUM(F2205)</f>
        <v>580</v>
      </c>
    </row>
    <row r="2207" spans="1:6 16384:16384" s="9" customFormat="1" x14ac:dyDescent="0.25">
      <c r="B2207" s="4"/>
      <c r="C2207" s="5"/>
      <c r="E2207" s="10"/>
      <c r="F2207" s="10"/>
    </row>
    <row r="2208" spans="1:6 16384:16384" s="9" customFormat="1" x14ac:dyDescent="0.25">
      <c r="A2208" s="9" t="s">
        <v>112</v>
      </c>
      <c r="B2208" s="4">
        <v>45838</v>
      </c>
      <c r="C2208" s="5">
        <v>100</v>
      </c>
      <c r="D2208" s="9" t="s">
        <v>22</v>
      </c>
      <c r="E2208" s="10">
        <v>100</v>
      </c>
      <c r="F2208" s="10">
        <f t="shared" si="36"/>
        <v>10000</v>
      </c>
    </row>
    <row r="2209" spans="1:6" s="9" customFormat="1" x14ac:dyDescent="0.25">
      <c r="B2209" s="4"/>
      <c r="C2209" s="5"/>
      <c r="E2209" s="10"/>
      <c r="F2209" s="8">
        <f>SUM(F2208)</f>
        <v>10000</v>
      </c>
    </row>
    <row r="2210" spans="1:6" s="9" customFormat="1" x14ac:dyDescent="0.25">
      <c r="B2210" s="4"/>
      <c r="C2210" s="5"/>
      <c r="E2210" s="10"/>
      <c r="F2210" s="10"/>
    </row>
    <row r="2211" spans="1:6" s="9" customFormat="1" x14ac:dyDescent="0.25">
      <c r="A2211" s="9" t="s">
        <v>101</v>
      </c>
      <c r="B2211" s="4">
        <v>45838</v>
      </c>
      <c r="C2211" s="5">
        <v>1</v>
      </c>
      <c r="D2211" s="9" t="s">
        <v>13</v>
      </c>
      <c r="E2211" s="10">
        <v>160</v>
      </c>
      <c r="F2211" s="10">
        <f t="shared" si="36"/>
        <v>160</v>
      </c>
    </row>
    <row r="2212" spans="1:6" s="9" customFormat="1" x14ac:dyDescent="0.25">
      <c r="B2212" s="4"/>
      <c r="C2212" s="5">
        <v>2</v>
      </c>
      <c r="D2212" s="9" t="s">
        <v>12</v>
      </c>
      <c r="E2212" s="10">
        <v>140</v>
      </c>
      <c r="F2212" s="10">
        <f t="shared" si="36"/>
        <v>280</v>
      </c>
    </row>
    <row r="2213" spans="1:6" s="9" customFormat="1" x14ac:dyDescent="0.25">
      <c r="B2213" s="4"/>
      <c r="C2213" s="5">
        <v>6</v>
      </c>
      <c r="D2213" s="9" t="s">
        <v>110</v>
      </c>
      <c r="E2213" s="10">
        <v>3.3333333330000001</v>
      </c>
      <c r="F2213" s="10">
        <f t="shared" si="36"/>
        <v>19.999999998</v>
      </c>
    </row>
    <row r="2214" spans="1:6" s="9" customFormat="1" x14ac:dyDescent="0.25">
      <c r="B2214" s="4"/>
      <c r="C2214" s="5">
        <v>5</v>
      </c>
      <c r="D2214" s="9" t="s">
        <v>168</v>
      </c>
      <c r="E2214" s="10">
        <v>140</v>
      </c>
      <c r="F2214" s="10">
        <f t="shared" si="36"/>
        <v>700</v>
      </c>
    </row>
    <row r="2215" spans="1:6" s="9" customFormat="1" x14ac:dyDescent="0.25">
      <c r="B2215" s="4"/>
      <c r="C2215" s="5">
        <v>1</v>
      </c>
      <c r="D2215" s="9" t="s">
        <v>11</v>
      </c>
      <c r="E2215" s="10">
        <v>130</v>
      </c>
      <c r="F2215" s="10">
        <f t="shared" si="36"/>
        <v>130</v>
      </c>
    </row>
    <row r="2216" spans="1:6" s="9" customFormat="1" x14ac:dyDescent="0.25">
      <c r="B2216" s="4"/>
      <c r="C2216" s="5">
        <v>1</v>
      </c>
      <c r="D2216" s="9" t="s">
        <v>13</v>
      </c>
      <c r="E2216" s="10">
        <v>150</v>
      </c>
      <c r="F2216" s="10">
        <f t="shared" si="36"/>
        <v>150</v>
      </c>
    </row>
    <row r="2217" spans="1:6" s="9" customFormat="1" x14ac:dyDescent="0.25">
      <c r="B2217" s="4"/>
      <c r="C2217" s="5"/>
      <c r="E2217" s="10"/>
      <c r="F2217" s="8">
        <f>SUM(F2211:F2216)</f>
        <v>1439.999999998</v>
      </c>
    </row>
    <row r="2218" spans="1:6" s="9" customFormat="1" x14ac:dyDescent="0.25">
      <c r="B2218" s="4"/>
      <c r="C2218" s="5"/>
      <c r="E2218" s="10"/>
      <c r="F2218" s="10"/>
    </row>
    <row r="2219" spans="1:6" s="9" customFormat="1" x14ac:dyDescent="0.25">
      <c r="A2219" s="9" t="s">
        <v>181</v>
      </c>
      <c r="B2219" s="4">
        <v>45838</v>
      </c>
      <c r="C2219" s="5">
        <v>3</v>
      </c>
      <c r="D2219" s="9" t="s">
        <v>8</v>
      </c>
      <c r="E2219" s="10">
        <v>170</v>
      </c>
      <c r="F2219" s="10">
        <f t="shared" si="36"/>
        <v>510</v>
      </c>
    </row>
    <row r="2220" spans="1:6" s="9" customFormat="1" x14ac:dyDescent="0.25">
      <c r="B2220" s="4"/>
      <c r="C2220" s="5">
        <v>2</v>
      </c>
      <c r="D2220" s="9" t="s">
        <v>8</v>
      </c>
      <c r="E2220" s="10">
        <v>170</v>
      </c>
      <c r="F2220" s="10">
        <f t="shared" si="36"/>
        <v>340</v>
      </c>
    </row>
    <row r="2221" spans="1:6" s="9" customFormat="1" x14ac:dyDescent="0.25">
      <c r="B2221" s="4"/>
      <c r="C2221" s="5">
        <v>1</v>
      </c>
      <c r="D2221" s="9" t="s">
        <v>759</v>
      </c>
      <c r="E2221" s="10">
        <v>150</v>
      </c>
      <c r="F2221" s="10">
        <f t="shared" si="36"/>
        <v>150</v>
      </c>
    </row>
    <row r="2222" spans="1:6" s="9" customFormat="1" x14ac:dyDescent="0.25">
      <c r="B2222" s="4"/>
      <c r="C2222" s="5">
        <v>1</v>
      </c>
      <c r="D2222" s="9" t="s">
        <v>8</v>
      </c>
      <c r="E2222" s="10">
        <v>170</v>
      </c>
      <c r="F2222" s="10">
        <f t="shared" si="36"/>
        <v>170</v>
      </c>
    </row>
    <row r="2223" spans="1:6" s="9" customFormat="1" x14ac:dyDescent="0.25">
      <c r="B2223" s="4"/>
      <c r="C2223" s="5">
        <v>1</v>
      </c>
      <c r="D2223" s="9" t="s">
        <v>13</v>
      </c>
      <c r="E2223" s="10">
        <v>160</v>
      </c>
      <c r="F2223" s="10">
        <f t="shared" ref="F2223" si="37">+C2223*E2223</f>
        <v>160</v>
      </c>
    </row>
    <row r="2224" spans="1:6" s="9" customFormat="1" x14ac:dyDescent="0.25">
      <c r="B2224" s="4"/>
      <c r="C2224" s="5"/>
      <c r="E2224" s="10"/>
      <c r="F2224" s="8">
        <f>SUM(F2219:F2223)</f>
        <v>1330</v>
      </c>
    </row>
    <row r="2225" spans="1:7" s="9" customFormat="1" x14ac:dyDescent="0.25">
      <c r="B2225" s="4"/>
      <c r="C2225" s="5"/>
      <c r="E2225" s="10"/>
      <c r="F2225" s="10"/>
    </row>
    <row r="2226" spans="1:7" ht="15.75" x14ac:dyDescent="0.25">
      <c r="A2226" s="9"/>
      <c r="B2226" s="9"/>
      <c r="D2226" s="9"/>
      <c r="F2226" s="7" t="s">
        <v>294</v>
      </c>
      <c r="G2226" s="7">
        <f>+F4+F10+F13+F16+F19+F22+F26+F29+F32+F35+F38+F42+F45+F48+F52+F55+F58+F61+F64+F67+F70+F73+F77+F80+F85+F88+F93+F98+F104+F107+F112+F117+F120+F123+F126+F130+F133+F136+F140+F146+F151+F157+F160+F163+F167+F170+F174+F177+F180+F183+F191+F194+F199+F202+F206+F210+F213+F216+F220+F225+F228+F232+F235+F239+F243+F246++F252+F256+F260+F267+F270+F274+F279+F282+F285+F288+F291+F294+F297+F300+F303+F306+F312+F315+F319+F323+F327+F330+F333+F338+F342+F345+F348+F352+F355+F360+F367+F370+F373+F376+F379+F382+F385+F388+F391+F397+F401+F405+F408+F411+F415+F418+F421+F424+F427+F431+F437+F441+F444+F448+F453+F457+F460+F463+F468+F472+F475+F478+F482+F486+F490+F496+F502+F505+F510+F513+F517+F520+F523+F526+F529+F535+F539+F544+F550+F554+F561+F567+F571+F580+F586+F591+F594+F597+F600+F603+F606+F609+F612+F618+F622+F626+F632+F635+F638+F642+F645+F649+F652+F655+F658+F661+F665+F668+F671+F674+F677+F682+F688+F692+F697+F701+F705+F709+F713+F716+F719+F722+F726+F730+F737+F740+F744+F747+F750+F753+F756+F759+F762+F767+F770+F775+F780+F783+F786+F789+F793+F796+F799+F802+F805+F808+F811+F815+F818+F821+F824+F827+F831+F834+F837+F841+F844+F850+F855+F861+F866+F871+F876+F879+F883+F887+F890+F893+F896+F902+F906+F909+F912+F915+F918+F921+F925+F930+F933+F936+F939+F942+F945+F948+F951+F954+F957+F960+F965+F968+F971+F976+F983+F986+F989+F992+F995+F998+F1001+F1006+F1011+F1014+F1017+F1023+F1026+F1030+F1036+F1044+F1048+F1055+F1062+F1068+F1071+F1074+F1077+F1080+F1086+F1090+F1093+F1096+F1099+F1102+F1105+F1108+F1111+F1114+F1118+F1121+F1124+F1127+F1130+F1134+F1137+F1140+F1143+F1148+F1151+F1157+F1162+F1166+F1173+F1179+F1182+F1185+F1191+F1196+F1199+F1202+F1206+F1211+F1216+F1219+F1223+F1227+F1230+F1234+F1237+F1243+F1247+F1254+F1262+F1265+F1268+F1271+F1274+F1277+F1280+F1283+F1286+F1291+F1294+F1297+F1300+F1303+F1306+F1309+F1312+F1316+F1319+F1322+F1325+F1328+F1331+F1334+F1337+F1340+F1344+F1349+F1355+F1358+F1365+F1369+F1372+F1375+F1378+F1381+F1384+F1387+F1390+F1393+F1397+F1401+F1404+F1408+F1412+F1420+F1424+F1428+F1431+F1436+F1439+F1444+F1447+F1450+F1453+F1456+F1461+F1467+F1470+F1473+F1476+F1479+F1482+F1486+F1489+F1492+F1496+F1499+F1502+F1505+F1508+F1514+F1520+F1524+F1527+F1530+F1533+F1536+F1539+F1543+F1547+F1551+F1557+F1560+F1563+F1567+F1570+F1573+F1576+F1579+F1582+F1587+F1590+F1596+F1602+F1607+F1612+F1617+F1620+F1623+F1626+F1634+F1637+F1640+F1646+F1650+F1653+F1656+F1660+F1664+F1668+F1671+F1675+F1678+F1681+F1684+F1691+F1696+F1699+F1702+F1705+F1710+F1714+F1717+F1726+F1730+F1733+F1737+F1742+F1747+F1750+F1753+F1756+F1761+F1766+F1773+F1776+F1786+F1789+F1793+F1796+F1799+F1802+F1806+F1809+F1812+F1815+F1819+F1822+F1825+F1828+F1831+F1834+F1839+F1845+F1849+F1853+F1857+F1863+F1866+F1869+F1872+F1875+F1879+F1882+F1885+F1890+F1898+F1901+F1905+F1908+F1911+F1914+F1919+F1922+F1925+F1928+F1933+F1936+F1939+F1942+F1945+F1948+F1951+F1954+F1957+F1960+F1963+F1966+F1969+F1974+F1979+F1983+F1988+F1991+F1994+F1997+F2000+F2003+F2006+F2009+F2015+F2018+F2021+F2024+F2028+F2031+F2034+F2037+F2040+F2043+F2047+F2050+F2053+F2056+F2062+F2067+F2070+F2077+F2081+F2085+F2092+F2095+F2098+F2102+F2105+F2111+F2114+F2120+F2123+F2126+F2129+F2132+F2135+F2138+F2141+F2144+F2147+F2150+F2153+F2157+F2160+F2163+F2166+F2169+F2174+F2178+F2181+F2184+F2189+F2192+F2203+F2206+F2209+F2217+F2224</f>
        <v>4453019.9998999881</v>
      </c>
    </row>
    <row r="2227" spans="1:7" x14ac:dyDescent="0.25">
      <c r="A2227" s="9"/>
      <c r="B2227" s="9"/>
      <c r="D2227" s="9"/>
      <c r="G2227" s="10">
        <v>4176625</v>
      </c>
    </row>
  </sheetData>
  <mergeCells count="1">
    <mergeCell ref="A1:F1"/>
  </mergeCells>
  <pageMargins left="0.11811023622047245" right="0.11811023622047245" top="0.31" bottom="0.28000000000000003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EC39-7F3A-43AE-9C0C-7C58E2D412C3}">
  <dimension ref="A1:G2139"/>
  <sheetViews>
    <sheetView topLeftCell="A2107" workbookViewId="0">
      <selection activeCell="G2140" sqref="G2140"/>
    </sheetView>
  </sheetViews>
  <sheetFormatPr baseColWidth="10" defaultColWidth="11.42578125" defaultRowHeight="15" x14ac:dyDescent="0.25"/>
  <cols>
    <col min="1" max="1" width="25.42578125" bestFit="1" customWidth="1"/>
    <col min="3" max="3" width="11.42578125" style="5"/>
    <col min="4" max="4" width="42.42578125" bestFit="1" customWidth="1"/>
    <col min="5" max="5" width="18.140625" style="10" bestFit="1" customWidth="1"/>
    <col min="6" max="6" width="13.7109375" style="10" bestFit="1" customWidth="1"/>
    <col min="7" max="7" width="16.85546875" bestFit="1" customWidth="1"/>
  </cols>
  <sheetData>
    <row r="1" spans="1:7" ht="15.75" x14ac:dyDescent="0.25">
      <c r="A1" s="30" t="s">
        <v>0</v>
      </c>
      <c r="B1" s="30"/>
      <c r="C1" s="30"/>
      <c r="D1" s="30"/>
      <c r="E1" s="30"/>
      <c r="F1" s="30"/>
      <c r="G1" s="9">
        <v>0</v>
      </c>
    </row>
    <row r="2" spans="1:7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  <c r="G2" s="9"/>
    </row>
    <row r="3" spans="1:7" x14ac:dyDescent="0.25">
      <c r="A3" s="9" t="s">
        <v>317</v>
      </c>
      <c r="B3" s="4">
        <v>45839</v>
      </c>
      <c r="C3" s="5">
        <v>5</v>
      </c>
      <c r="D3" s="9" t="s">
        <v>13</v>
      </c>
      <c r="E3" s="10">
        <v>145</v>
      </c>
      <c r="F3" s="10">
        <f>+C3*E3</f>
        <v>725</v>
      </c>
      <c r="G3" s="9"/>
    </row>
    <row r="4" spans="1:7" x14ac:dyDescent="0.25">
      <c r="A4" s="9"/>
      <c r="B4" s="9"/>
      <c r="D4" s="9"/>
      <c r="F4" s="8">
        <f>SUM(F3:F3)</f>
        <v>725</v>
      </c>
      <c r="G4" s="9"/>
    </row>
    <row r="5" spans="1:7" x14ac:dyDescent="0.25">
      <c r="A5" s="9"/>
      <c r="B5" s="9"/>
      <c r="D5" s="9"/>
      <c r="G5" s="9"/>
    </row>
    <row r="6" spans="1:7" x14ac:dyDescent="0.25">
      <c r="A6" s="9" t="s">
        <v>88</v>
      </c>
      <c r="B6" s="4">
        <v>45839</v>
      </c>
      <c r="C6" s="5">
        <v>10</v>
      </c>
      <c r="D6" s="9" t="s">
        <v>14</v>
      </c>
      <c r="E6" s="10">
        <v>135</v>
      </c>
      <c r="F6" s="10">
        <f t="shared" ref="F6:F73" si="0">+C6*E6</f>
        <v>1350</v>
      </c>
      <c r="G6" s="9"/>
    </row>
    <row r="7" spans="1:7" s="9" customFormat="1" x14ac:dyDescent="0.25">
      <c r="B7" s="4"/>
      <c r="C7" s="5">
        <v>5</v>
      </c>
      <c r="D7" s="9" t="s">
        <v>13</v>
      </c>
      <c r="E7" s="10">
        <v>145</v>
      </c>
      <c r="F7" s="10">
        <f t="shared" si="0"/>
        <v>725</v>
      </c>
    </row>
    <row r="8" spans="1:7" x14ac:dyDescent="0.25">
      <c r="A8" s="9"/>
      <c r="B8" s="9"/>
      <c r="D8" s="9"/>
      <c r="F8" s="8">
        <f>SUM(F6:F7)</f>
        <v>2075</v>
      </c>
      <c r="G8" s="9"/>
    </row>
    <row r="9" spans="1:7" x14ac:dyDescent="0.25">
      <c r="A9" s="9"/>
      <c r="B9" s="9"/>
      <c r="D9" s="9"/>
      <c r="G9" s="9"/>
    </row>
    <row r="10" spans="1:7" x14ac:dyDescent="0.25">
      <c r="A10" s="9" t="s">
        <v>61</v>
      </c>
      <c r="B10" s="4">
        <v>45839</v>
      </c>
      <c r="C10" s="5">
        <v>60</v>
      </c>
      <c r="D10" s="9" t="s">
        <v>626</v>
      </c>
      <c r="E10" s="10">
        <v>140</v>
      </c>
      <c r="F10" s="10">
        <f t="shared" si="0"/>
        <v>8400</v>
      </c>
    </row>
    <row r="11" spans="1:7" x14ac:dyDescent="0.25">
      <c r="A11" s="9"/>
      <c r="B11" s="9"/>
      <c r="D11" s="9"/>
      <c r="F11" s="8">
        <f>SUM(F10)</f>
        <v>8400</v>
      </c>
    </row>
    <row r="12" spans="1:7" x14ac:dyDescent="0.25">
      <c r="A12" s="9"/>
      <c r="B12" s="9"/>
      <c r="D12" s="9"/>
    </row>
    <row r="13" spans="1:7" s="9" customFormat="1" x14ac:dyDescent="0.25">
      <c r="A13" s="9" t="s">
        <v>60</v>
      </c>
      <c r="B13" s="4">
        <v>45839</v>
      </c>
      <c r="C13" s="5">
        <v>3</v>
      </c>
      <c r="D13" s="9" t="s">
        <v>13</v>
      </c>
      <c r="E13" s="10">
        <v>140</v>
      </c>
      <c r="F13" s="10">
        <f t="shared" si="0"/>
        <v>420</v>
      </c>
    </row>
    <row r="14" spans="1:7" s="9" customFormat="1" x14ac:dyDescent="0.25">
      <c r="C14" s="5"/>
      <c r="E14" s="10"/>
      <c r="F14" s="8">
        <f>SUM(F13)</f>
        <v>420</v>
      </c>
    </row>
    <row r="15" spans="1:7" s="9" customFormat="1" x14ac:dyDescent="0.25">
      <c r="C15" s="5"/>
      <c r="E15" s="10"/>
      <c r="F15" s="10"/>
    </row>
    <row r="16" spans="1:7" s="9" customFormat="1" x14ac:dyDescent="0.25">
      <c r="A16" s="9" t="s">
        <v>64</v>
      </c>
      <c r="B16" s="4">
        <v>45839</v>
      </c>
      <c r="C16" s="5">
        <v>20</v>
      </c>
      <c r="D16" s="9" t="s">
        <v>12</v>
      </c>
      <c r="E16" s="10">
        <v>130</v>
      </c>
      <c r="F16" s="10">
        <f t="shared" si="0"/>
        <v>2600</v>
      </c>
    </row>
    <row r="17" spans="1:6" s="9" customFormat="1" x14ac:dyDescent="0.25">
      <c r="C17" s="5">
        <v>20</v>
      </c>
      <c r="D17" s="9" t="s">
        <v>22</v>
      </c>
      <c r="E17" s="10">
        <v>110</v>
      </c>
      <c r="F17" s="10">
        <f t="shared" si="0"/>
        <v>2200</v>
      </c>
    </row>
    <row r="18" spans="1:6" s="9" customFormat="1" x14ac:dyDescent="0.25">
      <c r="C18" s="5">
        <v>20</v>
      </c>
      <c r="D18" s="9" t="s">
        <v>13</v>
      </c>
      <c r="E18" s="10">
        <v>140</v>
      </c>
      <c r="F18" s="10">
        <f t="shared" si="0"/>
        <v>2800</v>
      </c>
    </row>
    <row r="19" spans="1:6" s="9" customFormat="1" x14ac:dyDescent="0.25">
      <c r="C19" s="5"/>
      <c r="E19" s="10"/>
      <c r="F19" s="8">
        <f>SUM(F16:F18)</f>
        <v>7600</v>
      </c>
    </row>
    <row r="20" spans="1:6" s="9" customFormat="1" x14ac:dyDescent="0.25">
      <c r="C20" s="5"/>
      <c r="E20" s="10"/>
      <c r="F20" s="10"/>
    </row>
    <row r="21" spans="1:6" x14ac:dyDescent="0.25">
      <c r="A21" s="9" t="s">
        <v>146</v>
      </c>
      <c r="B21" s="4">
        <v>45839</v>
      </c>
      <c r="C21" s="5">
        <v>2</v>
      </c>
      <c r="D21" s="9" t="s">
        <v>11</v>
      </c>
      <c r="E21" s="10">
        <v>125</v>
      </c>
      <c r="F21" s="10">
        <f t="shared" si="0"/>
        <v>250</v>
      </c>
    </row>
    <row r="22" spans="1:6" x14ac:dyDescent="0.25">
      <c r="A22" s="9"/>
      <c r="B22" s="9"/>
      <c r="C22" s="5">
        <v>2</v>
      </c>
      <c r="D22" s="9" t="s">
        <v>14</v>
      </c>
      <c r="E22" s="10">
        <v>135</v>
      </c>
      <c r="F22" s="10">
        <f t="shared" si="0"/>
        <v>270</v>
      </c>
    </row>
    <row r="23" spans="1:6" x14ac:dyDescent="0.25">
      <c r="A23" s="9"/>
      <c r="B23" s="9"/>
      <c r="C23" s="5">
        <v>2</v>
      </c>
      <c r="D23" s="9" t="s">
        <v>483</v>
      </c>
      <c r="E23" s="10">
        <v>135</v>
      </c>
      <c r="F23" s="10">
        <f t="shared" si="0"/>
        <v>270</v>
      </c>
    </row>
    <row r="24" spans="1:6" x14ac:dyDescent="0.25">
      <c r="A24" s="9"/>
      <c r="B24" s="9"/>
      <c r="C24" s="5">
        <v>4</v>
      </c>
      <c r="D24" s="9" t="s">
        <v>302</v>
      </c>
      <c r="E24" s="10">
        <v>130</v>
      </c>
      <c r="F24" s="10">
        <f t="shared" si="0"/>
        <v>520</v>
      </c>
    </row>
    <row r="25" spans="1:6" x14ac:dyDescent="0.25">
      <c r="A25" s="9"/>
      <c r="B25" s="9"/>
      <c r="D25" s="9"/>
      <c r="F25" s="8">
        <f>SUM(F21:F24)</f>
        <v>1310</v>
      </c>
    </row>
    <row r="26" spans="1:6" x14ac:dyDescent="0.25">
      <c r="A26" s="9"/>
      <c r="B26" s="9"/>
      <c r="D26" s="9"/>
    </row>
    <row r="27" spans="1:6" x14ac:dyDescent="0.25">
      <c r="A27" s="9" t="s">
        <v>538</v>
      </c>
      <c r="B27" s="4">
        <v>45839</v>
      </c>
      <c r="C27" s="5">
        <v>50</v>
      </c>
      <c r="D27" s="9" t="s">
        <v>22</v>
      </c>
      <c r="E27" s="10">
        <v>110</v>
      </c>
      <c r="F27" s="10">
        <f t="shared" si="0"/>
        <v>5500</v>
      </c>
    </row>
    <row r="28" spans="1:6" x14ac:dyDescent="0.25">
      <c r="A28" s="9"/>
      <c r="B28" s="9"/>
      <c r="C28" s="5">
        <v>50</v>
      </c>
      <c r="D28" s="9" t="s">
        <v>14</v>
      </c>
      <c r="E28" s="10">
        <v>125</v>
      </c>
      <c r="F28" s="10">
        <f t="shared" si="0"/>
        <v>6250</v>
      </c>
    </row>
    <row r="29" spans="1:6" x14ac:dyDescent="0.25">
      <c r="A29" s="9"/>
      <c r="B29" s="9"/>
      <c r="C29" s="5">
        <v>5</v>
      </c>
      <c r="D29" s="9" t="s">
        <v>50</v>
      </c>
      <c r="E29" s="10">
        <v>100</v>
      </c>
      <c r="F29" s="10">
        <f t="shared" si="0"/>
        <v>500</v>
      </c>
    </row>
    <row r="30" spans="1:6" x14ac:dyDescent="0.25">
      <c r="A30" s="9"/>
      <c r="B30" s="9"/>
      <c r="D30" s="9"/>
      <c r="F30" s="8">
        <f>SUM(F27:F29)</f>
        <v>12250</v>
      </c>
    </row>
    <row r="31" spans="1:6" x14ac:dyDescent="0.25">
      <c r="A31" s="9"/>
      <c r="B31" s="9"/>
      <c r="D31" s="9"/>
    </row>
    <row r="32" spans="1:6" x14ac:dyDescent="0.25">
      <c r="A32" s="9" t="s">
        <v>44</v>
      </c>
      <c r="B32" s="4">
        <v>45839</v>
      </c>
      <c r="C32" s="5">
        <v>100</v>
      </c>
      <c r="D32" s="9" t="s">
        <v>13</v>
      </c>
      <c r="E32" s="10">
        <v>135</v>
      </c>
      <c r="F32" s="10">
        <f t="shared" si="0"/>
        <v>13500</v>
      </c>
    </row>
    <row r="33" spans="1:6" x14ac:dyDescent="0.25">
      <c r="A33" s="9"/>
      <c r="B33" s="9"/>
      <c r="D33" s="9"/>
      <c r="F33" s="8">
        <f>SUM(F32)</f>
        <v>13500</v>
      </c>
    </row>
    <row r="34" spans="1:6" x14ac:dyDescent="0.25">
      <c r="A34" s="9"/>
      <c r="B34" s="9"/>
      <c r="D34" s="9"/>
    </row>
    <row r="35" spans="1:6" x14ac:dyDescent="0.25">
      <c r="A35" s="9" t="s">
        <v>26</v>
      </c>
      <c r="B35" s="4">
        <v>45839</v>
      </c>
      <c r="C35" s="5">
        <v>80</v>
      </c>
      <c r="D35" s="9" t="s">
        <v>13</v>
      </c>
      <c r="E35" s="10">
        <v>140</v>
      </c>
      <c r="F35" s="10">
        <f t="shared" si="0"/>
        <v>11200</v>
      </c>
    </row>
    <row r="36" spans="1:6" x14ac:dyDescent="0.25">
      <c r="A36" s="9"/>
      <c r="B36" s="9"/>
      <c r="C36" s="5">
        <v>20</v>
      </c>
      <c r="D36" s="9" t="s">
        <v>14</v>
      </c>
      <c r="E36" s="10">
        <v>130</v>
      </c>
      <c r="F36" s="10">
        <f t="shared" si="0"/>
        <v>2600</v>
      </c>
    </row>
    <row r="37" spans="1:6" x14ac:dyDescent="0.25">
      <c r="A37" s="9"/>
      <c r="B37" s="9"/>
      <c r="C37" s="5">
        <v>2.25</v>
      </c>
      <c r="D37" s="9" t="s">
        <v>318</v>
      </c>
      <c r="E37" s="10">
        <v>0</v>
      </c>
      <c r="F37" s="10">
        <f t="shared" si="0"/>
        <v>0</v>
      </c>
    </row>
    <row r="38" spans="1:6" x14ac:dyDescent="0.25">
      <c r="A38" s="9"/>
      <c r="B38" s="9"/>
      <c r="D38" s="9"/>
      <c r="F38" s="8">
        <f>SUM(F35:F37)</f>
        <v>13800</v>
      </c>
    </row>
    <row r="39" spans="1:6" x14ac:dyDescent="0.25">
      <c r="A39" s="9"/>
      <c r="B39" s="9"/>
      <c r="D39" s="9"/>
    </row>
    <row r="40" spans="1:6" x14ac:dyDescent="0.25">
      <c r="A40" s="9" t="s">
        <v>760</v>
      </c>
      <c r="B40" s="4">
        <v>45839</v>
      </c>
      <c r="C40" s="5">
        <v>15</v>
      </c>
      <c r="D40" s="9" t="s">
        <v>12</v>
      </c>
      <c r="E40" s="10">
        <v>135</v>
      </c>
      <c r="F40" s="10">
        <f t="shared" si="0"/>
        <v>2025</v>
      </c>
    </row>
    <row r="41" spans="1:6" x14ac:dyDescent="0.25">
      <c r="A41" s="9"/>
      <c r="B41" s="9"/>
      <c r="D41" s="9"/>
      <c r="F41" s="8">
        <f>SUM(F40)</f>
        <v>2025</v>
      </c>
    </row>
    <row r="42" spans="1:6" x14ac:dyDescent="0.25">
      <c r="A42" s="9"/>
      <c r="B42" s="9"/>
      <c r="D42" s="9"/>
    </row>
    <row r="43" spans="1:6" x14ac:dyDescent="0.25">
      <c r="A43" s="9" t="s">
        <v>72</v>
      </c>
      <c r="B43" s="4">
        <v>45839</v>
      </c>
      <c r="C43" s="5">
        <v>250</v>
      </c>
      <c r="D43" s="9" t="s">
        <v>13</v>
      </c>
      <c r="E43" s="10">
        <v>130</v>
      </c>
      <c r="F43" s="10">
        <f t="shared" si="0"/>
        <v>32500</v>
      </c>
    </row>
    <row r="44" spans="1:6" x14ac:dyDescent="0.25">
      <c r="A44" s="9"/>
      <c r="B44" s="9"/>
      <c r="C44" s="5">
        <v>100</v>
      </c>
      <c r="D44" s="9" t="s">
        <v>12</v>
      </c>
      <c r="E44" s="10">
        <v>120</v>
      </c>
      <c r="F44" s="10">
        <f t="shared" si="0"/>
        <v>12000</v>
      </c>
    </row>
    <row r="45" spans="1:6" x14ac:dyDescent="0.25">
      <c r="A45" s="9"/>
      <c r="B45" s="9"/>
      <c r="C45" s="5">
        <v>20</v>
      </c>
      <c r="D45" s="9" t="s">
        <v>14</v>
      </c>
      <c r="E45" s="10">
        <v>125</v>
      </c>
      <c r="F45" s="10">
        <f t="shared" si="0"/>
        <v>2500</v>
      </c>
    </row>
    <row r="46" spans="1:6" x14ac:dyDescent="0.25">
      <c r="A46" s="9"/>
      <c r="B46" s="9"/>
      <c r="C46" s="5">
        <v>80</v>
      </c>
      <c r="D46" s="9" t="s">
        <v>11</v>
      </c>
      <c r="E46" s="10">
        <v>120</v>
      </c>
      <c r="F46" s="10">
        <f t="shared" si="0"/>
        <v>9600</v>
      </c>
    </row>
    <row r="47" spans="1:6" x14ac:dyDescent="0.25">
      <c r="A47" s="9"/>
      <c r="B47" s="9"/>
      <c r="D47" s="9"/>
      <c r="F47" s="8">
        <f>SUM(F43:F46)</f>
        <v>56600</v>
      </c>
    </row>
    <row r="48" spans="1:6" x14ac:dyDescent="0.25">
      <c r="A48" s="9"/>
      <c r="B48" s="9"/>
      <c r="D48" s="9"/>
    </row>
    <row r="49" spans="1:6" s="9" customFormat="1" x14ac:dyDescent="0.25">
      <c r="A49" s="9" t="s">
        <v>48</v>
      </c>
      <c r="B49" s="4">
        <v>45839</v>
      </c>
      <c r="C49" s="5">
        <v>168</v>
      </c>
      <c r="D49" s="9" t="s">
        <v>14</v>
      </c>
      <c r="E49" s="10"/>
      <c r="F49" s="10">
        <f t="shared" si="0"/>
        <v>0</v>
      </c>
    </row>
    <row r="50" spans="1:6" s="9" customFormat="1" x14ac:dyDescent="0.25">
      <c r="C50" s="5">
        <v>35</v>
      </c>
      <c r="D50" s="9" t="s">
        <v>765</v>
      </c>
      <c r="E50" s="10"/>
      <c r="F50" s="10">
        <f t="shared" si="0"/>
        <v>0</v>
      </c>
    </row>
    <row r="51" spans="1:6" s="9" customFormat="1" x14ac:dyDescent="0.25">
      <c r="C51" s="5">
        <v>31</v>
      </c>
      <c r="D51" s="9" t="s">
        <v>766</v>
      </c>
      <c r="E51" s="10"/>
      <c r="F51" s="10">
        <f t="shared" si="0"/>
        <v>0</v>
      </c>
    </row>
    <row r="52" spans="1:6" s="9" customFormat="1" x14ac:dyDescent="0.25">
      <c r="C52" s="5">
        <v>19</v>
      </c>
      <c r="D52" s="9" t="s">
        <v>50</v>
      </c>
      <c r="E52" s="10"/>
      <c r="F52" s="10">
        <f t="shared" si="0"/>
        <v>0</v>
      </c>
    </row>
    <row r="53" spans="1:6" s="9" customFormat="1" x14ac:dyDescent="0.25">
      <c r="C53" s="5">
        <v>32</v>
      </c>
      <c r="D53" s="9" t="s">
        <v>22</v>
      </c>
      <c r="E53" s="10"/>
      <c r="F53" s="10">
        <f t="shared" si="0"/>
        <v>0</v>
      </c>
    </row>
    <row r="54" spans="1:6" s="9" customFormat="1" x14ac:dyDescent="0.25">
      <c r="C54" s="5"/>
      <c r="E54" s="10"/>
      <c r="F54" s="8">
        <f>SUM(F49:F53)</f>
        <v>0</v>
      </c>
    </row>
    <row r="55" spans="1:6" s="9" customFormat="1" x14ac:dyDescent="0.25">
      <c r="C55" s="5"/>
      <c r="E55" s="10"/>
      <c r="F55" s="10"/>
    </row>
    <row r="56" spans="1:6" x14ac:dyDescent="0.25">
      <c r="A56" s="9" t="s">
        <v>101</v>
      </c>
      <c r="B56" s="4">
        <v>45839</v>
      </c>
      <c r="C56" s="5">
        <v>1</v>
      </c>
      <c r="D56" s="9" t="s">
        <v>13</v>
      </c>
      <c r="E56" s="10">
        <v>160</v>
      </c>
      <c r="F56" s="10">
        <f t="shared" si="0"/>
        <v>160</v>
      </c>
    </row>
    <row r="57" spans="1:6" x14ac:dyDescent="0.25">
      <c r="A57" s="9"/>
      <c r="B57" s="9"/>
      <c r="C57" s="5">
        <v>1</v>
      </c>
      <c r="D57" s="9" t="s">
        <v>91</v>
      </c>
      <c r="E57" s="10">
        <v>100</v>
      </c>
      <c r="F57" s="10">
        <f t="shared" si="0"/>
        <v>100</v>
      </c>
    </row>
    <row r="58" spans="1:6" x14ac:dyDescent="0.25">
      <c r="A58" s="9"/>
      <c r="B58" s="9"/>
      <c r="D58" s="9"/>
      <c r="F58" s="8">
        <f>SUM(F56:F57)</f>
        <v>260</v>
      </c>
    </row>
    <row r="59" spans="1:6" x14ac:dyDescent="0.25">
      <c r="A59" s="9"/>
      <c r="B59" s="9"/>
      <c r="D59" s="9"/>
    </row>
    <row r="60" spans="1:6" x14ac:dyDescent="0.25">
      <c r="A60" s="9" t="s">
        <v>7</v>
      </c>
      <c r="B60" s="4">
        <v>45839</v>
      </c>
      <c r="C60" s="5">
        <v>15</v>
      </c>
      <c r="D60" s="9" t="s">
        <v>13</v>
      </c>
      <c r="E60" s="10">
        <v>140</v>
      </c>
      <c r="F60" s="10">
        <f t="shared" si="0"/>
        <v>2100</v>
      </c>
    </row>
    <row r="61" spans="1:6" x14ac:dyDescent="0.25">
      <c r="A61" s="9"/>
      <c r="B61" s="9"/>
      <c r="C61" s="5">
        <v>1</v>
      </c>
      <c r="D61" s="9" t="s">
        <v>761</v>
      </c>
      <c r="E61" s="10">
        <v>150</v>
      </c>
      <c r="F61" s="10">
        <f t="shared" si="0"/>
        <v>150</v>
      </c>
    </row>
    <row r="62" spans="1:6" x14ac:dyDescent="0.25">
      <c r="A62" s="9"/>
      <c r="B62" s="9"/>
      <c r="D62" s="9"/>
      <c r="F62" s="8">
        <f>SUM(F60:F61)</f>
        <v>2250</v>
      </c>
    </row>
    <row r="63" spans="1:6" x14ac:dyDescent="0.25">
      <c r="A63" s="9"/>
      <c r="B63" s="9"/>
      <c r="D63" s="9"/>
    </row>
    <row r="64" spans="1:6" x14ac:dyDescent="0.25">
      <c r="A64" s="9" t="s">
        <v>184</v>
      </c>
      <c r="B64" s="4">
        <v>45840</v>
      </c>
      <c r="C64" s="5">
        <v>7</v>
      </c>
      <c r="D64" s="9" t="s">
        <v>13</v>
      </c>
      <c r="E64" s="10">
        <v>150</v>
      </c>
      <c r="F64" s="10">
        <f t="shared" si="0"/>
        <v>1050</v>
      </c>
    </row>
    <row r="65" spans="1:6" x14ac:dyDescent="0.25">
      <c r="A65" s="9"/>
      <c r="B65" s="9"/>
      <c r="D65" s="9"/>
      <c r="F65" s="8">
        <f>SUM(F64)</f>
        <v>1050</v>
      </c>
    </row>
    <row r="66" spans="1:6" x14ac:dyDescent="0.25">
      <c r="A66" s="9"/>
      <c r="B66" s="9"/>
      <c r="D66" s="9"/>
    </row>
    <row r="67" spans="1:6" x14ac:dyDescent="0.25">
      <c r="A67" s="9" t="s">
        <v>514</v>
      </c>
      <c r="B67" s="4">
        <v>45840</v>
      </c>
      <c r="C67" s="5">
        <v>10</v>
      </c>
      <c r="D67" s="9" t="s">
        <v>625</v>
      </c>
      <c r="E67" s="10">
        <v>100</v>
      </c>
      <c r="F67" s="10">
        <f t="shared" si="0"/>
        <v>1000</v>
      </c>
    </row>
    <row r="68" spans="1:6" x14ac:dyDescent="0.25">
      <c r="A68" s="9"/>
      <c r="B68" s="9"/>
      <c r="D68" s="9"/>
      <c r="F68" s="8">
        <f>SUM(F67)</f>
        <v>1000</v>
      </c>
    </row>
    <row r="69" spans="1:6" x14ac:dyDescent="0.25">
      <c r="A69" s="9"/>
      <c r="B69" s="9"/>
      <c r="D69" s="9"/>
    </row>
    <row r="70" spans="1:6" x14ac:dyDescent="0.25">
      <c r="A70" s="9" t="s">
        <v>15</v>
      </c>
      <c r="B70" s="4">
        <v>45840</v>
      </c>
      <c r="C70" s="5">
        <v>40</v>
      </c>
      <c r="D70" s="9" t="s">
        <v>98</v>
      </c>
      <c r="E70" s="10">
        <v>80</v>
      </c>
      <c r="F70" s="10">
        <f t="shared" si="0"/>
        <v>3200</v>
      </c>
    </row>
    <row r="71" spans="1:6" x14ac:dyDescent="0.25">
      <c r="A71" s="9"/>
      <c r="B71" s="9"/>
      <c r="D71" s="9"/>
      <c r="F71" s="8">
        <f>SUM(F70)</f>
        <v>3200</v>
      </c>
    </row>
    <row r="72" spans="1:6" x14ac:dyDescent="0.25">
      <c r="A72" s="9"/>
      <c r="B72" s="9"/>
      <c r="D72" s="9"/>
    </row>
    <row r="73" spans="1:6" x14ac:dyDescent="0.25">
      <c r="A73" s="9" t="s">
        <v>17</v>
      </c>
      <c r="B73" s="4">
        <v>45840</v>
      </c>
      <c r="C73" s="5">
        <v>10</v>
      </c>
      <c r="D73" s="9" t="s">
        <v>13</v>
      </c>
      <c r="E73" s="10">
        <v>145</v>
      </c>
      <c r="F73" s="10">
        <f t="shared" si="0"/>
        <v>1450</v>
      </c>
    </row>
    <row r="74" spans="1:6" x14ac:dyDescent="0.25">
      <c r="A74" s="9"/>
      <c r="B74" s="9"/>
      <c r="D74" s="9"/>
      <c r="F74" s="8">
        <f>SUM(F73)</f>
        <v>1450</v>
      </c>
    </row>
    <row r="75" spans="1:6" x14ac:dyDescent="0.25">
      <c r="A75" s="9"/>
      <c r="B75" s="9"/>
      <c r="D75" s="9"/>
    </row>
    <row r="76" spans="1:6" x14ac:dyDescent="0.25">
      <c r="A76" s="9" t="s">
        <v>20</v>
      </c>
      <c r="B76" s="4">
        <v>45840</v>
      </c>
      <c r="C76" s="5">
        <v>20</v>
      </c>
      <c r="D76" s="9" t="s">
        <v>13</v>
      </c>
      <c r="E76" s="10">
        <v>140</v>
      </c>
      <c r="F76" s="10">
        <f t="shared" ref="F76:F136" si="1">+C76*E76</f>
        <v>2800</v>
      </c>
    </row>
    <row r="77" spans="1:6" x14ac:dyDescent="0.25">
      <c r="A77" s="9"/>
      <c r="B77" s="9"/>
      <c r="D77" s="9"/>
      <c r="F77" s="8">
        <f>SUM(F76)</f>
        <v>2800</v>
      </c>
    </row>
    <row r="78" spans="1:6" x14ac:dyDescent="0.25">
      <c r="A78" s="9"/>
      <c r="B78" s="9"/>
      <c r="D78" s="9"/>
    </row>
    <row r="79" spans="1:6" x14ac:dyDescent="0.25">
      <c r="A79" s="9" t="s">
        <v>673</v>
      </c>
      <c r="B79" s="4">
        <v>45840</v>
      </c>
      <c r="C79" s="5">
        <v>20</v>
      </c>
      <c r="D79" s="9" t="s">
        <v>13</v>
      </c>
      <c r="E79" s="10">
        <v>140</v>
      </c>
      <c r="F79" s="10">
        <f t="shared" si="1"/>
        <v>2800</v>
      </c>
    </row>
    <row r="80" spans="1:6" x14ac:dyDescent="0.25">
      <c r="A80" s="9"/>
      <c r="B80" s="9"/>
      <c r="C80" s="5">
        <v>10</v>
      </c>
      <c r="D80" s="9" t="s">
        <v>8</v>
      </c>
      <c r="E80" s="10">
        <v>155</v>
      </c>
      <c r="F80" s="10">
        <f t="shared" si="1"/>
        <v>1550</v>
      </c>
    </row>
    <row r="81" spans="1:6" x14ac:dyDescent="0.25">
      <c r="A81" s="9"/>
      <c r="B81" s="9"/>
      <c r="C81" s="5">
        <v>10</v>
      </c>
      <c r="D81" s="9" t="s">
        <v>12</v>
      </c>
      <c r="E81" s="10">
        <v>130</v>
      </c>
      <c r="F81" s="10">
        <f t="shared" si="1"/>
        <v>1300</v>
      </c>
    </row>
    <row r="82" spans="1:6" x14ac:dyDescent="0.25">
      <c r="A82" s="9"/>
      <c r="B82" s="9"/>
      <c r="C82" s="5">
        <v>10</v>
      </c>
      <c r="D82" s="9" t="s">
        <v>14</v>
      </c>
      <c r="E82" s="10">
        <v>135</v>
      </c>
      <c r="F82" s="10">
        <f t="shared" si="1"/>
        <v>1350</v>
      </c>
    </row>
    <row r="83" spans="1:6" x14ac:dyDescent="0.25">
      <c r="A83" s="9"/>
      <c r="B83" s="9"/>
      <c r="D83" s="9"/>
      <c r="F83" s="8">
        <f>SUM(F79:F82)</f>
        <v>7000</v>
      </c>
    </row>
    <row r="84" spans="1:6" x14ac:dyDescent="0.25">
      <c r="A84" s="9"/>
      <c r="B84" s="9"/>
      <c r="D84" s="9"/>
    </row>
    <row r="85" spans="1:6" x14ac:dyDescent="0.25">
      <c r="A85" s="9" t="s">
        <v>367</v>
      </c>
      <c r="B85" s="4">
        <v>45840</v>
      </c>
      <c r="C85" s="5">
        <v>10</v>
      </c>
      <c r="D85" s="9" t="s">
        <v>13</v>
      </c>
      <c r="E85" s="10">
        <v>140</v>
      </c>
      <c r="F85" s="10">
        <f t="shared" si="1"/>
        <v>1400</v>
      </c>
    </row>
    <row r="86" spans="1:6" x14ac:dyDescent="0.25">
      <c r="A86" s="9"/>
      <c r="B86" s="9"/>
      <c r="C86" s="5">
        <v>10</v>
      </c>
      <c r="D86" s="9" t="s">
        <v>14</v>
      </c>
      <c r="E86" s="10">
        <v>135</v>
      </c>
      <c r="F86" s="10">
        <f t="shared" si="1"/>
        <v>1350</v>
      </c>
    </row>
    <row r="87" spans="1:6" x14ac:dyDescent="0.25">
      <c r="A87" s="9"/>
      <c r="B87" s="9"/>
      <c r="D87" s="9"/>
      <c r="F87" s="8">
        <f>SUM(F85:F86)</f>
        <v>2750</v>
      </c>
    </row>
    <row r="88" spans="1:6" x14ac:dyDescent="0.25">
      <c r="A88" s="9"/>
      <c r="B88" s="9"/>
      <c r="D88" s="9"/>
    </row>
    <row r="89" spans="1:6" x14ac:dyDescent="0.25">
      <c r="A89" s="9" t="s">
        <v>21</v>
      </c>
      <c r="B89" s="4">
        <v>45840</v>
      </c>
      <c r="C89" s="5">
        <v>10</v>
      </c>
      <c r="D89" s="9" t="s">
        <v>14</v>
      </c>
      <c r="E89" s="10">
        <v>135</v>
      </c>
      <c r="F89" s="10">
        <f t="shared" si="1"/>
        <v>1350</v>
      </c>
    </row>
    <row r="90" spans="1:6" x14ac:dyDescent="0.25">
      <c r="A90" s="9"/>
      <c r="B90" s="9"/>
      <c r="D90" s="9"/>
      <c r="F90" s="8">
        <f>SUM(F89)</f>
        <v>1350</v>
      </c>
    </row>
    <row r="91" spans="1:6" x14ac:dyDescent="0.25">
      <c r="A91" s="9"/>
      <c r="B91" s="9"/>
      <c r="D91" s="9"/>
    </row>
    <row r="92" spans="1:6" x14ac:dyDescent="0.25">
      <c r="A92" s="9" t="s">
        <v>23</v>
      </c>
      <c r="B92" s="4">
        <v>45840</v>
      </c>
      <c r="C92" s="5">
        <v>5</v>
      </c>
      <c r="D92" s="9" t="s">
        <v>50</v>
      </c>
      <c r="E92" s="10">
        <v>105</v>
      </c>
      <c r="F92" s="10">
        <f t="shared" si="1"/>
        <v>525</v>
      </c>
    </row>
    <row r="93" spans="1:6" x14ac:dyDescent="0.25">
      <c r="A93" s="9"/>
      <c r="B93" s="9"/>
      <c r="C93" s="5">
        <v>12</v>
      </c>
      <c r="D93" s="9" t="s">
        <v>14</v>
      </c>
      <c r="E93" s="10">
        <v>135</v>
      </c>
      <c r="F93" s="10">
        <f t="shared" si="1"/>
        <v>1620</v>
      </c>
    </row>
    <row r="94" spans="1:6" x14ac:dyDescent="0.25">
      <c r="A94" s="9"/>
      <c r="B94" s="9"/>
      <c r="C94" s="5">
        <v>8</v>
      </c>
      <c r="D94" s="9" t="s">
        <v>12</v>
      </c>
      <c r="E94" s="10">
        <v>130</v>
      </c>
      <c r="F94" s="10">
        <f t="shared" si="1"/>
        <v>1040</v>
      </c>
    </row>
    <row r="95" spans="1:6" x14ac:dyDescent="0.25">
      <c r="A95" s="9"/>
      <c r="B95" s="9"/>
      <c r="D95" s="9"/>
      <c r="F95" s="8">
        <f>SUM(F92:F94)</f>
        <v>3185</v>
      </c>
    </row>
    <row r="96" spans="1:6" x14ac:dyDescent="0.25">
      <c r="A96" s="9"/>
      <c r="B96" s="9"/>
      <c r="D96" s="9"/>
    </row>
    <row r="97" spans="1:6" x14ac:dyDescent="0.25">
      <c r="A97" s="9" t="s">
        <v>40</v>
      </c>
      <c r="B97" s="4">
        <v>45840</v>
      </c>
      <c r="C97" s="5">
        <v>10</v>
      </c>
      <c r="D97" s="9" t="s">
        <v>13</v>
      </c>
      <c r="E97" s="10">
        <v>135</v>
      </c>
      <c r="F97" s="10">
        <f t="shared" si="1"/>
        <v>1350</v>
      </c>
    </row>
    <row r="98" spans="1:6" x14ac:dyDescent="0.25">
      <c r="A98" s="9"/>
      <c r="B98" s="9"/>
      <c r="D98" s="9"/>
      <c r="F98" s="8">
        <f>SUM(F97)</f>
        <v>1350</v>
      </c>
    </row>
    <row r="99" spans="1:6" x14ac:dyDescent="0.25">
      <c r="A99" s="9"/>
      <c r="B99" s="9"/>
      <c r="D99" s="9"/>
    </row>
    <row r="100" spans="1:6" x14ac:dyDescent="0.25">
      <c r="A100" s="9" t="s">
        <v>25</v>
      </c>
      <c r="B100" s="4">
        <v>45840</v>
      </c>
      <c r="C100" s="5">
        <v>20</v>
      </c>
      <c r="D100" s="9" t="s">
        <v>22</v>
      </c>
      <c r="E100" s="10">
        <v>110</v>
      </c>
      <c r="F100" s="10">
        <f t="shared" si="1"/>
        <v>2200</v>
      </c>
    </row>
    <row r="101" spans="1:6" x14ac:dyDescent="0.25">
      <c r="A101" s="9"/>
      <c r="B101" s="9"/>
      <c r="C101" s="5">
        <v>20</v>
      </c>
      <c r="D101" s="9" t="s">
        <v>14</v>
      </c>
      <c r="E101" s="10">
        <v>135</v>
      </c>
      <c r="F101" s="10">
        <f t="shared" si="1"/>
        <v>2700</v>
      </c>
    </row>
    <row r="102" spans="1:6" x14ac:dyDescent="0.25">
      <c r="A102" s="9"/>
      <c r="B102" s="9"/>
      <c r="D102" s="9"/>
      <c r="F102" s="8">
        <f>SUM(F100:F101)</f>
        <v>4900</v>
      </c>
    </row>
    <row r="103" spans="1:6" x14ac:dyDescent="0.25">
      <c r="A103" s="9"/>
      <c r="B103" s="9"/>
      <c r="D103" s="9"/>
    </row>
    <row r="104" spans="1:6" x14ac:dyDescent="0.25">
      <c r="A104" s="9" t="s">
        <v>211</v>
      </c>
      <c r="B104" s="4">
        <v>45840</v>
      </c>
      <c r="C104" s="5">
        <v>8</v>
      </c>
      <c r="D104" s="9" t="s">
        <v>98</v>
      </c>
      <c r="E104" s="10">
        <v>100</v>
      </c>
      <c r="F104" s="10">
        <f t="shared" si="1"/>
        <v>800</v>
      </c>
    </row>
    <row r="105" spans="1:6" x14ac:dyDescent="0.25">
      <c r="A105" s="9"/>
      <c r="B105" s="9"/>
      <c r="D105" s="9"/>
      <c r="F105" s="8">
        <f>SUM(F104)</f>
        <v>800</v>
      </c>
    </row>
    <row r="106" spans="1:6" x14ac:dyDescent="0.25">
      <c r="A106" s="9"/>
      <c r="B106" s="9"/>
      <c r="D106" s="9"/>
    </row>
    <row r="107" spans="1:6" x14ac:dyDescent="0.25">
      <c r="A107" s="9" t="s">
        <v>688</v>
      </c>
      <c r="B107" s="4">
        <v>45840</v>
      </c>
      <c r="C107" s="5">
        <v>3</v>
      </c>
      <c r="D107" s="9" t="s">
        <v>13</v>
      </c>
      <c r="E107" s="10">
        <v>140</v>
      </c>
      <c r="F107" s="10">
        <f t="shared" si="1"/>
        <v>420</v>
      </c>
    </row>
    <row r="108" spans="1:6" x14ac:dyDescent="0.25">
      <c r="A108" s="9"/>
      <c r="B108" s="9"/>
      <c r="D108" s="9"/>
      <c r="F108" s="8">
        <f>SUM(F107)</f>
        <v>420</v>
      </c>
    </row>
    <row r="109" spans="1:6" x14ac:dyDescent="0.25">
      <c r="A109" s="9"/>
      <c r="B109" s="9"/>
      <c r="D109" s="9"/>
    </row>
    <row r="110" spans="1:6" x14ac:dyDescent="0.25">
      <c r="A110" s="9" t="s">
        <v>41</v>
      </c>
      <c r="B110" s="4">
        <v>45840</v>
      </c>
      <c r="C110" s="5">
        <v>45</v>
      </c>
      <c r="D110" s="9" t="s">
        <v>14</v>
      </c>
      <c r="E110" s="10">
        <v>130</v>
      </c>
      <c r="F110" s="10">
        <f t="shared" si="1"/>
        <v>5850</v>
      </c>
    </row>
    <row r="111" spans="1:6" x14ac:dyDescent="0.25">
      <c r="A111" s="9"/>
      <c r="B111" s="9"/>
      <c r="D111" s="9"/>
      <c r="F111" s="8">
        <f>SUM(F110)</f>
        <v>5850</v>
      </c>
    </row>
    <row r="112" spans="1:6" x14ac:dyDescent="0.25">
      <c r="A112" s="9"/>
      <c r="B112" s="9"/>
      <c r="D112" s="9"/>
    </row>
    <row r="113" spans="1:6" x14ac:dyDescent="0.25">
      <c r="A113" s="9" t="s">
        <v>43</v>
      </c>
      <c r="B113" s="4">
        <v>45840</v>
      </c>
      <c r="C113" s="5">
        <v>53</v>
      </c>
      <c r="D113" s="9" t="s">
        <v>49</v>
      </c>
      <c r="E113" s="10">
        <v>145</v>
      </c>
      <c r="F113" s="10">
        <f t="shared" si="1"/>
        <v>7685</v>
      </c>
    </row>
    <row r="114" spans="1:6" x14ac:dyDescent="0.25">
      <c r="A114" s="9"/>
      <c r="B114" s="9"/>
      <c r="D114" s="9"/>
      <c r="F114" s="8">
        <f>SUM(F113)</f>
        <v>7685</v>
      </c>
    </row>
    <row r="115" spans="1:6" x14ac:dyDescent="0.25">
      <c r="A115" s="9"/>
      <c r="B115" s="9"/>
      <c r="D115" s="9"/>
    </row>
    <row r="116" spans="1:6" x14ac:dyDescent="0.25">
      <c r="A116" s="9" t="s">
        <v>44</v>
      </c>
      <c r="B116" s="4">
        <v>45840</v>
      </c>
      <c r="C116" s="5">
        <v>50</v>
      </c>
      <c r="D116" s="9" t="s">
        <v>14</v>
      </c>
      <c r="E116" s="10">
        <v>135</v>
      </c>
      <c r="F116" s="10">
        <f t="shared" si="1"/>
        <v>6750</v>
      </c>
    </row>
    <row r="117" spans="1:6" x14ac:dyDescent="0.25">
      <c r="A117" s="9"/>
      <c r="B117" s="9"/>
      <c r="D117" s="9"/>
      <c r="F117" s="8">
        <f>SUM(F116)</f>
        <v>6750</v>
      </c>
    </row>
    <row r="118" spans="1:6" x14ac:dyDescent="0.25">
      <c r="A118" s="9"/>
      <c r="B118" s="9"/>
      <c r="D118" s="9"/>
    </row>
    <row r="119" spans="1:6" x14ac:dyDescent="0.25">
      <c r="A119" s="9" t="s">
        <v>18</v>
      </c>
      <c r="B119" s="4">
        <v>45840</v>
      </c>
      <c r="C119" s="5">
        <v>10</v>
      </c>
      <c r="D119" s="9" t="s">
        <v>13</v>
      </c>
      <c r="E119" s="10">
        <v>140</v>
      </c>
      <c r="F119" s="10">
        <f t="shared" si="1"/>
        <v>1400</v>
      </c>
    </row>
    <row r="120" spans="1:6" x14ac:dyDescent="0.25">
      <c r="A120" s="9"/>
      <c r="B120" s="9"/>
      <c r="C120" s="5">
        <v>20</v>
      </c>
      <c r="D120" s="9" t="s">
        <v>14</v>
      </c>
      <c r="E120" s="10">
        <v>135</v>
      </c>
      <c r="F120" s="10">
        <f t="shared" si="1"/>
        <v>2700</v>
      </c>
    </row>
    <row r="121" spans="1:6" x14ac:dyDescent="0.25">
      <c r="A121" s="9"/>
      <c r="B121" s="9"/>
      <c r="C121" s="5">
        <v>30</v>
      </c>
      <c r="D121" s="9" t="s">
        <v>11</v>
      </c>
      <c r="E121" s="10">
        <v>125</v>
      </c>
      <c r="F121" s="10">
        <f t="shared" si="1"/>
        <v>3750</v>
      </c>
    </row>
    <row r="122" spans="1:6" x14ac:dyDescent="0.25">
      <c r="A122" s="9"/>
      <c r="B122" s="9"/>
      <c r="D122" s="9"/>
      <c r="F122" s="8">
        <f>SUM(F119:F121)</f>
        <v>7850</v>
      </c>
    </row>
    <row r="123" spans="1:6" x14ac:dyDescent="0.25">
      <c r="A123" s="9"/>
      <c r="B123" s="9"/>
      <c r="D123" s="9"/>
    </row>
    <row r="124" spans="1:6" x14ac:dyDescent="0.25">
      <c r="A124" s="9" t="s">
        <v>42</v>
      </c>
      <c r="B124" s="4">
        <v>45840</v>
      </c>
      <c r="C124" s="5">
        <v>14</v>
      </c>
      <c r="D124" s="9" t="s">
        <v>762</v>
      </c>
      <c r="E124" s="10">
        <v>135</v>
      </c>
      <c r="F124" s="10">
        <f t="shared" si="1"/>
        <v>1890</v>
      </c>
    </row>
    <row r="125" spans="1:6" x14ac:dyDescent="0.25">
      <c r="A125" s="9"/>
      <c r="B125" s="9"/>
      <c r="D125" s="9"/>
      <c r="F125" s="8">
        <f>SUM(F124)</f>
        <v>1890</v>
      </c>
    </row>
    <row r="126" spans="1:6" x14ac:dyDescent="0.25">
      <c r="A126" s="9"/>
      <c r="B126" s="9"/>
      <c r="D126" s="9"/>
    </row>
    <row r="127" spans="1:6" x14ac:dyDescent="0.25">
      <c r="A127" s="9" t="s">
        <v>46</v>
      </c>
      <c r="B127" s="4">
        <v>45840</v>
      </c>
      <c r="C127" s="5">
        <v>20</v>
      </c>
      <c r="D127" s="9" t="s">
        <v>14</v>
      </c>
      <c r="E127" s="10">
        <v>135</v>
      </c>
      <c r="F127" s="10">
        <f t="shared" si="1"/>
        <v>2700</v>
      </c>
    </row>
    <row r="128" spans="1:6" x14ac:dyDescent="0.25">
      <c r="A128" s="9"/>
      <c r="B128" s="9"/>
      <c r="D128" s="9"/>
      <c r="F128" s="8">
        <f>SUM(F127)</f>
        <v>2700</v>
      </c>
    </row>
    <row r="129" spans="1:6" x14ac:dyDescent="0.25">
      <c r="A129" s="9"/>
      <c r="B129" s="9"/>
      <c r="D129" s="9"/>
    </row>
    <row r="130" spans="1:6" x14ac:dyDescent="0.25">
      <c r="A130" s="9" t="s">
        <v>47</v>
      </c>
      <c r="B130" s="4">
        <v>45840</v>
      </c>
      <c r="C130" s="5">
        <v>25</v>
      </c>
      <c r="D130" s="9" t="s">
        <v>14</v>
      </c>
      <c r="E130" s="10">
        <v>135</v>
      </c>
      <c r="F130" s="10">
        <f t="shared" si="1"/>
        <v>3375</v>
      </c>
    </row>
    <row r="131" spans="1:6" x14ac:dyDescent="0.25">
      <c r="A131" s="9"/>
      <c r="B131" s="9"/>
      <c r="D131" s="9"/>
      <c r="F131" s="8">
        <f>SUM(F130)</f>
        <v>3375</v>
      </c>
    </row>
    <row r="132" spans="1:6" x14ac:dyDescent="0.25">
      <c r="A132" s="9"/>
      <c r="B132" s="9"/>
      <c r="D132" s="9"/>
    </row>
    <row r="133" spans="1:6" x14ac:dyDescent="0.25">
      <c r="A133" s="9" t="s">
        <v>107</v>
      </c>
      <c r="B133" s="4">
        <v>45840</v>
      </c>
      <c r="C133" s="5">
        <v>32</v>
      </c>
      <c r="D133" s="9" t="s">
        <v>14</v>
      </c>
      <c r="E133" s="10">
        <v>135</v>
      </c>
      <c r="F133" s="10">
        <f t="shared" si="1"/>
        <v>4320</v>
      </c>
    </row>
    <row r="134" spans="1:6" x14ac:dyDescent="0.25">
      <c r="A134" s="9"/>
      <c r="B134" s="9"/>
      <c r="D134" s="9"/>
      <c r="F134" s="8">
        <f>SUM(F133)</f>
        <v>4320</v>
      </c>
    </row>
    <row r="135" spans="1:6" x14ac:dyDescent="0.25">
      <c r="A135" s="9"/>
      <c r="B135" s="9"/>
      <c r="D135" s="9"/>
    </row>
    <row r="136" spans="1:6" x14ac:dyDescent="0.25">
      <c r="A136" s="9" t="s">
        <v>7</v>
      </c>
      <c r="B136" s="4">
        <v>45840</v>
      </c>
      <c r="C136" s="5">
        <v>10</v>
      </c>
      <c r="D136" s="9" t="s">
        <v>14</v>
      </c>
      <c r="E136" s="10">
        <v>135</v>
      </c>
      <c r="F136" s="10">
        <f t="shared" si="1"/>
        <v>1350</v>
      </c>
    </row>
    <row r="137" spans="1:6" x14ac:dyDescent="0.25">
      <c r="A137" s="9"/>
      <c r="B137" s="9"/>
      <c r="D137" s="9"/>
      <c r="F137" s="8">
        <f>SUM(F136)</f>
        <v>1350</v>
      </c>
    </row>
    <row r="138" spans="1:6" x14ac:dyDescent="0.25">
      <c r="A138" s="9"/>
      <c r="B138" s="9"/>
      <c r="D138" s="9"/>
    </row>
    <row r="139" spans="1:6" x14ac:dyDescent="0.25">
      <c r="A139" s="9" t="s">
        <v>65</v>
      </c>
      <c r="B139" s="4">
        <v>45840</v>
      </c>
      <c r="C139" s="5">
        <v>600</v>
      </c>
      <c r="D139" s="9" t="s">
        <v>12</v>
      </c>
      <c r="E139" s="10">
        <v>125</v>
      </c>
      <c r="F139" s="10">
        <f t="shared" ref="F139:F202" si="2">+C139*E139</f>
        <v>75000</v>
      </c>
    </row>
    <row r="140" spans="1:6" x14ac:dyDescent="0.25">
      <c r="A140" s="9"/>
      <c r="B140" s="9"/>
      <c r="C140" s="5">
        <v>30</v>
      </c>
      <c r="D140" s="9" t="s">
        <v>22</v>
      </c>
      <c r="E140" s="10">
        <v>115</v>
      </c>
      <c r="F140" s="10">
        <f t="shared" si="2"/>
        <v>3450</v>
      </c>
    </row>
    <row r="141" spans="1:6" x14ac:dyDescent="0.25">
      <c r="A141" s="9"/>
      <c r="B141" s="9"/>
      <c r="D141" s="9"/>
      <c r="F141" s="8">
        <f>SUM(F139:F140)</f>
        <v>78450</v>
      </c>
    </row>
    <row r="142" spans="1:6" x14ac:dyDescent="0.25">
      <c r="A142" s="9"/>
      <c r="B142" s="9"/>
      <c r="D142" s="9"/>
    </row>
    <row r="143" spans="1:6" x14ac:dyDescent="0.25">
      <c r="A143" s="9" t="s">
        <v>181</v>
      </c>
      <c r="B143" s="4">
        <v>45840</v>
      </c>
      <c r="C143" s="5">
        <v>400</v>
      </c>
      <c r="D143" s="9" t="s">
        <v>13</v>
      </c>
      <c r="E143" s="10">
        <v>130</v>
      </c>
      <c r="F143" s="10">
        <f t="shared" si="2"/>
        <v>52000</v>
      </c>
    </row>
    <row r="144" spans="1:6" x14ac:dyDescent="0.25">
      <c r="A144" s="9"/>
      <c r="B144" s="9"/>
      <c r="C144" s="5">
        <v>341</v>
      </c>
      <c r="D144" s="9" t="s">
        <v>12</v>
      </c>
      <c r="E144" s="10">
        <v>125</v>
      </c>
      <c r="F144" s="10">
        <f t="shared" si="2"/>
        <v>42625</v>
      </c>
    </row>
    <row r="145" spans="1:6" x14ac:dyDescent="0.25">
      <c r="A145" s="9"/>
      <c r="B145" s="9"/>
      <c r="C145" s="5">
        <v>50</v>
      </c>
      <c r="D145" s="9" t="s">
        <v>22</v>
      </c>
      <c r="E145" s="10">
        <v>115</v>
      </c>
      <c r="F145" s="10">
        <f t="shared" si="2"/>
        <v>5750</v>
      </c>
    </row>
    <row r="146" spans="1:6" x14ac:dyDescent="0.25">
      <c r="A146" s="9"/>
      <c r="B146" s="9"/>
      <c r="D146" s="9"/>
      <c r="F146" s="8">
        <f>SUM(F143:F145)</f>
        <v>100375</v>
      </c>
    </row>
    <row r="147" spans="1:6" x14ac:dyDescent="0.25">
      <c r="A147" s="9"/>
      <c r="B147" s="9"/>
      <c r="D147" s="9"/>
    </row>
    <row r="148" spans="1:6" x14ac:dyDescent="0.25">
      <c r="A148" s="9" t="s">
        <v>151</v>
      </c>
      <c r="B148" s="4">
        <v>45840</v>
      </c>
      <c r="C148" s="5">
        <v>150</v>
      </c>
      <c r="D148" s="9" t="s">
        <v>763</v>
      </c>
      <c r="E148" s="10">
        <v>105</v>
      </c>
      <c r="F148" s="10">
        <f t="shared" si="2"/>
        <v>15750</v>
      </c>
    </row>
    <row r="149" spans="1:6" x14ac:dyDescent="0.25">
      <c r="A149" s="9"/>
      <c r="B149" s="9"/>
      <c r="D149" s="9"/>
      <c r="F149" s="8">
        <f>SUM(F148)</f>
        <v>15750</v>
      </c>
    </row>
    <row r="150" spans="1:6" x14ac:dyDescent="0.25">
      <c r="A150" s="9"/>
      <c r="B150" s="9"/>
      <c r="D150" s="9"/>
    </row>
    <row r="151" spans="1:6" x14ac:dyDescent="0.25">
      <c r="A151" s="9" t="s">
        <v>245</v>
      </c>
      <c r="B151" s="4">
        <v>45840</v>
      </c>
      <c r="C151" s="5">
        <v>30</v>
      </c>
      <c r="D151" s="9" t="s">
        <v>764</v>
      </c>
      <c r="E151" s="10">
        <v>140</v>
      </c>
      <c r="F151" s="10">
        <f t="shared" si="2"/>
        <v>4200</v>
      </c>
    </row>
    <row r="152" spans="1:6" x14ac:dyDescent="0.25">
      <c r="A152" s="9"/>
      <c r="B152" s="9"/>
      <c r="C152" s="5">
        <v>10</v>
      </c>
      <c r="D152" s="9" t="s">
        <v>14</v>
      </c>
      <c r="E152" s="10">
        <v>130</v>
      </c>
      <c r="F152" s="10">
        <f t="shared" si="2"/>
        <v>1300</v>
      </c>
    </row>
    <row r="153" spans="1:6" x14ac:dyDescent="0.25">
      <c r="A153" s="9"/>
      <c r="B153" s="9"/>
      <c r="C153" s="5">
        <v>1.02</v>
      </c>
      <c r="D153" s="9" t="s">
        <v>318</v>
      </c>
      <c r="E153" s="10">
        <v>0</v>
      </c>
      <c r="F153" s="10">
        <f t="shared" si="2"/>
        <v>0</v>
      </c>
    </row>
    <row r="154" spans="1:6" x14ac:dyDescent="0.25">
      <c r="A154" s="9"/>
      <c r="B154" s="9"/>
      <c r="D154" s="9"/>
      <c r="F154" s="8">
        <f>SUM(F151:F153)</f>
        <v>5500</v>
      </c>
    </row>
    <row r="155" spans="1:6" x14ac:dyDescent="0.25">
      <c r="A155" s="9"/>
      <c r="B155" s="9"/>
      <c r="D155" s="9"/>
    </row>
    <row r="156" spans="1:6" x14ac:dyDescent="0.25">
      <c r="A156" s="9" t="s">
        <v>76</v>
      </c>
      <c r="B156" s="4">
        <v>45840</v>
      </c>
      <c r="C156" s="5">
        <v>400</v>
      </c>
      <c r="D156" s="9" t="s">
        <v>14</v>
      </c>
      <c r="F156" s="10">
        <f t="shared" si="2"/>
        <v>0</v>
      </c>
    </row>
    <row r="157" spans="1:6" x14ac:dyDescent="0.25">
      <c r="A157" s="9"/>
      <c r="B157" s="9"/>
      <c r="C157" s="5">
        <v>50</v>
      </c>
      <c r="D157" s="9" t="s">
        <v>11</v>
      </c>
      <c r="F157" s="10">
        <f t="shared" si="2"/>
        <v>0</v>
      </c>
    </row>
    <row r="158" spans="1:6" x14ac:dyDescent="0.25">
      <c r="A158" s="9"/>
      <c r="B158" s="9"/>
      <c r="C158" s="5">
        <v>50</v>
      </c>
      <c r="D158" s="9" t="s">
        <v>304</v>
      </c>
      <c r="F158" s="13">
        <f>SUM(F156:F157)</f>
        <v>0</v>
      </c>
    </row>
    <row r="159" spans="1:6" x14ac:dyDescent="0.25">
      <c r="A159" s="9"/>
      <c r="B159" s="9"/>
      <c r="D159" s="9"/>
      <c r="F159" s="8">
        <f>SUM(F156:F158)</f>
        <v>0</v>
      </c>
    </row>
    <row r="160" spans="1:6" x14ac:dyDescent="0.25">
      <c r="A160" s="9"/>
      <c r="B160" s="9"/>
      <c r="D160" s="9"/>
    </row>
    <row r="161" spans="1:6" x14ac:dyDescent="0.25">
      <c r="A161" s="9" t="s">
        <v>116</v>
      </c>
      <c r="B161" s="4">
        <v>45840</v>
      </c>
      <c r="C161" s="5">
        <v>120</v>
      </c>
      <c r="D161" s="9" t="s">
        <v>98</v>
      </c>
      <c r="F161" s="10">
        <f t="shared" si="2"/>
        <v>0</v>
      </c>
    </row>
    <row r="162" spans="1:6" x14ac:dyDescent="0.25">
      <c r="A162" s="9"/>
      <c r="B162" s="9"/>
      <c r="C162" s="5">
        <v>100</v>
      </c>
      <c r="D162" s="9" t="s">
        <v>11</v>
      </c>
      <c r="F162" s="10">
        <f t="shared" si="2"/>
        <v>0</v>
      </c>
    </row>
    <row r="163" spans="1:6" x14ac:dyDescent="0.25">
      <c r="A163" s="9"/>
      <c r="B163" s="9"/>
      <c r="C163" s="5">
        <v>180</v>
      </c>
      <c r="D163" s="9" t="s">
        <v>14</v>
      </c>
      <c r="F163" s="10">
        <f t="shared" si="2"/>
        <v>0</v>
      </c>
    </row>
    <row r="164" spans="1:6" x14ac:dyDescent="0.25">
      <c r="A164" s="9"/>
      <c r="B164" s="9"/>
      <c r="D164" s="9"/>
      <c r="F164" s="8">
        <f>SUM(F161:F163)</f>
        <v>0</v>
      </c>
    </row>
    <row r="165" spans="1:6" x14ac:dyDescent="0.25">
      <c r="A165" s="9"/>
      <c r="B165" s="9"/>
      <c r="D165" s="9"/>
    </row>
    <row r="166" spans="1:6" x14ac:dyDescent="0.25">
      <c r="A166" s="9" t="s">
        <v>29</v>
      </c>
      <c r="B166" s="4">
        <v>45840</v>
      </c>
      <c r="C166" s="5">
        <v>1</v>
      </c>
      <c r="D166" s="9" t="s">
        <v>13</v>
      </c>
      <c r="E166" s="10">
        <v>160</v>
      </c>
      <c r="F166" s="10">
        <f t="shared" si="2"/>
        <v>160</v>
      </c>
    </row>
    <row r="167" spans="1:6" x14ac:dyDescent="0.25">
      <c r="A167" s="9"/>
      <c r="B167" s="9"/>
      <c r="C167" s="5">
        <v>5</v>
      </c>
      <c r="D167" s="9" t="s">
        <v>511</v>
      </c>
      <c r="E167" s="10">
        <v>140</v>
      </c>
      <c r="F167" s="10">
        <f t="shared" si="2"/>
        <v>700</v>
      </c>
    </row>
    <row r="168" spans="1:6" x14ac:dyDescent="0.25">
      <c r="A168" s="9"/>
      <c r="B168" s="9"/>
      <c r="C168" s="5">
        <v>1</v>
      </c>
      <c r="D168" s="9" t="s">
        <v>12</v>
      </c>
      <c r="E168" s="10">
        <v>150</v>
      </c>
      <c r="F168" s="10">
        <f t="shared" si="2"/>
        <v>150</v>
      </c>
    </row>
    <row r="169" spans="1:6" x14ac:dyDescent="0.25">
      <c r="A169" s="9"/>
      <c r="B169" s="9"/>
      <c r="C169" s="5">
        <v>1</v>
      </c>
      <c r="D169" s="9" t="s">
        <v>8</v>
      </c>
      <c r="E169" s="10">
        <v>170</v>
      </c>
      <c r="F169" s="10">
        <f t="shared" si="2"/>
        <v>170</v>
      </c>
    </row>
    <row r="170" spans="1:6" x14ac:dyDescent="0.25">
      <c r="A170" s="9"/>
      <c r="B170" s="9"/>
      <c r="C170" s="5">
        <v>2</v>
      </c>
      <c r="D170" s="9" t="s">
        <v>8</v>
      </c>
      <c r="E170" s="10">
        <v>150</v>
      </c>
      <c r="F170" s="10">
        <f t="shared" si="2"/>
        <v>300</v>
      </c>
    </row>
    <row r="171" spans="1:6" x14ac:dyDescent="0.25">
      <c r="A171" s="9"/>
      <c r="B171" s="9"/>
      <c r="D171" s="9"/>
      <c r="F171" s="8">
        <f>SUM(F166:F170)</f>
        <v>1480</v>
      </c>
    </row>
    <row r="172" spans="1:6" x14ac:dyDescent="0.25">
      <c r="A172" s="9"/>
      <c r="B172" s="9"/>
      <c r="D172" s="9"/>
    </row>
    <row r="173" spans="1:6" x14ac:dyDescent="0.25">
      <c r="A173" s="9" t="s">
        <v>7</v>
      </c>
      <c r="B173" s="4">
        <v>45840</v>
      </c>
      <c r="C173" s="5">
        <v>1</v>
      </c>
      <c r="D173" s="9" t="s">
        <v>8</v>
      </c>
      <c r="E173" s="10">
        <v>150</v>
      </c>
      <c r="F173" s="10">
        <f t="shared" si="2"/>
        <v>150</v>
      </c>
    </row>
    <row r="174" spans="1:6" x14ac:dyDescent="0.25">
      <c r="A174" s="9"/>
      <c r="B174" s="9"/>
      <c r="C174" s="5">
        <v>1</v>
      </c>
      <c r="D174" s="9" t="s">
        <v>767</v>
      </c>
      <c r="E174" s="10">
        <v>130</v>
      </c>
      <c r="F174" s="10">
        <f t="shared" si="2"/>
        <v>130</v>
      </c>
    </row>
    <row r="175" spans="1:6" x14ac:dyDescent="0.25">
      <c r="A175" s="9"/>
      <c r="B175" s="9"/>
      <c r="C175" s="5">
        <v>1</v>
      </c>
      <c r="D175" s="9" t="s">
        <v>768</v>
      </c>
      <c r="E175" s="10">
        <v>150</v>
      </c>
      <c r="F175" s="10">
        <f t="shared" si="2"/>
        <v>150</v>
      </c>
    </row>
    <row r="176" spans="1:6" x14ac:dyDescent="0.25">
      <c r="A176" s="9"/>
      <c r="B176" s="9"/>
      <c r="D176" s="9"/>
      <c r="F176" s="8">
        <f>SUM(F173:F175)</f>
        <v>430</v>
      </c>
    </row>
    <row r="177" spans="1:6" x14ac:dyDescent="0.25">
      <c r="A177" s="9"/>
      <c r="B177" s="9"/>
      <c r="D177" s="9"/>
    </row>
    <row r="178" spans="1:6" x14ac:dyDescent="0.25">
      <c r="A178" s="9" t="s">
        <v>60</v>
      </c>
      <c r="B178" s="4">
        <v>45841</v>
      </c>
      <c r="C178" s="5">
        <v>30</v>
      </c>
      <c r="D178" s="9" t="s">
        <v>13</v>
      </c>
      <c r="E178" s="10">
        <v>140</v>
      </c>
      <c r="F178" s="10">
        <f t="shared" si="2"/>
        <v>4200</v>
      </c>
    </row>
    <row r="179" spans="1:6" x14ac:dyDescent="0.25">
      <c r="A179" s="9"/>
      <c r="B179" s="9"/>
      <c r="D179" s="9"/>
      <c r="F179" s="8">
        <f>SUM(F178)</f>
        <v>4200</v>
      </c>
    </row>
    <row r="180" spans="1:6" x14ac:dyDescent="0.25">
      <c r="A180" s="9"/>
      <c r="B180" s="9"/>
      <c r="D180" s="9"/>
    </row>
    <row r="181" spans="1:6" x14ac:dyDescent="0.25">
      <c r="A181" s="9" t="s">
        <v>61</v>
      </c>
      <c r="B181" s="4">
        <v>45841</v>
      </c>
      <c r="C181" s="5">
        <v>60</v>
      </c>
      <c r="D181" s="9" t="s">
        <v>13</v>
      </c>
      <c r="E181" s="10">
        <v>140</v>
      </c>
      <c r="F181" s="10">
        <f t="shared" si="2"/>
        <v>8400</v>
      </c>
    </row>
    <row r="182" spans="1:6" x14ac:dyDescent="0.25">
      <c r="A182" s="9"/>
      <c r="B182" s="9"/>
      <c r="D182" s="9"/>
      <c r="F182" s="8">
        <f>SUM(F181)</f>
        <v>8400</v>
      </c>
    </row>
    <row r="183" spans="1:6" x14ac:dyDescent="0.25">
      <c r="A183" s="9"/>
      <c r="B183" s="9"/>
      <c r="D183" s="9"/>
    </row>
    <row r="184" spans="1:6" x14ac:dyDescent="0.25">
      <c r="A184" s="9" t="s">
        <v>255</v>
      </c>
      <c r="B184" s="4">
        <v>45841</v>
      </c>
      <c r="C184" s="5">
        <v>120</v>
      </c>
      <c r="D184" s="9" t="s">
        <v>8</v>
      </c>
      <c r="E184" s="10">
        <v>160</v>
      </c>
      <c r="F184" s="10">
        <f t="shared" si="2"/>
        <v>19200</v>
      </c>
    </row>
    <row r="185" spans="1:6" x14ac:dyDescent="0.25">
      <c r="A185" s="9"/>
      <c r="B185" s="9"/>
      <c r="D185" s="9"/>
      <c r="F185" s="8">
        <f>SUM(F184)</f>
        <v>19200</v>
      </c>
    </row>
    <row r="186" spans="1:6" x14ac:dyDescent="0.25">
      <c r="A186" s="9"/>
      <c r="B186" s="9"/>
      <c r="D186" s="9"/>
    </row>
    <row r="187" spans="1:6" x14ac:dyDescent="0.25">
      <c r="A187" s="9" t="s">
        <v>487</v>
      </c>
      <c r="B187" s="4">
        <v>45841</v>
      </c>
      <c r="C187" s="5">
        <v>7</v>
      </c>
      <c r="D187" s="9" t="s">
        <v>12</v>
      </c>
      <c r="E187" s="10">
        <v>135</v>
      </c>
      <c r="F187" s="10">
        <f t="shared" si="2"/>
        <v>945</v>
      </c>
    </row>
    <row r="188" spans="1:6" x14ac:dyDescent="0.25">
      <c r="A188" s="9"/>
      <c r="B188" s="9"/>
      <c r="D188" s="9"/>
      <c r="F188" s="8">
        <f>SUM(F187)</f>
        <v>945</v>
      </c>
    </row>
    <row r="189" spans="1:6" x14ac:dyDescent="0.25">
      <c r="A189" s="9"/>
      <c r="B189" s="9"/>
      <c r="D189" s="9"/>
    </row>
    <row r="190" spans="1:6" x14ac:dyDescent="0.25">
      <c r="A190" s="9" t="s">
        <v>87</v>
      </c>
      <c r="B190" s="4">
        <v>45841</v>
      </c>
      <c r="C190" s="5">
        <v>2</v>
      </c>
      <c r="D190" s="9" t="s">
        <v>14</v>
      </c>
      <c r="E190" s="10">
        <v>145</v>
      </c>
      <c r="F190" s="10">
        <f t="shared" si="2"/>
        <v>290</v>
      </c>
    </row>
    <row r="191" spans="1:6" x14ac:dyDescent="0.25">
      <c r="A191" s="9"/>
      <c r="B191" s="9"/>
      <c r="C191" s="5">
        <v>2</v>
      </c>
      <c r="D191" s="9" t="s">
        <v>22</v>
      </c>
      <c r="E191" s="10">
        <v>120</v>
      </c>
      <c r="F191" s="10">
        <f t="shared" si="2"/>
        <v>240</v>
      </c>
    </row>
    <row r="192" spans="1:6" x14ac:dyDescent="0.25">
      <c r="A192" s="9"/>
      <c r="B192" s="9"/>
      <c r="D192" s="9"/>
      <c r="F192" s="8">
        <f>SUM(F190:F191)</f>
        <v>530</v>
      </c>
    </row>
    <row r="193" spans="1:6" x14ac:dyDescent="0.25">
      <c r="A193" s="9"/>
      <c r="B193" s="9"/>
      <c r="D193" s="9"/>
    </row>
    <row r="194" spans="1:6" x14ac:dyDescent="0.25">
      <c r="A194" s="9" t="s">
        <v>89</v>
      </c>
      <c r="B194" s="4">
        <v>45841</v>
      </c>
      <c r="C194" s="5">
        <v>20</v>
      </c>
      <c r="D194" s="9" t="s">
        <v>13</v>
      </c>
      <c r="E194" s="10">
        <v>130</v>
      </c>
      <c r="F194" s="10">
        <f t="shared" si="2"/>
        <v>2600</v>
      </c>
    </row>
    <row r="195" spans="1:6" x14ac:dyDescent="0.25">
      <c r="A195" s="9"/>
      <c r="B195" s="9"/>
      <c r="C195" s="5">
        <v>40</v>
      </c>
      <c r="D195" s="9" t="s">
        <v>22</v>
      </c>
      <c r="E195" s="10">
        <v>100</v>
      </c>
      <c r="F195" s="10">
        <f t="shared" si="2"/>
        <v>4000</v>
      </c>
    </row>
    <row r="196" spans="1:6" x14ac:dyDescent="0.25">
      <c r="A196" s="9"/>
      <c r="B196" s="9"/>
      <c r="D196" s="9"/>
      <c r="F196" s="8">
        <f>SUM(F194:F195)</f>
        <v>6600</v>
      </c>
    </row>
    <row r="197" spans="1:6" x14ac:dyDescent="0.25">
      <c r="A197" s="9"/>
      <c r="B197" s="9"/>
      <c r="D197" s="9"/>
    </row>
    <row r="198" spans="1:6" x14ac:dyDescent="0.25">
      <c r="A198" s="9" t="s">
        <v>245</v>
      </c>
      <c r="B198" s="4">
        <v>45841</v>
      </c>
      <c r="C198" s="5">
        <v>120</v>
      </c>
      <c r="D198" s="9" t="s">
        <v>13</v>
      </c>
      <c r="E198" s="10">
        <v>140</v>
      </c>
      <c r="F198" s="10">
        <f t="shared" si="2"/>
        <v>16800</v>
      </c>
    </row>
    <row r="199" spans="1:6" x14ac:dyDescent="0.25">
      <c r="A199" s="9"/>
      <c r="B199" s="9"/>
      <c r="C199" s="5">
        <v>20</v>
      </c>
      <c r="D199" s="9" t="s">
        <v>14</v>
      </c>
      <c r="E199" s="10">
        <v>130</v>
      </c>
      <c r="F199" s="10">
        <f t="shared" si="2"/>
        <v>2600</v>
      </c>
    </row>
    <row r="200" spans="1:6" x14ac:dyDescent="0.25">
      <c r="A200" s="9"/>
      <c r="B200" s="9"/>
      <c r="D200" s="9"/>
      <c r="F200" s="8">
        <f>SUM(F198:F199)</f>
        <v>19400</v>
      </c>
    </row>
    <row r="201" spans="1:6" x14ac:dyDescent="0.25">
      <c r="A201" s="9"/>
      <c r="B201" s="9"/>
      <c r="D201" s="9"/>
    </row>
    <row r="202" spans="1:6" x14ac:dyDescent="0.25">
      <c r="A202" s="9" t="s">
        <v>32</v>
      </c>
      <c r="B202" s="4">
        <v>45841</v>
      </c>
      <c r="C202" s="5">
        <v>200</v>
      </c>
      <c r="D202" s="9" t="s">
        <v>13</v>
      </c>
      <c r="E202" s="10">
        <v>140</v>
      </c>
      <c r="F202" s="10">
        <f t="shared" si="2"/>
        <v>28000</v>
      </c>
    </row>
    <row r="203" spans="1:6" x14ac:dyDescent="0.25">
      <c r="A203" s="9"/>
      <c r="B203" s="9"/>
      <c r="D203" s="9"/>
      <c r="F203" s="8">
        <f>SUM(F202)</f>
        <v>28000</v>
      </c>
    </row>
    <row r="204" spans="1:6" x14ac:dyDescent="0.25">
      <c r="A204" s="9"/>
      <c r="B204" s="9"/>
      <c r="D204" s="9"/>
    </row>
    <row r="205" spans="1:6" x14ac:dyDescent="0.25">
      <c r="A205" s="9" t="s">
        <v>67</v>
      </c>
      <c r="B205" s="4">
        <v>45841</v>
      </c>
      <c r="C205" s="5">
        <v>10</v>
      </c>
      <c r="D205" s="9" t="s">
        <v>13</v>
      </c>
      <c r="E205" s="10">
        <v>140</v>
      </c>
      <c r="F205" s="10">
        <f t="shared" ref="F205:F264" si="3">+C205*E205</f>
        <v>1400</v>
      </c>
    </row>
    <row r="206" spans="1:6" x14ac:dyDescent="0.25">
      <c r="A206" s="9"/>
      <c r="B206" s="9"/>
      <c r="D206" s="9"/>
      <c r="F206" s="8">
        <f>SUM(F205)</f>
        <v>1400</v>
      </c>
    </row>
    <row r="207" spans="1:6" x14ac:dyDescent="0.25">
      <c r="A207" s="9"/>
      <c r="B207" s="9"/>
      <c r="D207" s="9"/>
    </row>
    <row r="208" spans="1:6" x14ac:dyDescent="0.25">
      <c r="A208" s="9" t="s">
        <v>127</v>
      </c>
      <c r="B208" s="4">
        <v>45841</v>
      </c>
      <c r="C208" s="5">
        <v>20</v>
      </c>
      <c r="D208" s="9" t="s">
        <v>13</v>
      </c>
      <c r="E208" s="10">
        <v>140</v>
      </c>
      <c r="F208" s="10">
        <f t="shared" si="3"/>
        <v>2800</v>
      </c>
    </row>
    <row r="209" spans="1:6" x14ac:dyDescent="0.25">
      <c r="A209" s="9"/>
      <c r="B209" s="9"/>
      <c r="D209" s="9"/>
      <c r="F209" s="8">
        <f>SUM(F208)</f>
        <v>2800</v>
      </c>
    </row>
    <row r="210" spans="1:6" x14ac:dyDescent="0.25">
      <c r="A210" s="9"/>
      <c r="B210" s="9"/>
      <c r="D210" s="9"/>
    </row>
    <row r="211" spans="1:6" x14ac:dyDescent="0.25">
      <c r="A211" s="9" t="s">
        <v>160</v>
      </c>
      <c r="B211" s="4">
        <v>45841</v>
      </c>
      <c r="C211" s="5">
        <v>5</v>
      </c>
      <c r="D211" s="9" t="s">
        <v>193</v>
      </c>
      <c r="E211" s="10">
        <v>135</v>
      </c>
      <c r="F211" s="10">
        <f t="shared" si="3"/>
        <v>675</v>
      </c>
    </row>
    <row r="212" spans="1:6" x14ac:dyDescent="0.25">
      <c r="A212" s="9"/>
      <c r="B212" s="9"/>
      <c r="D212" s="9"/>
      <c r="F212" s="8">
        <f>SUM(F211)</f>
        <v>675</v>
      </c>
    </row>
    <row r="213" spans="1:6" x14ac:dyDescent="0.25">
      <c r="A213" s="9"/>
      <c r="B213" s="9"/>
      <c r="D213" s="9"/>
    </row>
    <row r="214" spans="1:6" x14ac:dyDescent="0.25">
      <c r="A214" s="9" t="s">
        <v>720</v>
      </c>
      <c r="B214" s="4">
        <v>45841</v>
      </c>
      <c r="C214" s="5">
        <v>10</v>
      </c>
      <c r="D214" s="9" t="s">
        <v>8</v>
      </c>
      <c r="E214" s="10">
        <v>145</v>
      </c>
      <c r="F214" s="10">
        <f t="shared" si="3"/>
        <v>1450</v>
      </c>
    </row>
    <row r="215" spans="1:6" x14ac:dyDescent="0.25">
      <c r="A215" s="9"/>
      <c r="B215" s="9"/>
      <c r="D215" s="9"/>
      <c r="F215" s="8">
        <f>SUM(F214)</f>
        <v>1450</v>
      </c>
    </row>
    <row r="216" spans="1:6" x14ac:dyDescent="0.25">
      <c r="A216" s="9"/>
      <c r="B216" s="9"/>
      <c r="D216" s="9"/>
    </row>
    <row r="217" spans="1:6" x14ac:dyDescent="0.25">
      <c r="A217" s="9" t="s">
        <v>191</v>
      </c>
      <c r="B217" s="4">
        <v>45841</v>
      </c>
      <c r="C217" s="5">
        <v>50</v>
      </c>
      <c r="D217" s="9" t="s">
        <v>738</v>
      </c>
      <c r="E217" s="10">
        <v>130</v>
      </c>
      <c r="F217" s="10">
        <f t="shared" si="3"/>
        <v>6500</v>
      </c>
    </row>
    <row r="218" spans="1:6" x14ac:dyDescent="0.25">
      <c r="A218" s="9"/>
      <c r="B218" s="9"/>
      <c r="C218" s="5">
        <v>80</v>
      </c>
      <c r="D218" s="9" t="s">
        <v>14</v>
      </c>
      <c r="E218" s="10">
        <v>128</v>
      </c>
      <c r="F218" s="10">
        <f t="shared" si="3"/>
        <v>10240</v>
      </c>
    </row>
    <row r="219" spans="1:6" x14ac:dyDescent="0.25">
      <c r="A219" s="9"/>
      <c r="B219" s="9"/>
      <c r="C219" s="5">
        <v>120</v>
      </c>
      <c r="D219" s="9" t="s">
        <v>11</v>
      </c>
      <c r="E219" s="10">
        <v>120</v>
      </c>
      <c r="F219" s="10">
        <f t="shared" si="3"/>
        <v>14400</v>
      </c>
    </row>
    <row r="220" spans="1:6" x14ac:dyDescent="0.25">
      <c r="A220" s="9"/>
      <c r="B220" s="9"/>
      <c r="D220" s="9"/>
      <c r="F220" s="8">
        <f>SUM(F217:F219)</f>
        <v>31140</v>
      </c>
    </row>
    <row r="221" spans="1:6" x14ac:dyDescent="0.25">
      <c r="A221" s="9"/>
      <c r="B221" s="9"/>
      <c r="D221" s="9"/>
    </row>
    <row r="222" spans="1:6" x14ac:dyDescent="0.25">
      <c r="A222" s="9" t="s">
        <v>769</v>
      </c>
      <c r="B222" s="4">
        <v>45841</v>
      </c>
      <c r="C222" s="5">
        <v>5</v>
      </c>
      <c r="D222" s="9" t="s">
        <v>13</v>
      </c>
      <c r="E222" s="10">
        <v>150</v>
      </c>
      <c r="F222" s="10">
        <f t="shared" si="3"/>
        <v>750</v>
      </c>
    </row>
    <row r="223" spans="1:6" x14ac:dyDescent="0.25">
      <c r="A223" s="9"/>
      <c r="B223" s="9"/>
      <c r="D223" s="9"/>
      <c r="F223" s="8">
        <f>SUM(F222)</f>
        <v>750</v>
      </c>
    </row>
    <row r="224" spans="1:6" x14ac:dyDescent="0.25">
      <c r="A224" s="9"/>
      <c r="B224" s="9"/>
      <c r="D224" s="9"/>
    </row>
    <row r="225" spans="1:6" x14ac:dyDescent="0.25">
      <c r="A225" s="9" t="s">
        <v>29</v>
      </c>
      <c r="B225" s="4">
        <v>45841</v>
      </c>
      <c r="C225" s="5">
        <v>1</v>
      </c>
      <c r="D225" s="9" t="s">
        <v>12</v>
      </c>
      <c r="E225" s="10">
        <v>130</v>
      </c>
      <c r="F225" s="10">
        <f t="shared" si="3"/>
        <v>130</v>
      </c>
    </row>
    <row r="226" spans="1:6" x14ac:dyDescent="0.25">
      <c r="A226" s="9"/>
      <c r="B226" s="9"/>
      <c r="C226" s="5">
        <v>1</v>
      </c>
      <c r="D226" s="9" t="s">
        <v>13</v>
      </c>
      <c r="E226" s="10">
        <v>160</v>
      </c>
      <c r="F226" s="10">
        <f t="shared" si="3"/>
        <v>160</v>
      </c>
    </row>
    <row r="227" spans="1:6" x14ac:dyDescent="0.25">
      <c r="A227" s="9"/>
      <c r="B227" s="9"/>
      <c r="C227" s="5">
        <v>5</v>
      </c>
      <c r="D227" s="9" t="s">
        <v>13</v>
      </c>
      <c r="E227" s="10">
        <v>140</v>
      </c>
      <c r="F227" s="10">
        <f t="shared" si="3"/>
        <v>700</v>
      </c>
    </row>
    <row r="228" spans="1:6" x14ac:dyDescent="0.25">
      <c r="A228" s="9"/>
      <c r="B228" s="9"/>
      <c r="C228" s="5">
        <v>5</v>
      </c>
      <c r="D228" s="9" t="s">
        <v>78</v>
      </c>
      <c r="E228" s="10">
        <v>100</v>
      </c>
      <c r="F228" s="10">
        <f t="shared" si="3"/>
        <v>500</v>
      </c>
    </row>
    <row r="229" spans="1:6" x14ac:dyDescent="0.25">
      <c r="A229" s="9"/>
      <c r="B229" s="9"/>
      <c r="D229" s="9"/>
      <c r="F229" s="8">
        <f>SUM(F225:F228)</f>
        <v>1490</v>
      </c>
    </row>
    <row r="230" spans="1:6" x14ac:dyDescent="0.25">
      <c r="A230" s="9"/>
      <c r="B230" s="9"/>
      <c r="D230" s="9"/>
    </row>
    <row r="231" spans="1:6" x14ac:dyDescent="0.25">
      <c r="A231" s="9" t="s">
        <v>7</v>
      </c>
      <c r="B231" s="4">
        <v>45841</v>
      </c>
      <c r="C231" s="5">
        <v>1</v>
      </c>
      <c r="D231" s="9" t="s">
        <v>8</v>
      </c>
      <c r="E231" s="10">
        <v>150</v>
      </c>
      <c r="F231" s="10">
        <f t="shared" si="3"/>
        <v>150</v>
      </c>
    </row>
    <row r="232" spans="1:6" x14ac:dyDescent="0.25">
      <c r="A232" s="9"/>
      <c r="B232" s="9"/>
      <c r="D232" s="9"/>
      <c r="F232" s="8">
        <f>SUM(F231)</f>
        <v>150</v>
      </c>
    </row>
    <row r="233" spans="1:6" x14ac:dyDescent="0.25">
      <c r="A233" s="9"/>
      <c r="B233" s="9"/>
      <c r="D233" s="9"/>
    </row>
    <row r="234" spans="1:6" x14ac:dyDescent="0.25">
      <c r="A234" s="9" t="s">
        <v>184</v>
      </c>
      <c r="B234" s="4">
        <v>45842</v>
      </c>
      <c r="C234" s="5">
        <v>7</v>
      </c>
      <c r="D234" s="9" t="s">
        <v>13</v>
      </c>
      <c r="E234" s="10">
        <v>150</v>
      </c>
      <c r="F234" s="10">
        <f t="shared" si="3"/>
        <v>1050</v>
      </c>
    </row>
    <row r="235" spans="1:6" x14ac:dyDescent="0.25">
      <c r="A235" s="9"/>
      <c r="B235" s="9"/>
      <c r="D235" s="9"/>
      <c r="F235" s="8">
        <f>SUM(F234)</f>
        <v>1050</v>
      </c>
    </row>
    <row r="236" spans="1:6" x14ac:dyDescent="0.25">
      <c r="A236" s="9"/>
      <c r="B236" s="9"/>
      <c r="D236" s="9"/>
    </row>
    <row r="237" spans="1:6" x14ac:dyDescent="0.25">
      <c r="A237" s="9" t="s">
        <v>44</v>
      </c>
      <c r="B237" s="4">
        <v>45842</v>
      </c>
      <c r="C237" s="5">
        <v>10</v>
      </c>
      <c r="D237" s="9" t="s">
        <v>13</v>
      </c>
      <c r="E237" s="10">
        <v>140</v>
      </c>
      <c r="F237" s="10">
        <f t="shared" si="3"/>
        <v>1400</v>
      </c>
    </row>
    <row r="238" spans="1:6" x14ac:dyDescent="0.25">
      <c r="A238" s="9"/>
      <c r="B238" s="9"/>
      <c r="D238" s="9"/>
      <c r="F238" s="8">
        <f>SUM(F237)</f>
        <v>1400</v>
      </c>
    </row>
    <row r="239" spans="1:6" x14ac:dyDescent="0.25">
      <c r="A239" s="9"/>
      <c r="B239" s="9"/>
      <c r="D239" s="9"/>
    </row>
    <row r="240" spans="1:6" x14ac:dyDescent="0.25">
      <c r="A240" s="9" t="s">
        <v>724</v>
      </c>
      <c r="B240" s="4">
        <v>45842</v>
      </c>
      <c r="C240" s="5">
        <v>10</v>
      </c>
      <c r="D240" s="9" t="s">
        <v>98</v>
      </c>
      <c r="E240" s="10">
        <v>100</v>
      </c>
      <c r="F240" s="10">
        <f t="shared" si="3"/>
        <v>1000</v>
      </c>
    </row>
    <row r="241" spans="1:6" x14ac:dyDescent="0.25">
      <c r="A241" s="9"/>
      <c r="B241" s="9"/>
      <c r="D241" s="9"/>
      <c r="F241" s="8">
        <f>SUM(F240)</f>
        <v>1000</v>
      </c>
    </row>
    <row r="242" spans="1:6" x14ac:dyDescent="0.25">
      <c r="A242" s="9"/>
      <c r="B242" s="9"/>
      <c r="D242" s="9"/>
    </row>
    <row r="243" spans="1:6" x14ac:dyDescent="0.25">
      <c r="A243" s="9" t="s">
        <v>15</v>
      </c>
      <c r="B243" s="4">
        <v>45842</v>
      </c>
      <c r="C243" s="5">
        <v>40</v>
      </c>
      <c r="D243" s="9" t="s">
        <v>98</v>
      </c>
      <c r="E243" s="10">
        <v>80</v>
      </c>
      <c r="F243" s="10">
        <f>+C243*E243</f>
        <v>3200</v>
      </c>
    </row>
    <row r="244" spans="1:6" x14ac:dyDescent="0.25">
      <c r="A244" s="9"/>
      <c r="B244" s="9"/>
      <c r="D244" s="9"/>
      <c r="F244" s="8">
        <f>SUM(F243)</f>
        <v>3200</v>
      </c>
    </row>
    <row r="245" spans="1:6" x14ac:dyDescent="0.25">
      <c r="A245" s="9"/>
      <c r="B245" s="9"/>
      <c r="D245" s="9"/>
    </row>
    <row r="246" spans="1:6" x14ac:dyDescent="0.25">
      <c r="A246" s="9" t="s">
        <v>427</v>
      </c>
      <c r="B246" s="4">
        <v>45842</v>
      </c>
      <c r="C246" s="5">
        <v>10</v>
      </c>
      <c r="D246" s="9" t="s">
        <v>13</v>
      </c>
      <c r="E246" s="10">
        <v>140</v>
      </c>
      <c r="F246" s="10">
        <f t="shared" si="3"/>
        <v>1400</v>
      </c>
    </row>
    <row r="247" spans="1:6" x14ac:dyDescent="0.25">
      <c r="A247" s="9"/>
      <c r="B247" s="9"/>
      <c r="C247" s="5">
        <v>5</v>
      </c>
      <c r="D247" s="9" t="s">
        <v>14</v>
      </c>
      <c r="E247" s="10">
        <v>135</v>
      </c>
      <c r="F247" s="10">
        <f t="shared" si="3"/>
        <v>675</v>
      </c>
    </row>
    <row r="248" spans="1:6" x14ac:dyDescent="0.25">
      <c r="A248" s="9"/>
      <c r="B248" s="9"/>
      <c r="D248" s="9"/>
      <c r="F248" s="8">
        <f>SUM(F246:F247)</f>
        <v>2075</v>
      </c>
    </row>
    <row r="249" spans="1:6" x14ac:dyDescent="0.25">
      <c r="A249" s="9"/>
      <c r="B249" s="9"/>
      <c r="D249" s="9"/>
    </row>
    <row r="250" spans="1:6" x14ac:dyDescent="0.25">
      <c r="A250" s="9" t="s">
        <v>20</v>
      </c>
      <c r="B250" s="4">
        <v>45842</v>
      </c>
      <c r="C250" s="5">
        <v>20</v>
      </c>
      <c r="D250" s="9" t="s">
        <v>13</v>
      </c>
      <c r="E250" s="10">
        <v>140</v>
      </c>
      <c r="F250" s="10">
        <f t="shared" si="3"/>
        <v>2800</v>
      </c>
    </row>
    <row r="251" spans="1:6" x14ac:dyDescent="0.25">
      <c r="A251" s="9"/>
      <c r="B251" s="9"/>
      <c r="D251" s="9"/>
      <c r="F251" s="8">
        <f>SUM(F250)</f>
        <v>2800</v>
      </c>
    </row>
    <row r="252" spans="1:6" x14ac:dyDescent="0.25">
      <c r="A252" s="9"/>
      <c r="B252" s="9"/>
      <c r="D252" s="9"/>
    </row>
    <row r="253" spans="1:6" x14ac:dyDescent="0.25">
      <c r="A253" s="9" t="s">
        <v>673</v>
      </c>
      <c r="B253" s="4">
        <v>45842</v>
      </c>
      <c r="C253" s="5">
        <v>30</v>
      </c>
      <c r="D253" s="9" t="s">
        <v>13</v>
      </c>
      <c r="E253" s="10">
        <v>140</v>
      </c>
      <c r="F253" s="10">
        <f t="shared" si="3"/>
        <v>4200</v>
      </c>
    </row>
    <row r="254" spans="1:6" x14ac:dyDescent="0.25">
      <c r="A254" s="9"/>
      <c r="B254" s="9"/>
      <c r="C254" s="5">
        <v>40</v>
      </c>
      <c r="D254" s="9" t="s">
        <v>22</v>
      </c>
      <c r="E254" s="10">
        <v>110</v>
      </c>
      <c r="F254" s="10">
        <f t="shared" si="3"/>
        <v>4400</v>
      </c>
    </row>
    <row r="255" spans="1:6" x14ac:dyDescent="0.25">
      <c r="A255" s="9"/>
      <c r="B255" s="9"/>
      <c r="C255" s="5">
        <v>20</v>
      </c>
      <c r="D255" s="9" t="s">
        <v>12</v>
      </c>
      <c r="E255" s="10">
        <v>130</v>
      </c>
      <c r="F255" s="10">
        <f t="shared" si="3"/>
        <v>2600</v>
      </c>
    </row>
    <row r="256" spans="1:6" x14ac:dyDescent="0.25">
      <c r="A256" s="9"/>
      <c r="B256" s="9"/>
      <c r="D256" s="9"/>
      <c r="F256" s="8">
        <f>SUM(F253:F255)</f>
        <v>11200</v>
      </c>
    </row>
    <row r="257" spans="1:6" x14ac:dyDescent="0.25">
      <c r="A257" s="9"/>
      <c r="B257" s="9"/>
      <c r="D257" s="9"/>
    </row>
    <row r="258" spans="1:6" x14ac:dyDescent="0.25">
      <c r="A258" s="9" t="s">
        <v>21</v>
      </c>
      <c r="B258" s="4">
        <v>45842</v>
      </c>
      <c r="C258" s="5">
        <v>20</v>
      </c>
      <c r="D258" s="9" t="s">
        <v>22</v>
      </c>
      <c r="E258" s="10">
        <v>110</v>
      </c>
      <c r="F258" s="10">
        <f t="shared" si="3"/>
        <v>2200</v>
      </c>
    </row>
    <row r="259" spans="1:6" x14ac:dyDescent="0.25">
      <c r="A259" s="9"/>
      <c r="B259" s="9"/>
      <c r="D259" s="9"/>
      <c r="F259" s="8">
        <f>SUM(F258)</f>
        <v>2200</v>
      </c>
    </row>
    <row r="260" spans="1:6" x14ac:dyDescent="0.25">
      <c r="A260" s="9"/>
      <c r="B260" s="9"/>
      <c r="D260" s="9"/>
    </row>
    <row r="261" spans="1:6" x14ac:dyDescent="0.25">
      <c r="A261" s="9" t="s">
        <v>25</v>
      </c>
      <c r="B261" s="4">
        <v>45842</v>
      </c>
      <c r="C261" s="5">
        <v>49</v>
      </c>
      <c r="D261" s="9" t="s">
        <v>356</v>
      </c>
      <c r="E261" s="10">
        <v>110</v>
      </c>
      <c r="F261" s="10">
        <f t="shared" si="3"/>
        <v>5390</v>
      </c>
    </row>
    <row r="262" spans="1:6" x14ac:dyDescent="0.25">
      <c r="A262" s="9"/>
      <c r="B262" s="9"/>
      <c r="D262" s="9"/>
      <c r="F262" s="8">
        <f>SUM(F261)</f>
        <v>5390</v>
      </c>
    </row>
    <row r="263" spans="1:6" x14ac:dyDescent="0.25">
      <c r="A263" s="9"/>
      <c r="B263" s="9"/>
      <c r="D263" s="9"/>
    </row>
    <row r="264" spans="1:6" x14ac:dyDescent="0.25">
      <c r="A264" s="9" t="s">
        <v>37</v>
      </c>
      <c r="B264" s="4">
        <v>45842</v>
      </c>
      <c r="C264" s="5">
        <v>15</v>
      </c>
      <c r="D264" s="9" t="s">
        <v>12</v>
      </c>
      <c r="E264" s="10">
        <v>135</v>
      </c>
      <c r="F264" s="10">
        <f t="shared" si="3"/>
        <v>2025</v>
      </c>
    </row>
    <row r="265" spans="1:6" x14ac:dyDescent="0.25">
      <c r="A265" s="9"/>
      <c r="B265" s="9"/>
      <c r="D265" s="9"/>
      <c r="F265" s="8">
        <f>SUM(F264)</f>
        <v>2025</v>
      </c>
    </row>
    <row r="266" spans="1:6" x14ac:dyDescent="0.25">
      <c r="A266" s="9"/>
      <c r="B266" s="9"/>
      <c r="D266" s="9"/>
    </row>
    <row r="267" spans="1:6" x14ac:dyDescent="0.25">
      <c r="A267" s="9" t="s">
        <v>40</v>
      </c>
      <c r="B267" s="4">
        <v>45842</v>
      </c>
      <c r="C267" s="5">
        <v>10</v>
      </c>
      <c r="D267" s="9" t="s">
        <v>14</v>
      </c>
      <c r="E267" s="10">
        <v>135</v>
      </c>
      <c r="F267" s="10">
        <f t="shared" ref="F267:F330" si="4">+C267*E267</f>
        <v>1350</v>
      </c>
    </row>
    <row r="268" spans="1:6" x14ac:dyDescent="0.25">
      <c r="A268" s="9"/>
      <c r="B268" s="9"/>
      <c r="C268" s="5">
        <v>13</v>
      </c>
      <c r="D268" s="9" t="s">
        <v>50</v>
      </c>
      <c r="E268" s="10">
        <v>105</v>
      </c>
      <c r="F268" s="10">
        <f t="shared" si="4"/>
        <v>1365</v>
      </c>
    </row>
    <row r="269" spans="1:6" x14ac:dyDescent="0.25">
      <c r="A269" s="9"/>
      <c r="B269" s="9"/>
      <c r="C269" s="5">
        <v>15</v>
      </c>
      <c r="D269" s="9" t="s">
        <v>22</v>
      </c>
      <c r="E269" s="10">
        <v>110</v>
      </c>
      <c r="F269" s="10">
        <f t="shared" si="4"/>
        <v>1650</v>
      </c>
    </row>
    <row r="270" spans="1:6" x14ac:dyDescent="0.25">
      <c r="A270" s="9"/>
      <c r="B270" s="9"/>
      <c r="D270" s="9"/>
      <c r="F270" s="8">
        <f>SUM(F267:F269)</f>
        <v>4365</v>
      </c>
    </row>
    <row r="271" spans="1:6" x14ac:dyDescent="0.25">
      <c r="A271" s="9"/>
      <c r="B271" s="9"/>
      <c r="D271" s="9"/>
    </row>
    <row r="272" spans="1:6" x14ac:dyDescent="0.25">
      <c r="A272" s="9" t="s">
        <v>442</v>
      </c>
      <c r="B272" s="4">
        <v>45842</v>
      </c>
      <c r="C272" s="5">
        <v>30</v>
      </c>
      <c r="D272" s="9" t="s">
        <v>13</v>
      </c>
      <c r="E272" s="10">
        <v>140</v>
      </c>
      <c r="F272" s="10">
        <f t="shared" si="4"/>
        <v>4200</v>
      </c>
    </row>
    <row r="273" spans="1:6" x14ac:dyDescent="0.25">
      <c r="A273" s="9"/>
      <c r="B273" s="9"/>
      <c r="D273" s="9"/>
      <c r="F273" s="8">
        <f>SUM(F272)</f>
        <v>4200</v>
      </c>
    </row>
    <row r="274" spans="1:6" x14ac:dyDescent="0.25">
      <c r="A274" s="9"/>
      <c r="B274" s="9"/>
      <c r="D274" s="9"/>
    </row>
    <row r="275" spans="1:6" s="9" customFormat="1" x14ac:dyDescent="0.25">
      <c r="A275" s="9" t="s">
        <v>58</v>
      </c>
      <c r="B275" s="4">
        <v>45842</v>
      </c>
      <c r="C275" s="5">
        <v>15</v>
      </c>
      <c r="D275" s="9" t="s">
        <v>13</v>
      </c>
      <c r="E275" s="10">
        <v>140</v>
      </c>
      <c r="F275" s="10">
        <f t="shared" si="4"/>
        <v>2100</v>
      </c>
    </row>
    <row r="276" spans="1:6" s="9" customFormat="1" x14ac:dyDescent="0.25">
      <c r="C276" s="5"/>
      <c r="E276" s="10"/>
      <c r="F276" s="8">
        <f>SUM(F275)</f>
        <v>2100</v>
      </c>
    </row>
    <row r="277" spans="1:6" s="9" customFormat="1" x14ac:dyDescent="0.25">
      <c r="C277" s="5"/>
      <c r="E277" s="10"/>
      <c r="F277" s="10"/>
    </row>
    <row r="278" spans="1:6" s="9" customFormat="1" x14ac:dyDescent="0.25">
      <c r="A278" s="9" t="s">
        <v>69</v>
      </c>
      <c r="B278" s="4">
        <v>45842</v>
      </c>
      <c r="C278" s="5">
        <v>8</v>
      </c>
      <c r="D278" s="9" t="s">
        <v>98</v>
      </c>
      <c r="E278" s="10">
        <v>100</v>
      </c>
      <c r="F278" s="10">
        <f t="shared" si="4"/>
        <v>800</v>
      </c>
    </row>
    <row r="279" spans="1:6" s="9" customFormat="1" x14ac:dyDescent="0.25">
      <c r="C279" s="5"/>
      <c r="E279" s="10"/>
      <c r="F279" s="8">
        <f>SUM(F278)</f>
        <v>800</v>
      </c>
    </row>
    <row r="280" spans="1:6" s="9" customFormat="1" x14ac:dyDescent="0.25">
      <c r="C280" s="5"/>
      <c r="E280" s="10"/>
      <c r="F280" s="10"/>
    </row>
    <row r="281" spans="1:6" x14ac:dyDescent="0.25">
      <c r="A281" s="9" t="s">
        <v>41</v>
      </c>
      <c r="B281" s="4">
        <v>45842</v>
      </c>
      <c r="C281" s="5">
        <v>30</v>
      </c>
      <c r="D281" s="9" t="s">
        <v>14</v>
      </c>
      <c r="E281" s="10">
        <v>130</v>
      </c>
      <c r="F281" s="10">
        <f t="shared" si="4"/>
        <v>3900</v>
      </c>
    </row>
    <row r="282" spans="1:6" x14ac:dyDescent="0.25">
      <c r="A282" s="9"/>
      <c r="B282" s="9"/>
      <c r="D282" s="9"/>
      <c r="F282" s="8">
        <f>SUM(F281)</f>
        <v>3900</v>
      </c>
    </row>
    <row r="283" spans="1:6" x14ac:dyDescent="0.25">
      <c r="A283" s="9"/>
      <c r="B283" s="9"/>
      <c r="D283" s="9"/>
    </row>
    <row r="284" spans="1:6" x14ac:dyDescent="0.25">
      <c r="A284" s="9" t="s">
        <v>106</v>
      </c>
      <c r="B284" s="4">
        <v>45842</v>
      </c>
      <c r="C284" s="5">
        <v>60</v>
      </c>
      <c r="D284" s="9" t="s">
        <v>11</v>
      </c>
      <c r="E284" s="10">
        <v>130</v>
      </c>
      <c r="F284" s="10">
        <f t="shared" si="4"/>
        <v>7800</v>
      </c>
    </row>
    <row r="285" spans="1:6" x14ac:dyDescent="0.25">
      <c r="A285" s="9"/>
      <c r="B285" s="9"/>
      <c r="D285" s="9"/>
      <c r="F285" s="8">
        <f>SUM(F284)</f>
        <v>7800</v>
      </c>
    </row>
    <row r="286" spans="1:6" x14ac:dyDescent="0.25">
      <c r="A286" s="9"/>
      <c r="B286" s="9"/>
      <c r="D286" s="9"/>
    </row>
    <row r="287" spans="1:6" x14ac:dyDescent="0.25">
      <c r="A287" s="9" t="s">
        <v>253</v>
      </c>
      <c r="B287" s="4">
        <v>45842</v>
      </c>
      <c r="C287" s="5">
        <v>11</v>
      </c>
      <c r="D287" s="9" t="s">
        <v>14</v>
      </c>
      <c r="E287" s="10">
        <v>135</v>
      </c>
      <c r="F287" s="10">
        <f t="shared" si="4"/>
        <v>1485</v>
      </c>
    </row>
    <row r="288" spans="1:6" x14ac:dyDescent="0.25">
      <c r="A288" s="9"/>
      <c r="B288" s="9"/>
      <c r="D288" s="9"/>
      <c r="F288" s="8">
        <f>SUM(F287)</f>
        <v>1485</v>
      </c>
    </row>
    <row r="289" spans="1:6" x14ac:dyDescent="0.25">
      <c r="A289" s="9"/>
      <c r="B289" s="9"/>
      <c r="D289" s="9"/>
    </row>
    <row r="290" spans="1:6" x14ac:dyDescent="0.25">
      <c r="A290" s="9" t="s">
        <v>43</v>
      </c>
      <c r="B290" s="4">
        <v>45842</v>
      </c>
      <c r="C290" s="5">
        <v>54</v>
      </c>
      <c r="D290" s="9" t="s">
        <v>49</v>
      </c>
      <c r="E290" s="10">
        <v>145</v>
      </c>
      <c r="F290" s="10">
        <f t="shared" si="4"/>
        <v>7830</v>
      </c>
    </row>
    <row r="291" spans="1:6" x14ac:dyDescent="0.25">
      <c r="A291" s="9"/>
      <c r="B291" s="9"/>
      <c r="C291" s="5">
        <v>10</v>
      </c>
      <c r="D291" s="9" t="s">
        <v>14</v>
      </c>
      <c r="E291" s="10">
        <v>135</v>
      </c>
      <c r="F291" s="10">
        <f t="shared" si="4"/>
        <v>1350</v>
      </c>
    </row>
    <row r="292" spans="1:6" x14ac:dyDescent="0.25">
      <c r="A292" s="9"/>
      <c r="B292" s="9"/>
      <c r="D292" s="9"/>
      <c r="F292" s="8">
        <f>SUM(F290:F291)</f>
        <v>9180</v>
      </c>
    </row>
    <row r="293" spans="1:6" x14ac:dyDescent="0.25">
      <c r="A293" s="9"/>
      <c r="B293" s="9"/>
      <c r="D293" s="9"/>
    </row>
    <row r="294" spans="1:6" x14ac:dyDescent="0.25">
      <c r="A294" s="9" t="s">
        <v>44</v>
      </c>
      <c r="B294" s="4">
        <v>45842</v>
      </c>
      <c r="C294" s="5">
        <v>100</v>
      </c>
      <c r="D294" s="9" t="s">
        <v>14</v>
      </c>
      <c r="E294" s="10">
        <v>135</v>
      </c>
      <c r="F294" s="10">
        <f t="shared" si="4"/>
        <v>13500</v>
      </c>
    </row>
    <row r="295" spans="1:6" x14ac:dyDescent="0.25">
      <c r="A295" s="9"/>
      <c r="B295" s="9"/>
      <c r="D295" s="9"/>
      <c r="F295" s="8">
        <f>SUM(F294)</f>
        <v>13500</v>
      </c>
    </row>
    <row r="296" spans="1:6" x14ac:dyDescent="0.25">
      <c r="A296" s="9"/>
      <c r="B296" s="9"/>
      <c r="D296" s="9"/>
    </row>
    <row r="297" spans="1:6" x14ac:dyDescent="0.25">
      <c r="A297" s="9" t="s">
        <v>18</v>
      </c>
      <c r="B297" s="4">
        <v>45842</v>
      </c>
      <c r="C297" s="5">
        <v>20</v>
      </c>
      <c r="D297" s="9" t="s">
        <v>14</v>
      </c>
      <c r="E297" s="10">
        <v>135</v>
      </c>
      <c r="F297" s="10">
        <f t="shared" si="4"/>
        <v>2700</v>
      </c>
    </row>
    <row r="298" spans="1:6" x14ac:dyDescent="0.25">
      <c r="A298" s="9"/>
      <c r="B298" s="9"/>
      <c r="C298" s="5">
        <v>26</v>
      </c>
      <c r="D298" s="9" t="s">
        <v>11</v>
      </c>
      <c r="E298" s="10">
        <v>125</v>
      </c>
      <c r="F298" s="10">
        <f t="shared" si="4"/>
        <v>3250</v>
      </c>
    </row>
    <row r="299" spans="1:6" x14ac:dyDescent="0.25">
      <c r="A299" s="9"/>
      <c r="B299" s="9"/>
      <c r="D299" s="9"/>
      <c r="F299" s="8">
        <f>SUM(F297:F298)</f>
        <v>5950</v>
      </c>
    </row>
    <row r="300" spans="1:6" x14ac:dyDescent="0.25">
      <c r="A300" s="9"/>
      <c r="B300" s="9"/>
      <c r="D300" s="9"/>
    </row>
    <row r="301" spans="1:6" x14ac:dyDescent="0.25">
      <c r="A301" s="9" t="s">
        <v>46</v>
      </c>
      <c r="B301" s="4">
        <v>45842</v>
      </c>
      <c r="C301" s="5">
        <v>30</v>
      </c>
      <c r="D301" s="9" t="s">
        <v>14</v>
      </c>
      <c r="E301" s="10">
        <v>135</v>
      </c>
      <c r="F301" s="10">
        <f t="shared" si="4"/>
        <v>4050</v>
      </c>
    </row>
    <row r="302" spans="1:6" x14ac:dyDescent="0.25">
      <c r="A302" s="9"/>
      <c r="B302" s="9"/>
      <c r="D302" s="9"/>
      <c r="F302" s="8">
        <f>SUM(F301)</f>
        <v>4050</v>
      </c>
    </row>
    <row r="303" spans="1:6" x14ac:dyDescent="0.25">
      <c r="A303" s="9"/>
      <c r="B303" s="9"/>
      <c r="D303" s="9"/>
    </row>
    <row r="304" spans="1:6" x14ac:dyDescent="0.25">
      <c r="A304" s="9" t="s">
        <v>47</v>
      </c>
      <c r="B304" s="4">
        <v>45842</v>
      </c>
      <c r="C304" s="5">
        <v>38</v>
      </c>
      <c r="D304" s="9" t="s">
        <v>14</v>
      </c>
      <c r="E304" s="10">
        <v>135</v>
      </c>
      <c r="F304" s="10">
        <f t="shared" si="4"/>
        <v>5130</v>
      </c>
    </row>
    <row r="305" spans="1:6" x14ac:dyDescent="0.25">
      <c r="A305" s="9"/>
      <c r="B305" s="9"/>
      <c r="D305" s="9"/>
      <c r="F305" s="8">
        <f>SUM(F304)</f>
        <v>5130</v>
      </c>
    </row>
    <row r="306" spans="1:6" x14ac:dyDescent="0.25">
      <c r="A306" s="9"/>
      <c r="B306" s="9"/>
      <c r="D306" s="9"/>
    </row>
    <row r="307" spans="1:6" x14ac:dyDescent="0.25">
      <c r="A307" s="9" t="s">
        <v>292</v>
      </c>
      <c r="B307" s="4">
        <v>45842</v>
      </c>
      <c r="C307" s="5">
        <v>4</v>
      </c>
      <c r="D307" s="9" t="s">
        <v>11</v>
      </c>
      <c r="E307" s="10">
        <v>130</v>
      </c>
      <c r="F307" s="10">
        <f t="shared" si="4"/>
        <v>520</v>
      </c>
    </row>
    <row r="308" spans="1:6" x14ac:dyDescent="0.25">
      <c r="A308" s="9"/>
      <c r="B308" s="9"/>
      <c r="C308" s="5">
        <v>4</v>
      </c>
      <c r="D308" s="9" t="s">
        <v>14</v>
      </c>
      <c r="E308" s="10">
        <v>135</v>
      </c>
      <c r="F308" s="10">
        <f t="shared" si="4"/>
        <v>540</v>
      </c>
    </row>
    <row r="309" spans="1:6" x14ac:dyDescent="0.25">
      <c r="A309" s="9"/>
      <c r="B309" s="9"/>
      <c r="D309" s="9"/>
      <c r="F309" s="8">
        <f>SUM(F307:F308)</f>
        <v>1060</v>
      </c>
    </row>
    <row r="310" spans="1:6" x14ac:dyDescent="0.25">
      <c r="A310" s="9"/>
      <c r="B310" s="9"/>
      <c r="D310" s="9"/>
    </row>
    <row r="311" spans="1:6" x14ac:dyDescent="0.25">
      <c r="A311" s="9" t="s">
        <v>48</v>
      </c>
      <c r="B311" s="4">
        <v>45842</v>
      </c>
      <c r="C311" s="5">
        <v>15</v>
      </c>
      <c r="D311" s="9" t="s">
        <v>770</v>
      </c>
      <c r="F311" s="10">
        <f t="shared" si="4"/>
        <v>0</v>
      </c>
    </row>
    <row r="312" spans="1:6" x14ac:dyDescent="0.25">
      <c r="A312" s="9"/>
      <c r="B312" s="9"/>
      <c r="C312" s="5">
        <v>178</v>
      </c>
      <c r="D312" s="9" t="s">
        <v>14</v>
      </c>
      <c r="F312" s="10">
        <f t="shared" si="4"/>
        <v>0</v>
      </c>
    </row>
    <row r="313" spans="1:6" x14ac:dyDescent="0.25">
      <c r="A313" s="9"/>
      <c r="B313" s="9"/>
      <c r="C313" s="5">
        <v>9</v>
      </c>
      <c r="D313" s="9" t="s">
        <v>11</v>
      </c>
      <c r="F313" s="10">
        <f t="shared" si="4"/>
        <v>0</v>
      </c>
    </row>
    <row r="314" spans="1:6" x14ac:dyDescent="0.25">
      <c r="A314" s="9"/>
      <c r="B314" s="9"/>
      <c r="C314" s="5">
        <v>23</v>
      </c>
      <c r="D314" s="9" t="s">
        <v>50</v>
      </c>
      <c r="F314" s="10">
        <f t="shared" si="4"/>
        <v>0</v>
      </c>
    </row>
    <row r="315" spans="1:6" x14ac:dyDescent="0.25">
      <c r="A315" s="9"/>
      <c r="B315" s="9"/>
      <c r="C315" s="5">
        <v>38</v>
      </c>
      <c r="D315" s="9" t="s">
        <v>22</v>
      </c>
      <c r="F315" s="10">
        <f t="shared" si="4"/>
        <v>0</v>
      </c>
    </row>
    <row r="316" spans="1:6" x14ac:dyDescent="0.25">
      <c r="A316" s="9"/>
      <c r="B316" s="9"/>
      <c r="C316" s="5">
        <v>10</v>
      </c>
      <c r="D316" s="9" t="s">
        <v>98</v>
      </c>
      <c r="F316" s="10">
        <f t="shared" si="4"/>
        <v>0</v>
      </c>
    </row>
    <row r="317" spans="1:6" x14ac:dyDescent="0.25">
      <c r="A317" s="9"/>
      <c r="B317" s="9"/>
      <c r="D317" s="9"/>
      <c r="F317" s="8">
        <f>SUM(F311:F316)</f>
        <v>0</v>
      </c>
    </row>
    <row r="318" spans="1:6" x14ac:dyDescent="0.25">
      <c r="A318" s="9"/>
      <c r="B318" s="9"/>
      <c r="D318" s="9"/>
    </row>
    <row r="319" spans="1:6" x14ac:dyDescent="0.25">
      <c r="A319" s="9" t="s">
        <v>117</v>
      </c>
      <c r="B319" s="4">
        <v>45842</v>
      </c>
      <c r="C319" s="5">
        <v>5</v>
      </c>
      <c r="D319" s="9" t="s">
        <v>13</v>
      </c>
      <c r="E319" s="10">
        <v>145</v>
      </c>
      <c r="F319" s="10">
        <f t="shared" si="4"/>
        <v>725</v>
      </c>
    </row>
    <row r="320" spans="1:6" x14ac:dyDescent="0.25">
      <c r="A320" s="9"/>
      <c r="B320" s="9"/>
      <c r="D320" s="9"/>
      <c r="F320" s="8">
        <f>SUM(F319)</f>
        <v>725</v>
      </c>
    </row>
    <row r="321" spans="1:6" x14ac:dyDescent="0.25">
      <c r="A321" s="9"/>
      <c r="B321" s="9"/>
      <c r="D321" s="9"/>
    </row>
    <row r="322" spans="1:6" x14ac:dyDescent="0.25">
      <c r="A322" s="9" t="s">
        <v>76</v>
      </c>
      <c r="B322" s="4">
        <v>45842</v>
      </c>
      <c r="C322" s="5">
        <v>350</v>
      </c>
      <c r="D322" s="9" t="s">
        <v>14</v>
      </c>
      <c r="E322" s="10">
        <v>131</v>
      </c>
      <c r="F322" s="10">
        <f t="shared" si="4"/>
        <v>45850</v>
      </c>
    </row>
    <row r="323" spans="1:6" x14ac:dyDescent="0.25">
      <c r="A323" s="9"/>
      <c r="B323" s="9"/>
      <c r="C323" s="5">
        <v>100</v>
      </c>
      <c r="D323" s="9" t="s">
        <v>771</v>
      </c>
      <c r="E323" s="10">
        <v>120</v>
      </c>
      <c r="F323" s="10">
        <f t="shared" si="4"/>
        <v>12000</v>
      </c>
    </row>
    <row r="324" spans="1:6" x14ac:dyDescent="0.25">
      <c r="A324" s="9"/>
      <c r="B324" s="9"/>
      <c r="D324" s="9"/>
      <c r="F324" s="8">
        <f>SUM(F322:F323)</f>
        <v>57850</v>
      </c>
    </row>
    <row r="325" spans="1:6" x14ac:dyDescent="0.25">
      <c r="A325" s="9"/>
      <c r="B325" s="9"/>
      <c r="D325" s="9"/>
    </row>
    <row r="326" spans="1:6" x14ac:dyDescent="0.25">
      <c r="A326" s="9" t="s">
        <v>116</v>
      </c>
      <c r="B326" s="4">
        <v>45842</v>
      </c>
      <c r="C326" s="5">
        <v>70</v>
      </c>
      <c r="D326" s="9" t="s">
        <v>98</v>
      </c>
      <c r="E326" s="10">
        <v>80</v>
      </c>
      <c r="F326" s="10">
        <f t="shared" si="4"/>
        <v>5600</v>
      </c>
    </row>
    <row r="327" spans="1:6" x14ac:dyDescent="0.25">
      <c r="A327" s="9"/>
      <c r="B327" s="9"/>
      <c r="D327" s="9"/>
      <c r="F327" s="8">
        <f>SUM(F326)</f>
        <v>5600</v>
      </c>
    </row>
    <row r="328" spans="1:6" x14ac:dyDescent="0.25">
      <c r="A328" s="9"/>
      <c r="B328" s="9"/>
      <c r="D328" s="9"/>
    </row>
    <row r="329" spans="1:6" x14ac:dyDescent="0.25">
      <c r="A329" s="9" t="s">
        <v>29</v>
      </c>
      <c r="B329" s="4">
        <v>45842</v>
      </c>
      <c r="C329" s="5">
        <v>1</v>
      </c>
      <c r="D329" s="9" t="s">
        <v>8</v>
      </c>
      <c r="E329" s="10">
        <v>170</v>
      </c>
      <c r="F329" s="10">
        <f t="shared" si="4"/>
        <v>170</v>
      </c>
    </row>
    <row r="330" spans="1:6" x14ac:dyDescent="0.25">
      <c r="A330" s="9"/>
      <c r="B330" s="9"/>
      <c r="C330" s="5">
        <v>2</v>
      </c>
      <c r="D330" s="9" t="s">
        <v>12</v>
      </c>
      <c r="E330" s="10">
        <v>140</v>
      </c>
      <c r="F330" s="10">
        <f t="shared" si="4"/>
        <v>280</v>
      </c>
    </row>
    <row r="331" spans="1:6" x14ac:dyDescent="0.25">
      <c r="A331" s="9"/>
      <c r="B331" s="9"/>
      <c r="C331" s="5">
        <v>2</v>
      </c>
      <c r="D331" s="9" t="s">
        <v>13</v>
      </c>
      <c r="E331" s="10">
        <v>160</v>
      </c>
      <c r="F331" s="10">
        <f t="shared" ref="F331:F341" si="5">+C331*E331</f>
        <v>320</v>
      </c>
    </row>
    <row r="332" spans="1:6" x14ac:dyDescent="0.25">
      <c r="A332" s="9"/>
      <c r="B332" s="9"/>
      <c r="C332" s="5">
        <v>1</v>
      </c>
      <c r="D332" s="9" t="s">
        <v>8</v>
      </c>
      <c r="E332" s="10">
        <v>170</v>
      </c>
      <c r="F332" s="10">
        <f t="shared" si="5"/>
        <v>170</v>
      </c>
    </row>
    <row r="333" spans="1:6" x14ac:dyDescent="0.25">
      <c r="A333" s="9"/>
      <c r="B333" s="9"/>
      <c r="C333" s="5">
        <v>1</v>
      </c>
      <c r="D333" s="9" t="s">
        <v>13</v>
      </c>
      <c r="E333" s="10">
        <v>160</v>
      </c>
      <c r="F333" s="10">
        <f t="shared" si="5"/>
        <v>160</v>
      </c>
    </row>
    <row r="334" spans="1:6" x14ac:dyDescent="0.25">
      <c r="A334" s="9"/>
      <c r="B334" s="9"/>
      <c r="C334" s="5">
        <v>4</v>
      </c>
      <c r="D334" s="9" t="s">
        <v>510</v>
      </c>
      <c r="E334" s="10">
        <v>5</v>
      </c>
      <c r="F334" s="10">
        <f t="shared" si="5"/>
        <v>20</v>
      </c>
    </row>
    <row r="335" spans="1:6" x14ac:dyDescent="0.25">
      <c r="A335" s="9"/>
      <c r="B335" s="9"/>
      <c r="D335" s="9"/>
      <c r="F335" s="8">
        <f>SUM(F329:F334)</f>
        <v>1120</v>
      </c>
    </row>
    <row r="336" spans="1:6" x14ac:dyDescent="0.25">
      <c r="A336" s="9"/>
      <c r="B336" s="9"/>
      <c r="D336" s="9"/>
    </row>
    <row r="337" spans="1:6" x14ac:dyDescent="0.25">
      <c r="A337" s="9" t="s">
        <v>7</v>
      </c>
      <c r="B337" s="4">
        <v>45842</v>
      </c>
      <c r="C337" s="5">
        <v>1</v>
      </c>
      <c r="D337" s="9" t="s">
        <v>772</v>
      </c>
      <c r="E337" s="10">
        <v>150</v>
      </c>
      <c r="F337" s="10">
        <f t="shared" si="5"/>
        <v>150</v>
      </c>
    </row>
    <row r="338" spans="1:6" x14ac:dyDescent="0.25">
      <c r="A338" s="9"/>
      <c r="B338" s="9"/>
      <c r="D338" s="9"/>
      <c r="F338" s="8">
        <f>SUM(F337)</f>
        <v>150</v>
      </c>
    </row>
    <row r="339" spans="1:6" x14ac:dyDescent="0.25">
      <c r="A339" s="9"/>
      <c r="B339" s="9"/>
      <c r="D339" s="9"/>
    </row>
    <row r="340" spans="1:6" x14ac:dyDescent="0.25">
      <c r="A340" s="9" t="s">
        <v>40</v>
      </c>
      <c r="B340" s="4">
        <v>45843</v>
      </c>
      <c r="C340" s="5">
        <v>35</v>
      </c>
      <c r="D340" s="9" t="s">
        <v>8</v>
      </c>
      <c r="E340" s="10">
        <v>160</v>
      </c>
      <c r="F340" s="10">
        <f t="shared" si="5"/>
        <v>5600</v>
      </c>
    </row>
    <row r="341" spans="1:6" x14ac:dyDescent="0.25">
      <c r="A341" s="9"/>
      <c r="B341" s="9"/>
      <c r="C341" s="5">
        <v>5</v>
      </c>
      <c r="D341" s="9" t="s">
        <v>773</v>
      </c>
      <c r="E341" s="10">
        <v>105</v>
      </c>
      <c r="F341" s="10">
        <f t="shared" si="5"/>
        <v>525</v>
      </c>
    </row>
    <row r="342" spans="1:6" x14ac:dyDescent="0.25">
      <c r="A342" s="9"/>
      <c r="B342" s="9"/>
      <c r="D342" s="9"/>
      <c r="F342" s="8">
        <f>SUM(F340:F341)</f>
        <v>6125</v>
      </c>
    </row>
    <row r="343" spans="1:6" x14ac:dyDescent="0.25">
      <c r="A343" s="9"/>
      <c r="B343" s="9"/>
      <c r="D343" s="9"/>
    </row>
    <row r="344" spans="1:6" x14ac:dyDescent="0.25">
      <c r="A344" s="9" t="s">
        <v>25</v>
      </c>
      <c r="B344" s="4">
        <v>45843</v>
      </c>
      <c r="C344" s="5">
        <v>50</v>
      </c>
      <c r="D344" s="9" t="s">
        <v>8</v>
      </c>
      <c r="E344" s="10">
        <v>160</v>
      </c>
      <c r="F344" s="10">
        <f>+C344*E344</f>
        <v>8000</v>
      </c>
    </row>
    <row r="345" spans="1:6" x14ac:dyDescent="0.25">
      <c r="A345" s="9"/>
      <c r="B345" s="9"/>
      <c r="D345" s="9"/>
      <c r="F345" s="8">
        <f>SUM(F344)</f>
        <v>8000</v>
      </c>
    </row>
    <row r="346" spans="1:6" x14ac:dyDescent="0.25">
      <c r="A346" s="9"/>
      <c r="B346" s="9"/>
      <c r="D346" s="9"/>
    </row>
    <row r="347" spans="1:6" x14ac:dyDescent="0.25">
      <c r="A347" s="9" t="s">
        <v>367</v>
      </c>
      <c r="B347" s="4">
        <v>45843</v>
      </c>
      <c r="C347" s="5">
        <v>10</v>
      </c>
      <c r="D347" s="9" t="s">
        <v>13</v>
      </c>
      <c r="E347" s="10">
        <v>145</v>
      </c>
      <c r="F347" s="10">
        <f>+C347*E347</f>
        <v>1450</v>
      </c>
    </row>
    <row r="348" spans="1:6" x14ac:dyDescent="0.25">
      <c r="A348" s="9"/>
      <c r="B348" s="9"/>
      <c r="C348" s="5">
        <v>10</v>
      </c>
      <c r="D348" s="9" t="s">
        <v>14</v>
      </c>
      <c r="E348" s="10">
        <v>140</v>
      </c>
      <c r="F348" s="10">
        <f>+C348*E348</f>
        <v>1400</v>
      </c>
    </row>
    <row r="349" spans="1:6" x14ac:dyDescent="0.25">
      <c r="A349" s="9"/>
      <c r="B349" s="9"/>
      <c r="D349" s="9"/>
      <c r="F349" s="8">
        <f>SUM(F347:F348)</f>
        <v>2850</v>
      </c>
    </row>
    <row r="350" spans="1:6" x14ac:dyDescent="0.25">
      <c r="A350" s="9"/>
      <c r="B350" s="9"/>
      <c r="D350" s="9"/>
    </row>
    <row r="351" spans="1:6" x14ac:dyDescent="0.25">
      <c r="A351" s="9" t="s">
        <v>514</v>
      </c>
      <c r="B351" s="4">
        <v>45843</v>
      </c>
      <c r="C351" s="5">
        <v>6</v>
      </c>
      <c r="D351" s="9" t="s">
        <v>98</v>
      </c>
      <c r="E351" s="10">
        <v>100</v>
      </c>
      <c r="F351" s="10">
        <f>+C351*E351</f>
        <v>600</v>
      </c>
    </row>
    <row r="352" spans="1:6" x14ac:dyDescent="0.25">
      <c r="A352" s="9"/>
      <c r="B352" s="9"/>
      <c r="D352" s="9"/>
      <c r="F352" s="8">
        <f>SUM(F351)</f>
        <v>600</v>
      </c>
    </row>
    <row r="353" spans="1:6" x14ac:dyDescent="0.25">
      <c r="A353" s="9"/>
      <c r="B353" s="9"/>
      <c r="D353" s="9"/>
    </row>
    <row r="354" spans="1:6" x14ac:dyDescent="0.25">
      <c r="A354" s="9" t="s">
        <v>58</v>
      </c>
      <c r="B354" s="4">
        <v>45843</v>
      </c>
      <c r="C354" s="5">
        <v>7</v>
      </c>
      <c r="D354" s="9" t="s">
        <v>13</v>
      </c>
      <c r="E354" s="10">
        <v>140</v>
      </c>
      <c r="F354" s="10">
        <f>+C354*E354</f>
        <v>980</v>
      </c>
    </row>
    <row r="355" spans="1:6" x14ac:dyDescent="0.25">
      <c r="A355" s="9"/>
      <c r="B355" s="9"/>
      <c r="D355" s="9"/>
      <c r="F355" s="8">
        <f>SUM(F354)</f>
        <v>980</v>
      </c>
    </row>
    <row r="356" spans="1:6" x14ac:dyDescent="0.25">
      <c r="A356" s="9"/>
      <c r="B356" s="9"/>
      <c r="D356" s="9"/>
    </row>
    <row r="357" spans="1:6" x14ac:dyDescent="0.25">
      <c r="A357" s="9" t="s">
        <v>59</v>
      </c>
      <c r="B357" s="4">
        <v>45843</v>
      </c>
      <c r="C357" s="5">
        <v>140</v>
      </c>
      <c r="D357" s="9" t="s">
        <v>13</v>
      </c>
      <c r="E357" s="10">
        <v>140</v>
      </c>
      <c r="F357" s="10">
        <f>+C357*E357</f>
        <v>19600</v>
      </c>
    </row>
    <row r="358" spans="1:6" x14ac:dyDescent="0.25">
      <c r="A358" s="9"/>
      <c r="B358" s="9"/>
      <c r="D358" s="9"/>
      <c r="F358" s="8">
        <f>SUM(F357)</f>
        <v>19600</v>
      </c>
    </row>
    <row r="359" spans="1:6" x14ac:dyDescent="0.25">
      <c r="A359" s="9"/>
      <c r="B359" s="9"/>
      <c r="D359" s="9"/>
    </row>
    <row r="360" spans="1:6" x14ac:dyDescent="0.25">
      <c r="A360" s="9" t="s">
        <v>61</v>
      </c>
      <c r="B360" s="4">
        <v>45843</v>
      </c>
      <c r="C360" s="5">
        <v>50</v>
      </c>
      <c r="D360" s="9" t="s">
        <v>13</v>
      </c>
      <c r="E360" s="10">
        <v>140</v>
      </c>
      <c r="F360" s="10">
        <f>+C360*E360</f>
        <v>7000</v>
      </c>
    </row>
    <row r="361" spans="1:6" x14ac:dyDescent="0.25">
      <c r="A361" s="9"/>
      <c r="B361" s="9"/>
      <c r="D361" s="9"/>
      <c r="F361" s="8">
        <f>SUM(F360)</f>
        <v>7000</v>
      </c>
    </row>
    <row r="362" spans="1:6" x14ac:dyDescent="0.25">
      <c r="A362" s="9"/>
      <c r="B362" s="9"/>
      <c r="D362" s="9"/>
    </row>
    <row r="363" spans="1:6" x14ac:dyDescent="0.25">
      <c r="A363" s="9" t="s">
        <v>60</v>
      </c>
      <c r="B363" s="4">
        <v>45843</v>
      </c>
      <c r="C363" s="5">
        <v>30</v>
      </c>
      <c r="D363" s="9" t="s">
        <v>774</v>
      </c>
      <c r="E363" s="10">
        <v>140</v>
      </c>
      <c r="F363" s="10">
        <f>+C363*E363</f>
        <v>4200</v>
      </c>
    </row>
    <row r="364" spans="1:6" x14ac:dyDescent="0.25">
      <c r="A364" s="9"/>
      <c r="B364" s="9"/>
      <c r="D364" s="9"/>
      <c r="F364" s="8">
        <f>SUM(F363)</f>
        <v>4200</v>
      </c>
    </row>
    <row r="365" spans="1:6" x14ac:dyDescent="0.25">
      <c r="A365" s="9"/>
      <c r="B365" s="9"/>
      <c r="D365" s="9"/>
    </row>
    <row r="366" spans="1:6" x14ac:dyDescent="0.25">
      <c r="A366" s="9" t="s">
        <v>66</v>
      </c>
      <c r="B366" s="4">
        <v>45843</v>
      </c>
      <c r="C366" s="5">
        <v>20</v>
      </c>
      <c r="D366" s="9" t="s">
        <v>8</v>
      </c>
      <c r="E366" s="10">
        <v>160</v>
      </c>
      <c r="F366" s="10">
        <f>+C366*E366</f>
        <v>3200</v>
      </c>
    </row>
    <row r="367" spans="1:6" x14ac:dyDescent="0.25">
      <c r="A367" s="9"/>
      <c r="B367" s="9"/>
      <c r="D367" s="9"/>
      <c r="F367" s="8">
        <f>SUM(F366)</f>
        <v>3200</v>
      </c>
    </row>
    <row r="368" spans="1:6" x14ac:dyDescent="0.25">
      <c r="A368" s="9"/>
      <c r="B368" s="9"/>
      <c r="D368" s="9"/>
    </row>
    <row r="369" spans="1:6" x14ac:dyDescent="0.25">
      <c r="A369" s="9" t="s">
        <v>113</v>
      </c>
      <c r="B369" s="4">
        <v>45843</v>
      </c>
      <c r="C369" s="5">
        <v>10</v>
      </c>
      <c r="D369" s="9" t="s">
        <v>8</v>
      </c>
      <c r="E369" s="10">
        <v>160</v>
      </c>
      <c r="F369" s="10">
        <f>+C369*E369</f>
        <v>1600</v>
      </c>
    </row>
    <row r="370" spans="1:6" x14ac:dyDescent="0.25">
      <c r="A370" s="9"/>
      <c r="B370" s="9"/>
      <c r="D370" s="9"/>
      <c r="F370" s="8">
        <f>SUM(F369)</f>
        <v>1600</v>
      </c>
    </row>
    <row r="371" spans="1:6" x14ac:dyDescent="0.25">
      <c r="A371" s="9"/>
      <c r="B371" s="9"/>
      <c r="D371" s="9"/>
    </row>
    <row r="372" spans="1:6" x14ac:dyDescent="0.25">
      <c r="A372" s="9" t="s">
        <v>90</v>
      </c>
      <c r="B372" s="4">
        <v>45843</v>
      </c>
      <c r="C372" s="5">
        <v>15</v>
      </c>
      <c r="D372" s="9" t="s">
        <v>13</v>
      </c>
      <c r="E372" s="10">
        <v>145</v>
      </c>
      <c r="F372" s="10">
        <f>+C372*E372</f>
        <v>2175</v>
      </c>
    </row>
    <row r="373" spans="1:6" x14ac:dyDescent="0.25">
      <c r="A373" s="9"/>
      <c r="B373" s="9"/>
      <c r="D373" s="9"/>
      <c r="F373" s="8">
        <f>SUM(F372)</f>
        <v>2175</v>
      </c>
    </row>
    <row r="374" spans="1:6" x14ac:dyDescent="0.25">
      <c r="A374" s="9"/>
      <c r="B374" s="9"/>
      <c r="D374" s="9"/>
    </row>
    <row r="375" spans="1:6" x14ac:dyDescent="0.25">
      <c r="A375" s="9" t="s">
        <v>245</v>
      </c>
      <c r="B375" s="4">
        <v>45843</v>
      </c>
      <c r="C375" s="5">
        <v>140</v>
      </c>
      <c r="D375" s="9" t="s">
        <v>13</v>
      </c>
      <c r="E375" s="10">
        <v>140</v>
      </c>
      <c r="F375" s="10">
        <f>+C375*E375</f>
        <v>19600</v>
      </c>
    </row>
    <row r="376" spans="1:6" x14ac:dyDescent="0.25">
      <c r="A376" s="9"/>
      <c r="B376" s="9"/>
      <c r="C376" s="5">
        <v>40</v>
      </c>
      <c r="D376" s="9" t="s">
        <v>14</v>
      </c>
      <c r="E376" s="10">
        <v>130</v>
      </c>
      <c r="F376" s="10">
        <f>+C376*E376</f>
        <v>5200</v>
      </c>
    </row>
    <row r="377" spans="1:6" x14ac:dyDescent="0.25">
      <c r="A377" s="9"/>
      <c r="B377" s="9"/>
      <c r="C377" s="5">
        <v>5</v>
      </c>
      <c r="D377" s="9" t="s">
        <v>318</v>
      </c>
      <c r="E377" s="10">
        <v>0</v>
      </c>
      <c r="F377" s="10">
        <f>+C377*E377</f>
        <v>0</v>
      </c>
    </row>
    <row r="378" spans="1:6" x14ac:dyDescent="0.25">
      <c r="A378" s="9"/>
      <c r="B378" s="9"/>
      <c r="D378" s="9"/>
      <c r="F378" s="8">
        <f>SUM(F375:F377)</f>
        <v>24800</v>
      </c>
    </row>
    <row r="379" spans="1:6" x14ac:dyDescent="0.25">
      <c r="A379" s="9"/>
      <c r="B379" s="9"/>
      <c r="D379" s="9"/>
    </row>
    <row r="380" spans="1:6" x14ac:dyDescent="0.25">
      <c r="A380" s="9" t="s">
        <v>72</v>
      </c>
      <c r="B380" s="4">
        <v>45843</v>
      </c>
      <c r="C380" s="5">
        <v>320</v>
      </c>
      <c r="D380" s="9" t="s">
        <v>13</v>
      </c>
      <c r="E380" s="10">
        <v>130</v>
      </c>
      <c r="F380" s="10">
        <f>+C380*E380</f>
        <v>41600</v>
      </c>
    </row>
    <row r="381" spans="1:6" x14ac:dyDescent="0.25">
      <c r="A381" s="9"/>
      <c r="B381" s="9"/>
      <c r="C381" s="5">
        <v>130</v>
      </c>
      <c r="D381" s="9" t="s">
        <v>12</v>
      </c>
      <c r="E381" s="10">
        <v>120</v>
      </c>
      <c r="F381" s="10">
        <f>+C381*E381</f>
        <v>15600</v>
      </c>
    </row>
    <row r="382" spans="1:6" x14ac:dyDescent="0.25">
      <c r="A382" s="9"/>
      <c r="B382" s="9"/>
      <c r="C382" s="5">
        <v>20</v>
      </c>
      <c r="D382" s="9" t="s">
        <v>14</v>
      </c>
      <c r="E382" s="10">
        <v>125</v>
      </c>
      <c r="F382" s="10">
        <f>+C382*E382</f>
        <v>2500</v>
      </c>
    </row>
    <row r="383" spans="1:6" x14ac:dyDescent="0.25">
      <c r="A383" s="9"/>
      <c r="B383" s="9"/>
      <c r="C383" s="5">
        <v>100</v>
      </c>
      <c r="D383" s="9" t="s">
        <v>11</v>
      </c>
      <c r="E383" s="10">
        <v>120</v>
      </c>
      <c r="F383" s="10">
        <f>+C383*E383</f>
        <v>12000</v>
      </c>
    </row>
    <row r="384" spans="1:6" x14ac:dyDescent="0.25">
      <c r="A384" s="9"/>
      <c r="B384" s="9"/>
      <c r="D384" s="9"/>
      <c r="F384" s="8">
        <f>SUM(F380:F383)</f>
        <v>71700</v>
      </c>
    </row>
    <row r="385" spans="1:6" x14ac:dyDescent="0.25">
      <c r="A385" s="9"/>
      <c r="B385" s="9"/>
      <c r="D385" s="9"/>
    </row>
    <row r="386" spans="1:6" x14ac:dyDescent="0.25">
      <c r="A386" s="9" t="s">
        <v>65</v>
      </c>
      <c r="B386" s="4">
        <v>45843</v>
      </c>
      <c r="C386" s="5">
        <v>756</v>
      </c>
      <c r="D386" s="9" t="s">
        <v>12</v>
      </c>
      <c r="E386" s="10">
        <v>125</v>
      </c>
      <c r="F386" s="10">
        <f>+C386*E386</f>
        <v>94500</v>
      </c>
    </row>
    <row r="387" spans="1:6" x14ac:dyDescent="0.25">
      <c r="A387" s="9"/>
      <c r="B387" s="9"/>
      <c r="C387" s="5">
        <v>300</v>
      </c>
      <c r="D387" s="9" t="s">
        <v>11</v>
      </c>
      <c r="E387" s="10">
        <v>125</v>
      </c>
      <c r="F387" s="10">
        <f>+C387*E387</f>
        <v>37500</v>
      </c>
    </row>
    <row r="388" spans="1:6" x14ac:dyDescent="0.25">
      <c r="A388" s="9"/>
      <c r="B388" s="9"/>
      <c r="C388" s="5">
        <v>160</v>
      </c>
      <c r="D388" s="9" t="s">
        <v>14</v>
      </c>
      <c r="E388" s="10">
        <v>135</v>
      </c>
      <c r="F388" s="10">
        <f>+C388*E388</f>
        <v>21600</v>
      </c>
    </row>
    <row r="389" spans="1:6" x14ac:dyDescent="0.25">
      <c r="A389" s="9"/>
      <c r="B389" s="9"/>
      <c r="C389" s="5">
        <v>640</v>
      </c>
      <c r="D389" s="9" t="s">
        <v>13</v>
      </c>
      <c r="E389" s="10">
        <v>135</v>
      </c>
      <c r="F389" s="10">
        <f>+C389*E389</f>
        <v>86400</v>
      </c>
    </row>
    <row r="390" spans="1:6" x14ac:dyDescent="0.25">
      <c r="A390" s="9"/>
      <c r="B390" s="9"/>
      <c r="C390" s="5">
        <v>138</v>
      </c>
      <c r="D390" s="9" t="s">
        <v>22</v>
      </c>
      <c r="E390" s="10">
        <v>115</v>
      </c>
      <c r="F390" s="10">
        <f>+C390*E390</f>
        <v>15870</v>
      </c>
    </row>
    <row r="391" spans="1:6" x14ac:dyDescent="0.25">
      <c r="A391" s="9"/>
      <c r="B391" s="9"/>
      <c r="D391" s="9"/>
      <c r="F391" s="8">
        <f>SUM(F386:F390)</f>
        <v>255870</v>
      </c>
    </row>
    <row r="392" spans="1:6" x14ac:dyDescent="0.25">
      <c r="A392" s="9"/>
      <c r="B392" s="9"/>
      <c r="D392" s="9"/>
    </row>
    <row r="393" spans="1:6" x14ac:dyDescent="0.25">
      <c r="A393" s="9" t="s">
        <v>29</v>
      </c>
      <c r="B393" s="4">
        <v>45843</v>
      </c>
      <c r="C393" s="5">
        <v>2</v>
      </c>
      <c r="D393" s="9" t="s">
        <v>8</v>
      </c>
      <c r="E393" s="10">
        <v>170</v>
      </c>
      <c r="F393" s="10">
        <f>+C393*E393</f>
        <v>340</v>
      </c>
    </row>
    <row r="394" spans="1:6" x14ac:dyDescent="0.25">
      <c r="A394" s="9"/>
      <c r="B394" s="9"/>
      <c r="D394" s="9"/>
      <c r="F394" s="8">
        <f>SUM(F393)</f>
        <v>340</v>
      </c>
    </row>
    <row r="395" spans="1:6" x14ac:dyDescent="0.25">
      <c r="A395" s="9"/>
      <c r="B395" s="9"/>
      <c r="D395" s="9"/>
    </row>
    <row r="396" spans="1:6" x14ac:dyDescent="0.25">
      <c r="A396" s="9" t="s">
        <v>7</v>
      </c>
      <c r="B396" s="4">
        <v>45843</v>
      </c>
      <c r="C396" s="5">
        <v>1</v>
      </c>
      <c r="D396" s="9" t="s">
        <v>12</v>
      </c>
      <c r="E396" s="10">
        <v>150</v>
      </c>
      <c r="F396" s="10">
        <f t="shared" ref="F396:F458" si="6">+C396*E396</f>
        <v>150</v>
      </c>
    </row>
    <row r="397" spans="1:6" x14ac:dyDescent="0.25">
      <c r="A397" s="9"/>
      <c r="B397" s="9"/>
      <c r="D397" s="9"/>
      <c r="F397" s="8">
        <f>SUM(F396)</f>
        <v>150</v>
      </c>
    </row>
    <row r="398" spans="1:6" x14ac:dyDescent="0.25">
      <c r="A398" s="9"/>
      <c r="B398" s="9"/>
      <c r="D398" s="9"/>
    </row>
    <row r="399" spans="1:6" x14ac:dyDescent="0.25">
      <c r="A399" s="9" t="s">
        <v>195</v>
      </c>
      <c r="B399" s="4">
        <v>45843</v>
      </c>
      <c r="C399" s="5">
        <v>150</v>
      </c>
      <c r="D399" s="9" t="s">
        <v>8</v>
      </c>
      <c r="E399" s="10">
        <v>155</v>
      </c>
      <c r="F399" s="10">
        <f t="shared" si="6"/>
        <v>23250</v>
      </c>
    </row>
    <row r="400" spans="1:6" x14ac:dyDescent="0.25">
      <c r="A400" s="9"/>
      <c r="B400" s="9"/>
      <c r="C400" s="5">
        <v>50</v>
      </c>
      <c r="D400" s="9" t="s">
        <v>770</v>
      </c>
      <c r="E400" s="10">
        <v>145</v>
      </c>
      <c r="F400" s="10">
        <f t="shared" si="6"/>
        <v>7250</v>
      </c>
    </row>
    <row r="401" spans="1:6" x14ac:dyDescent="0.25">
      <c r="A401" s="9"/>
      <c r="B401" s="9"/>
      <c r="C401" s="5">
        <v>200</v>
      </c>
      <c r="D401" s="9" t="s">
        <v>13</v>
      </c>
      <c r="E401" s="10">
        <v>140</v>
      </c>
      <c r="F401" s="10">
        <f t="shared" si="6"/>
        <v>28000</v>
      </c>
    </row>
    <row r="402" spans="1:6" x14ac:dyDescent="0.25">
      <c r="A402" s="9"/>
      <c r="B402" s="9"/>
      <c r="C402" s="5">
        <v>100</v>
      </c>
      <c r="D402" s="9" t="s">
        <v>14</v>
      </c>
      <c r="E402" s="10">
        <v>135</v>
      </c>
      <c r="F402" s="10">
        <f t="shared" si="6"/>
        <v>13500</v>
      </c>
    </row>
    <row r="403" spans="1:6" x14ac:dyDescent="0.25">
      <c r="A403" s="9"/>
      <c r="B403" s="9"/>
      <c r="D403" s="9"/>
      <c r="F403" s="8">
        <f>SUM(F399:F402)</f>
        <v>72000</v>
      </c>
    </row>
    <row r="404" spans="1:6" x14ac:dyDescent="0.25">
      <c r="A404" s="9"/>
      <c r="B404" s="9"/>
      <c r="D404" s="9"/>
    </row>
    <row r="405" spans="1:6" x14ac:dyDescent="0.25">
      <c r="A405" s="9" t="s">
        <v>29</v>
      </c>
      <c r="B405" s="4">
        <v>45843</v>
      </c>
      <c r="C405" s="5">
        <v>2</v>
      </c>
      <c r="D405" s="9" t="s">
        <v>91</v>
      </c>
      <c r="E405" s="10">
        <v>100</v>
      </c>
      <c r="F405" s="10">
        <f t="shared" si="6"/>
        <v>200</v>
      </c>
    </row>
    <row r="406" spans="1:6" x14ac:dyDescent="0.25">
      <c r="A406" s="9"/>
      <c r="B406" s="9"/>
      <c r="C406" s="5">
        <v>2</v>
      </c>
      <c r="D406" s="9" t="s">
        <v>13</v>
      </c>
      <c r="E406" s="10">
        <v>160</v>
      </c>
      <c r="F406" s="10">
        <f t="shared" si="6"/>
        <v>320</v>
      </c>
    </row>
    <row r="407" spans="1:6" x14ac:dyDescent="0.25">
      <c r="A407" s="9"/>
      <c r="B407" s="9"/>
      <c r="C407" s="5">
        <v>2</v>
      </c>
      <c r="D407" s="9" t="s">
        <v>12</v>
      </c>
      <c r="E407" s="10">
        <v>150</v>
      </c>
      <c r="F407" s="10">
        <f t="shared" si="6"/>
        <v>300</v>
      </c>
    </row>
    <row r="408" spans="1:6" x14ac:dyDescent="0.25">
      <c r="A408" s="9"/>
      <c r="B408" s="9"/>
      <c r="D408" s="9"/>
      <c r="F408" s="8">
        <f>SUM(F405:F407)</f>
        <v>820</v>
      </c>
    </row>
    <row r="409" spans="1:6" x14ac:dyDescent="0.25">
      <c r="A409" s="9"/>
      <c r="B409" s="9"/>
      <c r="D409" s="9"/>
    </row>
    <row r="410" spans="1:6" x14ac:dyDescent="0.25">
      <c r="A410" s="9" t="s">
        <v>7</v>
      </c>
      <c r="B410" s="4">
        <v>45843</v>
      </c>
      <c r="C410" s="5">
        <v>1</v>
      </c>
      <c r="D410" s="9" t="s">
        <v>8</v>
      </c>
      <c r="E410" s="10">
        <v>170</v>
      </c>
      <c r="F410" s="10">
        <f t="shared" si="6"/>
        <v>170</v>
      </c>
    </row>
    <row r="411" spans="1:6" x14ac:dyDescent="0.25">
      <c r="A411" s="9"/>
      <c r="B411" s="9"/>
      <c r="D411" s="9"/>
      <c r="F411" s="8">
        <f>SUM(F410)</f>
        <v>170</v>
      </c>
    </row>
    <row r="412" spans="1:6" x14ac:dyDescent="0.25">
      <c r="A412" s="9"/>
      <c r="B412" s="9"/>
      <c r="D412" s="9"/>
    </row>
    <row r="413" spans="1:6" x14ac:dyDescent="0.25">
      <c r="A413" s="9" t="s">
        <v>15</v>
      </c>
      <c r="B413" s="4">
        <v>45844</v>
      </c>
      <c r="C413" s="5">
        <v>31</v>
      </c>
      <c r="D413" s="9" t="s">
        <v>98</v>
      </c>
      <c r="E413" s="10">
        <v>80</v>
      </c>
      <c r="F413" s="10">
        <f t="shared" si="6"/>
        <v>2480</v>
      </c>
    </row>
    <row r="414" spans="1:6" x14ac:dyDescent="0.25">
      <c r="A414" s="9"/>
      <c r="B414" s="9"/>
      <c r="D414" s="9"/>
      <c r="F414" s="8">
        <f>SUM(F413)</f>
        <v>2480</v>
      </c>
    </row>
    <row r="415" spans="1:6" x14ac:dyDescent="0.25">
      <c r="A415" s="9"/>
      <c r="B415" s="9"/>
      <c r="D415" s="9"/>
    </row>
    <row r="416" spans="1:6" x14ac:dyDescent="0.25">
      <c r="A416" s="9" t="s">
        <v>427</v>
      </c>
      <c r="B416" s="4">
        <v>45844</v>
      </c>
      <c r="C416" s="5">
        <v>5</v>
      </c>
      <c r="D416" s="9" t="s">
        <v>13</v>
      </c>
      <c r="E416" s="10">
        <v>145</v>
      </c>
      <c r="F416" s="10">
        <f t="shared" si="6"/>
        <v>725</v>
      </c>
    </row>
    <row r="417" spans="1:6" x14ac:dyDescent="0.25">
      <c r="A417" s="9"/>
      <c r="B417" s="9"/>
      <c r="D417" s="9"/>
      <c r="F417" s="8">
        <f>SUM(F416)</f>
        <v>725</v>
      </c>
    </row>
    <row r="418" spans="1:6" x14ac:dyDescent="0.25">
      <c r="A418" s="9"/>
      <c r="B418" s="9"/>
      <c r="D418" s="9"/>
    </row>
    <row r="419" spans="1:6" x14ac:dyDescent="0.25">
      <c r="A419" s="9" t="s">
        <v>58</v>
      </c>
      <c r="B419" s="4">
        <v>45844</v>
      </c>
      <c r="C419" s="5">
        <v>5</v>
      </c>
      <c r="D419" s="9" t="s">
        <v>13</v>
      </c>
      <c r="E419" s="10">
        <v>140</v>
      </c>
      <c r="F419" s="10">
        <f t="shared" si="6"/>
        <v>700</v>
      </c>
    </row>
    <row r="420" spans="1:6" x14ac:dyDescent="0.25">
      <c r="A420" s="9"/>
      <c r="B420" s="9"/>
      <c r="D420" s="9"/>
      <c r="F420" s="8">
        <f>SUM(F419)</f>
        <v>700</v>
      </c>
    </row>
    <row r="421" spans="1:6" x14ac:dyDescent="0.25">
      <c r="A421" s="9"/>
      <c r="B421" s="9"/>
      <c r="D421" s="9"/>
    </row>
    <row r="422" spans="1:6" x14ac:dyDescent="0.25">
      <c r="A422" s="9" t="s">
        <v>17</v>
      </c>
      <c r="B422" s="4">
        <v>45844</v>
      </c>
      <c r="C422" s="5">
        <v>10</v>
      </c>
      <c r="D422" s="9" t="s">
        <v>13</v>
      </c>
      <c r="E422" s="10">
        <v>145</v>
      </c>
      <c r="F422" s="10">
        <f t="shared" si="6"/>
        <v>1450</v>
      </c>
    </row>
    <row r="423" spans="1:6" x14ac:dyDescent="0.25">
      <c r="A423" s="9"/>
      <c r="B423" s="9"/>
      <c r="D423" s="9"/>
      <c r="F423" s="8">
        <f>SUM(F422)</f>
        <v>1450</v>
      </c>
    </row>
    <row r="424" spans="1:6" x14ac:dyDescent="0.25">
      <c r="A424" s="9"/>
      <c r="B424" s="9"/>
      <c r="D424" s="9"/>
    </row>
    <row r="425" spans="1:6" x14ac:dyDescent="0.25">
      <c r="A425" s="9" t="s">
        <v>775</v>
      </c>
      <c r="B425" s="4">
        <v>45844</v>
      </c>
      <c r="C425" s="5">
        <v>10</v>
      </c>
      <c r="D425" s="9" t="s">
        <v>13</v>
      </c>
      <c r="E425" s="10">
        <v>145</v>
      </c>
      <c r="F425" s="10">
        <f t="shared" si="6"/>
        <v>1450</v>
      </c>
    </row>
    <row r="426" spans="1:6" x14ac:dyDescent="0.25">
      <c r="A426" s="9"/>
      <c r="B426" s="9"/>
      <c r="D426" s="9"/>
      <c r="F426" s="8">
        <f>SUM(F425)</f>
        <v>1450</v>
      </c>
    </row>
    <row r="427" spans="1:6" x14ac:dyDescent="0.25">
      <c r="A427" s="9"/>
      <c r="B427" s="9"/>
      <c r="D427" s="9"/>
    </row>
    <row r="428" spans="1:6" x14ac:dyDescent="0.25">
      <c r="A428" s="9" t="s">
        <v>776</v>
      </c>
      <c r="B428" s="4">
        <v>45844</v>
      </c>
      <c r="C428" s="5">
        <v>10</v>
      </c>
      <c r="D428" s="9" t="s">
        <v>14</v>
      </c>
      <c r="E428" s="10">
        <v>140</v>
      </c>
      <c r="F428" s="10">
        <f t="shared" si="6"/>
        <v>1400</v>
      </c>
    </row>
    <row r="429" spans="1:6" x14ac:dyDescent="0.25">
      <c r="A429" s="9"/>
      <c r="B429" s="9"/>
      <c r="D429" s="9"/>
      <c r="F429" s="8">
        <f>SUM(F428)</f>
        <v>1400</v>
      </c>
    </row>
    <row r="430" spans="1:6" x14ac:dyDescent="0.25">
      <c r="A430" s="9"/>
      <c r="B430" s="9"/>
      <c r="D430" s="9"/>
    </row>
    <row r="431" spans="1:6" x14ac:dyDescent="0.25">
      <c r="A431" s="9" t="s">
        <v>20</v>
      </c>
      <c r="B431" s="4">
        <v>45844</v>
      </c>
      <c r="C431" s="5">
        <v>20</v>
      </c>
      <c r="D431" s="9" t="s">
        <v>777</v>
      </c>
      <c r="E431" s="10">
        <v>145</v>
      </c>
      <c r="F431" s="10">
        <f t="shared" si="6"/>
        <v>2900</v>
      </c>
    </row>
    <row r="432" spans="1:6" x14ac:dyDescent="0.25">
      <c r="A432" s="9"/>
      <c r="B432" s="9"/>
      <c r="D432" s="9"/>
      <c r="F432" s="8">
        <f>SUM(F431)</f>
        <v>2900</v>
      </c>
    </row>
    <row r="433" spans="1:6" x14ac:dyDescent="0.25">
      <c r="A433" s="9"/>
      <c r="B433" s="9"/>
      <c r="D433" s="9"/>
    </row>
    <row r="434" spans="1:6" x14ac:dyDescent="0.25">
      <c r="A434" s="9" t="s">
        <v>673</v>
      </c>
      <c r="B434" s="4">
        <v>45844</v>
      </c>
      <c r="C434" s="5">
        <v>15</v>
      </c>
      <c r="D434" s="9" t="s">
        <v>13</v>
      </c>
      <c r="E434" s="10">
        <v>145</v>
      </c>
      <c r="F434" s="10">
        <f t="shared" si="6"/>
        <v>2175</v>
      </c>
    </row>
    <row r="435" spans="1:6" x14ac:dyDescent="0.25">
      <c r="A435" s="9"/>
      <c r="B435" s="9"/>
      <c r="D435" s="9"/>
      <c r="F435" s="8">
        <f>SUM(F434)</f>
        <v>2175</v>
      </c>
    </row>
    <row r="436" spans="1:6" x14ac:dyDescent="0.25">
      <c r="A436" s="9"/>
      <c r="B436" s="9"/>
      <c r="D436" s="9"/>
    </row>
    <row r="437" spans="1:6" x14ac:dyDescent="0.25">
      <c r="A437" s="9" t="s">
        <v>25</v>
      </c>
      <c r="B437" s="4">
        <v>45844</v>
      </c>
      <c r="C437" s="5">
        <v>7</v>
      </c>
      <c r="D437" s="9" t="s">
        <v>778</v>
      </c>
      <c r="E437" s="10">
        <v>110</v>
      </c>
      <c r="F437" s="10">
        <f t="shared" si="6"/>
        <v>770</v>
      </c>
    </row>
    <row r="438" spans="1:6" x14ac:dyDescent="0.25">
      <c r="A438" s="9"/>
      <c r="B438" s="9"/>
      <c r="D438" s="9"/>
      <c r="F438" s="8">
        <f>SUM(F437)</f>
        <v>770</v>
      </c>
    </row>
    <row r="439" spans="1:6" x14ac:dyDescent="0.25">
      <c r="A439" s="9"/>
      <c r="B439" s="9"/>
      <c r="D439" s="9"/>
    </row>
    <row r="440" spans="1:6" x14ac:dyDescent="0.25">
      <c r="A440" s="9" t="s">
        <v>40</v>
      </c>
      <c r="B440" s="4">
        <v>45844</v>
      </c>
      <c r="C440" s="5">
        <v>10</v>
      </c>
      <c r="D440" s="9" t="s">
        <v>14</v>
      </c>
      <c r="E440" s="10">
        <v>140</v>
      </c>
      <c r="F440" s="10">
        <f t="shared" si="6"/>
        <v>1400</v>
      </c>
    </row>
    <row r="441" spans="1:6" x14ac:dyDescent="0.25">
      <c r="A441" s="9"/>
      <c r="B441" s="9"/>
      <c r="D441" s="9"/>
      <c r="F441" s="8">
        <f>SUM(F440)</f>
        <v>1400</v>
      </c>
    </row>
    <row r="442" spans="1:6" x14ac:dyDescent="0.25">
      <c r="A442" s="9"/>
      <c r="B442" s="9"/>
      <c r="D442" s="9"/>
    </row>
    <row r="443" spans="1:6" x14ac:dyDescent="0.25">
      <c r="A443" s="9" t="s">
        <v>79</v>
      </c>
      <c r="B443" s="4">
        <v>45844</v>
      </c>
      <c r="C443" s="5">
        <v>20</v>
      </c>
      <c r="D443" s="9" t="s">
        <v>13</v>
      </c>
      <c r="E443" s="10">
        <v>145</v>
      </c>
      <c r="F443" s="10">
        <f t="shared" si="6"/>
        <v>2900</v>
      </c>
    </row>
    <row r="444" spans="1:6" x14ac:dyDescent="0.25">
      <c r="A444" s="9"/>
      <c r="B444" s="9"/>
      <c r="D444" s="9"/>
      <c r="F444" s="8">
        <f>SUM(F443)</f>
        <v>2900</v>
      </c>
    </row>
    <row r="445" spans="1:6" x14ac:dyDescent="0.25">
      <c r="A445" s="9"/>
      <c r="B445" s="9"/>
      <c r="D445" s="9"/>
    </row>
    <row r="446" spans="1:6" x14ac:dyDescent="0.25">
      <c r="A446" s="9" t="s">
        <v>18</v>
      </c>
      <c r="B446" s="4">
        <v>45844</v>
      </c>
      <c r="C446" s="5">
        <v>11</v>
      </c>
      <c r="D446" s="9" t="s">
        <v>13</v>
      </c>
      <c r="E446" s="10">
        <v>145</v>
      </c>
      <c r="F446" s="10">
        <f t="shared" si="6"/>
        <v>1595</v>
      </c>
    </row>
    <row r="447" spans="1:6" x14ac:dyDescent="0.25">
      <c r="A447" s="9"/>
      <c r="B447" s="9"/>
      <c r="D447" s="9"/>
      <c r="F447" s="8">
        <f>SUM(F446)</f>
        <v>1595</v>
      </c>
    </row>
    <row r="448" spans="1:6" x14ac:dyDescent="0.25">
      <c r="A448" s="9"/>
      <c r="B448" s="9"/>
      <c r="D448" s="9"/>
    </row>
    <row r="449" spans="1:6" x14ac:dyDescent="0.25">
      <c r="A449" s="9" t="s">
        <v>514</v>
      </c>
      <c r="B449" s="4">
        <v>45844</v>
      </c>
      <c r="C449" s="5">
        <v>20</v>
      </c>
      <c r="D449" s="9" t="s">
        <v>98</v>
      </c>
      <c r="E449" s="10">
        <v>100</v>
      </c>
      <c r="F449" s="10">
        <f t="shared" si="6"/>
        <v>2000</v>
      </c>
    </row>
    <row r="450" spans="1:6" x14ac:dyDescent="0.25">
      <c r="A450" s="9"/>
      <c r="B450" s="9"/>
      <c r="D450" s="9"/>
      <c r="F450" s="8">
        <f>SUM(F449)</f>
        <v>2000</v>
      </c>
    </row>
    <row r="451" spans="1:6" x14ac:dyDescent="0.25">
      <c r="A451" s="9"/>
      <c r="B451" s="9"/>
      <c r="D451" s="9"/>
    </row>
    <row r="452" spans="1:6" x14ac:dyDescent="0.25">
      <c r="A452" s="9" t="s">
        <v>41</v>
      </c>
      <c r="B452" s="4">
        <v>45844</v>
      </c>
      <c r="C452" s="5">
        <v>38</v>
      </c>
      <c r="D452" s="9" t="s">
        <v>14</v>
      </c>
      <c r="E452" s="10">
        <v>135</v>
      </c>
      <c r="F452" s="10">
        <f t="shared" si="6"/>
        <v>5130</v>
      </c>
    </row>
    <row r="453" spans="1:6" x14ac:dyDescent="0.25">
      <c r="A453" s="9"/>
      <c r="B453" s="9"/>
      <c r="D453" s="9"/>
      <c r="F453" s="8">
        <f>SUM(F452)</f>
        <v>5130</v>
      </c>
    </row>
    <row r="454" spans="1:6" x14ac:dyDescent="0.25">
      <c r="A454" s="9"/>
      <c r="B454" s="9"/>
      <c r="D454" s="9"/>
    </row>
    <row r="455" spans="1:6" x14ac:dyDescent="0.25">
      <c r="A455" s="9" t="s">
        <v>455</v>
      </c>
      <c r="B455" s="4">
        <v>45844</v>
      </c>
      <c r="C455" s="5">
        <v>27</v>
      </c>
      <c r="D455" s="9" t="s">
        <v>14</v>
      </c>
      <c r="E455" s="10">
        <v>135</v>
      </c>
      <c r="F455" s="10">
        <f t="shared" si="6"/>
        <v>3645</v>
      </c>
    </row>
    <row r="456" spans="1:6" x14ac:dyDescent="0.25">
      <c r="A456" s="9"/>
      <c r="B456" s="9"/>
      <c r="D456" s="9"/>
      <c r="F456" s="8">
        <f>SUM(F455)</f>
        <v>3645</v>
      </c>
    </row>
    <row r="457" spans="1:6" x14ac:dyDescent="0.25">
      <c r="A457" s="9"/>
      <c r="B457" s="9"/>
      <c r="D457" s="9"/>
    </row>
    <row r="458" spans="1:6" x14ac:dyDescent="0.25">
      <c r="A458" s="9" t="s">
        <v>18</v>
      </c>
      <c r="B458" s="4">
        <v>45844</v>
      </c>
      <c r="C458" s="5">
        <v>10</v>
      </c>
      <c r="D458" s="9" t="s">
        <v>13</v>
      </c>
      <c r="E458" s="10">
        <v>140</v>
      </c>
      <c r="F458" s="10">
        <f t="shared" si="6"/>
        <v>1400</v>
      </c>
    </row>
    <row r="459" spans="1:6" x14ac:dyDescent="0.25">
      <c r="A459" s="9"/>
      <c r="B459" s="9"/>
      <c r="D459" s="9"/>
      <c r="F459" s="8">
        <f>SUM(F458)</f>
        <v>1400</v>
      </c>
    </row>
    <row r="460" spans="1:6" x14ac:dyDescent="0.25">
      <c r="A460" s="9"/>
      <c r="B460" s="9"/>
      <c r="D460" s="9"/>
    </row>
    <row r="461" spans="1:6" x14ac:dyDescent="0.25">
      <c r="A461" s="9" t="s">
        <v>46</v>
      </c>
      <c r="B461" s="4">
        <v>45844</v>
      </c>
      <c r="C461" s="5">
        <v>20</v>
      </c>
      <c r="D461" s="9" t="s">
        <v>14</v>
      </c>
      <c r="E461" s="10">
        <v>140</v>
      </c>
      <c r="F461" s="10">
        <f t="shared" ref="F461:F522" si="7">+C461*E461</f>
        <v>2800</v>
      </c>
    </row>
    <row r="462" spans="1:6" x14ac:dyDescent="0.25">
      <c r="A462" s="9"/>
      <c r="B462" s="9"/>
      <c r="D462" s="9"/>
      <c r="F462" s="8">
        <f>SUM(F461)</f>
        <v>2800</v>
      </c>
    </row>
    <row r="463" spans="1:6" x14ac:dyDescent="0.25">
      <c r="A463" s="9"/>
      <c r="B463" s="9"/>
      <c r="D463" s="9"/>
    </row>
    <row r="464" spans="1:6" x14ac:dyDescent="0.25">
      <c r="A464" s="9" t="s">
        <v>43</v>
      </c>
      <c r="B464" s="4">
        <v>45844</v>
      </c>
      <c r="C464" s="5">
        <v>22</v>
      </c>
      <c r="D464" s="9" t="s">
        <v>49</v>
      </c>
      <c r="E464" s="10">
        <v>150</v>
      </c>
      <c r="F464" s="10">
        <f t="shared" si="7"/>
        <v>3300</v>
      </c>
    </row>
    <row r="465" spans="1:6" x14ac:dyDescent="0.25">
      <c r="A465" s="9"/>
      <c r="B465" s="9"/>
      <c r="D465" s="9"/>
      <c r="F465" s="8">
        <f>SUM(F464)</f>
        <v>3300</v>
      </c>
    </row>
    <row r="466" spans="1:6" x14ac:dyDescent="0.25">
      <c r="A466" s="9"/>
      <c r="B466" s="9"/>
      <c r="D466" s="9"/>
    </row>
    <row r="467" spans="1:6" x14ac:dyDescent="0.25">
      <c r="A467" s="9" t="s">
        <v>47</v>
      </c>
      <c r="B467" s="4">
        <v>45844</v>
      </c>
      <c r="C467" s="5">
        <v>30</v>
      </c>
      <c r="D467" s="9" t="s">
        <v>11</v>
      </c>
      <c r="E467" s="10">
        <v>130</v>
      </c>
      <c r="F467" s="10">
        <f t="shared" si="7"/>
        <v>3900</v>
      </c>
    </row>
    <row r="468" spans="1:6" x14ac:dyDescent="0.25">
      <c r="A468" s="9"/>
      <c r="B468" s="9"/>
      <c r="D468" s="9"/>
      <c r="F468" s="8">
        <f>SUM(F467)</f>
        <v>3900</v>
      </c>
    </row>
    <row r="469" spans="1:6" x14ac:dyDescent="0.25">
      <c r="A469" s="9"/>
      <c r="B469" s="9"/>
      <c r="D469" s="9"/>
    </row>
    <row r="470" spans="1:6" x14ac:dyDescent="0.25">
      <c r="A470" s="9" t="s">
        <v>103</v>
      </c>
      <c r="B470" s="4">
        <v>45844</v>
      </c>
      <c r="C470" s="5">
        <v>4</v>
      </c>
      <c r="D470" s="9" t="s">
        <v>13</v>
      </c>
      <c r="E470" s="10">
        <v>150</v>
      </c>
      <c r="F470" s="10">
        <f t="shared" si="7"/>
        <v>600</v>
      </c>
    </row>
    <row r="471" spans="1:6" x14ac:dyDescent="0.25">
      <c r="A471" s="9"/>
      <c r="B471" s="9"/>
      <c r="D471" s="9"/>
      <c r="F471" s="8">
        <f>SUM(F470)</f>
        <v>600</v>
      </c>
    </row>
    <row r="472" spans="1:6" x14ac:dyDescent="0.25">
      <c r="A472" s="9"/>
      <c r="B472" s="9"/>
      <c r="D472" s="9"/>
    </row>
    <row r="473" spans="1:6" x14ac:dyDescent="0.25">
      <c r="A473" s="9" t="s">
        <v>7</v>
      </c>
      <c r="B473" s="4">
        <v>45844</v>
      </c>
      <c r="C473" s="5">
        <v>3</v>
      </c>
      <c r="D473" s="9" t="s">
        <v>13</v>
      </c>
      <c r="E473" s="10">
        <v>145</v>
      </c>
      <c r="F473" s="10">
        <f t="shared" si="7"/>
        <v>435</v>
      </c>
    </row>
    <row r="474" spans="1:6" x14ac:dyDescent="0.25">
      <c r="A474" s="9"/>
      <c r="B474" s="9"/>
      <c r="D474" s="9"/>
      <c r="F474" s="8">
        <f>SUM(F473)</f>
        <v>435</v>
      </c>
    </row>
    <row r="475" spans="1:6" x14ac:dyDescent="0.25">
      <c r="A475" s="9"/>
      <c r="B475" s="9"/>
      <c r="D475" s="9"/>
    </row>
    <row r="476" spans="1:6" x14ac:dyDescent="0.25">
      <c r="A476" s="9" t="s">
        <v>160</v>
      </c>
      <c r="B476" s="4">
        <v>45844</v>
      </c>
      <c r="C476" s="5">
        <v>5</v>
      </c>
      <c r="D476" s="9" t="s">
        <v>12</v>
      </c>
      <c r="E476" s="10">
        <v>135</v>
      </c>
      <c r="F476" s="10">
        <f t="shared" si="7"/>
        <v>675</v>
      </c>
    </row>
    <row r="477" spans="1:6" x14ac:dyDescent="0.25">
      <c r="A477" s="9"/>
      <c r="B477" s="9"/>
      <c r="D477" s="9"/>
      <c r="F477" s="8">
        <f>SUM(F476)</f>
        <v>675</v>
      </c>
    </row>
    <row r="478" spans="1:6" x14ac:dyDescent="0.25">
      <c r="A478" s="9"/>
      <c r="B478" s="9"/>
      <c r="D478" s="9"/>
    </row>
    <row r="479" spans="1:6" x14ac:dyDescent="0.25">
      <c r="A479" s="9" t="s">
        <v>87</v>
      </c>
      <c r="B479" s="4">
        <v>45844</v>
      </c>
      <c r="C479" s="5">
        <v>2</v>
      </c>
      <c r="D479" s="9" t="s">
        <v>14</v>
      </c>
      <c r="E479" s="10">
        <v>145</v>
      </c>
      <c r="F479" s="10">
        <f t="shared" si="7"/>
        <v>290</v>
      </c>
    </row>
    <row r="480" spans="1:6" x14ac:dyDescent="0.25">
      <c r="A480" s="9"/>
      <c r="B480" s="9"/>
      <c r="C480" s="5">
        <v>2</v>
      </c>
      <c r="D480" s="9" t="s">
        <v>50</v>
      </c>
      <c r="E480" s="10">
        <v>120</v>
      </c>
      <c r="F480" s="10">
        <f t="shared" si="7"/>
        <v>240</v>
      </c>
    </row>
    <row r="481" spans="1:6" x14ac:dyDescent="0.25">
      <c r="A481" s="9"/>
      <c r="B481" s="9"/>
      <c r="D481" s="9"/>
      <c r="F481" s="8">
        <f>SUM(F479:F480)</f>
        <v>530</v>
      </c>
    </row>
    <row r="482" spans="1:6" x14ac:dyDescent="0.25">
      <c r="A482" s="9"/>
      <c r="B482" s="9"/>
      <c r="D482" s="9"/>
    </row>
    <row r="483" spans="1:6" x14ac:dyDescent="0.25">
      <c r="A483" s="9" t="s">
        <v>487</v>
      </c>
      <c r="B483" s="4">
        <v>45844</v>
      </c>
      <c r="C483" s="5">
        <v>7</v>
      </c>
      <c r="D483" s="9" t="s">
        <v>12</v>
      </c>
      <c r="E483" s="10">
        <v>135</v>
      </c>
      <c r="F483" s="10">
        <f t="shared" si="7"/>
        <v>945</v>
      </c>
    </row>
    <row r="484" spans="1:6" x14ac:dyDescent="0.25">
      <c r="A484" s="9"/>
      <c r="B484" s="9"/>
      <c r="D484" s="9"/>
      <c r="F484" s="8">
        <f>SUM(F483)</f>
        <v>945</v>
      </c>
    </row>
    <row r="485" spans="1:6" x14ac:dyDescent="0.25">
      <c r="A485" s="9"/>
      <c r="B485" s="9"/>
      <c r="D485" s="9"/>
    </row>
    <row r="486" spans="1:6" x14ac:dyDescent="0.25">
      <c r="A486" s="9" t="s">
        <v>89</v>
      </c>
      <c r="B486" s="4">
        <v>45844</v>
      </c>
      <c r="C486" s="5">
        <v>30</v>
      </c>
      <c r="D486" s="9" t="s">
        <v>13</v>
      </c>
      <c r="E486" s="10">
        <v>135</v>
      </c>
      <c r="F486" s="10">
        <f t="shared" si="7"/>
        <v>4050</v>
      </c>
    </row>
    <row r="487" spans="1:6" x14ac:dyDescent="0.25">
      <c r="A487" s="9"/>
      <c r="B487" s="9"/>
      <c r="C487" s="5">
        <v>10</v>
      </c>
      <c r="D487" s="9" t="s">
        <v>11</v>
      </c>
      <c r="E487" s="10">
        <v>120</v>
      </c>
      <c r="F487" s="10">
        <f t="shared" si="7"/>
        <v>1200</v>
      </c>
    </row>
    <row r="488" spans="1:6" s="9" customFormat="1" x14ac:dyDescent="0.25">
      <c r="C488" s="5">
        <v>50</v>
      </c>
      <c r="D488" s="9" t="s">
        <v>12</v>
      </c>
      <c r="E488" s="10">
        <v>110</v>
      </c>
      <c r="F488" s="10">
        <f t="shared" si="7"/>
        <v>5500</v>
      </c>
    </row>
    <row r="489" spans="1:6" s="9" customFormat="1" x14ac:dyDescent="0.25">
      <c r="C489" s="5"/>
      <c r="E489" s="10"/>
      <c r="F489" s="8">
        <f>SUM(F486:F488)</f>
        <v>10750</v>
      </c>
    </row>
    <row r="490" spans="1:6" s="9" customFormat="1" x14ac:dyDescent="0.25">
      <c r="C490" s="5"/>
      <c r="E490" s="10"/>
      <c r="F490" s="10"/>
    </row>
    <row r="491" spans="1:6" s="9" customFormat="1" x14ac:dyDescent="0.25">
      <c r="A491" s="9" t="s">
        <v>151</v>
      </c>
      <c r="B491" s="4">
        <v>45844</v>
      </c>
      <c r="C491" s="5">
        <v>120</v>
      </c>
      <c r="D491" s="9" t="s">
        <v>22</v>
      </c>
      <c r="E491" s="10">
        <v>110</v>
      </c>
      <c r="F491" s="10">
        <f t="shared" si="7"/>
        <v>13200</v>
      </c>
    </row>
    <row r="492" spans="1:6" x14ac:dyDescent="0.25">
      <c r="A492" s="9"/>
      <c r="B492" s="9"/>
      <c r="D492" s="9"/>
      <c r="F492" s="8">
        <f>SUM(F491)</f>
        <v>13200</v>
      </c>
    </row>
    <row r="493" spans="1:6" x14ac:dyDescent="0.25">
      <c r="A493" s="9"/>
      <c r="B493" s="9"/>
      <c r="D493" s="9"/>
    </row>
    <row r="494" spans="1:6" x14ac:dyDescent="0.25">
      <c r="A494" s="9" t="s">
        <v>60</v>
      </c>
      <c r="B494" s="4">
        <v>45844</v>
      </c>
      <c r="C494" s="5">
        <v>30</v>
      </c>
      <c r="D494" s="9" t="s">
        <v>13</v>
      </c>
      <c r="E494" s="10">
        <v>140</v>
      </c>
      <c r="F494" s="10">
        <f t="shared" si="7"/>
        <v>4200</v>
      </c>
    </row>
    <row r="495" spans="1:6" x14ac:dyDescent="0.25">
      <c r="A495" s="9"/>
      <c r="B495" s="9"/>
      <c r="D495" s="9"/>
      <c r="F495" s="8">
        <f>SUM(F494)</f>
        <v>4200</v>
      </c>
    </row>
    <row r="496" spans="1:6" x14ac:dyDescent="0.25">
      <c r="A496" s="9"/>
      <c r="B496" s="9"/>
      <c r="D496" s="9"/>
    </row>
    <row r="497" spans="1:6" x14ac:dyDescent="0.25">
      <c r="A497" s="9" t="s">
        <v>88</v>
      </c>
      <c r="B497" s="4">
        <v>45844</v>
      </c>
      <c r="C497" s="5">
        <v>10</v>
      </c>
      <c r="D497" s="9" t="s">
        <v>14</v>
      </c>
      <c r="E497" s="10">
        <v>135</v>
      </c>
      <c r="F497" s="10">
        <f t="shared" si="7"/>
        <v>1350</v>
      </c>
    </row>
    <row r="498" spans="1:6" x14ac:dyDescent="0.25">
      <c r="A498" s="9"/>
      <c r="B498" s="9"/>
      <c r="C498" s="5">
        <v>6</v>
      </c>
      <c r="D498" s="9" t="s">
        <v>13</v>
      </c>
      <c r="E498" s="10">
        <v>145</v>
      </c>
      <c r="F498" s="10">
        <f t="shared" si="7"/>
        <v>870</v>
      </c>
    </row>
    <row r="499" spans="1:6" x14ac:dyDescent="0.25">
      <c r="A499" s="9"/>
      <c r="B499" s="9"/>
      <c r="D499" s="9"/>
      <c r="F499" s="8">
        <f>SUM(F497:F498)</f>
        <v>2220</v>
      </c>
    </row>
    <row r="500" spans="1:6" x14ac:dyDescent="0.25">
      <c r="A500" s="9"/>
      <c r="B500" s="9"/>
      <c r="D500" s="9"/>
    </row>
    <row r="501" spans="1:6" x14ac:dyDescent="0.25">
      <c r="A501" s="9" t="s">
        <v>26</v>
      </c>
      <c r="B501" s="4">
        <v>45844</v>
      </c>
      <c r="C501" s="5">
        <v>60</v>
      </c>
      <c r="D501" s="9" t="s">
        <v>13</v>
      </c>
      <c r="E501" s="10">
        <v>140</v>
      </c>
      <c r="F501" s="10">
        <f t="shared" si="7"/>
        <v>8400</v>
      </c>
    </row>
    <row r="502" spans="1:6" x14ac:dyDescent="0.25">
      <c r="A502" s="9"/>
      <c r="B502" s="9"/>
      <c r="C502" s="5">
        <v>2.04</v>
      </c>
      <c r="D502" s="9" t="s">
        <v>135</v>
      </c>
      <c r="E502" s="10">
        <v>0</v>
      </c>
      <c r="F502" s="10">
        <f t="shared" si="7"/>
        <v>0</v>
      </c>
    </row>
    <row r="503" spans="1:6" x14ac:dyDescent="0.25">
      <c r="A503" s="9"/>
      <c r="B503" s="9"/>
      <c r="D503" s="9"/>
      <c r="F503" s="8">
        <f>SUM(F501:F502)</f>
        <v>8400</v>
      </c>
    </row>
    <row r="504" spans="1:6" x14ac:dyDescent="0.25">
      <c r="A504" s="9"/>
      <c r="B504" s="9"/>
      <c r="D504" s="9"/>
    </row>
    <row r="505" spans="1:6" x14ac:dyDescent="0.25">
      <c r="A505" s="9" t="s">
        <v>32</v>
      </c>
      <c r="B505" s="4">
        <v>45844</v>
      </c>
      <c r="C505" s="5">
        <v>20</v>
      </c>
      <c r="D505" s="9" t="s">
        <v>13</v>
      </c>
      <c r="E505" s="10">
        <v>140</v>
      </c>
      <c r="F505" s="10">
        <f t="shared" si="7"/>
        <v>2800</v>
      </c>
    </row>
    <row r="506" spans="1:6" x14ac:dyDescent="0.25">
      <c r="A506" s="9"/>
      <c r="B506" s="9"/>
      <c r="D506" s="9"/>
      <c r="F506" s="8">
        <f>SUM(F505)</f>
        <v>2800</v>
      </c>
    </row>
    <row r="507" spans="1:6" x14ac:dyDescent="0.25">
      <c r="A507" s="9"/>
      <c r="B507" s="9"/>
      <c r="D507" s="9"/>
    </row>
    <row r="508" spans="1:6" x14ac:dyDescent="0.25">
      <c r="A508" s="9" t="s">
        <v>29</v>
      </c>
      <c r="B508" s="4">
        <v>45844</v>
      </c>
      <c r="C508" s="5">
        <v>1</v>
      </c>
      <c r="D508" s="9" t="s">
        <v>12</v>
      </c>
      <c r="E508" s="10">
        <v>150</v>
      </c>
      <c r="F508" s="10">
        <f t="shared" si="7"/>
        <v>150</v>
      </c>
    </row>
    <row r="509" spans="1:6" x14ac:dyDescent="0.25">
      <c r="A509" s="9"/>
      <c r="B509" s="9"/>
      <c r="C509" s="5">
        <v>5</v>
      </c>
      <c r="D509" s="9" t="s">
        <v>13</v>
      </c>
      <c r="E509" s="10">
        <v>140</v>
      </c>
      <c r="F509" s="10">
        <f t="shared" si="7"/>
        <v>700</v>
      </c>
    </row>
    <row r="510" spans="1:6" x14ac:dyDescent="0.25">
      <c r="A510" s="9"/>
      <c r="B510" s="9"/>
      <c r="D510" s="9"/>
      <c r="F510" s="8">
        <f>SUM(F508:F509)</f>
        <v>850</v>
      </c>
    </row>
    <row r="511" spans="1:6" x14ac:dyDescent="0.25">
      <c r="A511" s="9"/>
      <c r="B511" s="9"/>
      <c r="D511" s="9"/>
    </row>
    <row r="512" spans="1:6" x14ac:dyDescent="0.25">
      <c r="A512" s="9" t="s">
        <v>7</v>
      </c>
      <c r="B512" s="4">
        <v>45844</v>
      </c>
      <c r="C512" s="5">
        <v>1</v>
      </c>
      <c r="D512" s="9" t="s">
        <v>8</v>
      </c>
      <c r="E512" s="10">
        <v>170</v>
      </c>
      <c r="F512" s="10">
        <f t="shared" si="7"/>
        <v>170</v>
      </c>
    </row>
    <row r="513" spans="1:6" x14ac:dyDescent="0.25">
      <c r="A513" s="9"/>
      <c r="B513" s="9"/>
      <c r="D513" s="9"/>
      <c r="F513" s="8">
        <f>SUM(F512)</f>
        <v>170</v>
      </c>
    </row>
    <row r="514" spans="1:6" x14ac:dyDescent="0.25">
      <c r="A514" s="9"/>
      <c r="B514" s="9"/>
      <c r="D514" s="9"/>
    </row>
    <row r="515" spans="1:6" x14ac:dyDescent="0.25">
      <c r="A515" s="4" t="s">
        <v>61</v>
      </c>
      <c r="B515" s="4">
        <v>45846</v>
      </c>
      <c r="C515" s="5">
        <v>60</v>
      </c>
      <c r="D515" s="9" t="s">
        <v>13</v>
      </c>
      <c r="E515" s="10">
        <v>140</v>
      </c>
      <c r="F515" s="10">
        <f t="shared" si="7"/>
        <v>8400</v>
      </c>
    </row>
    <row r="516" spans="1:6" x14ac:dyDescent="0.25">
      <c r="A516" s="9"/>
      <c r="B516" s="9"/>
      <c r="D516" s="9"/>
      <c r="F516" s="8">
        <f>SUM(F515)</f>
        <v>8400</v>
      </c>
    </row>
    <row r="517" spans="1:6" x14ac:dyDescent="0.25">
      <c r="A517" s="9"/>
      <c r="B517" s="9"/>
      <c r="D517" s="9"/>
    </row>
    <row r="518" spans="1:6" x14ac:dyDescent="0.25">
      <c r="A518" s="9" t="s">
        <v>64</v>
      </c>
      <c r="B518" s="4">
        <v>45846</v>
      </c>
      <c r="C518" s="5">
        <v>20</v>
      </c>
      <c r="D518" s="9" t="s">
        <v>12</v>
      </c>
      <c r="E518" s="10">
        <v>135</v>
      </c>
      <c r="F518" s="10">
        <f t="shared" si="7"/>
        <v>2700</v>
      </c>
    </row>
    <row r="519" spans="1:6" x14ac:dyDescent="0.25">
      <c r="A519" s="9"/>
      <c r="B519" s="9"/>
      <c r="C519" s="5">
        <v>20</v>
      </c>
      <c r="D519" s="9" t="s">
        <v>13</v>
      </c>
      <c r="E519" s="10">
        <v>145</v>
      </c>
      <c r="F519" s="10">
        <f t="shared" si="7"/>
        <v>2900</v>
      </c>
    </row>
    <row r="520" spans="1:6" x14ac:dyDescent="0.25">
      <c r="A520" s="9"/>
      <c r="B520" s="9"/>
      <c r="D520" s="9"/>
      <c r="F520" s="8">
        <f>SUM(F518:F519)</f>
        <v>5600</v>
      </c>
    </row>
    <row r="521" spans="1:6" x14ac:dyDescent="0.25">
      <c r="A521" s="9"/>
      <c r="B521" s="9"/>
      <c r="D521" s="9"/>
    </row>
    <row r="522" spans="1:6" x14ac:dyDescent="0.25">
      <c r="A522" s="9" t="s">
        <v>95</v>
      </c>
      <c r="B522" s="4">
        <v>45846</v>
      </c>
      <c r="C522" s="5">
        <v>20</v>
      </c>
      <c r="D522" s="9" t="s">
        <v>13</v>
      </c>
      <c r="E522" s="10">
        <v>150</v>
      </c>
      <c r="F522" s="10">
        <f t="shared" si="7"/>
        <v>3000</v>
      </c>
    </row>
    <row r="523" spans="1:6" x14ac:dyDescent="0.25">
      <c r="A523" s="9"/>
      <c r="B523" s="9"/>
      <c r="D523" s="9"/>
      <c r="F523" s="8">
        <f>SUM(F522)</f>
        <v>3000</v>
      </c>
    </row>
    <row r="524" spans="1:6" x14ac:dyDescent="0.25">
      <c r="A524" s="9"/>
      <c r="B524" s="9"/>
      <c r="D524" s="9"/>
    </row>
    <row r="525" spans="1:6" x14ac:dyDescent="0.25">
      <c r="A525" s="9" t="s">
        <v>48</v>
      </c>
      <c r="B525" s="4">
        <v>45846</v>
      </c>
      <c r="C525" s="5">
        <v>200</v>
      </c>
      <c r="D525" s="9" t="s">
        <v>14</v>
      </c>
      <c r="F525" s="10">
        <f t="shared" ref="F525:F586" si="8">+C525*E525</f>
        <v>0</v>
      </c>
    </row>
    <row r="526" spans="1:6" x14ac:dyDescent="0.25">
      <c r="A526" s="9"/>
      <c r="B526" s="9"/>
      <c r="C526" s="5">
        <v>37</v>
      </c>
      <c r="D526" s="9" t="s">
        <v>11</v>
      </c>
      <c r="F526" s="10">
        <f t="shared" si="8"/>
        <v>0</v>
      </c>
    </row>
    <row r="527" spans="1:6" x14ac:dyDescent="0.25">
      <c r="A527" s="9"/>
      <c r="B527" s="9"/>
      <c r="C527" s="5">
        <v>16</v>
      </c>
      <c r="D527" s="9" t="s">
        <v>49</v>
      </c>
      <c r="F527" s="10">
        <f t="shared" si="8"/>
        <v>0</v>
      </c>
    </row>
    <row r="528" spans="1:6" x14ac:dyDescent="0.25">
      <c r="A528" s="9"/>
      <c r="B528" s="9"/>
      <c r="C528" s="5">
        <v>21</v>
      </c>
      <c r="D528" s="9" t="s">
        <v>50</v>
      </c>
      <c r="F528" s="10">
        <f t="shared" si="8"/>
        <v>0</v>
      </c>
    </row>
    <row r="529" spans="1:6" x14ac:dyDescent="0.25">
      <c r="A529" s="9"/>
      <c r="B529" s="9"/>
      <c r="C529" s="5">
        <v>33</v>
      </c>
      <c r="D529" s="9" t="s">
        <v>22</v>
      </c>
      <c r="F529" s="10">
        <f t="shared" si="8"/>
        <v>0</v>
      </c>
    </row>
    <row r="530" spans="1:6" x14ac:dyDescent="0.25">
      <c r="A530" s="9"/>
      <c r="B530" s="9"/>
      <c r="D530" s="9"/>
      <c r="F530" s="8">
        <f>SUM(F525:F529)</f>
        <v>0</v>
      </c>
    </row>
    <row r="531" spans="1:6" x14ac:dyDescent="0.25">
      <c r="A531" s="9"/>
      <c r="B531" s="9"/>
      <c r="D531" s="9"/>
    </row>
    <row r="532" spans="1:6" x14ac:dyDescent="0.25">
      <c r="A532" s="9" t="s">
        <v>330</v>
      </c>
      <c r="B532" s="4">
        <v>45846</v>
      </c>
      <c r="C532" s="5">
        <v>250</v>
      </c>
      <c r="D532" s="9" t="s">
        <v>14</v>
      </c>
      <c r="F532" s="10">
        <f t="shared" si="8"/>
        <v>0</v>
      </c>
    </row>
    <row r="533" spans="1:6" x14ac:dyDescent="0.25">
      <c r="A533" s="9"/>
      <c r="B533" s="9"/>
      <c r="C533" s="5">
        <v>250</v>
      </c>
      <c r="D533" s="9" t="s">
        <v>11</v>
      </c>
      <c r="F533" s="10">
        <f t="shared" si="8"/>
        <v>0</v>
      </c>
    </row>
    <row r="534" spans="1:6" x14ac:dyDescent="0.25">
      <c r="A534" s="9"/>
      <c r="B534" s="9"/>
      <c r="C534" s="5">
        <v>120</v>
      </c>
      <c r="D534" s="9" t="s">
        <v>98</v>
      </c>
      <c r="F534" s="10">
        <f t="shared" si="8"/>
        <v>0</v>
      </c>
    </row>
    <row r="535" spans="1:6" x14ac:dyDescent="0.25">
      <c r="A535" s="9"/>
      <c r="B535" s="9"/>
      <c r="D535" s="9"/>
      <c r="F535" s="8">
        <f>SUM(F532:F534)</f>
        <v>0</v>
      </c>
    </row>
    <row r="536" spans="1:6" x14ac:dyDescent="0.25">
      <c r="A536" s="9"/>
      <c r="B536" s="9"/>
      <c r="D536" s="9"/>
    </row>
    <row r="537" spans="1:6" x14ac:dyDescent="0.25">
      <c r="A537" s="9" t="s">
        <v>151</v>
      </c>
      <c r="B537" s="4">
        <v>45846</v>
      </c>
      <c r="C537" s="5">
        <v>50</v>
      </c>
      <c r="D537" s="9" t="s">
        <v>22</v>
      </c>
      <c r="E537" s="10">
        <v>110</v>
      </c>
      <c r="F537" s="10">
        <f t="shared" si="8"/>
        <v>5500</v>
      </c>
    </row>
    <row r="538" spans="1:6" x14ac:dyDescent="0.25">
      <c r="A538" s="9"/>
      <c r="B538" s="9"/>
      <c r="C538" s="5">
        <v>30</v>
      </c>
      <c r="D538" s="9" t="s">
        <v>14</v>
      </c>
      <c r="E538" s="10">
        <v>130</v>
      </c>
      <c r="F538" s="10">
        <f t="shared" si="8"/>
        <v>3900</v>
      </c>
    </row>
    <row r="539" spans="1:6" x14ac:dyDescent="0.25">
      <c r="A539" s="9"/>
      <c r="B539" s="9"/>
      <c r="D539" s="9"/>
      <c r="F539" s="8">
        <f>SUM(F537:F538)</f>
        <v>9400</v>
      </c>
    </row>
    <row r="540" spans="1:6" x14ac:dyDescent="0.25">
      <c r="A540" s="9"/>
      <c r="B540" s="9"/>
      <c r="D540" s="9"/>
    </row>
    <row r="541" spans="1:6" x14ac:dyDescent="0.25">
      <c r="A541" s="9" t="s">
        <v>32</v>
      </c>
      <c r="B541" s="4">
        <v>45846</v>
      </c>
      <c r="C541" s="5">
        <v>10</v>
      </c>
      <c r="D541" s="9" t="s">
        <v>13</v>
      </c>
      <c r="E541" s="10">
        <v>140</v>
      </c>
      <c r="F541" s="10">
        <f t="shared" si="8"/>
        <v>1400</v>
      </c>
    </row>
    <row r="542" spans="1:6" x14ac:dyDescent="0.25">
      <c r="A542" s="9"/>
      <c r="B542" s="9"/>
      <c r="D542" s="9"/>
      <c r="F542" s="8">
        <f>SUM(F541)</f>
        <v>1400</v>
      </c>
    </row>
    <row r="543" spans="1:6" x14ac:dyDescent="0.25">
      <c r="A543" s="9"/>
      <c r="B543" s="9"/>
      <c r="D543" s="9"/>
    </row>
    <row r="544" spans="1:6" x14ac:dyDescent="0.25">
      <c r="A544" s="9" t="s">
        <v>779</v>
      </c>
      <c r="B544" s="4">
        <v>45846</v>
      </c>
      <c r="C544" s="5">
        <v>250</v>
      </c>
      <c r="D544" s="9" t="s">
        <v>13</v>
      </c>
      <c r="E544" s="10">
        <v>130</v>
      </c>
      <c r="F544" s="10">
        <f t="shared" si="8"/>
        <v>32500</v>
      </c>
    </row>
    <row r="545" spans="1:6" x14ac:dyDescent="0.25">
      <c r="A545" s="9"/>
      <c r="B545" s="9"/>
      <c r="C545" s="5">
        <v>100</v>
      </c>
      <c r="D545" s="9" t="s">
        <v>12</v>
      </c>
      <c r="E545" s="10">
        <v>120</v>
      </c>
      <c r="F545" s="10">
        <f t="shared" si="8"/>
        <v>12000</v>
      </c>
    </row>
    <row r="546" spans="1:6" x14ac:dyDescent="0.25">
      <c r="A546" s="9"/>
      <c r="B546" s="9"/>
      <c r="C546" s="5">
        <v>20</v>
      </c>
      <c r="D546" s="9" t="s">
        <v>14</v>
      </c>
      <c r="E546" s="10">
        <v>125</v>
      </c>
      <c r="F546" s="10">
        <f t="shared" si="8"/>
        <v>2500</v>
      </c>
    </row>
    <row r="547" spans="1:6" x14ac:dyDescent="0.25">
      <c r="A547" s="9"/>
      <c r="B547" s="9"/>
      <c r="C547" s="5">
        <v>80</v>
      </c>
      <c r="D547" s="9" t="s">
        <v>11</v>
      </c>
      <c r="E547" s="10">
        <v>120</v>
      </c>
      <c r="F547" s="10">
        <f t="shared" si="8"/>
        <v>9600</v>
      </c>
    </row>
    <row r="548" spans="1:6" x14ac:dyDescent="0.25">
      <c r="A548" s="9"/>
      <c r="B548" s="9"/>
      <c r="D548" s="9"/>
      <c r="F548" s="8">
        <f>SUM(F544:F547)</f>
        <v>56600</v>
      </c>
    </row>
    <row r="549" spans="1:6" x14ac:dyDescent="0.25">
      <c r="A549" s="9"/>
      <c r="B549" s="9"/>
      <c r="D549" s="9"/>
    </row>
    <row r="550" spans="1:6" x14ac:dyDescent="0.25">
      <c r="A550" s="9" t="s">
        <v>292</v>
      </c>
      <c r="B550" s="4">
        <v>45846</v>
      </c>
      <c r="C550" s="5">
        <v>6</v>
      </c>
      <c r="D550" s="9" t="s">
        <v>13</v>
      </c>
      <c r="E550" s="10">
        <v>135</v>
      </c>
      <c r="F550" s="10">
        <f t="shared" si="8"/>
        <v>810</v>
      </c>
    </row>
    <row r="551" spans="1:6" x14ac:dyDescent="0.25">
      <c r="A551" s="9"/>
      <c r="B551" s="9"/>
      <c r="C551" s="5">
        <v>2</v>
      </c>
      <c r="D551" s="9" t="s">
        <v>11</v>
      </c>
      <c r="E551" s="10">
        <v>130</v>
      </c>
      <c r="F551" s="10">
        <f t="shared" si="8"/>
        <v>260</v>
      </c>
    </row>
    <row r="552" spans="1:6" x14ac:dyDescent="0.25">
      <c r="A552" s="9"/>
      <c r="B552" s="9"/>
      <c r="D552" s="9"/>
      <c r="F552" s="8">
        <f>SUM(F550:F551)</f>
        <v>1070</v>
      </c>
    </row>
    <row r="553" spans="1:6" x14ac:dyDescent="0.25">
      <c r="A553" s="9"/>
      <c r="B553" s="9"/>
      <c r="D553" s="9"/>
    </row>
    <row r="554" spans="1:6" x14ac:dyDescent="0.25">
      <c r="A554" s="9" t="s">
        <v>300</v>
      </c>
      <c r="B554" s="4">
        <v>45846</v>
      </c>
      <c r="C554" s="5">
        <v>100</v>
      </c>
      <c r="D554" s="9" t="s">
        <v>11</v>
      </c>
      <c r="E554" s="10">
        <v>120</v>
      </c>
      <c r="F554" s="10">
        <f t="shared" si="8"/>
        <v>12000</v>
      </c>
    </row>
    <row r="555" spans="1:6" x14ac:dyDescent="0.25">
      <c r="A555" s="9"/>
      <c r="B555" s="9"/>
      <c r="C555" s="5">
        <v>200</v>
      </c>
      <c r="D555" s="9" t="s">
        <v>11</v>
      </c>
      <c r="E555" s="10">
        <v>123</v>
      </c>
      <c r="F555" s="10">
        <f t="shared" si="8"/>
        <v>24600</v>
      </c>
    </row>
    <row r="556" spans="1:6" x14ac:dyDescent="0.25">
      <c r="A556" s="9"/>
      <c r="B556" s="9"/>
      <c r="C556" s="5">
        <v>300</v>
      </c>
      <c r="D556" s="9" t="s">
        <v>14</v>
      </c>
      <c r="E556" s="10">
        <v>130</v>
      </c>
      <c r="F556" s="10">
        <f t="shared" si="8"/>
        <v>39000</v>
      </c>
    </row>
    <row r="557" spans="1:6" x14ac:dyDescent="0.25">
      <c r="A557" s="9"/>
      <c r="B557" s="9"/>
      <c r="D557" s="9"/>
      <c r="F557" s="8">
        <f>SUM(F554:F556)</f>
        <v>75600</v>
      </c>
    </row>
    <row r="558" spans="1:6" x14ac:dyDescent="0.25">
      <c r="A558" s="9"/>
      <c r="B558" s="9"/>
      <c r="D558" s="9"/>
    </row>
    <row r="559" spans="1:6" x14ac:dyDescent="0.25">
      <c r="A559" s="9" t="s">
        <v>29</v>
      </c>
      <c r="B559" s="4">
        <v>45846</v>
      </c>
      <c r="C559" s="5">
        <v>1</v>
      </c>
      <c r="D559" s="9" t="s">
        <v>14</v>
      </c>
      <c r="E559" s="10">
        <v>160</v>
      </c>
      <c r="F559" s="10">
        <f t="shared" si="8"/>
        <v>160</v>
      </c>
    </row>
    <row r="560" spans="1:6" x14ac:dyDescent="0.25">
      <c r="A560" s="9"/>
      <c r="B560" s="9"/>
      <c r="C560" s="5">
        <v>2</v>
      </c>
      <c r="D560" s="9" t="s">
        <v>12</v>
      </c>
      <c r="E560" s="10">
        <v>140</v>
      </c>
      <c r="F560" s="10">
        <f t="shared" si="8"/>
        <v>280</v>
      </c>
    </row>
    <row r="561" spans="1:6" x14ac:dyDescent="0.25">
      <c r="A561" s="9"/>
      <c r="B561" s="9"/>
      <c r="C561" s="5">
        <v>1</v>
      </c>
      <c r="D561" s="9" t="s">
        <v>600</v>
      </c>
      <c r="E561" s="10">
        <v>140</v>
      </c>
      <c r="F561" s="10">
        <f t="shared" si="8"/>
        <v>140</v>
      </c>
    </row>
    <row r="562" spans="1:6" x14ac:dyDescent="0.25">
      <c r="A562" s="9"/>
      <c r="B562" s="9"/>
      <c r="C562" s="5">
        <v>2</v>
      </c>
      <c r="D562" s="9" t="s">
        <v>54</v>
      </c>
      <c r="E562" s="10">
        <v>140</v>
      </c>
      <c r="F562" s="10">
        <f t="shared" si="8"/>
        <v>280</v>
      </c>
    </row>
    <row r="563" spans="1:6" x14ac:dyDescent="0.25">
      <c r="A563" s="9"/>
      <c r="B563" s="9"/>
      <c r="D563" s="9"/>
      <c r="F563" s="8">
        <f>SUM(F559:F562)</f>
        <v>860</v>
      </c>
    </row>
    <row r="564" spans="1:6" x14ac:dyDescent="0.25">
      <c r="A564" s="9"/>
      <c r="B564" s="9"/>
      <c r="D564" s="9"/>
    </row>
    <row r="565" spans="1:6" x14ac:dyDescent="0.25">
      <c r="A565" s="9" t="s">
        <v>7</v>
      </c>
      <c r="B565" s="4">
        <v>45846</v>
      </c>
      <c r="C565" s="5">
        <v>1</v>
      </c>
      <c r="D565" s="9" t="s">
        <v>8</v>
      </c>
      <c r="E565" s="10">
        <v>160</v>
      </c>
      <c r="F565" s="10">
        <f t="shared" si="8"/>
        <v>160</v>
      </c>
    </row>
    <row r="566" spans="1:6" x14ac:dyDescent="0.25">
      <c r="A566" s="9"/>
      <c r="B566" s="9"/>
      <c r="C566" s="5">
        <v>5</v>
      </c>
      <c r="D566" s="9" t="s">
        <v>570</v>
      </c>
      <c r="E566" s="10">
        <v>0</v>
      </c>
      <c r="F566" s="10">
        <f t="shared" si="8"/>
        <v>0</v>
      </c>
    </row>
    <row r="567" spans="1:6" x14ac:dyDescent="0.25">
      <c r="A567" s="9"/>
      <c r="B567" s="9"/>
      <c r="C567" s="5">
        <v>1</v>
      </c>
      <c r="D567" s="9" t="s">
        <v>8</v>
      </c>
      <c r="E567" s="10">
        <v>170</v>
      </c>
      <c r="F567" s="10">
        <f t="shared" si="8"/>
        <v>170</v>
      </c>
    </row>
    <row r="568" spans="1:6" x14ac:dyDescent="0.25">
      <c r="A568" s="9"/>
      <c r="B568" s="9"/>
      <c r="C568" s="5">
        <v>3</v>
      </c>
      <c r="D568" s="9" t="s">
        <v>75</v>
      </c>
      <c r="E568" s="10">
        <v>150</v>
      </c>
      <c r="F568" s="10">
        <f t="shared" si="8"/>
        <v>450</v>
      </c>
    </row>
    <row r="569" spans="1:6" x14ac:dyDescent="0.25">
      <c r="A569" s="9"/>
      <c r="B569" s="9"/>
      <c r="D569" s="9"/>
      <c r="F569" s="8">
        <f>SUM(F565:F568)</f>
        <v>780</v>
      </c>
    </row>
    <row r="570" spans="1:6" x14ac:dyDescent="0.25">
      <c r="A570" s="9"/>
      <c r="B570" s="9"/>
      <c r="D570" s="9"/>
    </row>
    <row r="571" spans="1:6" x14ac:dyDescent="0.25">
      <c r="A571" s="9" t="s">
        <v>716</v>
      </c>
      <c r="B571" s="4">
        <v>45847</v>
      </c>
      <c r="C571" s="5">
        <v>15</v>
      </c>
      <c r="D571" s="9" t="s">
        <v>13</v>
      </c>
      <c r="E571" s="10">
        <v>145</v>
      </c>
      <c r="F571" s="10">
        <f t="shared" si="8"/>
        <v>2175</v>
      </c>
    </row>
    <row r="572" spans="1:6" x14ac:dyDescent="0.25">
      <c r="A572" s="9"/>
      <c r="B572" s="9"/>
      <c r="D572" s="9"/>
      <c r="F572" s="8">
        <f>SUM(F571)</f>
        <v>2175</v>
      </c>
    </row>
    <row r="573" spans="1:6" x14ac:dyDescent="0.25">
      <c r="A573" s="9"/>
      <c r="B573" s="9"/>
      <c r="D573" s="9"/>
    </row>
    <row r="574" spans="1:6" x14ac:dyDescent="0.25">
      <c r="A574" s="9" t="s">
        <v>69</v>
      </c>
      <c r="B574" s="4">
        <v>45847</v>
      </c>
      <c r="C574" s="5">
        <v>10</v>
      </c>
      <c r="D574" s="9" t="s">
        <v>98</v>
      </c>
      <c r="E574" s="10">
        <v>100</v>
      </c>
      <c r="F574" s="10">
        <f t="shared" si="8"/>
        <v>1000</v>
      </c>
    </row>
    <row r="575" spans="1:6" x14ac:dyDescent="0.25">
      <c r="A575" s="9"/>
      <c r="B575" s="9"/>
      <c r="D575" s="9"/>
      <c r="F575" s="8">
        <f>SUM(F574)</f>
        <v>1000</v>
      </c>
    </row>
    <row r="576" spans="1:6" x14ac:dyDescent="0.25">
      <c r="A576" s="9"/>
      <c r="B576" s="9"/>
      <c r="D576" s="9"/>
    </row>
    <row r="577" spans="1:6" x14ac:dyDescent="0.25">
      <c r="A577" s="9" t="s">
        <v>514</v>
      </c>
      <c r="B577" s="4">
        <v>45847</v>
      </c>
      <c r="C577" s="5">
        <v>20</v>
      </c>
      <c r="D577" s="9" t="s">
        <v>98</v>
      </c>
      <c r="E577" s="10">
        <v>100</v>
      </c>
      <c r="F577" s="10">
        <f t="shared" si="8"/>
        <v>2000</v>
      </c>
    </row>
    <row r="578" spans="1:6" x14ac:dyDescent="0.25">
      <c r="A578" s="9"/>
      <c r="B578" s="9"/>
      <c r="D578" s="9"/>
      <c r="F578" s="8">
        <f>SUM(F577)</f>
        <v>2000</v>
      </c>
    </row>
    <row r="579" spans="1:6" x14ac:dyDescent="0.25">
      <c r="A579" s="9"/>
      <c r="B579" s="9"/>
      <c r="D579" s="9"/>
    </row>
    <row r="580" spans="1:6" x14ac:dyDescent="0.25">
      <c r="A580" s="9" t="s">
        <v>58</v>
      </c>
      <c r="B580" s="4">
        <v>45847</v>
      </c>
      <c r="C580" s="5">
        <v>10</v>
      </c>
      <c r="D580" s="9" t="s">
        <v>13</v>
      </c>
      <c r="E580" s="10">
        <v>140</v>
      </c>
      <c r="F580" s="10">
        <f t="shared" si="8"/>
        <v>1400</v>
      </c>
    </row>
    <row r="581" spans="1:6" x14ac:dyDescent="0.25">
      <c r="A581" s="9"/>
      <c r="B581" s="9"/>
      <c r="D581" s="9"/>
      <c r="F581" s="8">
        <f>SUM(F580)</f>
        <v>1400</v>
      </c>
    </row>
    <row r="582" spans="1:6" x14ac:dyDescent="0.25">
      <c r="A582" s="9"/>
      <c r="B582" s="9"/>
      <c r="D582" s="9"/>
    </row>
    <row r="583" spans="1:6" x14ac:dyDescent="0.25">
      <c r="A583" s="9" t="s">
        <v>15</v>
      </c>
      <c r="B583" s="4">
        <v>45847</v>
      </c>
      <c r="C583" s="5">
        <v>60</v>
      </c>
      <c r="D583" s="9" t="s">
        <v>98</v>
      </c>
      <c r="E583" s="10">
        <v>80</v>
      </c>
      <c r="F583" s="10">
        <f t="shared" si="8"/>
        <v>4800</v>
      </c>
    </row>
    <row r="584" spans="1:6" x14ac:dyDescent="0.25">
      <c r="A584" s="9"/>
      <c r="B584" s="9"/>
      <c r="D584" s="9"/>
      <c r="F584" s="8">
        <f>SUM(F583)</f>
        <v>4800</v>
      </c>
    </row>
    <row r="585" spans="1:6" x14ac:dyDescent="0.25">
      <c r="A585" s="9"/>
      <c r="B585" s="9"/>
      <c r="D585" s="9"/>
    </row>
    <row r="586" spans="1:6" x14ac:dyDescent="0.25">
      <c r="A586" s="9" t="s">
        <v>17</v>
      </c>
      <c r="B586" s="4">
        <v>45847</v>
      </c>
      <c r="C586" s="5">
        <v>10</v>
      </c>
      <c r="D586" s="9" t="s">
        <v>13</v>
      </c>
      <c r="E586" s="10">
        <v>145</v>
      </c>
      <c r="F586" s="10">
        <f t="shared" si="8"/>
        <v>1450</v>
      </c>
    </row>
    <row r="587" spans="1:6" x14ac:dyDescent="0.25">
      <c r="A587" s="9"/>
      <c r="B587" s="9"/>
      <c r="D587" s="9"/>
      <c r="F587" s="8">
        <f>SUM(F586)</f>
        <v>1450</v>
      </c>
    </row>
    <row r="588" spans="1:6" x14ac:dyDescent="0.25">
      <c r="A588" s="9"/>
      <c r="B588" s="9"/>
      <c r="D588" s="9"/>
    </row>
    <row r="589" spans="1:6" x14ac:dyDescent="0.25">
      <c r="A589" s="9" t="s">
        <v>367</v>
      </c>
      <c r="B589" s="4">
        <v>45847</v>
      </c>
      <c r="C589" s="5">
        <v>5</v>
      </c>
      <c r="D589" s="9" t="s">
        <v>13</v>
      </c>
      <c r="E589" s="10">
        <v>145</v>
      </c>
      <c r="F589" s="10">
        <f t="shared" ref="F589:F650" si="9">+C589*E589</f>
        <v>725</v>
      </c>
    </row>
    <row r="590" spans="1:6" x14ac:dyDescent="0.25">
      <c r="A590" s="9"/>
      <c r="B590" s="9"/>
      <c r="C590" s="5">
        <v>5</v>
      </c>
      <c r="D590" s="9" t="s">
        <v>14</v>
      </c>
      <c r="E590" s="10">
        <v>140</v>
      </c>
      <c r="F590" s="10">
        <f t="shared" si="9"/>
        <v>700</v>
      </c>
    </row>
    <row r="591" spans="1:6" x14ac:dyDescent="0.25">
      <c r="A591" s="9"/>
      <c r="B591" s="9"/>
      <c r="D591" s="9"/>
      <c r="F591" s="8">
        <f>SUM(F589:F590)</f>
        <v>1425</v>
      </c>
    </row>
    <row r="592" spans="1:6" x14ac:dyDescent="0.25">
      <c r="A592" s="9"/>
      <c r="B592" s="9"/>
      <c r="D592" s="9"/>
    </row>
    <row r="593" spans="1:6" x14ac:dyDescent="0.25">
      <c r="A593" s="9" t="s">
        <v>525</v>
      </c>
      <c r="B593" s="4">
        <v>45847</v>
      </c>
      <c r="C593" s="5">
        <v>10</v>
      </c>
      <c r="D593" s="9" t="s">
        <v>12</v>
      </c>
      <c r="E593" s="10">
        <v>135</v>
      </c>
      <c r="F593" s="10">
        <f t="shared" si="9"/>
        <v>1350</v>
      </c>
    </row>
    <row r="594" spans="1:6" x14ac:dyDescent="0.25">
      <c r="A594" s="9"/>
      <c r="B594" s="9"/>
      <c r="D594" s="9"/>
      <c r="F594" s="8">
        <f>SUM(F593)</f>
        <v>1350</v>
      </c>
    </row>
    <row r="595" spans="1:6" x14ac:dyDescent="0.25">
      <c r="A595" s="9"/>
      <c r="B595" s="9"/>
      <c r="D595" s="9"/>
    </row>
    <row r="596" spans="1:6" x14ac:dyDescent="0.25">
      <c r="A596" s="9" t="s">
        <v>41</v>
      </c>
      <c r="B596" s="4">
        <v>45847</v>
      </c>
      <c r="C596" s="5">
        <v>35</v>
      </c>
      <c r="D596" s="9" t="s">
        <v>14</v>
      </c>
      <c r="E596" s="10">
        <v>135</v>
      </c>
      <c r="F596" s="10">
        <f t="shared" si="9"/>
        <v>4725</v>
      </c>
    </row>
    <row r="597" spans="1:6" s="9" customFormat="1" x14ac:dyDescent="0.25">
      <c r="C597" s="5"/>
      <c r="E597" s="10"/>
      <c r="F597" s="8">
        <f>SUM(F596)</f>
        <v>4725</v>
      </c>
    </row>
    <row r="598" spans="1:6" s="9" customFormat="1" x14ac:dyDescent="0.25">
      <c r="C598" s="5"/>
      <c r="E598" s="10"/>
      <c r="F598" s="10"/>
    </row>
    <row r="599" spans="1:6" s="9" customFormat="1" x14ac:dyDescent="0.25">
      <c r="A599" s="9" t="s">
        <v>46</v>
      </c>
      <c r="B599" s="4">
        <v>45847</v>
      </c>
      <c r="C599" s="5">
        <v>20</v>
      </c>
      <c r="D599" s="9" t="s">
        <v>14</v>
      </c>
      <c r="E599" s="10">
        <v>140</v>
      </c>
      <c r="F599" s="10">
        <f t="shared" si="9"/>
        <v>2800</v>
      </c>
    </row>
    <row r="600" spans="1:6" s="9" customFormat="1" x14ac:dyDescent="0.25">
      <c r="C600" s="5"/>
      <c r="E600" s="10"/>
      <c r="F600" s="8">
        <f>SUM(F599)</f>
        <v>2800</v>
      </c>
    </row>
    <row r="601" spans="1:6" s="9" customFormat="1" x14ac:dyDescent="0.25">
      <c r="C601" s="5"/>
      <c r="E601" s="10"/>
      <c r="F601" s="10"/>
    </row>
    <row r="602" spans="1:6" s="9" customFormat="1" x14ac:dyDescent="0.25">
      <c r="A602" s="9" t="s">
        <v>780</v>
      </c>
      <c r="B602" s="4">
        <v>45847</v>
      </c>
      <c r="C602" s="5">
        <v>5</v>
      </c>
      <c r="D602" s="9" t="s">
        <v>14</v>
      </c>
      <c r="E602" s="10">
        <v>140</v>
      </c>
      <c r="F602" s="10">
        <f t="shared" si="9"/>
        <v>700</v>
      </c>
    </row>
    <row r="603" spans="1:6" s="9" customFormat="1" x14ac:dyDescent="0.25">
      <c r="C603" s="5"/>
      <c r="E603" s="10"/>
      <c r="F603" s="8">
        <f>SUM(F602)</f>
        <v>700</v>
      </c>
    </row>
    <row r="604" spans="1:6" s="9" customFormat="1" x14ac:dyDescent="0.25">
      <c r="C604" s="5"/>
      <c r="E604" s="10"/>
      <c r="F604" s="10"/>
    </row>
    <row r="605" spans="1:6" s="9" customFormat="1" x14ac:dyDescent="0.25">
      <c r="A605" s="9" t="s">
        <v>253</v>
      </c>
      <c r="B605" s="4">
        <v>45847</v>
      </c>
      <c r="C605" s="5">
        <v>10</v>
      </c>
      <c r="D605" s="9" t="s">
        <v>49</v>
      </c>
      <c r="E605" s="10">
        <v>150</v>
      </c>
      <c r="F605" s="10">
        <f t="shared" si="9"/>
        <v>1500</v>
      </c>
    </row>
    <row r="606" spans="1:6" s="9" customFormat="1" x14ac:dyDescent="0.25">
      <c r="C606" s="5"/>
      <c r="E606" s="10"/>
      <c r="F606" s="8">
        <f>SUM(F605)</f>
        <v>1500</v>
      </c>
    </row>
    <row r="607" spans="1:6" s="9" customFormat="1" x14ac:dyDescent="0.25">
      <c r="C607" s="5"/>
      <c r="E607" s="10"/>
      <c r="F607" s="10"/>
    </row>
    <row r="608" spans="1:6" s="9" customFormat="1" x14ac:dyDescent="0.25">
      <c r="A608" s="9" t="s">
        <v>18</v>
      </c>
      <c r="B608" s="4">
        <v>45847</v>
      </c>
      <c r="C608" s="5">
        <v>20</v>
      </c>
      <c r="D608" s="9" t="s">
        <v>11</v>
      </c>
      <c r="E608" s="10">
        <v>125</v>
      </c>
      <c r="F608" s="10">
        <f t="shared" si="9"/>
        <v>2500</v>
      </c>
    </row>
    <row r="609" spans="1:6" s="9" customFormat="1" x14ac:dyDescent="0.25">
      <c r="C609" s="5"/>
      <c r="E609" s="10"/>
      <c r="F609" s="8">
        <f>SUM(F608)</f>
        <v>2500</v>
      </c>
    </row>
    <row r="610" spans="1:6" s="9" customFormat="1" x14ac:dyDescent="0.25">
      <c r="C610" s="5"/>
      <c r="E610" s="10"/>
      <c r="F610" s="10"/>
    </row>
    <row r="611" spans="1:6" s="9" customFormat="1" x14ac:dyDescent="0.25">
      <c r="A611" s="9" t="s">
        <v>44</v>
      </c>
      <c r="B611" s="4">
        <v>45847</v>
      </c>
      <c r="C611" s="5">
        <v>50</v>
      </c>
      <c r="D611" s="9" t="s">
        <v>14</v>
      </c>
      <c r="E611" s="10">
        <v>140</v>
      </c>
      <c r="F611" s="10">
        <f t="shared" si="9"/>
        <v>7000</v>
      </c>
    </row>
    <row r="612" spans="1:6" s="9" customFormat="1" x14ac:dyDescent="0.25">
      <c r="C612" s="5"/>
      <c r="E612" s="10"/>
      <c r="F612" s="8">
        <f>SUM(F611)</f>
        <v>7000</v>
      </c>
    </row>
    <row r="613" spans="1:6" s="9" customFormat="1" x14ac:dyDescent="0.25">
      <c r="C613" s="5"/>
      <c r="E613" s="10"/>
      <c r="F613" s="10"/>
    </row>
    <row r="614" spans="1:6" s="9" customFormat="1" x14ac:dyDescent="0.25">
      <c r="A614" s="9" t="s">
        <v>43</v>
      </c>
      <c r="B614" s="4">
        <v>45847</v>
      </c>
      <c r="C614" s="5">
        <v>50</v>
      </c>
      <c r="D614" s="9" t="s">
        <v>49</v>
      </c>
      <c r="E614" s="10">
        <v>150</v>
      </c>
      <c r="F614" s="10">
        <f t="shared" si="9"/>
        <v>7500</v>
      </c>
    </row>
    <row r="615" spans="1:6" s="9" customFormat="1" x14ac:dyDescent="0.25">
      <c r="C615" s="5"/>
      <c r="E615" s="10"/>
      <c r="F615" s="8">
        <f>SUM(F614)</f>
        <v>7500</v>
      </c>
    </row>
    <row r="616" spans="1:6" s="9" customFormat="1" x14ac:dyDescent="0.25">
      <c r="C616" s="5"/>
      <c r="E616" s="10"/>
      <c r="F616" s="10"/>
    </row>
    <row r="617" spans="1:6" s="9" customFormat="1" x14ac:dyDescent="0.25">
      <c r="A617" s="9" t="s">
        <v>107</v>
      </c>
      <c r="B617" s="4">
        <v>45847</v>
      </c>
      <c r="C617" s="5">
        <v>64</v>
      </c>
      <c r="D617" s="9" t="s">
        <v>14</v>
      </c>
      <c r="E617" s="10">
        <v>135</v>
      </c>
      <c r="F617" s="10">
        <f t="shared" si="9"/>
        <v>8640</v>
      </c>
    </row>
    <row r="618" spans="1:6" s="9" customFormat="1" x14ac:dyDescent="0.25">
      <c r="C618" s="5"/>
      <c r="E618" s="10"/>
      <c r="F618" s="8">
        <f>SUM(F617)</f>
        <v>8640</v>
      </c>
    </row>
    <row r="619" spans="1:6" s="9" customFormat="1" x14ac:dyDescent="0.25">
      <c r="C619" s="5"/>
      <c r="E619" s="10"/>
      <c r="F619" s="10"/>
    </row>
    <row r="620" spans="1:6" s="9" customFormat="1" x14ac:dyDescent="0.25">
      <c r="A620" s="9" t="s">
        <v>45</v>
      </c>
      <c r="B620" s="4">
        <v>45847</v>
      </c>
      <c r="C620" s="5">
        <v>3</v>
      </c>
      <c r="D620" s="9" t="s">
        <v>8</v>
      </c>
      <c r="E620" s="10">
        <v>150</v>
      </c>
      <c r="F620" s="10">
        <f t="shared" si="9"/>
        <v>450</v>
      </c>
    </row>
    <row r="621" spans="1:6" s="9" customFormat="1" x14ac:dyDescent="0.25">
      <c r="C621" s="5">
        <v>3</v>
      </c>
      <c r="D621" s="9" t="s">
        <v>13</v>
      </c>
      <c r="E621" s="10">
        <v>140</v>
      </c>
      <c r="F621" s="10">
        <f t="shared" si="9"/>
        <v>420</v>
      </c>
    </row>
    <row r="622" spans="1:6" s="9" customFormat="1" x14ac:dyDescent="0.25">
      <c r="C622" s="5"/>
      <c r="E622" s="10"/>
      <c r="F622" s="8">
        <f>SUM(F620:F621)</f>
        <v>870</v>
      </c>
    </row>
    <row r="623" spans="1:6" s="9" customFormat="1" x14ac:dyDescent="0.25">
      <c r="C623" s="5"/>
      <c r="E623" s="10"/>
      <c r="F623" s="10"/>
    </row>
    <row r="624" spans="1:6" s="9" customFormat="1" x14ac:dyDescent="0.25">
      <c r="A624" s="9" t="s">
        <v>145</v>
      </c>
      <c r="B624" s="4">
        <v>45847</v>
      </c>
      <c r="C624" s="5">
        <v>28</v>
      </c>
      <c r="D624" s="9" t="s">
        <v>14</v>
      </c>
      <c r="E624" s="10">
        <v>140</v>
      </c>
      <c r="F624" s="10">
        <f t="shared" si="9"/>
        <v>3920</v>
      </c>
    </row>
    <row r="625" spans="1:6" s="9" customFormat="1" x14ac:dyDescent="0.25">
      <c r="C625" s="5"/>
      <c r="E625" s="10"/>
      <c r="F625" s="8">
        <f>SUM(F624)</f>
        <v>3920</v>
      </c>
    </row>
    <row r="626" spans="1:6" s="9" customFormat="1" x14ac:dyDescent="0.25">
      <c r="C626" s="5"/>
      <c r="E626" s="10"/>
      <c r="F626" s="10"/>
    </row>
    <row r="627" spans="1:6" s="9" customFormat="1" x14ac:dyDescent="0.25">
      <c r="A627" s="9" t="s">
        <v>7</v>
      </c>
      <c r="B627" s="4">
        <v>45847</v>
      </c>
      <c r="C627" s="5">
        <v>10</v>
      </c>
      <c r="D627" s="9" t="s">
        <v>8</v>
      </c>
      <c r="E627" s="10">
        <v>160</v>
      </c>
      <c r="F627" s="10">
        <f t="shared" si="9"/>
        <v>1600</v>
      </c>
    </row>
    <row r="628" spans="1:6" s="9" customFormat="1" x14ac:dyDescent="0.25">
      <c r="C628" s="5">
        <v>12</v>
      </c>
      <c r="D628" s="9" t="s">
        <v>13</v>
      </c>
      <c r="E628" s="10">
        <v>145</v>
      </c>
      <c r="F628" s="10">
        <f t="shared" si="9"/>
        <v>1740</v>
      </c>
    </row>
    <row r="629" spans="1:6" s="9" customFormat="1" x14ac:dyDescent="0.25">
      <c r="C629" s="5"/>
      <c r="E629" s="10"/>
      <c r="F629" s="8">
        <f>SUM(F627:F628)</f>
        <v>3340</v>
      </c>
    </row>
    <row r="630" spans="1:6" s="9" customFormat="1" x14ac:dyDescent="0.25">
      <c r="C630" s="5"/>
      <c r="E630" s="10"/>
      <c r="F630" s="10"/>
    </row>
    <row r="631" spans="1:6" s="9" customFormat="1" x14ac:dyDescent="0.25">
      <c r="A631" s="9" t="s">
        <v>633</v>
      </c>
      <c r="B631" s="4">
        <v>45847</v>
      </c>
      <c r="C631" s="5">
        <v>150</v>
      </c>
      <c r="D631" s="9" t="s">
        <v>13</v>
      </c>
      <c r="E631" s="10"/>
      <c r="F631" s="10">
        <f t="shared" si="9"/>
        <v>0</v>
      </c>
    </row>
    <row r="632" spans="1:6" s="9" customFormat="1" x14ac:dyDescent="0.25">
      <c r="C632" s="5"/>
      <c r="E632" s="10"/>
      <c r="F632" s="8">
        <f>SUM(+F631)</f>
        <v>0</v>
      </c>
    </row>
    <row r="633" spans="1:6" s="9" customFormat="1" x14ac:dyDescent="0.25">
      <c r="C633" s="5"/>
      <c r="E633" s="10"/>
      <c r="F633" s="10"/>
    </row>
    <row r="634" spans="1:6" s="9" customFormat="1" x14ac:dyDescent="0.25">
      <c r="A634" s="9" t="s">
        <v>65</v>
      </c>
      <c r="B634" s="4">
        <v>45847</v>
      </c>
      <c r="C634" s="5">
        <v>300</v>
      </c>
      <c r="D634" s="9" t="s">
        <v>781</v>
      </c>
      <c r="E634" s="10">
        <v>125</v>
      </c>
      <c r="F634" s="10">
        <f t="shared" si="9"/>
        <v>37500</v>
      </c>
    </row>
    <row r="635" spans="1:6" s="9" customFormat="1" x14ac:dyDescent="0.25">
      <c r="C635" s="5">
        <v>200</v>
      </c>
      <c r="D635" s="9" t="s">
        <v>13</v>
      </c>
      <c r="E635" s="10">
        <v>135</v>
      </c>
      <c r="F635" s="10">
        <f t="shared" si="9"/>
        <v>27000</v>
      </c>
    </row>
    <row r="636" spans="1:6" s="9" customFormat="1" x14ac:dyDescent="0.25">
      <c r="C636" s="5"/>
      <c r="E636" s="10"/>
      <c r="F636" s="8">
        <f>SUM(F634:F635)</f>
        <v>64500</v>
      </c>
    </row>
    <row r="637" spans="1:6" s="9" customFormat="1" x14ac:dyDescent="0.25">
      <c r="C637" s="5"/>
      <c r="E637" s="10"/>
      <c r="F637" s="10"/>
    </row>
    <row r="638" spans="1:6" s="9" customFormat="1" x14ac:dyDescent="0.25">
      <c r="A638" s="9" t="s">
        <v>7</v>
      </c>
      <c r="B638" s="4">
        <v>45847</v>
      </c>
      <c r="C638" s="5">
        <v>300</v>
      </c>
      <c r="D638" s="9" t="s">
        <v>12</v>
      </c>
      <c r="E638" s="10">
        <v>125</v>
      </c>
      <c r="F638" s="10">
        <f t="shared" si="9"/>
        <v>37500</v>
      </c>
    </row>
    <row r="639" spans="1:6" s="9" customFormat="1" x14ac:dyDescent="0.25">
      <c r="C639" s="5">
        <v>200</v>
      </c>
      <c r="D639" s="9" t="s">
        <v>13</v>
      </c>
      <c r="E639" s="10">
        <v>133</v>
      </c>
      <c r="F639" s="10">
        <f t="shared" si="9"/>
        <v>26600</v>
      </c>
    </row>
    <row r="640" spans="1:6" s="9" customFormat="1" x14ac:dyDescent="0.25">
      <c r="C640" s="5">
        <v>20</v>
      </c>
      <c r="D640" s="9" t="s">
        <v>22</v>
      </c>
      <c r="E640" s="10">
        <v>110</v>
      </c>
      <c r="F640" s="10">
        <f t="shared" si="9"/>
        <v>2200</v>
      </c>
    </row>
    <row r="641" spans="1:6" s="9" customFormat="1" x14ac:dyDescent="0.25">
      <c r="C641" s="5"/>
      <c r="E641" s="10"/>
      <c r="F641" s="8">
        <f>SUM(F638:F640)</f>
        <v>66300</v>
      </c>
    </row>
    <row r="642" spans="1:6" s="9" customFormat="1" x14ac:dyDescent="0.25">
      <c r="C642" s="5"/>
      <c r="E642" s="10"/>
      <c r="F642" s="10"/>
    </row>
    <row r="643" spans="1:6" s="9" customFormat="1" x14ac:dyDescent="0.25">
      <c r="A643" s="9" t="s">
        <v>174</v>
      </c>
      <c r="B643" s="4">
        <v>45847</v>
      </c>
      <c r="C643" s="5">
        <v>70</v>
      </c>
      <c r="D643" s="9" t="s">
        <v>12</v>
      </c>
      <c r="E643" s="10">
        <v>140</v>
      </c>
      <c r="F643" s="10">
        <f t="shared" si="9"/>
        <v>9800</v>
      </c>
    </row>
    <row r="644" spans="1:6" s="9" customFormat="1" x14ac:dyDescent="0.25">
      <c r="C644" s="5">
        <v>50</v>
      </c>
      <c r="D644" s="9" t="s">
        <v>22</v>
      </c>
      <c r="E644" s="10">
        <v>120</v>
      </c>
      <c r="F644" s="10">
        <f t="shared" si="9"/>
        <v>6000</v>
      </c>
    </row>
    <row r="645" spans="1:6" s="9" customFormat="1" x14ac:dyDescent="0.25">
      <c r="C645" s="5"/>
      <c r="E645" s="10"/>
      <c r="F645" s="8">
        <f>SUM(F643:F644)</f>
        <v>15800</v>
      </c>
    </row>
    <row r="646" spans="1:6" s="9" customFormat="1" x14ac:dyDescent="0.25">
      <c r="C646" s="5"/>
      <c r="E646" s="10"/>
      <c r="F646" s="10"/>
    </row>
    <row r="647" spans="1:6" s="9" customFormat="1" x14ac:dyDescent="0.25">
      <c r="A647" s="9" t="s">
        <v>734</v>
      </c>
      <c r="B647" s="4">
        <v>45847</v>
      </c>
      <c r="C647" s="5">
        <v>7</v>
      </c>
      <c r="D647" s="9" t="s">
        <v>13</v>
      </c>
      <c r="E647" s="10">
        <v>150</v>
      </c>
      <c r="F647" s="10">
        <f t="shared" si="9"/>
        <v>1050</v>
      </c>
    </row>
    <row r="648" spans="1:6" s="9" customFormat="1" x14ac:dyDescent="0.25">
      <c r="C648" s="5"/>
      <c r="E648" s="10"/>
      <c r="F648" s="8">
        <f>SUM(F647)</f>
        <v>1050</v>
      </c>
    </row>
    <row r="649" spans="1:6" s="9" customFormat="1" x14ac:dyDescent="0.25">
      <c r="C649" s="5"/>
      <c r="E649" s="10"/>
      <c r="F649" s="10"/>
    </row>
    <row r="650" spans="1:6" s="9" customFormat="1" x14ac:dyDescent="0.25">
      <c r="A650" s="9" t="s">
        <v>719</v>
      </c>
      <c r="B650" s="4">
        <v>45847</v>
      </c>
      <c r="C650" s="5">
        <v>2</v>
      </c>
      <c r="D650" s="9" t="s">
        <v>8</v>
      </c>
      <c r="E650" s="10">
        <v>170</v>
      </c>
      <c r="F650" s="10">
        <f t="shared" si="9"/>
        <v>340</v>
      </c>
    </row>
    <row r="651" spans="1:6" s="9" customFormat="1" x14ac:dyDescent="0.25">
      <c r="C651" s="5"/>
      <c r="E651" s="10"/>
      <c r="F651" s="8">
        <f>SUM(F650)</f>
        <v>340</v>
      </c>
    </row>
    <row r="652" spans="1:6" s="9" customFormat="1" x14ac:dyDescent="0.25">
      <c r="C652" s="5"/>
      <c r="E652" s="10"/>
      <c r="F652" s="10"/>
    </row>
    <row r="653" spans="1:6" s="9" customFormat="1" x14ac:dyDescent="0.25">
      <c r="A653" s="9" t="s">
        <v>111</v>
      </c>
      <c r="B653" s="4">
        <v>45847</v>
      </c>
      <c r="C653" s="5">
        <v>30</v>
      </c>
      <c r="D653" s="9" t="s">
        <v>13</v>
      </c>
      <c r="E653" s="10">
        <v>140</v>
      </c>
      <c r="F653" s="10">
        <f t="shared" ref="F653:F712" si="10">+C653*E653</f>
        <v>4200</v>
      </c>
    </row>
    <row r="654" spans="1:6" s="9" customFormat="1" x14ac:dyDescent="0.25">
      <c r="C654" s="5"/>
      <c r="E654" s="10"/>
      <c r="F654" s="8">
        <f>SUM(F653)</f>
        <v>4200</v>
      </c>
    </row>
    <row r="655" spans="1:6" s="9" customFormat="1" x14ac:dyDescent="0.25">
      <c r="C655" s="5"/>
      <c r="E655" s="10"/>
      <c r="F655" s="10"/>
    </row>
    <row r="656" spans="1:6" s="9" customFormat="1" x14ac:dyDescent="0.25">
      <c r="A656" s="9" t="s">
        <v>538</v>
      </c>
      <c r="B656" s="4">
        <v>45847</v>
      </c>
      <c r="C656" s="5">
        <v>150</v>
      </c>
      <c r="D656" s="9" t="s">
        <v>22</v>
      </c>
      <c r="E656" s="10">
        <v>115</v>
      </c>
      <c r="F656" s="10">
        <f t="shared" si="10"/>
        <v>17250</v>
      </c>
    </row>
    <row r="657" spans="1:6" s="9" customFormat="1" x14ac:dyDescent="0.25">
      <c r="C657" s="5">
        <v>50</v>
      </c>
      <c r="D657" s="9" t="s">
        <v>11</v>
      </c>
      <c r="E657" s="10">
        <v>120</v>
      </c>
      <c r="F657" s="10">
        <f t="shared" si="10"/>
        <v>6000</v>
      </c>
    </row>
    <row r="658" spans="1:6" s="9" customFormat="1" x14ac:dyDescent="0.25">
      <c r="C658" s="5"/>
      <c r="E658" s="10"/>
      <c r="F658" s="8">
        <f>SUM(F656:F657)</f>
        <v>23250</v>
      </c>
    </row>
    <row r="659" spans="1:6" s="9" customFormat="1" x14ac:dyDescent="0.25">
      <c r="C659" s="5"/>
      <c r="E659" s="10"/>
      <c r="F659" s="10"/>
    </row>
    <row r="660" spans="1:6" s="9" customFormat="1" x14ac:dyDescent="0.25">
      <c r="A660" s="9" t="s">
        <v>245</v>
      </c>
      <c r="B660" s="4">
        <v>45847</v>
      </c>
      <c r="C660" s="5">
        <v>90</v>
      </c>
      <c r="D660" s="9" t="s">
        <v>13</v>
      </c>
      <c r="E660" s="10">
        <v>140</v>
      </c>
      <c r="F660" s="10">
        <f t="shared" si="10"/>
        <v>12600</v>
      </c>
    </row>
    <row r="661" spans="1:6" s="9" customFormat="1" x14ac:dyDescent="0.25">
      <c r="C661" s="5">
        <v>10</v>
      </c>
      <c r="D661" s="9" t="s">
        <v>14</v>
      </c>
      <c r="E661" s="10">
        <v>130</v>
      </c>
      <c r="F661" s="10">
        <f t="shared" si="10"/>
        <v>1300</v>
      </c>
    </row>
    <row r="662" spans="1:6" s="9" customFormat="1" x14ac:dyDescent="0.25">
      <c r="C662" s="11">
        <v>0.5</v>
      </c>
      <c r="D662" s="9" t="s">
        <v>318</v>
      </c>
      <c r="E662" s="10">
        <v>0</v>
      </c>
      <c r="F662" s="10">
        <f t="shared" si="10"/>
        <v>0</v>
      </c>
    </row>
    <row r="663" spans="1:6" s="9" customFormat="1" x14ac:dyDescent="0.25">
      <c r="C663" s="5"/>
      <c r="E663" s="10"/>
      <c r="F663" s="8">
        <f>SUM(F660:F662)</f>
        <v>13900</v>
      </c>
    </row>
    <row r="664" spans="1:6" s="9" customFormat="1" x14ac:dyDescent="0.25">
      <c r="C664" s="5"/>
      <c r="E664" s="10"/>
      <c r="F664" s="10"/>
    </row>
    <row r="665" spans="1:6" s="9" customFormat="1" x14ac:dyDescent="0.25">
      <c r="A665" s="9" t="s">
        <v>181</v>
      </c>
      <c r="B665" s="4">
        <v>45847</v>
      </c>
      <c r="C665" s="5">
        <v>1</v>
      </c>
      <c r="D665" s="9" t="s">
        <v>13</v>
      </c>
      <c r="E665" s="10">
        <v>160</v>
      </c>
      <c r="F665" s="10">
        <f t="shared" si="10"/>
        <v>160</v>
      </c>
    </row>
    <row r="666" spans="1:6" s="9" customFormat="1" x14ac:dyDescent="0.25">
      <c r="C666" s="5">
        <v>3</v>
      </c>
      <c r="D666" s="9" t="s">
        <v>8</v>
      </c>
      <c r="E666" s="10">
        <v>170</v>
      </c>
      <c r="F666" s="10">
        <f t="shared" si="10"/>
        <v>510</v>
      </c>
    </row>
    <row r="667" spans="1:6" s="9" customFormat="1" x14ac:dyDescent="0.25">
      <c r="C667" s="5">
        <v>1</v>
      </c>
      <c r="D667" s="9" t="s">
        <v>12</v>
      </c>
      <c r="E667" s="10">
        <v>150</v>
      </c>
      <c r="F667" s="10">
        <f t="shared" si="10"/>
        <v>150</v>
      </c>
    </row>
    <row r="668" spans="1:6" s="9" customFormat="1" x14ac:dyDescent="0.25">
      <c r="C668" s="5">
        <v>3</v>
      </c>
      <c r="D668" s="9" t="s">
        <v>13</v>
      </c>
      <c r="E668" s="10">
        <v>140</v>
      </c>
      <c r="F668" s="10">
        <f t="shared" si="10"/>
        <v>420</v>
      </c>
    </row>
    <row r="669" spans="1:6" s="9" customFormat="1" x14ac:dyDescent="0.25">
      <c r="C669" s="5"/>
      <c r="E669" s="10"/>
      <c r="F669" s="8">
        <f>SUM(F665:F668)</f>
        <v>1240</v>
      </c>
    </row>
    <row r="670" spans="1:6" s="9" customFormat="1" x14ac:dyDescent="0.25">
      <c r="C670" s="5"/>
      <c r="E670" s="10"/>
      <c r="F670" s="10"/>
    </row>
    <row r="671" spans="1:6" s="9" customFormat="1" x14ac:dyDescent="0.25">
      <c r="A671" s="9" t="s">
        <v>661</v>
      </c>
      <c r="B671" s="4">
        <v>45848</v>
      </c>
      <c r="C671" s="5">
        <v>6</v>
      </c>
      <c r="D671" s="9" t="s">
        <v>13</v>
      </c>
      <c r="E671" s="10">
        <v>145</v>
      </c>
      <c r="F671" s="10">
        <f t="shared" si="10"/>
        <v>870</v>
      </c>
    </row>
    <row r="672" spans="1:6" s="9" customFormat="1" x14ac:dyDescent="0.25">
      <c r="C672" s="5"/>
      <c r="E672" s="10"/>
      <c r="F672" s="8">
        <f>SUM(F671)</f>
        <v>870</v>
      </c>
    </row>
    <row r="673" spans="1:6" s="9" customFormat="1" x14ac:dyDescent="0.25">
      <c r="C673" s="5"/>
      <c r="E673" s="10"/>
      <c r="F673" s="10"/>
    </row>
    <row r="674" spans="1:6" s="9" customFormat="1" x14ac:dyDescent="0.25">
      <c r="A674" s="9" t="s">
        <v>117</v>
      </c>
      <c r="B674" s="4">
        <v>45848</v>
      </c>
      <c r="C674" s="5">
        <v>5</v>
      </c>
      <c r="D674" s="9" t="s">
        <v>13</v>
      </c>
      <c r="E674" s="10">
        <v>145</v>
      </c>
      <c r="F674" s="10">
        <f t="shared" si="10"/>
        <v>725</v>
      </c>
    </row>
    <row r="675" spans="1:6" s="9" customFormat="1" x14ac:dyDescent="0.25">
      <c r="C675" s="5"/>
      <c r="E675" s="10"/>
      <c r="F675" s="8">
        <f>SUM(F674)</f>
        <v>725</v>
      </c>
    </row>
    <row r="676" spans="1:6" s="9" customFormat="1" x14ac:dyDescent="0.25">
      <c r="C676" s="5"/>
      <c r="E676" s="10"/>
      <c r="F676" s="10"/>
    </row>
    <row r="677" spans="1:6" s="9" customFormat="1" x14ac:dyDescent="0.25">
      <c r="A677" s="9" t="s">
        <v>68</v>
      </c>
      <c r="B677" s="4">
        <v>45848</v>
      </c>
      <c r="C677" s="5">
        <v>4</v>
      </c>
      <c r="D677" s="9" t="s">
        <v>13</v>
      </c>
      <c r="E677" s="10">
        <v>145</v>
      </c>
      <c r="F677" s="10">
        <f t="shared" si="10"/>
        <v>580</v>
      </c>
    </row>
    <row r="678" spans="1:6" s="9" customFormat="1" x14ac:dyDescent="0.25">
      <c r="C678" s="5"/>
      <c r="E678" s="10"/>
      <c r="F678" s="8">
        <f>SUM(F677)</f>
        <v>580</v>
      </c>
    </row>
    <row r="679" spans="1:6" s="9" customFormat="1" x14ac:dyDescent="0.25">
      <c r="C679" s="5"/>
      <c r="E679" s="10"/>
      <c r="F679" s="10"/>
    </row>
    <row r="680" spans="1:6" s="9" customFormat="1" x14ac:dyDescent="0.25">
      <c r="A680" s="9" t="s">
        <v>87</v>
      </c>
      <c r="B680" s="4">
        <v>45848</v>
      </c>
      <c r="C680" s="5">
        <v>2</v>
      </c>
      <c r="D680" s="9" t="s">
        <v>14</v>
      </c>
      <c r="E680" s="10">
        <v>145</v>
      </c>
      <c r="F680" s="10">
        <f t="shared" si="10"/>
        <v>290</v>
      </c>
    </row>
    <row r="681" spans="1:6" s="9" customFormat="1" x14ac:dyDescent="0.25">
      <c r="C681" s="5">
        <v>2</v>
      </c>
      <c r="D681" s="9" t="s">
        <v>22</v>
      </c>
      <c r="E681" s="10">
        <v>120</v>
      </c>
      <c r="F681" s="10">
        <f t="shared" si="10"/>
        <v>240</v>
      </c>
    </row>
    <row r="682" spans="1:6" s="9" customFormat="1" x14ac:dyDescent="0.25">
      <c r="C682" s="5"/>
      <c r="E682" s="10"/>
      <c r="F682" s="8">
        <f>SUM(F680:F681)</f>
        <v>530</v>
      </c>
    </row>
    <row r="683" spans="1:6" s="9" customFormat="1" x14ac:dyDescent="0.25">
      <c r="C683" s="5"/>
      <c r="E683" s="10"/>
      <c r="F683" s="10"/>
    </row>
    <row r="684" spans="1:6" s="9" customFormat="1" x14ac:dyDescent="0.25">
      <c r="A684" s="9" t="s">
        <v>89</v>
      </c>
      <c r="B684" s="4">
        <v>45848</v>
      </c>
      <c r="C684" s="5">
        <v>10</v>
      </c>
      <c r="D684" s="9" t="s">
        <v>11</v>
      </c>
      <c r="E684" s="10">
        <v>120</v>
      </c>
      <c r="F684" s="10">
        <f t="shared" si="10"/>
        <v>1200</v>
      </c>
    </row>
    <row r="685" spans="1:6" s="9" customFormat="1" x14ac:dyDescent="0.25">
      <c r="C685" s="5">
        <v>40</v>
      </c>
      <c r="D685" s="9" t="s">
        <v>22</v>
      </c>
      <c r="E685" s="10">
        <v>110</v>
      </c>
      <c r="F685" s="10">
        <f t="shared" si="10"/>
        <v>4400</v>
      </c>
    </row>
    <row r="686" spans="1:6" s="9" customFormat="1" x14ac:dyDescent="0.25">
      <c r="C686" s="5">
        <v>20</v>
      </c>
      <c r="D686" s="9" t="s">
        <v>13</v>
      </c>
      <c r="E686" s="10">
        <v>135</v>
      </c>
      <c r="F686" s="10">
        <f t="shared" si="10"/>
        <v>2700</v>
      </c>
    </row>
    <row r="687" spans="1:6" s="9" customFormat="1" x14ac:dyDescent="0.25">
      <c r="C687" s="5"/>
      <c r="E687" s="10"/>
      <c r="F687" s="8">
        <f>SUM(F684:F686)</f>
        <v>8300</v>
      </c>
    </row>
    <row r="688" spans="1:6" s="9" customFormat="1" x14ac:dyDescent="0.25">
      <c r="C688" s="5"/>
      <c r="E688" s="10"/>
      <c r="F688" s="10"/>
    </row>
    <row r="689" spans="1:7" s="9" customFormat="1" x14ac:dyDescent="0.25">
      <c r="A689" s="9" t="s">
        <v>59</v>
      </c>
      <c r="B689" s="4">
        <v>45848</v>
      </c>
      <c r="C689" s="5">
        <v>20</v>
      </c>
      <c r="D689" s="9" t="s">
        <v>13</v>
      </c>
      <c r="E689" s="10">
        <v>140</v>
      </c>
      <c r="F689" s="10">
        <f t="shared" si="10"/>
        <v>2800</v>
      </c>
    </row>
    <row r="690" spans="1:7" s="9" customFormat="1" x14ac:dyDescent="0.25">
      <c r="C690" s="5"/>
      <c r="E690" s="10"/>
      <c r="F690" s="8">
        <f>SUM(F689)</f>
        <v>2800</v>
      </c>
    </row>
    <row r="691" spans="1:7" s="9" customFormat="1" x14ac:dyDescent="0.25">
      <c r="C691" s="5"/>
      <c r="E691" s="10"/>
      <c r="F691" s="10"/>
    </row>
    <row r="692" spans="1:7" s="9" customFormat="1" x14ac:dyDescent="0.25">
      <c r="A692" s="9" t="s">
        <v>61</v>
      </c>
      <c r="B692" s="4">
        <v>45848</v>
      </c>
      <c r="C692" s="5">
        <v>80</v>
      </c>
      <c r="D692" s="9" t="s">
        <v>13</v>
      </c>
      <c r="E692" s="10">
        <v>140</v>
      </c>
      <c r="F692" s="10">
        <f t="shared" si="10"/>
        <v>11200</v>
      </c>
    </row>
    <row r="693" spans="1:7" s="9" customFormat="1" x14ac:dyDescent="0.25">
      <c r="C693" s="5"/>
      <c r="E693" s="10"/>
      <c r="F693" s="8">
        <f>SUM(F692)</f>
        <v>11200</v>
      </c>
    </row>
    <row r="694" spans="1:7" s="9" customFormat="1" x14ac:dyDescent="0.25">
      <c r="C694" s="5"/>
      <c r="E694" s="10"/>
      <c r="F694" s="10"/>
    </row>
    <row r="695" spans="1:7" s="9" customFormat="1" x14ac:dyDescent="0.25">
      <c r="A695" s="9" t="s">
        <v>760</v>
      </c>
      <c r="B695" s="4">
        <v>45848</v>
      </c>
      <c r="C695" s="5">
        <v>10</v>
      </c>
      <c r="D695" s="9" t="s">
        <v>12</v>
      </c>
      <c r="E695" s="10">
        <v>135</v>
      </c>
      <c r="F695" s="10">
        <f t="shared" si="10"/>
        <v>1350</v>
      </c>
    </row>
    <row r="696" spans="1:7" s="9" customFormat="1" x14ac:dyDescent="0.25">
      <c r="C696" s="5"/>
      <c r="E696" s="10"/>
      <c r="F696" s="8">
        <f>SUM(F695)</f>
        <v>1350</v>
      </c>
    </row>
    <row r="697" spans="1:7" s="9" customFormat="1" x14ac:dyDescent="0.25">
      <c r="C697" s="5"/>
      <c r="E697" s="10"/>
      <c r="F697" s="10"/>
    </row>
    <row r="698" spans="1:7" s="9" customFormat="1" x14ac:dyDescent="0.25">
      <c r="A698" s="9" t="s">
        <v>151</v>
      </c>
      <c r="B698" s="4">
        <v>45848</v>
      </c>
      <c r="C698" s="5">
        <v>100</v>
      </c>
      <c r="D698" s="9" t="s">
        <v>11</v>
      </c>
      <c r="E698" s="10">
        <v>123</v>
      </c>
      <c r="F698" s="10">
        <f t="shared" si="10"/>
        <v>12300</v>
      </c>
    </row>
    <row r="699" spans="1:7" s="9" customFormat="1" x14ac:dyDescent="0.25">
      <c r="C699" s="5">
        <v>100</v>
      </c>
      <c r="D699" s="9" t="s">
        <v>22</v>
      </c>
      <c r="E699" s="10">
        <v>115</v>
      </c>
      <c r="F699" s="10">
        <f t="shared" si="10"/>
        <v>11500</v>
      </c>
      <c r="G699" s="4"/>
    </row>
    <row r="700" spans="1:7" s="9" customFormat="1" x14ac:dyDescent="0.25">
      <c r="C700" s="5"/>
      <c r="E700" s="10"/>
      <c r="F700" s="8">
        <f>SUM(F698:F699)</f>
        <v>23800</v>
      </c>
    </row>
    <row r="701" spans="1:7" s="9" customFormat="1" x14ac:dyDescent="0.25">
      <c r="C701" s="5"/>
      <c r="E701" s="10"/>
      <c r="F701" s="10"/>
    </row>
    <row r="702" spans="1:7" s="9" customFormat="1" x14ac:dyDescent="0.25">
      <c r="A702" s="9" t="s">
        <v>487</v>
      </c>
      <c r="B702" s="4">
        <v>45848</v>
      </c>
      <c r="C702" s="5">
        <v>7</v>
      </c>
      <c r="D702" s="9" t="s">
        <v>12</v>
      </c>
      <c r="E702" s="10">
        <v>135</v>
      </c>
      <c r="F702" s="10">
        <f t="shared" si="10"/>
        <v>945</v>
      </c>
    </row>
    <row r="703" spans="1:7" s="9" customFormat="1" x14ac:dyDescent="0.25">
      <c r="C703" s="5"/>
      <c r="E703" s="10"/>
      <c r="F703" s="8">
        <f>SUM(F702)</f>
        <v>945</v>
      </c>
    </row>
    <row r="704" spans="1:7" s="9" customFormat="1" x14ac:dyDescent="0.25">
      <c r="C704" s="5"/>
      <c r="E704" s="10"/>
      <c r="F704" s="10"/>
    </row>
    <row r="705" spans="1:6" s="9" customFormat="1" x14ac:dyDescent="0.25">
      <c r="A705" s="9" t="s">
        <v>191</v>
      </c>
      <c r="B705" s="4">
        <v>45848</v>
      </c>
      <c r="C705" s="5">
        <v>100</v>
      </c>
      <c r="D705" s="9" t="s">
        <v>13</v>
      </c>
      <c r="E705" s="10">
        <v>135</v>
      </c>
      <c r="F705" s="10">
        <f t="shared" si="10"/>
        <v>13500</v>
      </c>
    </row>
    <row r="706" spans="1:6" s="9" customFormat="1" x14ac:dyDescent="0.25">
      <c r="C706" s="5">
        <v>100</v>
      </c>
      <c r="D706" s="9" t="s">
        <v>14</v>
      </c>
      <c r="E706" s="10">
        <v>130</v>
      </c>
      <c r="F706" s="10">
        <f t="shared" si="10"/>
        <v>13000</v>
      </c>
    </row>
    <row r="707" spans="1:6" s="9" customFormat="1" x14ac:dyDescent="0.25">
      <c r="C707" s="5">
        <v>100</v>
      </c>
      <c r="D707" s="9" t="s">
        <v>11</v>
      </c>
      <c r="E707" s="10">
        <v>125</v>
      </c>
      <c r="F707" s="10">
        <f t="shared" si="10"/>
        <v>12500</v>
      </c>
    </row>
    <row r="708" spans="1:6" s="9" customFormat="1" x14ac:dyDescent="0.25">
      <c r="C708" s="5"/>
      <c r="E708" s="10"/>
      <c r="F708" s="8">
        <f>SUM(F705:F707)</f>
        <v>39000</v>
      </c>
    </row>
    <row r="709" spans="1:6" s="9" customFormat="1" x14ac:dyDescent="0.25">
      <c r="C709" s="5"/>
      <c r="E709" s="10"/>
      <c r="F709" s="10"/>
    </row>
    <row r="710" spans="1:6" s="9" customFormat="1" x14ac:dyDescent="0.25">
      <c r="A710" s="9" t="s">
        <v>26</v>
      </c>
      <c r="B710" s="4">
        <v>45848</v>
      </c>
      <c r="C710" s="5">
        <v>70</v>
      </c>
      <c r="D710" s="9" t="s">
        <v>13</v>
      </c>
      <c r="E710" s="10">
        <v>140</v>
      </c>
      <c r="F710" s="10">
        <f t="shared" si="10"/>
        <v>9800</v>
      </c>
    </row>
    <row r="711" spans="1:6" s="9" customFormat="1" x14ac:dyDescent="0.25">
      <c r="C711" s="5">
        <v>10</v>
      </c>
      <c r="D711" s="9" t="s">
        <v>14</v>
      </c>
      <c r="E711" s="10">
        <v>130</v>
      </c>
      <c r="F711" s="10">
        <f t="shared" si="10"/>
        <v>1300</v>
      </c>
    </row>
    <row r="712" spans="1:6" s="9" customFormat="1" x14ac:dyDescent="0.25">
      <c r="C712" s="5">
        <v>2.5</v>
      </c>
      <c r="D712" s="9" t="s">
        <v>318</v>
      </c>
      <c r="E712" s="10">
        <v>0</v>
      </c>
      <c r="F712" s="10">
        <f t="shared" si="10"/>
        <v>0</v>
      </c>
    </row>
    <row r="713" spans="1:6" s="9" customFormat="1" x14ac:dyDescent="0.25">
      <c r="C713" s="5"/>
      <c r="E713" s="10"/>
      <c r="F713" s="8">
        <f>SUM(F710:F712)</f>
        <v>11100</v>
      </c>
    </row>
    <row r="714" spans="1:6" s="9" customFormat="1" x14ac:dyDescent="0.25">
      <c r="C714" s="5"/>
      <c r="E714" s="10"/>
      <c r="F714" s="10"/>
    </row>
    <row r="715" spans="1:6" s="9" customFormat="1" x14ac:dyDescent="0.25">
      <c r="A715" s="9" t="s">
        <v>782</v>
      </c>
      <c r="B715" s="4">
        <v>45848</v>
      </c>
      <c r="C715" s="5">
        <v>60</v>
      </c>
      <c r="D715" s="9" t="s">
        <v>12</v>
      </c>
      <c r="E715" s="10"/>
      <c r="F715" s="10">
        <f t="shared" ref="F715:F778" si="11">+C715*E715</f>
        <v>0</v>
      </c>
    </row>
    <row r="716" spans="1:6" s="9" customFormat="1" x14ac:dyDescent="0.25">
      <c r="C716" s="5"/>
      <c r="E716" s="10"/>
      <c r="F716" s="8">
        <f>SUM(F715)</f>
        <v>0</v>
      </c>
    </row>
    <row r="717" spans="1:6" s="9" customFormat="1" x14ac:dyDescent="0.25">
      <c r="C717" s="5"/>
      <c r="E717" s="10"/>
      <c r="F717" s="10"/>
    </row>
    <row r="718" spans="1:6" s="9" customFormat="1" x14ac:dyDescent="0.25">
      <c r="A718" s="9" t="s">
        <v>136</v>
      </c>
      <c r="B718" s="4">
        <v>45848</v>
      </c>
      <c r="C718" s="5">
        <v>10</v>
      </c>
      <c r="D718" s="9" t="s">
        <v>13</v>
      </c>
      <c r="E718" s="10">
        <v>140</v>
      </c>
      <c r="F718" s="10">
        <f t="shared" si="11"/>
        <v>1400</v>
      </c>
    </row>
    <row r="719" spans="1:6" s="9" customFormat="1" x14ac:dyDescent="0.25">
      <c r="C719" s="5"/>
      <c r="E719" s="10"/>
      <c r="F719" s="8">
        <f>SUM(F718)</f>
        <v>1400</v>
      </c>
    </row>
    <row r="720" spans="1:6" s="9" customFormat="1" x14ac:dyDescent="0.25">
      <c r="C720" s="5"/>
      <c r="E720" s="10"/>
      <c r="F720" s="10"/>
    </row>
    <row r="721" spans="1:6" s="9" customFormat="1" x14ac:dyDescent="0.25">
      <c r="A721" s="9" t="s">
        <v>514</v>
      </c>
      <c r="B721" s="4">
        <v>45849</v>
      </c>
      <c r="C721" s="5">
        <v>7</v>
      </c>
      <c r="D721" s="9" t="s">
        <v>98</v>
      </c>
      <c r="E721" s="10">
        <v>100</v>
      </c>
      <c r="F721" s="10">
        <f t="shared" si="11"/>
        <v>700</v>
      </c>
    </row>
    <row r="722" spans="1:6" s="9" customFormat="1" x14ac:dyDescent="0.25">
      <c r="C722" s="5"/>
      <c r="E722" s="10"/>
      <c r="F722" s="8">
        <f>SUM(F721)</f>
        <v>700</v>
      </c>
    </row>
    <row r="723" spans="1:6" s="9" customFormat="1" x14ac:dyDescent="0.25">
      <c r="C723" s="5"/>
      <c r="E723" s="10"/>
      <c r="F723" s="10"/>
    </row>
    <row r="724" spans="1:6" s="9" customFormat="1" x14ac:dyDescent="0.25">
      <c r="A724" s="9" t="s">
        <v>15</v>
      </c>
      <c r="B724" s="4">
        <v>45849</v>
      </c>
      <c r="C724" s="5">
        <v>60</v>
      </c>
      <c r="D724" s="9" t="s">
        <v>98</v>
      </c>
      <c r="E724" s="10">
        <v>80</v>
      </c>
      <c r="F724" s="10">
        <f t="shared" si="11"/>
        <v>4800</v>
      </c>
    </row>
    <row r="725" spans="1:6" s="9" customFormat="1" x14ac:dyDescent="0.25">
      <c r="C725" s="5"/>
      <c r="E725" s="10"/>
      <c r="F725" s="8">
        <f>SUM(F724)</f>
        <v>4800</v>
      </c>
    </row>
    <row r="726" spans="1:6" s="9" customFormat="1" x14ac:dyDescent="0.25">
      <c r="C726" s="5"/>
      <c r="E726" s="10"/>
      <c r="F726" s="10"/>
    </row>
    <row r="727" spans="1:6" s="9" customFormat="1" x14ac:dyDescent="0.25">
      <c r="A727" s="9" t="s">
        <v>58</v>
      </c>
      <c r="B727" s="4">
        <v>45849</v>
      </c>
      <c r="C727" s="5">
        <v>10</v>
      </c>
      <c r="D727" s="9" t="s">
        <v>13</v>
      </c>
      <c r="E727" s="10">
        <v>140</v>
      </c>
      <c r="F727" s="10">
        <f t="shared" si="11"/>
        <v>1400</v>
      </c>
    </row>
    <row r="728" spans="1:6" s="9" customFormat="1" x14ac:dyDescent="0.25">
      <c r="C728" s="5"/>
      <c r="E728" s="10"/>
      <c r="F728" s="8">
        <f>SUM(F727)</f>
        <v>1400</v>
      </c>
    </row>
    <row r="729" spans="1:6" s="9" customFormat="1" x14ac:dyDescent="0.25">
      <c r="C729" s="5"/>
      <c r="E729" s="10"/>
      <c r="F729" s="10"/>
    </row>
    <row r="730" spans="1:6" s="9" customFormat="1" x14ac:dyDescent="0.25">
      <c r="A730" s="9" t="s">
        <v>17</v>
      </c>
      <c r="B730" s="4">
        <v>45849</v>
      </c>
      <c r="C730" s="5">
        <v>10</v>
      </c>
      <c r="D730" s="9" t="s">
        <v>783</v>
      </c>
      <c r="E730" s="10">
        <v>145</v>
      </c>
      <c r="F730" s="10">
        <f t="shared" si="11"/>
        <v>1450</v>
      </c>
    </row>
    <row r="731" spans="1:6" s="9" customFormat="1" x14ac:dyDescent="0.25">
      <c r="C731" s="5"/>
      <c r="E731" s="10"/>
      <c r="F731" s="8">
        <f>SUM(F730)</f>
        <v>1450</v>
      </c>
    </row>
    <row r="732" spans="1:6" s="9" customFormat="1" x14ac:dyDescent="0.25">
      <c r="C732" s="5"/>
      <c r="E732" s="10"/>
      <c r="F732" s="10"/>
    </row>
    <row r="733" spans="1:6" s="9" customFormat="1" x14ac:dyDescent="0.25">
      <c r="A733" s="9" t="s">
        <v>427</v>
      </c>
      <c r="B733" s="4">
        <v>45849</v>
      </c>
      <c r="C733" s="5">
        <v>10</v>
      </c>
      <c r="D733" s="9" t="s">
        <v>13</v>
      </c>
      <c r="E733" s="10">
        <v>145</v>
      </c>
      <c r="F733" s="10">
        <f t="shared" si="11"/>
        <v>1450</v>
      </c>
    </row>
    <row r="734" spans="1:6" s="9" customFormat="1" x14ac:dyDescent="0.25">
      <c r="C734" s="5">
        <v>5</v>
      </c>
      <c r="D734" s="9" t="s">
        <v>14</v>
      </c>
      <c r="E734" s="10">
        <v>140</v>
      </c>
      <c r="F734" s="10">
        <f t="shared" si="11"/>
        <v>700</v>
      </c>
    </row>
    <row r="735" spans="1:6" s="9" customFormat="1" x14ac:dyDescent="0.25">
      <c r="C735" s="5"/>
      <c r="E735" s="10"/>
      <c r="F735" s="8">
        <f>SUM(F733:F734)</f>
        <v>2150</v>
      </c>
    </row>
    <row r="736" spans="1:6" s="9" customFormat="1" x14ac:dyDescent="0.25">
      <c r="C736" s="5"/>
      <c r="E736" s="10"/>
      <c r="F736" s="10"/>
    </row>
    <row r="737" spans="1:6" s="9" customFormat="1" x14ac:dyDescent="0.25">
      <c r="A737" s="9" t="s">
        <v>673</v>
      </c>
      <c r="B737" s="4">
        <v>45849</v>
      </c>
      <c r="C737" s="5">
        <v>40</v>
      </c>
      <c r="D737" s="9" t="s">
        <v>13</v>
      </c>
      <c r="E737" s="10">
        <v>115</v>
      </c>
      <c r="F737" s="10">
        <f t="shared" si="11"/>
        <v>4600</v>
      </c>
    </row>
    <row r="738" spans="1:6" s="9" customFormat="1" x14ac:dyDescent="0.25">
      <c r="C738" s="5">
        <v>10</v>
      </c>
      <c r="D738" s="9" t="s">
        <v>14</v>
      </c>
      <c r="E738" s="10">
        <v>140</v>
      </c>
      <c r="F738" s="10">
        <f t="shared" si="11"/>
        <v>1400</v>
      </c>
    </row>
    <row r="739" spans="1:6" s="9" customFormat="1" x14ac:dyDescent="0.25">
      <c r="C739" s="5"/>
      <c r="E739" s="10"/>
      <c r="F739" s="8">
        <f>SUM(F737:F738)</f>
        <v>6000</v>
      </c>
    </row>
    <row r="740" spans="1:6" s="9" customFormat="1" x14ac:dyDescent="0.25">
      <c r="C740" s="5"/>
      <c r="E740" s="10"/>
      <c r="F740" s="10"/>
    </row>
    <row r="741" spans="1:6" s="9" customFormat="1" x14ac:dyDescent="0.25">
      <c r="A741" s="9" t="s">
        <v>367</v>
      </c>
      <c r="B741" s="4">
        <v>45849</v>
      </c>
      <c r="C741" s="5">
        <v>5</v>
      </c>
      <c r="D741" s="9" t="s">
        <v>14</v>
      </c>
      <c r="E741" s="10">
        <v>140</v>
      </c>
      <c r="F741" s="10">
        <f t="shared" si="11"/>
        <v>700</v>
      </c>
    </row>
    <row r="742" spans="1:6" s="9" customFormat="1" x14ac:dyDescent="0.25">
      <c r="C742" s="5">
        <v>5</v>
      </c>
      <c r="D742" s="9" t="s">
        <v>13</v>
      </c>
      <c r="E742" s="10">
        <v>145</v>
      </c>
      <c r="F742" s="10">
        <f t="shared" si="11"/>
        <v>725</v>
      </c>
    </row>
    <row r="743" spans="1:6" s="9" customFormat="1" x14ac:dyDescent="0.25">
      <c r="C743" s="5"/>
      <c r="E743" s="10"/>
      <c r="F743" s="8">
        <f>SUM(F741:F742)</f>
        <v>1425</v>
      </c>
    </row>
    <row r="744" spans="1:6" s="9" customFormat="1" x14ac:dyDescent="0.25">
      <c r="C744" s="5"/>
      <c r="E744" s="10"/>
      <c r="F744" s="10"/>
    </row>
    <row r="745" spans="1:6" s="9" customFormat="1" x14ac:dyDescent="0.25">
      <c r="A745" s="9" t="s">
        <v>40</v>
      </c>
      <c r="B745" s="4">
        <v>45849</v>
      </c>
      <c r="C745" s="5">
        <v>15</v>
      </c>
      <c r="D745" s="9" t="s">
        <v>22</v>
      </c>
      <c r="E745" s="10">
        <v>115</v>
      </c>
      <c r="F745" s="10">
        <f t="shared" si="11"/>
        <v>1725</v>
      </c>
    </row>
    <row r="746" spans="1:6" s="9" customFormat="1" x14ac:dyDescent="0.25">
      <c r="C746" s="5">
        <v>8</v>
      </c>
      <c r="D746" s="9" t="s">
        <v>50</v>
      </c>
      <c r="E746" s="10">
        <v>110</v>
      </c>
      <c r="F746" s="10">
        <f t="shared" si="11"/>
        <v>880</v>
      </c>
    </row>
    <row r="747" spans="1:6" s="9" customFormat="1" x14ac:dyDescent="0.25">
      <c r="C747" s="5"/>
      <c r="E747" s="10"/>
      <c r="F747" s="8">
        <f>SUM(F745:F746)</f>
        <v>2605</v>
      </c>
    </row>
    <row r="748" spans="1:6" s="9" customFormat="1" x14ac:dyDescent="0.25">
      <c r="C748" s="5"/>
      <c r="E748" s="10"/>
      <c r="F748" s="10"/>
    </row>
    <row r="749" spans="1:6" s="9" customFormat="1" x14ac:dyDescent="0.25">
      <c r="A749" s="9" t="s">
        <v>81</v>
      </c>
      <c r="B749" s="4">
        <v>45849</v>
      </c>
      <c r="C749" s="5">
        <v>11</v>
      </c>
      <c r="D749" s="9" t="s">
        <v>13</v>
      </c>
      <c r="E749" s="10">
        <v>145</v>
      </c>
      <c r="F749" s="10">
        <f t="shared" si="11"/>
        <v>1595</v>
      </c>
    </row>
    <row r="750" spans="1:6" s="9" customFormat="1" x14ac:dyDescent="0.25">
      <c r="C750" s="5"/>
      <c r="E750" s="10"/>
      <c r="F750" s="8">
        <f>SUM(F749)</f>
        <v>1595</v>
      </c>
    </row>
    <row r="751" spans="1:6" s="9" customFormat="1" x14ac:dyDescent="0.25">
      <c r="C751" s="5"/>
      <c r="E751" s="10"/>
      <c r="F751" s="10"/>
    </row>
    <row r="752" spans="1:6" s="9" customFormat="1" x14ac:dyDescent="0.25">
      <c r="A752" s="9" t="s">
        <v>780</v>
      </c>
      <c r="B752" s="4">
        <v>45849</v>
      </c>
      <c r="C752" s="5">
        <v>5</v>
      </c>
      <c r="D752" s="9" t="s">
        <v>14</v>
      </c>
      <c r="E752" s="10">
        <v>135</v>
      </c>
      <c r="F752" s="10">
        <f t="shared" si="11"/>
        <v>675</v>
      </c>
    </row>
    <row r="753" spans="1:6" s="9" customFormat="1" x14ac:dyDescent="0.25">
      <c r="C753" s="5"/>
      <c r="E753" s="10"/>
      <c r="F753" s="8">
        <f>SUM(F752)</f>
        <v>675</v>
      </c>
    </row>
    <row r="754" spans="1:6" s="9" customFormat="1" x14ac:dyDescent="0.25">
      <c r="C754" s="5"/>
      <c r="E754" s="10"/>
      <c r="F754" s="10"/>
    </row>
    <row r="755" spans="1:6" s="9" customFormat="1" x14ac:dyDescent="0.25">
      <c r="A755" s="9" t="s">
        <v>106</v>
      </c>
      <c r="B755" s="4">
        <v>45849</v>
      </c>
      <c r="C755" s="5">
        <v>70</v>
      </c>
      <c r="D755" s="9" t="s">
        <v>12</v>
      </c>
      <c r="E755" s="10">
        <v>130</v>
      </c>
      <c r="F755" s="10">
        <f t="shared" si="11"/>
        <v>9100</v>
      </c>
    </row>
    <row r="756" spans="1:6" s="9" customFormat="1" x14ac:dyDescent="0.25">
      <c r="C756" s="5"/>
      <c r="E756" s="10"/>
      <c r="F756" s="8">
        <f>SUM(F755)</f>
        <v>9100</v>
      </c>
    </row>
    <row r="757" spans="1:6" s="9" customFormat="1" x14ac:dyDescent="0.25">
      <c r="C757" s="5"/>
      <c r="E757" s="10"/>
      <c r="F757" s="10"/>
    </row>
    <row r="758" spans="1:6" s="9" customFormat="1" x14ac:dyDescent="0.25">
      <c r="A758" s="9" t="s">
        <v>43</v>
      </c>
      <c r="B758" s="4">
        <v>45849</v>
      </c>
      <c r="C758" s="5">
        <v>40</v>
      </c>
      <c r="D758" s="9" t="s">
        <v>49</v>
      </c>
      <c r="E758" s="10">
        <v>150</v>
      </c>
      <c r="F758" s="10">
        <f t="shared" si="11"/>
        <v>6000</v>
      </c>
    </row>
    <row r="759" spans="1:6" s="9" customFormat="1" x14ac:dyDescent="0.25">
      <c r="C759" s="5"/>
      <c r="E759" s="10"/>
      <c r="F759" s="8">
        <f>SUM(F758)</f>
        <v>6000</v>
      </c>
    </row>
    <row r="760" spans="1:6" s="9" customFormat="1" x14ac:dyDescent="0.25">
      <c r="C760" s="5"/>
      <c r="E760" s="10"/>
      <c r="F760" s="10"/>
    </row>
    <row r="761" spans="1:6" s="9" customFormat="1" x14ac:dyDescent="0.25">
      <c r="A761" s="9" t="s">
        <v>41</v>
      </c>
      <c r="B761" s="4">
        <v>45849</v>
      </c>
      <c r="C761" s="5">
        <v>30</v>
      </c>
      <c r="D761" s="9" t="s">
        <v>784</v>
      </c>
      <c r="E761" s="10">
        <v>135</v>
      </c>
      <c r="F761" s="10">
        <f t="shared" si="11"/>
        <v>4050</v>
      </c>
    </row>
    <row r="762" spans="1:6" s="9" customFormat="1" x14ac:dyDescent="0.25">
      <c r="C762" s="5"/>
      <c r="E762" s="10"/>
      <c r="F762" s="8">
        <f>SUM(F761)</f>
        <v>4050</v>
      </c>
    </row>
    <row r="763" spans="1:6" s="9" customFormat="1" x14ac:dyDescent="0.25">
      <c r="C763" s="5"/>
      <c r="E763" s="10"/>
      <c r="F763" s="10"/>
    </row>
    <row r="764" spans="1:6" s="9" customFormat="1" x14ac:dyDescent="0.25">
      <c r="A764" s="9" t="s">
        <v>785</v>
      </c>
      <c r="B764" s="4">
        <v>45849</v>
      </c>
      <c r="C764" s="5">
        <v>15</v>
      </c>
      <c r="D764" s="9" t="s">
        <v>14</v>
      </c>
      <c r="E764" s="10">
        <v>140</v>
      </c>
      <c r="F764" s="10">
        <f t="shared" si="11"/>
        <v>2100</v>
      </c>
    </row>
    <row r="765" spans="1:6" s="9" customFormat="1" x14ac:dyDescent="0.25">
      <c r="C765" s="5"/>
      <c r="E765" s="10"/>
      <c r="F765" s="8">
        <f>SUM(F764)</f>
        <v>2100</v>
      </c>
    </row>
    <row r="766" spans="1:6" s="9" customFormat="1" x14ac:dyDescent="0.25">
      <c r="C766" s="5"/>
      <c r="E766" s="10"/>
      <c r="F766" s="10"/>
    </row>
    <row r="767" spans="1:6" s="9" customFormat="1" x14ac:dyDescent="0.25">
      <c r="A767" s="4" t="s">
        <v>18</v>
      </c>
      <c r="B767" s="4">
        <v>45849</v>
      </c>
      <c r="C767" s="5">
        <v>20</v>
      </c>
      <c r="D767" s="9" t="s">
        <v>14</v>
      </c>
      <c r="E767" s="10">
        <v>140</v>
      </c>
      <c r="F767" s="10">
        <f t="shared" si="11"/>
        <v>2800</v>
      </c>
    </row>
    <row r="768" spans="1:6" s="9" customFormat="1" x14ac:dyDescent="0.25">
      <c r="C768" s="5">
        <v>20</v>
      </c>
      <c r="D768" s="9" t="s">
        <v>11</v>
      </c>
      <c r="E768" s="10">
        <v>135</v>
      </c>
      <c r="F768" s="10">
        <f t="shared" si="11"/>
        <v>2700</v>
      </c>
    </row>
    <row r="769" spans="1:6" s="9" customFormat="1" x14ac:dyDescent="0.25">
      <c r="C769" s="5"/>
      <c r="E769" s="10"/>
      <c r="F769" s="8">
        <f>SUM(F767:F768)</f>
        <v>5500</v>
      </c>
    </row>
    <row r="770" spans="1:6" s="9" customFormat="1" x14ac:dyDescent="0.25">
      <c r="C770" s="5"/>
      <c r="E770" s="10"/>
      <c r="F770" s="10"/>
    </row>
    <row r="771" spans="1:6" s="9" customFormat="1" x14ac:dyDescent="0.25">
      <c r="A771" s="9" t="s">
        <v>44</v>
      </c>
      <c r="B771" s="4">
        <v>45849</v>
      </c>
      <c r="C771" s="5">
        <v>50</v>
      </c>
      <c r="D771" s="9" t="s">
        <v>14</v>
      </c>
      <c r="E771" s="10">
        <v>140</v>
      </c>
      <c r="F771" s="10">
        <f t="shared" si="11"/>
        <v>7000</v>
      </c>
    </row>
    <row r="772" spans="1:6" s="9" customFormat="1" x14ac:dyDescent="0.25">
      <c r="C772" s="5"/>
      <c r="E772" s="10"/>
      <c r="F772" s="8">
        <f>SUM(F771)</f>
        <v>7000</v>
      </c>
    </row>
    <row r="773" spans="1:6" s="9" customFormat="1" x14ac:dyDescent="0.25">
      <c r="C773" s="5"/>
      <c r="E773" s="10"/>
      <c r="F773" s="10"/>
    </row>
    <row r="774" spans="1:6" s="9" customFormat="1" x14ac:dyDescent="0.25">
      <c r="A774" s="9" t="s">
        <v>45</v>
      </c>
      <c r="B774" s="4">
        <v>45849</v>
      </c>
      <c r="C774" s="5">
        <v>1</v>
      </c>
      <c r="D774" s="9" t="s">
        <v>14</v>
      </c>
      <c r="E774" s="10">
        <v>140</v>
      </c>
      <c r="F774" s="10">
        <f t="shared" si="11"/>
        <v>140</v>
      </c>
    </row>
    <row r="775" spans="1:6" s="9" customFormat="1" x14ac:dyDescent="0.25">
      <c r="C775" s="5"/>
      <c r="E775" s="10"/>
      <c r="F775" s="8">
        <f>SUM(F774)</f>
        <v>140</v>
      </c>
    </row>
    <row r="776" spans="1:6" s="9" customFormat="1" x14ac:dyDescent="0.25">
      <c r="C776" s="5"/>
      <c r="E776" s="10"/>
      <c r="F776" s="10"/>
    </row>
    <row r="777" spans="1:6" s="9" customFormat="1" x14ac:dyDescent="0.25">
      <c r="A777" s="9" t="s">
        <v>47</v>
      </c>
      <c r="B777" s="4">
        <v>45849</v>
      </c>
      <c r="C777" s="5">
        <v>26</v>
      </c>
      <c r="D777" s="9" t="s">
        <v>11</v>
      </c>
      <c r="E777" s="10">
        <v>135</v>
      </c>
      <c r="F777" s="10">
        <f t="shared" si="11"/>
        <v>3510</v>
      </c>
    </row>
    <row r="778" spans="1:6" s="9" customFormat="1" x14ac:dyDescent="0.25">
      <c r="C778" s="5">
        <v>10</v>
      </c>
      <c r="D778" s="9" t="s">
        <v>13</v>
      </c>
      <c r="E778" s="10">
        <v>150</v>
      </c>
      <c r="F778" s="10">
        <f t="shared" si="11"/>
        <v>1500</v>
      </c>
    </row>
    <row r="779" spans="1:6" s="9" customFormat="1" x14ac:dyDescent="0.25">
      <c r="C779" s="5"/>
      <c r="E779" s="10"/>
      <c r="F779" s="8">
        <f>SUM(F777:F778)</f>
        <v>5010</v>
      </c>
    </row>
    <row r="780" spans="1:6" s="9" customFormat="1" x14ac:dyDescent="0.25">
      <c r="C780" s="5"/>
      <c r="E780" s="10"/>
      <c r="F780" s="10"/>
    </row>
    <row r="781" spans="1:6" s="9" customFormat="1" x14ac:dyDescent="0.25">
      <c r="A781" s="9" t="s">
        <v>245</v>
      </c>
      <c r="B781" s="4">
        <v>45849</v>
      </c>
      <c r="C781" s="5">
        <v>50</v>
      </c>
      <c r="D781" s="9" t="s">
        <v>13</v>
      </c>
      <c r="E781" s="10">
        <v>140</v>
      </c>
      <c r="F781" s="10">
        <f t="shared" ref="F781:F842" si="12">+C781*E781</f>
        <v>7000</v>
      </c>
    </row>
    <row r="782" spans="1:6" s="9" customFormat="1" x14ac:dyDescent="0.25">
      <c r="C782" s="5">
        <v>20</v>
      </c>
      <c r="D782" s="9" t="s">
        <v>14</v>
      </c>
      <c r="E782" s="10">
        <v>130</v>
      </c>
      <c r="F782" s="10">
        <f t="shared" si="12"/>
        <v>2600</v>
      </c>
    </row>
    <row r="783" spans="1:6" s="9" customFormat="1" x14ac:dyDescent="0.25">
      <c r="C783" s="5">
        <v>1.23</v>
      </c>
      <c r="D783" s="9" t="s">
        <v>318</v>
      </c>
      <c r="E783" s="10">
        <v>0</v>
      </c>
      <c r="F783" s="10">
        <f t="shared" si="12"/>
        <v>0</v>
      </c>
    </row>
    <row r="784" spans="1:6" s="9" customFormat="1" x14ac:dyDescent="0.25">
      <c r="C784" s="5"/>
      <c r="E784" s="10"/>
      <c r="F784" s="8">
        <f>SUM(F781:F783)</f>
        <v>9600</v>
      </c>
    </row>
    <row r="785" spans="1:6" s="9" customFormat="1" x14ac:dyDescent="0.25">
      <c r="C785" s="5"/>
      <c r="E785" s="10"/>
      <c r="F785" s="10"/>
    </row>
    <row r="786" spans="1:6" s="9" customFormat="1" x14ac:dyDescent="0.25">
      <c r="A786" s="9" t="s">
        <v>245</v>
      </c>
      <c r="B786" s="4">
        <v>45849</v>
      </c>
      <c r="C786" s="5">
        <v>500</v>
      </c>
      <c r="D786" s="9" t="s">
        <v>13</v>
      </c>
      <c r="E786" s="10">
        <v>135</v>
      </c>
      <c r="F786" s="10">
        <f t="shared" si="12"/>
        <v>67500</v>
      </c>
    </row>
    <row r="787" spans="1:6" s="9" customFormat="1" x14ac:dyDescent="0.25">
      <c r="C787" s="5"/>
      <c r="E787" s="10"/>
      <c r="F787" s="8">
        <f>SUM(F786)</f>
        <v>67500</v>
      </c>
    </row>
    <row r="788" spans="1:6" s="9" customFormat="1" x14ac:dyDescent="0.25">
      <c r="C788" s="5"/>
      <c r="E788" s="10"/>
      <c r="F788" s="10"/>
    </row>
    <row r="789" spans="1:6" s="9" customFormat="1" x14ac:dyDescent="0.25">
      <c r="A789" s="9" t="s">
        <v>48</v>
      </c>
      <c r="B789" s="4">
        <v>45849</v>
      </c>
      <c r="C789" s="5">
        <v>350</v>
      </c>
      <c r="D789" s="9" t="s">
        <v>49</v>
      </c>
      <c r="E789" s="10"/>
      <c r="F789" s="10">
        <f t="shared" si="12"/>
        <v>0</v>
      </c>
    </row>
    <row r="790" spans="1:6" s="9" customFormat="1" x14ac:dyDescent="0.25">
      <c r="C790" s="5">
        <v>300</v>
      </c>
      <c r="D790" s="9" t="s">
        <v>14</v>
      </c>
      <c r="E790" s="10"/>
      <c r="F790" s="10">
        <f t="shared" si="12"/>
        <v>0</v>
      </c>
    </row>
    <row r="791" spans="1:6" s="9" customFormat="1" x14ac:dyDescent="0.25">
      <c r="C791" s="5"/>
      <c r="E791" s="10"/>
      <c r="F791" s="8">
        <f>SUM(F789:F790)</f>
        <v>0</v>
      </c>
    </row>
    <row r="792" spans="1:6" s="9" customFormat="1" x14ac:dyDescent="0.25">
      <c r="C792" s="5"/>
      <c r="E792" s="10"/>
      <c r="F792" s="10"/>
    </row>
    <row r="793" spans="1:6" s="9" customFormat="1" x14ac:dyDescent="0.25">
      <c r="A793" s="9" t="s">
        <v>116</v>
      </c>
      <c r="B793" s="4">
        <v>45849</v>
      </c>
      <c r="C793" s="5">
        <v>106</v>
      </c>
      <c r="D793" s="9" t="s">
        <v>98</v>
      </c>
      <c r="E793" s="10"/>
      <c r="F793" s="10">
        <f t="shared" si="12"/>
        <v>0</v>
      </c>
    </row>
    <row r="794" spans="1:6" s="9" customFormat="1" x14ac:dyDescent="0.25">
      <c r="C794" s="5"/>
      <c r="E794" s="10"/>
      <c r="F794" s="8">
        <f>SUM(F793)</f>
        <v>0</v>
      </c>
    </row>
    <row r="795" spans="1:6" s="9" customFormat="1" x14ac:dyDescent="0.25">
      <c r="C795" s="5"/>
      <c r="E795" s="10"/>
      <c r="F795" s="10"/>
    </row>
    <row r="796" spans="1:6" s="9" customFormat="1" x14ac:dyDescent="0.25">
      <c r="A796" s="9" t="s">
        <v>29</v>
      </c>
      <c r="B796" s="4">
        <v>45849</v>
      </c>
      <c r="C796" s="11">
        <v>0.5</v>
      </c>
      <c r="D796" s="9" t="s">
        <v>13</v>
      </c>
      <c r="E796" s="10">
        <v>140</v>
      </c>
      <c r="F796" s="10">
        <f t="shared" si="12"/>
        <v>70</v>
      </c>
    </row>
    <row r="797" spans="1:6" s="9" customFormat="1" x14ac:dyDescent="0.25">
      <c r="C797" s="5">
        <v>3</v>
      </c>
      <c r="D797" s="9" t="s">
        <v>110</v>
      </c>
      <c r="E797" s="10">
        <v>3.3333333330000001</v>
      </c>
      <c r="F797" s="10">
        <f t="shared" si="12"/>
        <v>9.9999999989999999</v>
      </c>
    </row>
    <row r="798" spans="1:6" s="9" customFormat="1" x14ac:dyDescent="0.25">
      <c r="C798" s="5"/>
      <c r="E798" s="10"/>
      <c r="F798" s="8">
        <f>SUM(F796:F797)</f>
        <v>79.999999998999996</v>
      </c>
    </row>
    <row r="799" spans="1:6" s="9" customFormat="1" x14ac:dyDescent="0.25">
      <c r="C799" s="5"/>
      <c r="E799" s="10"/>
      <c r="F799" s="10"/>
    </row>
    <row r="800" spans="1:6" s="9" customFormat="1" x14ac:dyDescent="0.25">
      <c r="A800" s="9" t="s">
        <v>292</v>
      </c>
      <c r="B800" s="4">
        <v>45850</v>
      </c>
      <c r="C800" s="5">
        <v>6</v>
      </c>
      <c r="D800" s="9" t="s">
        <v>11</v>
      </c>
      <c r="E800" s="10">
        <v>130</v>
      </c>
      <c r="F800" s="10">
        <f t="shared" si="12"/>
        <v>780</v>
      </c>
    </row>
    <row r="801" spans="1:6" s="9" customFormat="1" x14ac:dyDescent="0.25">
      <c r="C801" s="5"/>
      <c r="E801" s="10"/>
      <c r="F801" s="8">
        <f>SUM(F800)</f>
        <v>780</v>
      </c>
    </row>
    <row r="802" spans="1:6" s="9" customFormat="1" x14ac:dyDescent="0.25">
      <c r="C802" s="5"/>
      <c r="E802" s="10"/>
      <c r="F802" s="10"/>
    </row>
    <row r="803" spans="1:6" s="9" customFormat="1" x14ac:dyDescent="0.25">
      <c r="A803" s="9" t="s">
        <v>20</v>
      </c>
      <c r="B803" s="4">
        <v>45850</v>
      </c>
      <c r="C803" s="5">
        <v>20</v>
      </c>
      <c r="D803" s="9" t="s">
        <v>13</v>
      </c>
      <c r="E803" s="10">
        <v>145</v>
      </c>
      <c r="F803" s="10">
        <f t="shared" si="12"/>
        <v>2900</v>
      </c>
    </row>
    <row r="804" spans="1:6" s="9" customFormat="1" x14ac:dyDescent="0.25">
      <c r="C804" s="5"/>
      <c r="E804" s="10"/>
      <c r="F804" s="8">
        <f>SUM(F803)</f>
        <v>2900</v>
      </c>
    </row>
    <row r="805" spans="1:6" s="9" customFormat="1" x14ac:dyDescent="0.25">
      <c r="C805" s="5"/>
      <c r="E805" s="10"/>
      <c r="F805" s="10"/>
    </row>
    <row r="806" spans="1:6" s="9" customFormat="1" x14ac:dyDescent="0.25">
      <c r="A806" s="9" t="s">
        <v>21</v>
      </c>
      <c r="B806" s="4">
        <v>45850</v>
      </c>
      <c r="C806" s="5">
        <v>10</v>
      </c>
      <c r="D806" s="9" t="s">
        <v>14</v>
      </c>
      <c r="E806" s="10">
        <v>140</v>
      </c>
      <c r="F806" s="10">
        <f t="shared" si="12"/>
        <v>1400</v>
      </c>
    </row>
    <row r="807" spans="1:6" s="9" customFormat="1" x14ac:dyDescent="0.25">
      <c r="C807" s="5">
        <v>13</v>
      </c>
      <c r="D807" s="9" t="s">
        <v>50</v>
      </c>
      <c r="E807" s="10">
        <v>110</v>
      </c>
      <c r="F807" s="10">
        <f t="shared" si="12"/>
        <v>1430</v>
      </c>
    </row>
    <row r="808" spans="1:6" s="9" customFormat="1" x14ac:dyDescent="0.25">
      <c r="C808" s="5"/>
      <c r="E808" s="10"/>
      <c r="F808" s="8">
        <f>SUM(F806:F807)</f>
        <v>2830</v>
      </c>
    </row>
    <row r="809" spans="1:6" s="9" customFormat="1" x14ac:dyDescent="0.25">
      <c r="C809" s="5"/>
      <c r="E809" s="10"/>
      <c r="F809" s="10"/>
    </row>
    <row r="810" spans="1:6" s="9" customFormat="1" x14ac:dyDescent="0.25">
      <c r="A810" s="9" t="s">
        <v>37</v>
      </c>
      <c r="B810" s="4">
        <v>45850</v>
      </c>
      <c r="C810" s="5">
        <v>15</v>
      </c>
      <c r="D810" s="9" t="s">
        <v>12</v>
      </c>
      <c r="E810" s="10">
        <v>135</v>
      </c>
      <c r="F810" s="10">
        <f t="shared" si="12"/>
        <v>2025</v>
      </c>
    </row>
    <row r="811" spans="1:6" s="9" customFormat="1" x14ac:dyDescent="0.25">
      <c r="C811" s="5"/>
      <c r="E811" s="10"/>
      <c r="F811" s="8">
        <f>SUM(F810)</f>
        <v>2025</v>
      </c>
    </row>
    <row r="812" spans="1:6" s="9" customFormat="1" x14ac:dyDescent="0.25">
      <c r="C812" s="5"/>
      <c r="E812" s="10"/>
      <c r="F812" s="10"/>
    </row>
    <row r="813" spans="1:6" s="9" customFormat="1" x14ac:dyDescent="0.25">
      <c r="A813" s="9" t="s">
        <v>367</v>
      </c>
      <c r="B813" s="4">
        <v>45850</v>
      </c>
      <c r="C813" s="5">
        <v>15</v>
      </c>
      <c r="D813" s="9" t="s">
        <v>13</v>
      </c>
      <c r="E813" s="10">
        <v>145</v>
      </c>
      <c r="F813" s="10">
        <f t="shared" si="12"/>
        <v>2175</v>
      </c>
    </row>
    <row r="814" spans="1:6" s="9" customFormat="1" x14ac:dyDescent="0.25">
      <c r="C814" s="5">
        <v>5</v>
      </c>
      <c r="D814" s="9" t="s">
        <v>14</v>
      </c>
      <c r="E814" s="10">
        <v>140</v>
      </c>
      <c r="F814" s="10">
        <f t="shared" si="12"/>
        <v>700</v>
      </c>
    </row>
    <row r="815" spans="1:6" s="9" customFormat="1" x14ac:dyDescent="0.25">
      <c r="C815" s="5"/>
      <c r="E815" s="10"/>
      <c r="F815" s="8">
        <f>SUM(F813:F814)</f>
        <v>2875</v>
      </c>
    </row>
    <row r="816" spans="1:6" s="9" customFormat="1" x14ac:dyDescent="0.25">
      <c r="C816" s="5"/>
      <c r="E816" s="10"/>
      <c r="F816" s="10"/>
    </row>
    <row r="817" spans="1:6" s="9" customFormat="1" x14ac:dyDescent="0.25">
      <c r="A817" s="9" t="s">
        <v>58</v>
      </c>
      <c r="B817" s="4">
        <v>45850</v>
      </c>
      <c r="C817" s="5">
        <v>5</v>
      </c>
      <c r="D817" s="9" t="s">
        <v>13</v>
      </c>
      <c r="E817" s="10">
        <v>140</v>
      </c>
      <c r="F817" s="10">
        <f t="shared" si="12"/>
        <v>700</v>
      </c>
    </row>
    <row r="818" spans="1:6" s="9" customFormat="1" x14ac:dyDescent="0.25">
      <c r="C818" s="5"/>
      <c r="E818" s="10"/>
      <c r="F818" s="8">
        <f>SUM(F817)</f>
        <v>700</v>
      </c>
    </row>
    <row r="819" spans="1:6" s="9" customFormat="1" x14ac:dyDescent="0.25">
      <c r="C819" s="5"/>
      <c r="E819" s="10"/>
      <c r="F819" s="10"/>
    </row>
    <row r="820" spans="1:6" s="9" customFormat="1" x14ac:dyDescent="0.25">
      <c r="A820" s="9" t="s">
        <v>69</v>
      </c>
      <c r="B820" s="4">
        <v>45850</v>
      </c>
      <c r="C820" s="5">
        <v>12</v>
      </c>
      <c r="D820" s="9" t="s">
        <v>98</v>
      </c>
      <c r="E820" s="10">
        <v>100</v>
      </c>
      <c r="F820" s="10">
        <f t="shared" si="12"/>
        <v>1200</v>
      </c>
    </row>
    <row r="821" spans="1:6" s="9" customFormat="1" x14ac:dyDescent="0.25">
      <c r="C821" s="5"/>
      <c r="E821" s="10"/>
      <c r="F821" s="8">
        <f>SUM(F820)</f>
        <v>1200</v>
      </c>
    </row>
    <row r="822" spans="1:6" s="9" customFormat="1" x14ac:dyDescent="0.25">
      <c r="C822" s="5"/>
      <c r="E822" s="10"/>
      <c r="F822" s="10"/>
    </row>
    <row r="823" spans="1:6" s="9" customFormat="1" x14ac:dyDescent="0.25">
      <c r="A823" s="9" t="s">
        <v>442</v>
      </c>
      <c r="B823" s="4">
        <v>45850</v>
      </c>
      <c r="C823" s="5">
        <v>25</v>
      </c>
      <c r="D823" s="9" t="s">
        <v>13</v>
      </c>
      <c r="E823" s="10">
        <v>145</v>
      </c>
      <c r="F823" s="10">
        <f t="shared" si="12"/>
        <v>3625</v>
      </c>
    </row>
    <row r="824" spans="1:6" s="9" customFormat="1" x14ac:dyDescent="0.25">
      <c r="C824" s="5"/>
      <c r="E824" s="10"/>
      <c r="F824" s="8">
        <f>SUM(F823)</f>
        <v>3625</v>
      </c>
    </row>
    <row r="825" spans="1:6" s="9" customFormat="1" x14ac:dyDescent="0.25">
      <c r="C825" s="5"/>
      <c r="E825" s="10"/>
      <c r="F825" s="10"/>
    </row>
    <row r="826" spans="1:6" s="9" customFormat="1" x14ac:dyDescent="0.25">
      <c r="A826" s="9" t="s">
        <v>688</v>
      </c>
      <c r="B826" s="4">
        <v>45850</v>
      </c>
      <c r="C826" s="5">
        <v>1</v>
      </c>
      <c r="D826" s="9" t="s">
        <v>13</v>
      </c>
      <c r="E826" s="10">
        <v>145</v>
      </c>
      <c r="F826" s="10">
        <f t="shared" si="12"/>
        <v>145</v>
      </c>
    </row>
    <row r="827" spans="1:6" s="9" customFormat="1" x14ac:dyDescent="0.25">
      <c r="C827" s="5"/>
      <c r="E827" s="10"/>
      <c r="F827" s="8">
        <f>SUM(F826)</f>
        <v>145</v>
      </c>
    </row>
    <row r="828" spans="1:6" s="9" customFormat="1" x14ac:dyDescent="0.25">
      <c r="C828" s="5"/>
      <c r="E828" s="10"/>
      <c r="F828" s="10"/>
    </row>
    <row r="829" spans="1:6" s="9" customFormat="1" x14ac:dyDescent="0.25">
      <c r="A829" s="9" t="s">
        <v>7</v>
      </c>
      <c r="B829" s="4">
        <v>45850</v>
      </c>
      <c r="C829" s="5">
        <v>8</v>
      </c>
      <c r="D829" s="9" t="s">
        <v>14</v>
      </c>
      <c r="E829" s="10">
        <v>135</v>
      </c>
      <c r="F829" s="10">
        <f t="shared" si="12"/>
        <v>1080</v>
      </c>
    </row>
    <row r="830" spans="1:6" s="9" customFormat="1" x14ac:dyDescent="0.25">
      <c r="C830" s="5"/>
      <c r="E830" s="10"/>
      <c r="F830" s="8">
        <f>SUM(F829)</f>
        <v>1080</v>
      </c>
    </row>
    <row r="831" spans="1:6" s="9" customFormat="1" x14ac:dyDescent="0.25">
      <c r="C831" s="5"/>
      <c r="E831" s="10"/>
      <c r="F831" s="10"/>
    </row>
    <row r="832" spans="1:6" s="9" customFormat="1" x14ac:dyDescent="0.25">
      <c r="A832" s="9" t="s">
        <v>7</v>
      </c>
      <c r="B832" s="4">
        <v>45850</v>
      </c>
      <c r="C832" s="5">
        <v>2</v>
      </c>
      <c r="D832" s="9" t="s">
        <v>8</v>
      </c>
      <c r="E832" s="10">
        <v>170</v>
      </c>
      <c r="F832" s="10">
        <f t="shared" si="12"/>
        <v>340</v>
      </c>
    </row>
    <row r="833" spans="1:6" s="9" customFormat="1" x14ac:dyDescent="0.25">
      <c r="C833" s="5">
        <v>1</v>
      </c>
      <c r="D833" s="9" t="s">
        <v>49</v>
      </c>
      <c r="E833" s="10">
        <v>160</v>
      </c>
      <c r="F833" s="10">
        <f t="shared" si="12"/>
        <v>160</v>
      </c>
    </row>
    <row r="834" spans="1:6" s="9" customFormat="1" x14ac:dyDescent="0.25">
      <c r="C834" s="5"/>
      <c r="E834" s="10"/>
      <c r="F834" s="8">
        <f>SUM(F832:F833)</f>
        <v>500</v>
      </c>
    </row>
    <row r="835" spans="1:6" s="9" customFormat="1" x14ac:dyDescent="0.25">
      <c r="C835" s="5"/>
      <c r="E835" s="10"/>
      <c r="F835" s="10"/>
    </row>
    <row r="836" spans="1:6" s="9" customFormat="1" x14ac:dyDescent="0.25">
      <c r="A836" s="9" t="s">
        <v>61</v>
      </c>
      <c r="B836" s="4">
        <v>45850</v>
      </c>
      <c r="C836" s="5">
        <v>40</v>
      </c>
      <c r="D836" s="9" t="s">
        <v>13</v>
      </c>
      <c r="E836" s="10">
        <v>140</v>
      </c>
      <c r="F836" s="10">
        <f t="shared" si="12"/>
        <v>5600</v>
      </c>
    </row>
    <row r="837" spans="1:6" s="9" customFormat="1" x14ac:dyDescent="0.25">
      <c r="C837" s="5"/>
      <c r="E837" s="10"/>
      <c r="F837" s="8">
        <f>SUM(F836)</f>
        <v>5600</v>
      </c>
    </row>
    <row r="838" spans="1:6" s="9" customFormat="1" x14ac:dyDescent="0.25">
      <c r="C838" s="5"/>
      <c r="E838" s="10"/>
      <c r="F838" s="10"/>
    </row>
    <row r="839" spans="1:6" s="9" customFormat="1" x14ac:dyDescent="0.25">
      <c r="A839" s="9" t="s">
        <v>60</v>
      </c>
      <c r="B839" s="4">
        <v>45850</v>
      </c>
      <c r="C839" s="5">
        <v>30</v>
      </c>
      <c r="D839" s="9" t="s">
        <v>13</v>
      </c>
      <c r="E839" s="10">
        <v>140</v>
      </c>
      <c r="F839" s="10">
        <f t="shared" si="12"/>
        <v>4200</v>
      </c>
    </row>
    <row r="840" spans="1:6" s="9" customFormat="1" x14ac:dyDescent="0.25">
      <c r="C840" s="5"/>
      <c r="E840" s="10"/>
      <c r="F840" s="8">
        <f>SUM(F839)</f>
        <v>4200</v>
      </c>
    </row>
    <row r="841" spans="1:6" s="9" customFormat="1" x14ac:dyDescent="0.25">
      <c r="C841" s="5"/>
      <c r="E841" s="10"/>
      <c r="F841" s="10"/>
    </row>
    <row r="842" spans="1:6" s="9" customFormat="1" x14ac:dyDescent="0.25">
      <c r="A842" s="9" t="s">
        <v>786</v>
      </c>
      <c r="B842" s="4">
        <v>45850</v>
      </c>
      <c r="C842" s="5">
        <v>10</v>
      </c>
      <c r="D842" s="9" t="s">
        <v>8</v>
      </c>
      <c r="E842" s="10">
        <v>160</v>
      </c>
      <c r="F842" s="10">
        <f t="shared" si="12"/>
        <v>1600</v>
      </c>
    </row>
    <row r="843" spans="1:6" s="9" customFormat="1" x14ac:dyDescent="0.25">
      <c r="C843" s="5"/>
      <c r="E843" s="10"/>
      <c r="F843" s="8">
        <f>SUM(F842)</f>
        <v>1600</v>
      </c>
    </row>
    <row r="844" spans="1:6" s="9" customFormat="1" x14ac:dyDescent="0.25">
      <c r="C844" s="5"/>
      <c r="E844" s="10"/>
      <c r="F844" s="10"/>
    </row>
    <row r="845" spans="1:6" s="9" customFormat="1" x14ac:dyDescent="0.25">
      <c r="A845" s="9" t="s">
        <v>32</v>
      </c>
      <c r="B845" s="4">
        <v>45850</v>
      </c>
      <c r="C845" s="5">
        <v>25</v>
      </c>
      <c r="D845" s="9" t="s">
        <v>13</v>
      </c>
      <c r="E845" s="10">
        <v>140</v>
      </c>
      <c r="F845" s="10">
        <f t="shared" ref="F845:F904" si="13">+C845*E845</f>
        <v>3500</v>
      </c>
    </row>
    <row r="846" spans="1:6" s="9" customFormat="1" x14ac:dyDescent="0.25">
      <c r="C846" s="5"/>
      <c r="E846" s="10"/>
      <c r="F846" s="8">
        <f>SUM(F845)</f>
        <v>3500</v>
      </c>
    </row>
    <row r="847" spans="1:6" s="9" customFormat="1" x14ac:dyDescent="0.25">
      <c r="C847" s="5"/>
      <c r="E847" s="10"/>
      <c r="F847" s="10"/>
    </row>
    <row r="848" spans="1:6" s="9" customFormat="1" x14ac:dyDescent="0.25">
      <c r="A848" s="9" t="s">
        <v>66</v>
      </c>
      <c r="B848" s="4">
        <v>45850</v>
      </c>
      <c r="C848" s="5">
        <v>20</v>
      </c>
      <c r="D848" s="9" t="s">
        <v>8</v>
      </c>
      <c r="E848" s="10">
        <v>160</v>
      </c>
      <c r="F848" s="10">
        <f t="shared" si="13"/>
        <v>3200</v>
      </c>
    </row>
    <row r="849" spans="1:6" s="9" customFormat="1" x14ac:dyDescent="0.25">
      <c r="C849" s="5"/>
      <c r="E849" s="10"/>
      <c r="F849" s="8">
        <f>SUM(F848)</f>
        <v>3200</v>
      </c>
    </row>
    <row r="850" spans="1:6" s="9" customFormat="1" x14ac:dyDescent="0.25">
      <c r="C850" s="5"/>
      <c r="E850" s="10"/>
      <c r="F850" s="10"/>
    </row>
    <row r="851" spans="1:6" s="9" customFormat="1" x14ac:dyDescent="0.25">
      <c r="A851" s="9" t="s">
        <v>72</v>
      </c>
      <c r="B851" s="4">
        <v>45850</v>
      </c>
      <c r="C851" s="5">
        <v>390</v>
      </c>
      <c r="D851" s="9" t="s">
        <v>13</v>
      </c>
      <c r="E851" s="10">
        <v>135</v>
      </c>
      <c r="F851" s="10">
        <f t="shared" si="13"/>
        <v>52650</v>
      </c>
    </row>
    <row r="852" spans="1:6" s="9" customFormat="1" x14ac:dyDescent="0.25">
      <c r="C852" s="5">
        <v>60</v>
      </c>
      <c r="D852" s="9" t="s">
        <v>12</v>
      </c>
      <c r="E852" s="10">
        <v>120</v>
      </c>
      <c r="F852" s="10">
        <f t="shared" si="13"/>
        <v>7200</v>
      </c>
    </row>
    <row r="853" spans="1:6" s="9" customFormat="1" x14ac:dyDescent="0.25">
      <c r="C853" s="5">
        <v>50</v>
      </c>
      <c r="D853" s="9" t="s">
        <v>11</v>
      </c>
      <c r="E853" s="10">
        <v>120</v>
      </c>
      <c r="F853" s="10">
        <f t="shared" si="13"/>
        <v>6000</v>
      </c>
    </row>
    <row r="854" spans="1:6" s="9" customFormat="1" x14ac:dyDescent="0.25">
      <c r="C854" s="5">
        <v>50</v>
      </c>
      <c r="D854" s="9" t="s">
        <v>14</v>
      </c>
      <c r="E854" s="10">
        <v>130</v>
      </c>
      <c r="F854" s="10">
        <f t="shared" si="13"/>
        <v>6500</v>
      </c>
    </row>
    <row r="855" spans="1:6" s="9" customFormat="1" x14ac:dyDescent="0.25">
      <c r="C855" s="5"/>
      <c r="E855" s="10"/>
      <c r="F855" s="8">
        <f>SUM(F851:F854)</f>
        <v>72350</v>
      </c>
    </row>
    <row r="856" spans="1:6" s="9" customFormat="1" x14ac:dyDescent="0.25">
      <c r="C856" s="5"/>
      <c r="E856" s="10"/>
      <c r="F856" s="10"/>
    </row>
    <row r="857" spans="1:6" s="9" customFormat="1" x14ac:dyDescent="0.25">
      <c r="A857" s="9" t="s">
        <v>7</v>
      </c>
      <c r="B857" s="4">
        <v>45850</v>
      </c>
      <c r="C857" s="5">
        <v>5</v>
      </c>
      <c r="D857" s="9" t="s">
        <v>8</v>
      </c>
      <c r="E857" s="10">
        <v>170</v>
      </c>
      <c r="F857" s="10">
        <f t="shared" si="13"/>
        <v>850</v>
      </c>
    </row>
    <row r="858" spans="1:6" s="9" customFormat="1" x14ac:dyDescent="0.25">
      <c r="C858" s="5"/>
      <c r="E858" s="10"/>
      <c r="F858" s="8">
        <f>SUM(F857)</f>
        <v>850</v>
      </c>
    </row>
    <row r="859" spans="1:6" s="9" customFormat="1" x14ac:dyDescent="0.25">
      <c r="C859" s="5"/>
      <c r="E859" s="10"/>
      <c r="F859" s="10"/>
    </row>
    <row r="860" spans="1:6" s="9" customFormat="1" x14ac:dyDescent="0.25">
      <c r="A860" s="9" t="s">
        <v>65</v>
      </c>
      <c r="B860" s="4">
        <v>45850</v>
      </c>
      <c r="C860" s="5">
        <v>960</v>
      </c>
      <c r="D860" s="9" t="s">
        <v>12</v>
      </c>
      <c r="E860" s="10">
        <v>125</v>
      </c>
      <c r="F860" s="10">
        <f t="shared" si="13"/>
        <v>120000</v>
      </c>
    </row>
    <row r="861" spans="1:6" s="9" customFormat="1" x14ac:dyDescent="0.25">
      <c r="C861" s="5">
        <v>600</v>
      </c>
      <c r="D861" s="9" t="s">
        <v>13</v>
      </c>
      <c r="E861" s="10">
        <v>135</v>
      </c>
      <c r="F861" s="10">
        <f t="shared" si="13"/>
        <v>81000</v>
      </c>
    </row>
    <row r="862" spans="1:6" x14ac:dyDescent="0.25">
      <c r="A862" s="9"/>
      <c r="B862" s="9"/>
      <c r="C862" s="5">
        <v>236</v>
      </c>
      <c r="D862" s="9" t="s">
        <v>11</v>
      </c>
      <c r="E862" s="10">
        <v>125</v>
      </c>
      <c r="F862" s="10">
        <f t="shared" si="13"/>
        <v>29500</v>
      </c>
    </row>
    <row r="863" spans="1:6" s="9" customFormat="1" x14ac:dyDescent="0.25">
      <c r="C863" s="5">
        <v>150</v>
      </c>
      <c r="D863" s="9" t="s">
        <v>22</v>
      </c>
      <c r="E863" s="10">
        <v>115</v>
      </c>
      <c r="F863" s="10">
        <f t="shared" si="13"/>
        <v>17250</v>
      </c>
    </row>
    <row r="864" spans="1:6" s="9" customFormat="1" x14ac:dyDescent="0.25">
      <c r="C864" s="5">
        <v>160</v>
      </c>
      <c r="D864" s="9" t="s">
        <v>14</v>
      </c>
      <c r="E864" s="10">
        <v>135</v>
      </c>
      <c r="F864" s="10">
        <f t="shared" si="13"/>
        <v>21600</v>
      </c>
    </row>
    <row r="865" spans="1:6" s="9" customFormat="1" x14ac:dyDescent="0.25">
      <c r="C865" s="5"/>
      <c r="E865" s="10"/>
      <c r="F865" s="8">
        <f>SUM(F860:F864)</f>
        <v>269350</v>
      </c>
    </row>
    <row r="866" spans="1:6" s="9" customFormat="1" x14ac:dyDescent="0.25">
      <c r="C866" s="5"/>
      <c r="E866" s="10"/>
      <c r="F866" s="10"/>
    </row>
    <row r="867" spans="1:6" s="9" customFormat="1" x14ac:dyDescent="0.25">
      <c r="A867" s="9" t="s">
        <v>7</v>
      </c>
      <c r="B867" s="4">
        <v>45850</v>
      </c>
      <c r="C867" s="5">
        <v>150</v>
      </c>
      <c r="D867" s="9" t="s">
        <v>13</v>
      </c>
      <c r="E867" s="10"/>
      <c r="F867" s="10">
        <f t="shared" si="13"/>
        <v>0</v>
      </c>
    </row>
    <row r="868" spans="1:6" s="9" customFormat="1" x14ac:dyDescent="0.25">
      <c r="C868" s="5">
        <v>58</v>
      </c>
      <c r="D868" s="9" t="s">
        <v>22</v>
      </c>
      <c r="E868" s="10"/>
      <c r="F868" s="10">
        <f t="shared" si="13"/>
        <v>0</v>
      </c>
    </row>
    <row r="869" spans="1:6" s="9" customFormat="1" x14ac:dyDescent="0.25">
      <c r="C869" s="5"/>
      <c r="E869" s="10"/>
      <c r="F869" s="8">
        <f t="shared" si="13"/>
        <v>0</v>
      </c>
    </row>
    <row r="870" spans="1:6" s="9" customFormat="1" x14ac:dyDescent="0.25">
      <c r="C870" s="5"/>
      <c r="E870" s="10"/>
      <c r="F870" s="10"/>
    </row>
    <row r="871" spans="1:6" s="9" customFormat="1" x14ac:dyDescent="0.25">
      <c r="A871" s="9" t="s">
        <v>181</v>
      </c>
      <c r="B871" s="4">
        <v>45850</v>
      </c>
      <c r="C871" s="5">
        <v>2</v>
      </c>
      <c r="D871" s="9" t="s">
        <v>12</v>
      </c>
      <c r="E871" s="10">
        <v>140</v>
      </c>
      <c r="F871" s="10">
        <f t="shared" si="13"/>
        <v>280</v>
      </c>
    </row>
    <row r="872" spans="1:6" s="9" customFormat="1" x14ac:dyDescent="0.25">
      <c r="C872" s="5">
        <v>2</v>
      </c>
      <c r="D872" s="9" t="s">
        <v>8</v>
      </c>
      <c r="E872" s="10">
        <v>170</v>
      </c>
      <c r="F872" s="10">
        <f t="shared" si="13"/>
        <v>340</v>
      </c>
    </row>
    <row r="873" spans="1:6" s="9" customFormat="1" x14ac:dyDescent="0.25">
      <c r="C873" s="5">
        <v>2</v>
      </c>
      <c r="D873" s="9" t="s">
        <v>8</v>
      </c>
      <c r="E873" s="10">
        <v>170</v>
      </c>
      <c r="F873" s="10">
        <f t="shared" si="13"/>
        <v>340</v>
      </c>
    </row>
    <row r="874" spans="1:6" s="9" customFormat="1" x14ac:dyDescent="0.25">
      <c r="C874" s="5">
        <v>1</v>
      </c>
      <c r="D874" s="9" t="s">
        <v>54</v>
      </c>
      <c r="E874" s="10">
        <v>0</v>
      </c>
      <c r="F874" s="10">
        <f t="shared" si="13"/>
        <v>0</v>
      </c>
    </row>
    <row r="875" spans="1:6" s="9" customFormat="1" x14ac:dyDescent="0.25">
      <c r="C875" s="5">
        <v>1</v>
      </c>
      <c r="D875" s="9" t="s">
        <v>787</v>
      </c>
      <c r="E875" s="10">
        <v>140</v>
      </c>
      <c r="F875" s="10">
        <f t="shared" si="13"/>
        <v>140</v>
      </c>
    </row>
    <row r="876" spans="1:6" s="9" customFormat="1" x14ac:dyDescent="0.25">
      <c r="C876" s="5">
        <v>1</v>
      </c>
      <c r="D876" s="9" t="s">
        <v>12</v>
      </c>
      <c r="E876" s="10">
        <v>150</v>
      </c>
      <c r="F876" s="10">
        <f t="shared" si="13"/>
        <v>150</v>
      </c>
    </row>
    <row r="877" spans="1:6" s="9" customFormat="1" x14ac:dyDescent="0.25">
      <c r="C877" s="5"/>
      <c r="E877" s="10"/>
      <c r="F877" s="8">
        <f>SUM(F871:F876)</f>
        <v>1250</v>
      </c>
    </row>
    <row r="878" spans="1:6" s="9" customFormat="1" x14ac:dyDescent="0.25">
      <c r="C878" s="5"/>
      <c r="E878" s="10"/>
      <c r="F878" s="10"/>
    </row>
    <row r="879" spans="1:6" s="9" customFormat="1" x14ac:dyDescent="0.25">
      <c r="A879" s="9" t="s">
        <v>140</v>
      </c>
      <c r="B879" s="4">
        <v>45851</v>
      </c>
      <c r="C879" s="5">
        <v>100</v>
      </c>
      <c r="D879" s="9" t="s">
        <v>14</v>
      </c>
      <c r="E879" s="10">
        <v>135</v>
      </c>
      <c r="F879" s="10">
        <f t="shared" si="13"/>
        <v>13500</v>
      </c>
    </row>
    <row r="880" spans="1:6" s="9" customFormat="1" x14ac:dyDescent="0.25">
      <c r="C880" s="5">
        <v>140</v>
      </c>
      <c r="D880" s="9" t="s">
        <v>8</v>
      </c>
      <c r="E880" s="10">
        <v>155</v>
      </c>
      <c r="F880" s="10">
        <f t="shared" si="13"/>
        <v>21700</v>
      </c>
    </row>
    <row r="881" spans="1:6" s="9" customFormat="1" x14ac:dyDescent="0.25">
      <c r="C881" s="5">
        <v>38</v>
      </c>
      <c r="D881" s="9" t="s">
        <v>11</v>
      </c>
      <c r="E881" s="10">
        <v>120</v>
      </c>
      <c r="F881" s="10">
        <f t="shared" si="13"/>
        <v>4560</v>
      </c>
    </row>
    <row r="882" spans="1:6" s="9" customFormat="1" x14ac:dyDescent="0.25">
      <c r="C882" s="5">
        <v>25</v>
      </c>
      <c r="D882" s="9" t="s">
        <v>12</v>
      </c>
      <c r="E882" s="10">
        <v>125</v>
      </c>
      <c r="F882" s="10">
        <f t="shared" si="13"/>
        <v>3125</v>
      </c>
    </row>
    <row r="883" spans="1:6" s="9" customFormat="1" x14ac:dyDescent="0.25">
      <c r="C883" s="5">
        <v>140</v>
      </c>
      <c r="D883" s="9" t="s">
        <v>13</v>
      </c>
      <c r="E883" s="10">
        <v>140</v>
      </c>
      <c r="F883" s="10">
        <f t="shared" si="13"/>
        <v>19600</v>
      </c>
    </row>
    <row r="884" spans="1:6" s="9" customFormat="1" x14ac:dyDescent="0.25">
      <c r="C884" s="5"/>
      <c r="E884" s="10"/>
      <c r="F884" s="8">
        <f>SUM(F879:F883)</f>
        <v>62485</v>
      </c>
    </row>
    <row r="885" spans="1:6" s="9" customFormat="1" x14ac:dyDescent="0.25">
      <c r="C885" s="5"/>
      <c r="E885" s="10"/>
      <c r="F885" s="10"/>
    </row>
    <row r="886" spans="1:6" s="9" customFormat="1" x14ac:dyDescent="0.25">
      <c r="A886" s="9" t="s">
        <v>29</v>
      </c>
      <c r="B886" s="4">
        <v>45851</v>
      </c>
      <c r="C886" s="5">
        <v>5</v>
      </c>
      <c r="D886" s="9" t="s">
        <v>788</v>
      </c>
      <c r="E886" s="10">
        <v>100</v>
      </c>
      <c r="F886" s="10">
        <f t="shared" si="13"/>
        <v>500</v>
      </c>
    </row>
    <row r="887" spans="1:6" s="9" customFormat="1" x14ac:dyDescent="0.25">
      <c r="C887" s="5">
        <v>10</v>
      </c>
      <c r="D887" s="9" t="s">
        <v>13</v>
      </c>
      <c r="E887" s="10">
        <v>140</v>
      </c>
      <c r="F887" s="10">
        <f t="shared" si="13"/>
        <v>1400</v>
      </c>
    </row>
    <row r="888" spans="1:6" s="9" customFormat="1" x14ac:dyDescent="0.25">
      <c r="C888" s="5"/>
      <c r="E888" s="10"/>
      <c r="F888" s="8">
        <f>SUM(F886:F887)</f>
        <v>1900</v>
      </c>
    </row>
    <row r="889" spans="1:6" s="9" customFormat="1" x14ac:dyDescent="0.25">
      <c r="C889" s="5"/>
      <c r="E889" s="10"/>
      <c r="F889" s="10"/>
    </row>
    <row r="890" spans="1:6" s="9" customFormat="1" x14ac:dyDescent="0.25">
      <c r="A890" s="9" t="s">
        <v>7</v>
      </c>
      <c r="B890" s="4">
        <v>45851</v>
      </c>
      <c r="C890" s="5">
        <v>1</v>
      </c>
      <c r="D890" s="9" t="s">
        <v>8</v>
      </c>
      <c r="E890" s="10">
        <v>150</v>
      </c>
      <c r="F890" s="10">
        <f t="shared" si="13"/>
        <v>150</v>
      </c>
    </row>
    <row r="891" spans="1:6" s="9" customFormat="1" x14ac:dyDescent="0.25">
      <c r="C891" s="5"/>
      <c r="E891" s="10"/>
      <c r="F891" s="8">
        <f>SUM(F890)</f>
        <v>150</v>
      </c>
    </row>
    <row r="892" spans="1:6" s="9" customFormat="1" x14ac:dyDescent="0.25">
      <c r="C892" s="5"/>
      <c r="E892" s="10"/>
      <c r="F892" s="10"/>
    </row>
    <row r="893" spans="1:6" s="9" customFormat="1" x14ac:dyDescent="0.25">
      <c r="A893" s="9" t="s">
        <v>724</v>
      </c>
      <c r="B893" s="4">
        <v>45852</v>
      </c>
      <c r="C893" s="5">
        <v>5</v>
      </c>
      <c r="D893" s="9" t="s">
        <v>98</v>
      </c>
      <c r="E893" s="10">
        <v>100</v>
      </c>
      <c r="F893" s="10">
        <f t="shared" si="13"/>
        <v>500</v>
      </c>
    </row>
    <row r="894" spans="1:6" s="9" customFormat="1" x14ac:dyDescent="0.25">
      <c r="C894" s="5"/>
      <c r="E894" s="10"/>
      <c r="F894" s="8">
        <f>SUM(F893)</f>
        <v>500</v>
      </c>
    </row>
    <row r="895" spans="1:6" s="9" customFormat="1" x14ac:dyDescent="0.25">
      <c r="C895" s="5"/>
      <c r="E895" s="10"/>
      <c r="F895" s="10"/>
    </row>
    <row r="896" spans="1:6" s="9" customFormat="1" x14ac:dyDescent="0.25">
      <c r="A896" s="9" t="s">
        <v>15</v>
      </c>
      <c r="B896" s="4">
        <v>45852</v>
      </c>
      <c r="C896" s="5">
        <v>45</v>
      </c>
      <c r="D896" s="9" t="s">
        <v>98</v>
      </c>
      <c r="E896" s="10">
        <v>80</v>
      </c>
      <c r="F896" s="10">
        <f t="shared" si="13"/>
        <v>3600</v>
      </c>
    </row>
    <row r="897" spans="1:6" s="9" customFormat="1" x14ac:dyDescent="0.25">
      <c r="C897" s="5"/>
      <c r="E897" s="10"/>
      <c r="F897" s="8">
        <f>SUM(F896)</f>
        <v>3600</v>
      </c>
    </row>
    <row r="898" spans="1:6" s="9" customFormat="1" x14ac:dyDescent="0.25">
      <c r="C898" s="5"/>
      <c r="E898" s="10"/>
      <c r="F898" s="10"/>
    </row>
    <row r="899" spans="1:6" s="9" customFormat="1" x14ac:dyDescent="0.25">
      <c r="A899" s="9" t="s">
        <v>18</v>
      </c>
      <c r="B899" s="4">
        <v>45852</v>
      </c>
      <c r="C899" s="5">
        <v>5</v>
      </c>
      <c r="D899" s="9" t="s">
        <v>13</v>
      </c>
      <c r="E899" s="10">
        <v>145</v>
      </c>
      <c r="F899" s="10">
        <f t="shared" si="13"/>
        <v>725</v>
      </c>
    </row>
    <row r="900" spans="1:6" s="9" customFormat="1" x14ac:dyDescent="0.25">
      <c r="C900" s="5"/>
      <c r="E900" s="10"/>
      <c r="F900" s="8">
        <f>SUM(F899)</f>
        <v>725</v>
      </c>
    </row>
    <row r="901" spans="1:6" s="9" customFormat="1" x14ac:dyDescent="0.25">
      <c r="C901" s="5"/>
      <c r="E901" s="10"/>
      <c r="F901" s="10"/>
    </row>
    <row r="902" spans="1:6" s="9" customFormat="1" x14ac:dyDescent="0.25">
      <c r="A902" s="9" t="s">
        <v>40</v>
      </c>
      <c r="B902" s="4">
        <v>45852</v>
      </c>
      <c r="C902" s="5">
        <v>10</v>
      </c>
      <c r="D902" s="9" t="s">
        <v>14</v>
      </c>
      <c r="E902" s="10">
        <v>140</v>
      </c>
      <c r="F902" s="10">
        <f t="shared" si="13"/>
        <v>1400</v>
      </c>
    </row>
    <row r="903" spans="1:6" s="9" customFormat="1" x14ac:dyDescent="0.25">
      <c r="C903" s="5">
        <v>10</v>
      </c>
      <c r="D903" s="9" t="s">
        <v>8</v>
      </c>
      <c r="E903" s="10">
        <v>160</v>
      </c>
      <c r="F903" s="10">
        <f t="shared" si="13"/>
        <v>1600</v>
      </c>
    </row>
    <row r="904" spans="1:6" s="9" customFormat="1" x14ac:dyDescent="0.25">
      <c r="C904" s="5">
        <v>5</v>
      </c>
      <c r="D904" s="9" t="s">
        <v>50</v>
      </c>
      <c r="E904" s="10">
        <v>110</v>
      </c>
      <c r="F904" s="10">
        <f t="shared" si="13"/>
        <v>550</v>
      </c>
    </row>
    <row r="905" spans="1:6" s="9" customFormat="1" x14ac:dyDescent="0.25">
      <c r="C905" s="5"/>
      <c r="E905" s="10"/>
      <c r="F905" s="8">
        <f>SUM(F902:F904)</f>
        <v>3550</v>
      </c>
    </row>
    <row r="906" spans="1:6" s="9" customFormat="1" x14ac:dyDescent="0.25">
      <c r="C906" s="5"/>
      <c r="E906" s="10"/>
      <c r="F906" s="10"/>
    </row>
    <row r="907" spans="1:6" s="9" customFormat="1" x14ac:dyDescent="0.25">
      <c r="A907" s="9" t="s">
        <v>20</v>
      </c>
      <c r="B907" s="4">
        <v>45852</v>
      </c>
      <c r="C907" s="5">
        <v>20</v>
      </c>
      <c r="D907" s="9" t="s">
        <v>13</v>
      </c>
      <c r="E907" s="10">
        <v>145</v>
      </c>
      <c r="F907" s="10">
        <f t="shared" ref="F907:F970" si="14">+C907*E907</f>
        <v>2900</v>
      </c>
    </row>
    <row r="908" spans="1:6" s="9" customFormat="1" x14ac:dyDescent="0.25">
      <c r="C908" s="5"/>
      <c r="E908" s="10"/>
      <c r="F908" s="8">
        <f>SUM(F907)</f>
        <v>2900</v>
      </c>
    </row>
    <row r="909" spans="1:6" s="9" customFormat="1" x14ac:dyDescent="0.25">
      <c r="C909" s="5"/>
      <c r="E909" s="10"/>
      <c r="F909" s="10"/>
    </row>
    <row r="910" spans="1:6" s="9" customFormat="1" x14ac:dyDescent="0.25">
      <c r="A910" s="9" t="s">
        <v>17</v>
      </c>
      <c r="B910" s="4">
        <v>45852</v>
      </c>
      <c r="C910" s="5">
        <v>10</v>
      </c>
      <c r="D910" s="9" t="s">
        <v>13</v>
      </c>
      <c r="E910" s="10">
        <v>145</v>
      </c>
      <c r="F910" s="10">
        <f t="shared" si="14"/>
        <v>1450</v>
      </c>
    </row>
    <row r="911" spans="1:6" s="9" customFormat="1" x14ac:dyDescent="0.25">
      <c r="C911" s="5"/>
      <c r="E911" s="10"/>
      <c r="F911" s="8">
        <f>SUM(F910)</f>
        <v>1450</v>
      </c>
    </row>
    <row r="912" spans="1:6" s="9" customFormat="1" x14ac:dyDescent="0.25">
      <c r="C912" s="5"/>
      <c r="E912" s="10"/>
      <c r="F912" s="10"/>
    </row>
    <row r="913" spans="1:6" s="9" customFormat="1" x14ac:dyDescent="0.25">
      <c r="A913" s="9" t="s">
        <v>69</v>
      </c>
      <c r="B913" s="4">
        <v>45852</v>
      </c>
      <c r="C913" s="5">
        <v>10</v>
      </c>
      <c r="D913" s="9" t="s">
        <v>98</v>
      </c>
      <c r="E913" s="10">
        <v>100</v>
      </c>
      <c r="F913" s="10">
        <f t="shared" si="14"/>
        <v>1000</v>
      </c>
    </row>
    <row r="914" spans="1:6" s="9" customFormat="1" x14ac:dyDescent="0.25">
      <c r="C914" s="5"/>
      <c r="E914" s="10"/>
      <c r="F914" s="8">
        <f>SUM(F913)</f>
        <v>1000</v>
      </c>
    </row>
    <row r="915" spans="1:6" s="9" customFormat="1" x14ac:dyDescent="0.25">
      <c r="C915" s="5"/>
      <c r="E915" s="10"/>
      <c r="F915" s="10"/>
    </row>
    <row r="916" spans="1:6" s="9" customFormat="1" x14ac:dyDescent="0.25">
      <c r="A916" s="9" t="s">
        <v>79</v>
      </c>
      <c r="B916" s="4">
        <v>45852</v>
      </c>
      <c r="C916" s="5">
        <v>20</v>
      </c>
      <c r="D916" s="9" t="s">
        <v>13</v>
      </c>
      <c r="E916" s="10">
        <v>140</v>
      </c>
      <c r="F916" s="10">
        <f t="shared" si="14"/>
        <v>2800</v>
      </c>
    </row>
    <row r="917" spans="1:6" s="9" customFormat="1" x14ac:dyDescent="0.25">
      <c r="C917" s="5"/>
      <c r="E917" s="10"/>
      <c r="F917" s="8">
        <f>SUM(F916)</f>
        <v>2800</v>
      </c>
    </row>
    <row r="918" spans="1:6" s="9" customFormat="1" x14ac:dyDescent="0.25">
      <c r="C918" s="5"/>
      <c r="E918" s="10"/>
      <c r="F918" s="10"/>
    </row>
    <row r="919" spans="1:6" s="9" customFormat="1" x14ac:dyDescent="0.25">
      <c r="A919" s="9" t="s">
        <v>688</v>
      </c>
      <c r="B919" s="4">
        <v>45852</v>
      </c>
      <c r="C919" s="5">
        <v>2</v>
      </c>
      <c r="D919" s="9" t="s">
        <v>13</v>
      </c>
      <c r="E919" s="10">
        <v>145</v>
      </c>
      <c r="F919" s="10">
        <f t="shared" si="14"/>
        <v>290</v>
      </c>
    </row>
    <row r="920" spans="1:6" s="9" customFormat="1" x14ac:dyDescent="0.25">
      <c r="C920" s="5"/>
      <c r="E920" s="10"/>
      <c r="F920" s="8">
        <f>SUM(F919)</f>
        <v>290</v>
      </c>
    </row>
    <row r="921" spans="1:6" s="9" customFormat="1" x14ac:dyDescent="0.25">
      <c r="C921" s="5"/>
      <c r="E921" s="10"/>
      <c r="F921" s="10"/>
    </row>
    <row r="922" spans="1:6" s="9" customFormat="1" x14ac:dyDescent="0.25">
      <c r="A922" s="9" t="s">
        <v>41</v>
      </c>
      <c r="B922" s="4">
        <v>45852</v>
      </c>
      <c r="C922" s="5">
        <v>35</v>
      </c>
      <c r="D922" s="9" t="s">
        <v>14</v>
      </c>
      <c r="E922" s="10">
        <v>135</v>
      </c>
      <c r="F922" s="10">
        <f t="shared" si="14"/>
        <v>4725</v>
      </c>
    </row>
    <row r="923" spans="1:6" s="9" customFormat="1" x14ac:dyDescent="0.25">
      <c r="C923" s="5"/>
      <c r="E923" s="10"/>
      <c r="F923" s="8">
        <f>SUM(F922)</f>
        <v>4725</v>
      </c>
    </row>
    <row r="924" spans="1:6" s="9" customFormat="1" x14ac:dyDescent="0.25">
      <c r="C924" s="5"/>
      <c r="E924" s="10"/>
      <c r="F924" s="10"/>
    </row>
    <row r="925" spans="1:6" s="9" customFormat="1" x14ac:dyDescent="0.25">
      <c r="A925" s="9" t="s">
        <v>722</v>
      </c>
      <c r="B925" s="4">
        <v>45852</v>
      </c>
      <c r="C925" s="5">
        <v>31</v>
      </c>
      <c r="D925" s="9" t="s">
        <v>14</v>
      </c>
      <c r="E925" s="10">
        <v>135</v>
      </c>
      <c r="F925" s="10">
        <f t="shared" si="14"/>
        <v>4185</v>
      </c>
    </row>
    <row r="926" spans="1:6" s="9" customFormat="1" x14ac:dyDescent="0.25">
      <c r="C926" s="5"/>
      <c r="E926" s="10"/>
      <c r="F926" s="8">
        <f>SUM(F925)</f>
        <v>4185</v>
      </c>
    </row>
    <row r="927" spans="1:6" s="9" customFormat="1" x14ac:dyDescent="0.25">
      <c r="C927" s="5"/>
      <c r="E927" s="10"/>
      <c r="F927" s="10"/>
    </row>
    <row r="928" spans="1:6" s="9" customFormat="1" x14ac:dyDescent="0.25">
      <c r="A928" s="9" t="s">
        <v>44</v>
      </c>
      <c r="B928" s="4">
        <v>45852</v>
      </c>
      <c r="C928" s="5">
        <v>60</v>
      </c>
      <c r="D928" s="9" t="s">
        <v>14</v>
      </c>
      <c r="E928" s="10">
        <v>140</v>
      </c>
      <c r="F928" s="10">
        <f t="shared" si="14"/>
        <v>8400</v>
      </c>
    </row>
    <row r="929" spans="1:6" s="9" customFormat="1" x14ac:dyDescent="0.25">
      <c r="C929" s="5"/>
      <c r="E929" s="10"/>
      <c r="F929" s="8">
        <f>SUM(F928)</f>
        <v>8400</v>
      </c>
    </row>
    <row r="930" spans="1:6" s="9" customFormat="1" x14ac:dyDescent="0.25">
      <c r="C930" s="5"/>
      <c r="E930" s="10"/>
      <c r="F930" s="10"/>
    </row>
    <row r="931" spans="1:6" s="9" customFormat="1" x14ac:dyDescent="0.25">
      <c r="A931" s="9" t="s">
        <v>18</v>
      </c>
      <c r="B931" s="4">
        <v>45852</v>
      </c>
      <c r="C931" s="5">
        <v>20</v>
      </c>
      <c r="D931" s="9" t="s">
        <v>14</v>
      </c>
      <c r="E931" s="10">
        <v>140</v>
      </c>
      <c r="F931" s="10">
        <f t="shared" si="14"/>
        <v>2800</v>
      </c>
    </row>
    <row r="932" spans="1:6" s="9" customFormat="1" x14ac:dyDescent="0.25">
      <c r="C932" s="5"/>
      <c r="E932" s="10"/>
      <c r="F932" s="8">
        <f>SUM(F931)</f>
        <v>2800</v>
      </c>
    </row>
    <row r="933" spans="1:6" s="9" customFormat="1" x14ac:dyDescent="0.25">
      <c r="C933" s="5"/>
      <c r="E933" s="10"/>
      <c r="F933" s="10"/>
    </row>
    <row r="934" spans="1:6" s="9" customFormat="1" x14ac:dyDescent="0.25">
      <c r="A934" s="9" t="s">
        <v>46</v>
      </c>
      <c r="B934" s="4">
        <v>45852</v>
      </c>
      <c r="C934" s="5">
        <v>20</v>
      </c>
      <c r="D934" s="9" t="s">
        <v>14</v>
      </c>
      <c r="E934" s="10">
        <v>140</v>
      </c>
      <c r="F934" s="10">
        <f t="shared" si="14"/>
        <v>2800</v>
      </c>
    </row>
    <row r="935" spans="1:6" s="9" customFormat="1" x14ac:dyDescent="0.25">
      <c r="C935" s="5"/>
      <c r="E935" s="10"/>
      <c r="F935" s="8">
        <f>SUM(F934)</f>
        <v>2800</v>
      </c>
    </row>
    <row r="936" spans="1:6" s="9" customFormat="1" x14ac:dyDescent="0.25">
      <c r="C936" s="5"/>
      <c r="E936" s="10"/>
      <c r="F936" s="10"/>
    </row>
    <row r="937" spans="1:6" s="9" customFormat="1" x14ac:dyDescent="0.25">
      <c r="A937" s="9" t="s">
        <v>47</v>
      </c>
      <c r="B937" s="4">
        <v>45852</v>
      </c>
      <c r="C937" s="5">
        <v>20</v>
      </c>
      <c r="D937" s="9" t="s">
        <v>14</v>
      </c>
      <c r="E937" s="10">
        <v>140</v>
      </c>
      <c r="F937" s="10">
        <f t="shared" si="14"/>
        <v>2800</v>
      </c>
    </row>
    <row r="938" spans="1:6" s="9" customFormat="1" x14ac:dyDescent="0.25">
      <c r="C938" s="5">
        <v>20</v>
      </c>
      <c r="D938" s="9" t="s">
        <v>11</v>
      </c>
      <c r="E938" s="10">
        <v>130</v>
      </c>
      <c r="F938" s="10">
        <f t="shared" si="14"/>
        <v>2600</v>
      </c>
    </row>
    <row r="939" spans="1:6" s="9" customFormat="1" x14ac:dyDescent="0.25">
      <c r="C939" s="5"/>
      <c r="E939" s="10"/>
      <c r="F939" s="8">
        <f>SUM(F937:F938)</f>
        <v>5400</v>
      </c>
    </row>
    <row r="940" spans="1:6" s="9" customFormat="1" x14ac:dyDescent="0.25">
      <c r="C940" s="5"/>
      <c r="E940" s="10"/>
      <c r="F940" s="10"/>
    </row>
    <row r="941" spans="1:6" s="9" customFormat="1" x14ac:dyDescent="0.25">
      <c r="A941" s="9" t="s">
        <v>43</v>
      </c>
      <c r="B941" s="4">
        <v>45852</v>
      </c>
      <c r="C941" s="5">
        <v>50</v>
      </c>
      <c r="D941" s="9" t="s">
        <v>49</v>
      </c>
      <c r="E941" s="10">
        <v>145</v>
      </c>
      <c r="F941" s="10">
        <f t="shared" si="14"/>
        <v>7250</v>
      </c>
    </row>
    <row r="942" spans="1:6" s="9" customFormat="1" x14ac:dyDescent="0.25">
      <c r="C942" s="5"/>
      <c r="E942" s="10"/>
      <c r="F942" s="8">
        <f>SUM(F941)</f>
        <v>7250</v>
      </c>
    </row>
    <row r="943" spans="1:6" s="9" customFormat="1" x14ac:dyDescent="0.25">
      <c r="C943" s="5"/>
      <c r="E943" s="10"/>
      <c r="F943" s="10"/>
    </row>
    <row r="944" spans="1:6" s="9" customFormat="1" x14ac:dyDescent="0.25">
      <c r="A944" s="9" t="s">
        <v>487</v>
      </c>
      <c r="B944" s="4">
        <v>45852</v>
      </c>
      <c r="C944" s="5">
        <v>5</v>
      </c>
      <c r="D944" s="9" t="s">
        <v>12</v>
      </c>
      <c r="E944" s="10">
        <v>135</v>
      </c>
      <c r="F944" s="10">
        <f t="shared" si="14"/>
        <v>675</v>
      </c>
    </row>
    <row r="945" spans="1:6" s="9" customFormat="1" x14ac:dyDescent="0.25">
      <c r="C945" s="5"/>
      <c r="E945" s="10"/>
      <c r="F945" s="8">
        <f>SUM(F944)</f>
        <v>675</v>
      </c>
    </row>
    <row r="946" spans="1:6" s="9" customFormat="1" x14ac:dyDescent="0.25">
      <c r="C946" s="5"/>
      <c r="E946" s="10"/>
      <c r="F946" s="10"/>
    </row>
    <row r="947" spans="1:6" s="9" customFormat="1" x14ac:dyDescent="0.25">
      <c r="A947" s="9" t="s">
        <v>184</v>
      </c>
      <c r="B947" s="4">
        <v>45852</v>
      </c>
      <c r="C947" s="5">
        <v>5</v>
      </c>
      <c r="D947" s="9" t="s">
        <v>13</v>
      </c>
      <c r="E947" s="10">
        <v>145</v>
      </c>
      <c r="F947" s="10">
        <f t="shared" si="14"/>
        <v>725</v>
      </c>
    </row>
    <row r="948" spans="1:6" s="9" customFormat="1" x14ac:dyDescent="0.25">
      <c r="C948" s="5"/>
      <c r="E948" s="10"/>
      <c r="F948" s="8">
        <f>SUM(F947)</f>
        <v>725</v>
      </c>
    </row>
    <row r="949" spans="1:6" s="9" customFormat="1" x14ac:dyDescent="0.25">
      <c r="C949" s="5"/>
      <c r="E949" s="10"/>
      <c r="F949" s="10"/>
    </row>
    <row r="950" spans="1:6" s="9" customFormat="1" x14ac:dyDescent="0.25">
      <c r="A950" s="9" t="s">
        <v>789</v>
      </c>
      <c r="B950" s="4">
        <v>45852</v>
      </c>
      <c r="C950" s="5">
        <v>2</v>
      </c>
      <c r="D950" s="9" t="s">
        <v>13</v>
      </c>
      <c r="E950" s="10">
        <v>150</v>
      </c>
      <c r="F950" s="10">
        <f t="shared" si="14"/>
        <v>300</v>
      </c>
    </row>
    <row r="951" spans="1:6" s="9" customFormat="1" x14ac:dyDescent="0.25">
      <c r="C951" s="5"/>
      <c r="E951" s="10"/>
      <c r="F951" s="8">
        <f>SUM(F950)</f>
        <v>300</v>
      </c>
    </row>
    <row r="952" spans="1:6" s="9" customFormat="1" x14ac:dyDescent="0.25">
      <c r="C952" s="5"/>
      <c r="E952" s="10"/>
      <c r="F952" s="10"/>
    </row>
    <row r="953" spans="1:6" s="9" customFormat="1" x14ac:dyDescent="0.25">
      <c r="A953" s="9" t="s">
        <v>151</v>
      </c>
      <c r="B953" s="4">
        <v>45852</v>
      </c>
      <c r="C953" s="5">
        <v>100</v>
      </c>
      <c r="D953" s="9" t="s">
        <v>22</v>
      </c>
      <c r="E953" s="10">
        <v>115</v>
      </c>
      <c r="F953" s="10">
        <f t="shared" si="14"/>
        <v>11500</v>
      </c>
    </row>
    <row r="954" spans="1:6" s="9" customFormat="1" x14ac:dyDescent="0.25">
      <c r="C954" s="5"/>
      <c r="E954" s="10"/>
      <c r="F954" s="8">
        <f>SUM(F953)</f>
        <v>11500</v>
      </c>
    </row>
    <row r="955" spans="1:6" s="9" customFormat="1" x14ac:dyDescent="0.25">
      <c r="C955" s="5"/>
      <c r="E955" s="10"/>
      <c r="F955" s="10"/>
    </row>
    <row r="956" spans="1:6" s="9" customFormat="1" x14ac:dyDescent="0.25">
      <c r="A956" s="9" t="s">
        <v>26</v>
      </c>
      <c r="B956" s="4">
        <v>45852</v>
      </c>
      <c r="C956" s="5">
        <v>40</v>
      </c>
      <c r="D956" s="9" t="s">
        <v>14</v>
      </c>
      <c r="E956" s="10">
        <v>130</v>
      </c>
      <c r="F956" s="10">
        <f t="shared" si="14"/>
        <v>5200</v>
      </c>
    </row>
    <row r="957" spans="1:6" s="9" customFormat="1" x14ac:dyDescent="0.25">
      <c r="C957" s="5"/>
      <c r="E957" s="10"/>
      <c r="F957" s="8">
        <f>SUM(F956)</f>
        <v>5200</v>
      </c>
    </row>
    <row r="958" spans="1:6" s="9" customFormat="1" x14ac:dyDescent="0.25">
      <c r="C958" s="5"/>
      <c r="E958" s="10"/>
      <c r="F958" s="10"/>
    </row>
    <row r="959" spans="1:6" s="9" customFormat="1" x14ac:dyDescent="0.25">
      <c r="A959" s="9" t="s">
        <v>88</v>
      </c>
      <c r="B959" s="4">
        <v>45852</v>
      </c>
      <c r="C959" s="5">
        <v>10</v>
      </c>
      <c r="D959" s="9" t="s">
        <v>14</v>
      </c>
      <c r="E959" s="10">
        <v>135</v>
      </c>
      <c r="F959" s="10">
        <f t="shared" si="14"/>
        <v>1350</v>
      </c>
    </row>
    <row r="960" spans="1:6" s="9" customFormat="1" x14ac:dyDescent="0.25">
      <c r="C960" s="5">
        <v>6</v>
      </c>
      <c r="D960" s="9" t="s">
        <v>13</v>
      </c>
      <c r="E960" s="10">
        <v>145</v>
      </c>
      <c r="F960" s="10">
        <f t="shared" si="14"/>
        <v>870</v>
      </c>
    </row>
    <row r="961" spans="1:6" s="9" customFormat="1" x14ac:dyDescent="0.25">
      <c r="C961" s="5"/>
      <c r="E961" s="10"/>
      <c r="F961" s="8">
        <f>SUM(F959:F960)</f>
        <v>2220</v>
      </c>
    </row>
    <row r="962" spans="1:6" s="9" customFormat="1" x14ac:dyDescent="0.25">
      <c r="C962" s="5"/>
      <c r="E962" s="10"/>
      <c r="F962" s="10"/>
    </row>
    <row r="963" spans="1:6" s="9" customFormat="1" x14ac:dyDescent="0.25">
      <c r="A963" s="9" t="s">
        <v>89</v>
      </c>
      <c r="B963" s="4">
        <v>45852</v>
      </c>
      <c r="C963" s="5">
        <v>30</v>
      </c>
      <c r="D963" s="9" t="s">
        <v>13</v>
      </c>
      <c r="E963" s="10">
        <v>135</v>
      </c>
      <c r="F963" s="10">
        <f t="shared" si="14"/>
        <v>4050</v>
      </c>
    </row>
    <row r="964" spans="1:6" s="9" customFormat="1" x14ac:dyDescent="0.25">
      <c r="C964" s="5">
        <v>50</v>
      </c>
      <c r="D964" s="9" t="s">
        <v>22</v>
      </c>
      <c r="E964" s="10">
        <v>115</v>
      </c>
      <c r="F964" s="10">
        <f t="shared" si="14"/>
        <v>5750</v>
      </c>
    </row>
    <row r="965" spans="1:6" s="9" customFormat="1" x14ac:dyDescent="0.25">
      <c r="C965" s="5"/>
      <c r="E965" s="10"/>
      <c r="F965" s="8">
        <f>SUM(F963:F964)</f>
        <v>9800</v>
      </c>
    </row>
    <row r="966" spans="1:6" s="9" customFormat="1" x14ac:dyDescent="0.25">
      <c r="C966" s="5"/>
      <c r="E966" s="10"/>
      <c r="F966" s="10"/>
    </row>
    <row r="967" spans="1:6" s="9" customFormat="1" x14ac:dyDescent="0.25">
      <c r="A967" s="9" t="s">
        <v>114</v>
      </c>
      <c r="B967" s="4">
        <v>45852</v>
      </c>
      <c r="C967" s="5">
        <v>4</v>
      </c>
      <c r="D967" s="9" t="s">
        <v>13</v>
      </c>
      <c r="E967" s="10">
        <v>145</v>
      </c>
      <c r="F967" s="10">
        <f t="shared" si="14"/>
        <v>580</v>
      </c>
    </row>
    <row r="968" spans="1:6" s="9" customFormat="1" x14ac:dyDescent="0.25">
      <c r="C968" s="5"/>
      <c r="E968" s="10"/>
      <c r="F968" s="8">
        <f>SUM(F967)</f>
        <v>580</v>
      </c>
    </row>
    <row r="969" spans="1:6" s="9" customFormat="1" x14ac:dyDescent="0.25">
      <c r="C969" s="5"/>
      <c r="E969" s="10"/>
      <c r="F969" s="10"/>
    </row>
    <row r="970" spans="1:6" s="9" customFormat="1" x14ac:dyDescent="0.25">
      <c r="A970" s="9" t="s">
        <v>319</v>
      </c>
      <c r="B970" s="4">
        <v>45852</v>
      </c>
      <c r="C970" s="5">
        <v>10</v>
      </c>
      <c r="D970" s="9" t="s">
        <v>8</v>
      </c>
      <c r="E970" s="10">
        <v>160</v>
      </c>
      <c r="F970" s="10">
        <f t="shared" si="14"/>
        <v>1600</v>
      </c>
    </row>
    <row r="971" spans="1:6" s="9" customFormat="1" x14ac:dyDescent="0.25">
      <c r="C971" s="5"/>
      <c r="E971" s="10"/>
      <c r="F971" s="8">
        <f>SUM(F970)</f>
        <v>1600</v>
      </c>
    </row>
    <row r="972" spans="1:6" s="9" customFormat="1" x14ac:dyDescent="0.25">
      <c r="C972" s="5"/>
      <c r="E972" s="10"/>
      <c r="F972" s="10"/>
    </row>
    <row r="973" spans="1:6" s="9" customFormat="1" x14ac:dyDescent="0.25">
      <c r="A973" s="9" t="s">
        <v>29</v>
      </c>
      <c r="B973" s="4">
        <v>45852</v>
      </c>
      <c r="C973" s="5">
        <v>2</v>
      </c>
      <c r="D973" s="9" t="s">
        <v>8</v>
      </c>
      <c r="E973" s="10">
        <v>170</v>
      </c>
      <c r="F973" s="10">
        <f t="shared" ref="F973:F1032" si="15">+C973*E973</f>
        <v>340</v>
      </c>
    </row>
    <row r="974" spans="1:6" s="9" customFormat="1" x14ac:dyDescent="0.25">
      <c r="C974" s="5">
        <v>7</v>
      </c>
      <c r="D974" s="9" t="s">
        <v>12</v>
      </c>
      <c r="E974" s="10">
        <v>140</v>
      </c>
      <c r="F974" s="10">
        <f t="shared" si="15"/>
        <v>980</v>
      </c>
    </row>
    <row r="975" spans="1:6" s="9" customFormat="1" x14ac:dyDescent="0.25">
      <c r="C975" s="5"/>
      <c r="E975" s="10"/>
      <c r="F975" s="8">
        <f>SUM(F973:F974)</f>
        <v>1320</v>
      </c>
    </row>
    <row r="976" spans="1:6" s="9" customFormat="1" x14ac:dyDescent="0.25">
      <c r="C976" s="5"/>
      <c r="E976" s="10"/>
      <c r="F976" s="10"/>
    </row>
    <row r="977" spans="1:6" s="9" customFormat="1" x14ac:dyDescent="0.25">
      <c r="A977" s="9" t="s">
        <v>7</v>
      </c>
      <c r="B977" s="4">
        <v>45852</v>
      </c>
      <c r="C977" s="5">
        <v>1</v>
      </c>
      <c r="D977" s="9" t="s">
        <v>13</v>
      </c>
      <c r="E977" s="10">
        <v>140</v>
      </c>
      <c r="F977" s="10">
        <f t="shared" si="15"/>
        <v>140</v>
      </c>
    </row>
    <row r="978" spans="1:6" s="9" customFormat="1" x14ac:dyDescent="0.25">
      <c r="C978" s="5"/>
      <c r="E978" s="10"/>
      <c r="F978" s="8">
        <f>SUM(F977)</f>
        <v>140</v>
      </c>
    </row>
    <row r="979" spans="1:6" s="9" customFormat="1" x14ac:dyDescent="0.25">
      <c r="C979" s="5"/>
      <c r="E979" s="10"/>
      <c r="F979" s="10"/>
    </row>
    <row r="980" spans="1:6" s="9" customFormat="1" x14ac:dyDescent="0.25">
      <c r="A980" s="9" t="s">
        <v>538</v>
      </c>
      <c r="B980" s="4">
        <v>45853</v>
      </c>
      <c r="C980" s="5">
        <v>150</v>
      </c>
      <c r="D980" s="9" t="s">
        <v>22</v>
      </c>
      <c r="E980" s="10">
        <v>115</v>
      </c>
      <c r="F980" s="10">
        <f t="shared" si="15"/>
        <v>17250</v>
      </c>
    </row>
    <row r="981" spans="1:6" s="9" customFormat="1" x14ac:dyDescent="0.25">
      <c r="C981" s="5">
        <v>80</v>
      </c>
      <c r="D981" s="9" t="s">
        <v>11</v>
      </c>
      <c r="E981" s="10">
        <v>123</v>
      </c>
      <c r="F981" s="10">
        <f t="shared" si="15"/>
        <v>9840</v>
      </c>
    </row>
    <row r="982" spans="1:6" s="9" customFormat="1" x14ac:dyDescent="0.25">
      <c r="C982" s="5">
        <v>60</v>
      </c>
      <c r="D982" s="9" t="s">
        <v>13</v>
      </c>
      <c r="E982" s="10">
        <v>135</v>
      </c>
      <c r="F982" s="10">
        <f t="shared" si="15"/>
        <v>8100</v>
      </c>
    </row>
    <row r="983" spans="1:6" s="9" customFormat="1" x14ac:dyDescent="0.25">
      <c r="C983" s="5"/>
      <c r="E983" s="10"/>
      <c r="F983" s="8">
        <f>SUM(F980:F982)</f>
        <v>35190</v>
      </c>
    </row>
    <row r="984" spans="1:6" s="9" customFormat="1" x14ac:dyDescent="0.25">
      <c r="C984" s="5"/>
      <c r="E984" s="10"/>
      <c r="F984" s="10"/>
    </row>
    <row r="985" spans="1:6" s="9" customFormat="1" x14ac:dyDescent="0.25">
      <c r="A985" s="9" t="s">
        <v>116</v>
      </c>
      <c r="B985" s="4">
        <v>45853</v>
      </c>
      <c r="C985" s="5">
        <v>250</v>
      </c>
      <c r="D985" s="9" t="s">
        <v>14</v>
      </c>
      <c r="E985" s="10"/>
      <c r="F985" s="10">
        <f t="shared" si="15"/>
        <v>0</v>
      </c>
    </row>
    <row r="986" spans="1:6" s="9" customFormat="1" x14ac:dyDescent="0.25">
      <c r="C986" s="5">
        <v>250</v>
      </c>
      <c r="D986" s="9" t="s">
        <v>11</v>
      </c>
      <c r="E986" s="10"/>
      <c r="F986" s="10">
        <f t="shared" si="15"/>
        <v>0</v>
      </c>
    </row>
    <row r="987" spans="1:6" s="9" customFormat="1" x14ac:dyDescent="0.25">
      <c r="C987" s="5">
        <v>120</v>
      </c>
      <c r="D987" s="9" t="s">
        <v>98</v>
      </c>
      <c r="E987" s="10"/>
      <c r="F987" s="10">
        <f t="shared" si="15"/>
        <v>0</v>
      </c>
    </row>
    <row r="988" spans="1:6" s="9" customFormat="1" x14ac:dyDescent="0.25">
      <c r="C988" s="5"/>
      <c r="E988" s="10"/>
      <c r="F988" s="8">
        <f>SUM(F985:F987)</f>
        <v>0</v>
      </c>
    </row>
    <row r="989" spans="1:6" s="9" customFormat="1" x14ac:dyDescent="0.25">
      <c r="C989" s="5"/>
      <c r="E989" s="10"/>
      <c r="F989" s="10"/>
    </row>
    <row r="990" spans="1:6" s="9" customFormat="1" x14ac:dyDescent="0.25">
      <c r="A990" s="9" t="s">
        <v>292</v>
      </c>
      <c r="B990" s="4">
        <v>45853</v>
      </c>
      <c r="C990" s="5">
        <v>4</v>
      </c>
      <c r="D990" s="9" t="s">
        <v>13</v>
      </c>
      <c r="E990" s="10">
        <v>135</v>
      </c>
      <c r="F990" s="10">
        <f t="shared" si="15"/>
        <v>540</v>
      </c>
    </row>
    <row r="991" spans="1:6" s="9" customFormat="1" x14ac:dyDescent="0.25">
      <c r="C991" s="5"/>
      <c r="E991" s="10"/>
      <c r="F991" s="8">
        <f>SUM(F990)</f>
        <v>540</v>
      </c>
    </row>
    <row r="992" spans="1:6" s="9" customFormat="1" x14ac:dyDescent="0.25">
      <c r="C992" s="5"/>
      <c r="E992" s="10"/>
      <c r="F992" s="10"/>
    </row>
    <row r="993" spans="1:6" s="9" customFormat="1" x14ac:dyDescent="0.25">
      <c r="A993" s="9" t="s">
        <v>60</v>
      </c>
      <c r="B993" s="4">
        <v>45853</v>
      </c>
      <c r="C993" s="5">
        <v>30</v>
      </c>
      <c r="D993" s="9" t="s">
        <v>13</v>
      </c>
      <c r="E993" s="10">
        <v>140</v>
      </c>
      <c r="F993" s="10">
        <f>SUM(E993)</f>
        <v>140</v>
      </c>
    </row>
    <row r="994" spans="1:6" s="9" customFormat="1" x14ac:dyDescent="0.25">
      <c r="C994" s="5"/>
      <c r="E994" s="10"/>
      <c r="F994" s="8">
        <f>SUM(F993)</f>
        <v>140</v>
      </c>
    </row>
    <row r="995" spans="1:6" s="9" customFormat="1" x14ac:dyDescent="0.25">
      <c r="C995" s="5"/>
      <c r="E995" s="10"/>
      <c r="F995" s="10"/>
    </row>
    <row r="996" spans="1:6" s="9" customFormat="1" x14ac:dyDescent="0.25">
      <c r="A996" s="9" t="s">
        <v>61</v>
      </c>
      <c r="B996" s="4">
        <v>45853</v>
      </c>
      <c r="C996" s="5">
        <v>60</v>
      </c>
      <c r="D996" s="9" t="s">
        <v>13</v>
      </c>
      <c r="E996" s="10">
        <v>140</v>
      </c>
      <c r="F996" s="10">
        <f t="shared" si="15"/>
        <v>8400</v>
      </c>
    </row>
    <row r="997" spans="1:6" s="9" customFormat="1" x14ac:dyDescent="0.25">
      <c r="C997" s="5"/>
      <c r="E997" s="10"/>
      <c r="F997" s="8">
        <f>SUM(F996)</f>
        <v>8400</v>
      </c>
    </row>
    <row r="998" spans="1:6" s="9" customFormat="1" x14ac:dyDescent="0.25">
      <c r="C998" s="5"/>
      <c r="E998" s="10"/>
      <c r="F998" s="10"/>
    </row>
    <row r="999" spans="1:6" s="9" customFormat="1" x14ac:dyDescent="0.25">
      <c r="A999" s="9" t="s">
        <v>87</v>
      </c>
      <c r="B999" s="4">
        <v>45853</v>
      </c>
      <c r="C999" s="5">
        <v>2</v>
      </c>
      <c r="D999" s="9" t="s">
        <v>14</v>
      </c>
      <c r="E999" s="10">
        <v>145</v>
      </c>
      <c r="F999" s="10">
        <f t="shared" si="15"/>
        <v>290</v>
      </c>
    </row>
    <row r="1000" spans="1:6" s="9" customFormat="1" x14ac:dyDescent="0.25">
      <c r="C1000" s="5">
        <v>2</v>
      </c>
      <c r="D1000" s="9" t="s">
        <v>22</v>
      </c>
      <c r="E1000" s="10">
        <v>120</v>
      </c>
      <c r="F1000" s="10">
        <f t="shared" si="15"/>
        <v>240</v>
      </c>
    </row>
    <row r="1001" spans="1:6" s="9" customFormat="1" x14ac:dyDescent="0.25">
      <c r="C1001" s="5"/>
      <c r="E1001" s="10"/>
      <c r="F1001" s="8">
        <f>SUM(F999:F1000)</f>
        <v>530</v>
      </c>
    </row>
    <row r="1002" spans="1:6" s="9" customFormat="1" x14ac:dyDescent="0.25">
      <c r="C1002" s="5"/>
      <c r="E1002" s="10"/>
      <c r="F1002" s="10"/>
    </row>
    <row r="1003" spans="1:6" s="9" customFormat="1" x14ac:dyDescent="0.25">
      <c r="A1003" s="9" t="s">
        <v>64</v>
      </c>
      <c r="B1003" s="4">
        <v>45853</v>
      </c>
      <c r="C1003" s="5">
        <v>20</v>
      </c>
      <c r="D1003" s="9" t="s">
        <v>13</v>
      </c>
      <c r="E1003" s="10">
        <v>145</v>
      </c>
      <c r="F1003" s="10">
        <f t="shared" si="15"/>
        <v>2900</v>
      </c>
    </row>
    <row r="1004" spans="1:6" s="9" customFormat="1" x14ac:dyDescent="0.25">
      <c r="C1004" s="5">
        <v>20</v>
      </c>
      <c r="D1004" s="9" t="s">
        <v>12</v>
      </c>
      <c r="E1004" s="10">
        <v>135</v>
      </c>
      <c r="F1004" s="10">
        <f t="shared" si="15"/>
        <v>2700</v>
      </c>
    </row>
    <row r="1005" spans="1:6" s="9" customFormat="1" x14ac:dyDescent="0.25">
      <c r="C1005" s="5"/>
      <c r="E1005" s="10"/>
      <c r="F1005" s="8">
        <f>SUM(F1003:F1004)</f>
        <v>5600</v>
      </c>
    </row>
    <row r="1006" spans="1:6" s="9" customFormat="1" x14ac:dyDescent="0.25">
      <c r="C1006" s="5"/>
      <c r="E1006" s="10"/>
      <c r="F1006" s="10"/>
    </row>
    <row r="1007" spans="1:6" s="9" customFormat="1" x14ac:dyDescent="0.25">
      <c r="A1007" s="9" t="s">
        <v>661</v>
      </c>
      <c r="B1007" s="4">
        <v>45853</v>
      </c>
      <c r="C1007" s="5">
        <v>6</v>
      </c>
      <c r="D1007" s="9" t="s">
        <v>13</v>
      </c>
      <c r="E1007" s="10">
        <v>150</v>
      </c>
      <c r="F1007" s="10">
        <f t="shared" si="15"/>
        <v>900</v>
      </c>
    </row>
    <row r="1008" spans="1:6" s="9" customFormat="1" x14ac:dyDescent="0.25">
      <c r="C1008" s="5"/>
      <c r="E1008" s="10"/>
      <c r="F1008" s="8">
        <f>SUM(F1007)</f>
        <v>900</v>
      </c>
    </row>
    <row r="1009" spans="1:6" s="9" customFormat="1" x14ac:dyDescent="0.25">
      <c r="C1009" s="5"/>
      <c r="E1009" s="10"/>
      <c r="F1009" s="10"/>
    </row>
    <row r="1010" spans="1:6" s="9" customFormat="1" x14ac:dyDescent="0.25">
      <c r="A1010" s="9" t="s">
        <v>44</v>
      </c>
      <c r="B1010" s="4">
        <v>45853</v>
      </c>
      <c r="C1010" s="5">
        <v>100</v>
      </c>
      <c r="D1010" s="9" t="s">
        <v>13</v>
      </c>
      <c r="E1010" s="10">
        <v>135</v>
      </c>
      <c r="F1010" s="10">
        <f t="shared" si="15"/>
        <v>13500</v>
      </c>
    </row>
    <row r="1011" spans="1:6" s="9" customFormat="1" x14ac:dyDescent="0.25">
      <c r="C1011" s="5"/>
      <c r="E1011" s="10"/>
      <c r="F1011" s="8">
        <f>SUM(F1010)</f>
        <v>13500</v>
      </c>
    </row>
    <row r="1012" spans="1:6" s="9" customFormat="1" x14ac:dyDescent="0.25">
      <c r="C1012" s="5"/>
      <c r="E1012" s="10"/>
      <c r="F1012" s="10"/>
    </row>
    <row r="1013" spans="1:6" s="9" customFormat="1" x14ac:dyDescent="0.25">
      <c r="A1013" s="9" t="s">
        <v>48</v>
      </c>
      <c r="B1013" s="4">
        <v>45853</v>
      </c>
      <c r="C1013" s="5">
        <v>235</v>
      </c>
      <c r="D1013" s="9" t="s">
        <v>14</v>
      </c>
      <c r="E1013" s="10"/>
      <c r="F1013" s="10">
        <f t="shared" si="15"/>
        <v>0</v>
      </c>
    </row>
    <row r="1014" spans="1:6" s="9" customFormat="1" x14ac:dyDescent="0.25">
      <c r="C1014" s="5">
        <v>178</v>
      </c>
      <c r="D1014" s="9" t="s">
        <v>11</v>
      </c>
      <c r="E1014" s="10"/>
      <c r="F1014" s="10">
        <f t="shared" si="15"/>
        <v>0</v>
      </c>
    </row>
    <row r="1015" spans="1:6" s="9" customFormat="1" x14ac:dyDescent="0.25">
      <c r="C1015" s="5">
        <v>10</v>
      </c>
      <c r="D1015" s="9" t="s">
        <v>50</v>
      </c>
      <c r="E1015" s="10"/>
      <c r="F1015" s="10">
        <f t="shared" si="15"/>
        <v>0</v>
      </c>
    </row>
    <row r="1016" spans="1:6" s="9" customFormat="1" x14ac:dyDescent="0.25">
      <c r="C1016" s="5"/>
      <c r="E1016" s="10"/>
      <c r="F1016" s="8">
        <f>SUM(F1013:F1015)</f>
        <v>0</v>
      </c>
    </row>
    <row r="1017" spans="1:6" s="9" customFormat="1" x14ac:dyDescent="0.25">
      <c r="C1017" s="5"/>
      <c r="E1017" s="10"/>
      <c r="F1017" s="10"/>
    </row>
    <row r="1018" spans="1:6" s="9" customFormat="1" x14ac:dyDescent="0.25">
      <c r="A1018" s="9" t="s">
        <v>29</v>
      </c>
      <c r="B1018" s="4">
        <v>45853</v>
      </c>
      <c r="C1018" s="5">
        <v>3</v>
      </c>
      <c r="D1018" s="9" t="s">
        <v>790</v>
      </c>
      <c r="E1018" s="10">
        <v>145</v>
      </c>
      <c r="F1018" s="10">
        <f t="shared" si="15"/>
        <v>435</v>
      </c>
    </row>
    <row r="1019" spans="1:6" s="9" customFormat="1" x14ac:dyDescent="0.25">
      <c r="C1019" s="5">
        <v>1</v>
      </c>
      <c r="D1019" s="9" t="s">
        <v>13</v>
      </c>
      <c r="E1019" s="10">
        <v>160</v>
      </c>
      <c r="F1019" s="10">
        <f t="shared" si="15"/>
        <v>160</v>
      </c>
    </row>
    <row r="1020" spans="1:6" s="9" customFormat="1" x14ac:dyDescent="0.25">
      <c r="C1020" s="5">
        <v>1</v>
      </c>
      <c r="D1020" s="9" t="s">
        <v>12</v>
      </c>
      <c r="E1020" s="10">
        <v>150</v>
      </c>
      <c r="F1020" s="10">
        <f t="shared" si="15"/>
        <v>150</v>
      </c>
    </row>
    <row r="1021" spans="1:6" s="9" customFormat="1" x14ac:dyDescent="0.25">
      <c r="C1021" s="5">
        <v>1</v>
      </c>
      <c r="D1021" s="9" t="s">
        <v>12</v>
      </c>
      <c r="E1021" s="10">
        <v>150</v>
      </c>
      <c r="F1021" s="10">
        <f t="shared" si="15"/>
        <v>150</v>
      </c>
    </row>
    <row r="1022" spans="1:6" s="9" customFormat="1" x14ac:dyDescent="0.25">
      <c r="C1022" s="11">
        <v>0.5</v>
      </c>
      <c r="D1022" s="9" t="s">
        <v>22</v>
      </c>
      <c r="E1022" s="10">
        <v>120</v>
      </c>
      <c r="F1022" s="10">
        <f t="shared" si="15"/>
        <v>60</v>
      </c>
    </row>
    <row r="1023" spans="1:6" s="9" customFormat="1" x14ac:dyDescent="0.25">
      <c r="C1023" s="5">
        <v>2</v>
      </c>
      <c r="D1023" s="9" t="s">
        <v>8</v>
      </c>
      <c r="E1023" s="10">
        <v>170</v>
      </c>
      <c r="F1023" s="10">
        <f t="shared" si="15"/>
        <v>340</v>
      </c>
    </row>
    <row r="1024" spans="1:6" s="9" customFormat="1" x14ac:dyDescent="0.25">
      <c r="C1024" s="5"/>
      <c r="E1024" s="10"/>
      <c r="F1024" s="8">
        <f>SUM(F1018:F1023)</f>
        <v>1295</v>
      </c>
    </row>
    <row r="1025" spans="1:6" s="9" customFormat="1" x14ac:dyDescent="0.25">
      <c r="C1025" s="5"/>
      <c r="E1025" s="10"/>
      <c r="F1025" s="10"/>
    </row>
    <row r="1026" spans="1:6" s="9" customFormat="1" x14ac:dyDescent="0.25">
      <c r="A1026" s="9" t="s">
        <v>58</v>
      </c>
      <c r="B1026" s="4">
        <v>45854</v>
      </c>
      <c r="C1026" s="5">
        <v>10</v>
      </c>
      <c r="D1026" s="9" t="s">
        <v>13</v>
      </c>
      <c r="E1026" s="10">
        <v>140</v>
      </c>
      <c r="F1026" s="10">
        <f t="shared" si="15"/>
        <v>1400</v>
      </c>
    </row>
    <row r="1027" spans="1:6" s="9" customFormat="1" x14ac:dyDescent="0.25">
      <c r="C1027" s="5"/>
      <c r="E1027" s="10"/>
      <c r="F1027" s="8">
        <f>SUM(F1026)</f>
        <v>1400</v>
      </c>
    </row>
    <row r="1028" spans="1:6" s="9" customFormat="1" x14ac:dyDescent="0.25">
      <c r="C1028" s="5"/>
      <c r="E1028" s="10"/>
      <c r="F1028" s="10"/>
    </row>
    <row r="1029" spans="1:6" s="9" customFormat="1" x14ac:dyDescent="0.25">
      <c r="A1029" s="9" t="s">
        <v>514</v>
      </c>
      <c r="B1029" s="4">
        <v>45854</v>
      </c>
      <c r="C1029" s="5">
        <v>10</v>
      </c>
      <c r="D1029" s="9" t="s">
        <v>98</v>
      </c>
      <c r="E1029" s="10">
        <v>100</v>
      </c>
      <c r="F1029" s="10">
        <f t="shared" si="15"/>
        <v>1000</v>
      </c>
    </row>
    <row r="1030" spans="1:6" s="9" customFormat="1" x14ac:dyDescent="0.25">
      <c r="C1030" s="5"/>
      <c r="E1030" s="10"/>
      <c r="F1030" s="8">
        <f>SUM(F1029)</f>
        <v>1000</v>
      </c>
    </row>
    <row r="1031" spans="1:6" s="9" customFormat="1" x14ac:dyDescent="0.25">
      <c r="C1031" s="5"/>
      <c r="E1031" s="10"/>
      <c r="F1031" s="10"/>
    </row>
    <row r="1032" spans="1:6" s="9" customFormat="1" x14ac:dyDescent="0.25">
      <c r="A1032" s="9" t="s">
        <v>15</v>
      </c>
      <c r="B1032" s="4">
        <v>45854</v>
      </c>
      <c r="C1032" s="5">
        <v>38</v>
      </c>
      <c r="D1032" s="9" t="s">
        <v>98</v>
      </c>
      <c r="E1032" s="10">
        <v>80</v>
      </c>
      <c r="F1032" s="10">
        <f t="shared" si="15"/>
        <v>3040</v>
      </c>
    </row>
    <row r="1033" spans="1:6" s="9" customFormat="1" x14ac:dyDescent="0.25">
      <c r="C1033" s="5"/>
      <c r="E1033" s="10"/>
      <c r="F1033" s="8">
        <f>SUM(F1032)</f>
        <v>3040</v>
      </c>
    </row>
    <row r="1034" spans="1:6" s="9" customFormat="1" x14ac:dyDescent="0.25">
      <c r="C1034" s="5"/>
      <c r="E1034" s="10"/>
      <c r="F1034" s="10"/>
    </row>
    <row r="1035" spans="1:6" s="9" customFormat="1" x14ac:dyDescent="0.25">
      <c r="A1035" s="9" t="s">
        <v>69</v>
      </c>
      <c r="B1035" s="4">
        <v>45854</v>
      </c>
      <c r="C1035" s="5">
        <v>10</v>
      </c>
      <c r="D1035" s="9" t="s">
        <v>98</v>
      </c>
      <c r="E1035" s="10">
        <v>100</v>
      </c>
      <c r="F1035" s="10">
        <f t="shared" ref="F1035:F1097" si="16">+C1035*E1035</f>
        <v>1000</v>
      </c>
    </row>
    <row r="1036" spans="1:6" s="9" customFormat="1" x14ac:dyDescent="0.25">
      <c r="C1036" s="5"/>
      <c r="E1036" s="10"/>
      <c r="F1036" s="8">
        <f>SUM(F1035)</f>
        <v>1000</v>
      </c>
    </row>
    <row r="1037" spans="1:6" s="9" customFormat="1" x14ac:dyDescent="0.25">
      <c r="C1037" s="5"/>
      <c r="E1037" s="10"/>
      <c r="F1037" s="10"/>
    </row>
    <row r="1038" spans="1:6" s="9" customFormat="1" x14ac:dyDescent="0.25">
      <c r="A1038" s="9" t="s">
        <v>17</v>
      </c>
      <c r="B1038" s="4">
        <v>45854</v>
      </c>
      <c r="C1038" s="5">
        <v>10</v>
      </c>
      <c r="D1038" s="9" t="s">
        <v>13</v>
      </c>
      <c r="E1038" s="10">
        <v>145</v>
      </c>
      <c r="F1038" s="10">
        <f t="shared" si="16"/>
        <v>1450</v>
      </c>
    </row>
    <row r="1039" spans="1:6" s="9" customFormat="1" x14ac:dyDescent="0.25">
      <c r="C1039" s="5"/>
      <c r="E1039" s="10"/>
      <c r="F1039" s="8">
        <f>SUM(F1038)</f>
        <v>1450</v>
      </c>
    </row>
    <row r="1040" spans="1:6" s="9" customFormat="1" x14ac:dyDescent="0.25">
      <c r="C1040" s="5"/>
      <c r="E1040" s="10"/>
      <c r="F1040" s="10"/>
    </row>
    <row r="1041" spans="1:6" s="9" customFormat="1" x14ac:dyDescent="0.25">
      <c r="A1041" s="9" t="s">
        <v>20</v>
      </c>
      <c r="B1041" s="4">
        <v>45854</v>
      </c>
      <c r="C1041" s="5">
        <v>20</v>
      </c>
      <c r="D1041" s="9" t="s">
        <v>13</v>
      </c>
      <c r="E1041" s="10">
        <v>145</v>
      </c>
      <c r="F1041" s="10">
        <f t="shared" si="16"/>
        <v>2900</v>
      </c>
    </row>
    <row r="1042" spans="1:6" s="9" customFormat="1" x14ac:dyDescent="0.25">
      <c r="C1042" s="5"/>
      <c r="E1042" s="10"/>
      <c r="F1042" s="8">
        <f>SUM(F1041)</f>
        <v>2900</v>
      </c>
    </row>
    <row r="1043" spans="1:6" s="9" customFormat="1" x14ac:dyDescent="0.25">
      <c r="C1043" s="5"/>
      <c r="E1043" s="10"/>
      <c r="F1043" s="10"/>
    </row>
    <row r="1044" spans="1:6" s="9" customFormat="1" x14ac:dyDescent="0.25">
      <c r="A1044" s="9" t="s">
        <v>427</v>
      </c>
      <c r="B1044" s="4">
        <v>45854</v>
      </c>
      <c r="C1044" s="5">
        <v>10</v>
      </c>
      <c r="D1044" s="9" t="s">
        <v>13</v>
      </c>
      <c r="E1044" s="10">
        <v>145</v>
      </c>
      <c r="F1044" s="10">
        <f t="shared" si="16"/>
        <v>1450</v>
      </c>
    </row>
    <row r="1045" spans="1:6" s="9" customFormat="1" x14ac:dyDescent="0.25">
      <c r="C1045" s="5"/>
      <c r="E1045" s="10"/>
      <c r="F1045" s="8">
        <f>SUM(F1044)</f>
        <v>1450</v>
      </c>
    </row>
    <row r="1046" spans="1:6" s="9" customFormat="1" x14ac:dyDescent="0.25">
      <c r="C1046" s="5"/>
      <c r="E1046" s="10"/>
      <c r="F1046" s="10"/>
    </row>
    <row r="1047" spans="1:6" s="9" customFormat="1" x14ac:dyDescent="0.25">
      <c r="A1047" s="9" t="s">
        <v>673</v>
      </c>
      <c r="B1047" s="4">
        <v>45854</v>
      </c>
      <c r="C1047" s="5">
        <v>20</v>
      </c>
      <c r="D1047" s="9" t="s">
        <v>13</v>
      </c>
      <c r="E1047" s="10">
        <v>145</v>
      </c>
      <c r="F1047" s="10">
        <f t="shared" si="16"/>
        <v>2900</v>
      </c>
    </row>
    <row r="1048" spans="1:6" s="9" customFormat="1" x14ac:dyDescent="0.25">
      <c r="C1048" s="5">
        <v>20</v>
      </c>
      <c r="D1048" s="9" t="s">
        <v>12</v>
      </c>
      <c r="E1048" s="10">
        <v>135</v>
      </c>
      <c r="F1048" s="10">
        <f t="shared" si="16"/>
        <v>2700</v>
      </c>
    </row>
    <row r="1049" spans="1:6" s="9" customFormat="1" x14ac:dyDescent="0.25">
      <c r="C1049" s="5">
        <v>28.5</v>
      </c>
      <c r="D1049" s="9" t="s">
        <v>22</v>
      </c>
      <c r="E1049" s="10">
        <v>115</v>
      </c>
      <c r="F1049" s="10">
        <f t="shared" si="16"/>
        <v>3277.5</v>
      </c>
    </row>
    <row r="1050" spans="1:6" s="9" customFormat="1" x14ac:dyDescent="0.25">
      <c r="C1050" s="5"/>
      <c r="E1050" s="10"/>
      <c r="F1050" s="8">
        <f>SUM(F1047:F1049)</f>
        <v>8877.5</v>
      </c>
    </row>
    <row r="1051" spans="1:6" s="9" customFormat="1" x14ac:dyDescent="0.25">
      <c r="C1051" s="5"/>
      <c r="E1051" s="10"/>
      <c r="F1051" s="10"/>
    </row>
    <row r="1052" spans="1:6" s="9" customFormat="1" x14ac:dyDescent="0.25">
      <c r="A1052" s="9" t="s">
        <v>367</v>
      </c>
      <c r="B1052" s="4">
        <v>45854</v>
      </c>
      <c r="C1052" s="5">
        <v>10</v>
      </c>
      <c r="D1052" s="9" t="s">
        <v>13</v>
      </c>
      <c r="E1052" s="10">
        <v>145</v>
      </c>
      <c r="F1052" s="10">
        <f t="shared" si="16"/>
        <v>1450</v>
      </c>
    </row>
    <row r="1053" spans="1:6" s="9" customFormat="1" x14ac:dyDescent="0.25">
      <c r="C1053" s="5">
        <v>10</v>
      </c>
      <c r="D1053" s="9" t="s">
        <v>14</v>
      </c>
      <c r="E1053" s="10">
        <v>140</v>
      </c>
      <c r="F1053" s="10">
        <f t="shared" si="16"/>
        <v>1400</v>
      </c>
    </row>
    <row r="1054" spans="1:6" s="9" customFormat="1" x14ac:dyDescent="0.25">
      <c r="C1054" s="5"/>
      <c r="E1054" s="10"/>
      <c r="F1054" s="8">
        <f>SUM(F1052:F1053)</f>
        <v>2850</v>
      </c>
    </row>
    <row r="1055" spans="1:6" s="9" customFormat="1" x14ac:dyDescent="0.25">
      <c r="C1055" s="5"/>
      <c r="E1055" s="10"/>
      <c r="F1055" s="10"/>
    </row>
    <row r="1056" spans="1:6" s="9" customFormat="1" x14ac:dyDescent="0.25">
      <c r="A1056" s="9" t="s">
        <v>791</v>
      </c>
      <c r="B1056" s="4">
        <v>45854</v>
      </c>
      <c r="C1056" s="5">
        <v>14</v>
      </c>
      <c r="D1056" s="9" t="s">
        <v>22</v>
      </c>
      <c r="E1056" s="10">
        <v>115</v>
      </c>
      <c r="F1056" s="10">
        <f t="shared" si="16"/>
        <v>1610</v>
      </c>
    </row>
    <row r="1057" spans="1:6" s="9" customFormat="1" x14ac:dyDescent="0.25">
      <c r="C1057" s="5"/>
      <c r="E1057" s="10"/>
      <c r="F1057" s="8">
        <f>SUM(F1056)</f>
        <v>1610</v>
      </c>
    </row>
    <row r="1058" spans="1:6" s="9" customFormat="1" x14ac:dyDescent="0.25">
      <c r="C1058" s="5"/>
      <c r="E1058" s="10"/>
      <c r="F1058" s="10"/>
    </row>
    <row r="1059" spans="1:6" s="9" customFormat="1" x14ac:dyDescent="0.25">
      <c r="A1059" s="9" t="s">
        <v>25</v>
      </c>
      <c r="B1059" s="4">
        <v>45854</v>
      </c>
      <c r="C1059" s="5">
        <v>20</v>
      </c>
      <c r="D1059" s="9" t="s">
        <v>8</v>
      </c>
      <c r="E1059" s="10">
        <v>160</v>
      </c>
      <c r="F1059" s="10">
        <f t="shared" si="16"/>
        <v>3200</v>
      </c>
    </row>
    <row r="1060" spans="1:6" s="9" customFormat="1" x14ac:dyDescent="0.25">
      <c r="C1060" s="5">
        <v>50</v>
      </c>
      <c r="D1060" s="9" t="s">
        <v>22</v>
      </c>
      <c r="E1060" s="10">
        <v>115</v>
      </c>
      <c r="F1060" s="10">
        <f t="shared" si="16"/>
        <v>5750</v>
      </c>
    </row>
    <row r="1061" spans="1:6" s="9" customFormat="1" x14ac:dyDescent="0.25">
      <c r="C1061" s="5"/>
      <c r="E1061" s="10"/>
      <c r="F1061" s="8">
        <f>SUM(F1059:F1060)</f>
        <v>8950</v>
      </c>
    </row>
    <row r="1062" spans="1:6" s="9" customFormat="1" x14ac:dyDescent="0.25">
      <c r="C1062" s="5"/>
      <c r="E1062" s="10"/>
      <c r="F1062" s="10"/>
    </row>
    <row r="1063" spans="1:6" s="9" customFormat="1" x14ac:dyDescent="0.25">
      <c r="A1063" s="9" t="s">
        <v>40</v>
      </c>
      <c r="B1063" s="4">
        <v>45854</v>
      </c>
      <c r="C1063" s="5">
        <v>15</v>
      </c>
      <c r="D1063" s="9" t="s">
        <v>8</v>
      </c>
      <c r="E1063" s="10">
        <v>160</v>
      </c>
      <c r="F1063" s="10">
        <f t="shared" si="16"/>
        <v>2400</v>
      </c>
    </row>
    <row r="1064" spans="1:6" s="9" customFormat="1" x14ac:dyDescent="0.25">
      <c r="C1064" s="5">
        <v>15</v>
      </c>
      <c r="D1064" s="9" t="s">
        <v>22</v>
      </c>
      <c r="E1064" s="10">
        <v>115</v>
      </c>
      <c r="F1064" s="10">
        <f t="shared" si="16"/>
        <v>1725</v>
      </c>
    </row>
    <row r="1065" spans="1:6" s="9" customFormat="1" x14ac:dyDescent="0.25">
      <c r="C1065" s="5">
        <v>10</v>
      </c>
      <c r="D1065" s="9" t="s">
        <v>14</v>
      </c>
      <c r="E1065" s="10">
        <v>140</v>
      </c>
      <c r="F1065" s="10">
        <f t="shared" si="16"/>
        <v>1400</v>
      </c>
    </row>
    <row r="1066" spans="1:6" s="9" customFormat="1" x14ac:dyDescent="0.25">
      <c r="C1066" s="5">
        <v>10</v>
      </c>
      <c r="D1066" s="9" t="s">
        <v>50</v>
      </c>
      <c r="E1066" s="10">
        <v>110</v>
      </c>
      <c r="F1066" s="10">
        <f t="shared" si="16"/>
        <v>1100</v>
      </c>
    </row>
    <row r="1067" spans="1:6" s="9" customFormat="1" x14ac:dyDescent="0.25">
      <c r="C1067" s="5"/>
      <c r="E1067" s="10"/>
      <c r="F1067" s="8">
        <f>SUM(F1063:F1066)</f>
        <v>6625</v>
      </c>
    </row>
    <row r="1068" spans="1:6" s="9" customFormat="1" x14ac:dyDescent="0.25">
      <c r="C1068" s="5"/>
      <c r="E1068" s="10"/>
      <c r="F1068" s="10"/>
    </row>
    <row r="1069" spans="1:6" s="9" customFormat="1" x14ac:dyDescent="0.25">
      <c r="A1069" s="9" t="s">
        <v>18</v>
      </c>
      <c r="B1069" s="4">
        <v>45854</v>
      </c>
      <c r="C1069" s="5">
        <v>10</v>
      </c>
      <c r="D1069" s="9" t="s">
        <v>13</v>
      </c>
      <c r="E1069" s="10">
        <v>145</v>
      </c>
      <c r="F1069" s="10">
        <f t="shared" si="16"/>
        <v>1450</v>
      </c>
    </row>
    <row r="1070" spans="1:6" s="9" customFormat="1" x14ac:dyDescent="0.25">
      <c r="C1070" s="5">
        <v>3</v>
      </c>
      <c r="D1070" s="9" t="s">
        <v>12</v>
      </c>
      <c r="E1070" s="10">
        <v>135</v>
      </c>
      <c r="F1070" s="10">
        <f t="shared" si="16"/>
        <v>405</v>
      </c>
    </row>
    <row r="1071" spans="1:6" s="9" customFormat="1" x14ac:dyDescent="0.25">
      <c r="C1071" s="5">
        <v>1</v>
      </c>
      <c r="D1071" s="9" t="s">
        <v>22</v>
      </c>
      <c r="E1071" s="10">
        <v>115</v>
      </c>
      <c r="F1071" s="10">
        <f t="shared" si="16"/>
        <v>115</v>
      </c>
    </row>
    <row r="1072" spans="1:6" s="9" customFormat="1" x14ac:dyDescent="0.25">
      <c r="C1072" s="5"/>
      <c r="E1072" s="10"/>
      <c r="F1072" s="8">
        <f>SUM(F1069:F1071)</f>
        <v>1970</v>
      </c>
    </row>
    <row r="1073" spans="1:6" s="9" customFormat="1" x14ac:dyDescent="0.25">
      <c r="C1073" s="5"/>
      <c r="E1073" s="10"/>
      <c r="F1073" s="10"/>
    </row>
    <row r="1074" spans="1:6" s="9" customFormat="1" x14ac:dyDescent="0.25">
      <c r="A1074" s="9" t="s">
        <v>41</v>
      </c>
      <c r="B1074" s="4">
        <v>45854</v>
      </c>
      <c r="C1074" s="5">
        <v>30</v>
      </c>
      <c r="D1074" s="9" t="s">
        <v>14</v>
      </c>
      <c r="E1074" s="10">
        <v>135</v>
      </c>
      <c r="F1074" s="10">
        <f t="shared" si="16"/>
        <v>4050</v>
      </c>
    </row>
    <row r="1075" spans="1:6" s="9" customFormat="1" x14ac:dyDescent="0.25">
      <c r="C1075" s="5"/>
      <c r="E1075" s="10"/>
      <c r="F1075" s="8">
        <f>SUM(F1074)</f>
        <v>4050</v>
      </c>
    </row>
    <row r="1076" spans="1:6" s="9" customFormat="1" x14ac:dyDescent="0.25">
      <c r="C1076" s="5"/>
      <c r="E1076" s="10"/>
      <c r="F1076" s="10"/>
    </row>
    <row r="1077" spans="1:6" s="9" customFormat="1" x14ac:dyDescent="0.25">
      <c r="A1077" s="9" t="s">
        <v>792</v>
      </c>
      <c r="B1077" s="4">
        <v>45854</v>
      </c>
      <c r="C1077" s="5">
        <v>18</v>
      </c>
      <c r="D1077" s="9" t="s">
        <v>14</v>
      </c>
      <c r="E1077" s="10">
        <v>135</v>
      </c>
      <c r="F1077" s="10">
        <f t="shared" si="16"/>
        <v>2430</v>
      </c>
    </row>
    <row r="1078" spans="1:6" s="9" customFormat="1" x14ac:dyDescent="0.25">
      <c r="C1078" s="5">
        <v>30</v>
      </c>
      <c r="D1078" s="9" t="s">
        <v>11</v>
      </c>
      <c r="E1078" s="10">
        <v>135</v>
      </c>
      <c r="F1078" s="10">
        <f t="shared" si="16"/>
        <v>4050</v>
      </c>
    </row>
    <row r="1079" spans="1:6" s="9" customFormat="1" x14ac:dyDescent="0.25">
      <c r="C1079" s="5"/>
      <c r="E1079" s="10"/>
      <c r="F1079" s="8">
        <f>SUM(F1077:F1078)</f>
        <v>6480</v>
      </c>
    </row>
    <row r="1080" spans="1:6" s="9" customFormat="1" x14ac:dyDescent="0.25">
      <c r="C1080" s="5"/>
      <c r="E1080" s="10"/>
      <c r="F1080" s="10"/>
    </row>
    <row r="1081" spans="1:6" s="9" customFormat="1" x14ac:dyDescent="0.25">
      <c r="A1081" s="9" t="s">
        <v>43</v>
      </c>
      <c r="B1081" s="4">
        <v>45854</v>
      </c>
      <c r="C1081" s="5">
        <v>68</v>
      </c>
      <c r="D1081" s="9" t="s">
        <v>49</v>
      </c>
      <c r="E1081" s="10">
        <v>145</v>
      </c>
      <c r="F1081" s="10">
        <f t="shared" si="16"/>
        <v>9860</v>
      </c>
    </row>
    <row r="1082" spans="1:6" s="9" customFormat="1" x14ac:dyDescent="0.25">
      <c r="C1082" s="5"/>
      <c r="E1082" s="10"/>
      <c r="F1082" s="8">
        <f>SUM(F1081)</f>
        <v>9860</v>
      </c>
    </row>
    <row r="1083" spans="1:6" s="9" customFormat="1" x14ac:dyDescent="0.25">
      <c r="C1083" s="5"/>
      <c r="E1083" s="10"/>
      <c r="F1083" s="10"/>
    </row>
    <row r="1084" spans="1:6" s="9" customFormat="1" x14ac:dyDescent="0.25">
      <c r="A1084" s="9" t="s">
        <v>44</v>
      </c>
      <c r="B1084" s="4">
        <v>45854</v>
      </c>
      <c r="C1084" s="5">
        <v>50</v>
      </c>
      <c r="D1084" s="9" t="s">
        <v>14</v>
      </c>
      <c r="E1084" s="10">
        <v>140</v>
      </c>
      <c r="F1084" s="10">
        <f t="shared" si="16"/>
        <v>7000</v>
      </c>
    </row>
    <row r="1085" spans="1:6" s="9" customFormat="1" x14ac:dyDescent="0.25">
      <c r="C1085" s="5"/>
      <c r="E1085" s="10"/>
      <c r="F1085" s="8">
        <f>SUM(F1084)</f>
        <v>7000</v>
      </c>
    </row>
    <row r="1086" spans="1:6" s="9" customFormat="1" x14ac:dyDescent="0.25">
      <c r="C1086" s="5"/>
      <c r="E1086" s="10"/>
      <c r="F1086" s="10"/>
    </row>
    <row r="1087" spans="1:6" s="9" customFormat="1" x14ac:dyDescent="0.25">
      <c r="A1087" s="9" t="s">
        <v>18</v>
      </c>
      <c r="B1087" s="4">
        <v>45854</v>
      </c>
      <c r="C1087" s="5">
        <v>10</v>
      </c>
      <c r="D1087" s="9" t="s">
        <v>13</v>
      </c>
      <c r="E1087" s="10">
        <v>140</v>
      </c>
      <c r="F1087" s="10">
        <f t="shared" si="16"/>
        <v>1400</v>
      </c>
    </row>
    <row r="1088" spans="1:6" s="9" customFormat="1" x14ac:dyDescent="0.25">
      <c r="C1088" s="5">
        <v>10</v>
      </c>
      <c r="D1088" s="9" t="s">
        <v>11</v>
      </c>
      <c r="E1088" s="10">
        <v>130</v>
      </c>
      <c r="F1088" s="10">
        <f t="shared" si="16"/>
        <v>1300</v>
      </c>
    </row>
    <row r="1089" spans="1:6" s="9" customFormat="1" x14ac:dyDescent="0.25">
      <c r="C1089" s="5"/>
      <c r="E1089" s="10"/>
      <c r="F1089" s="8">
        <f>SUM(F1087:F1088)</f>
        <v>2700</v>
      </c>
    </row>
    <row r="1090" spans="1:6" s="9" customFormat="1" x14ac:dyDescent="0.25">
      <c r="C1090" s="5"/>
      <c r="E1090" s="10"/>
      <c r="F1090" s="10"/>
    </row>
    <row r="1091" spans="1:6" s="9" customFormat="1" x14ac:dyDescent="0.25">
      <c r="A1091" s="9" t="s">
        <v>46</v>
      </c>
      <c r="B1091" s="4">
        <v>45854</v>
      </c>
      <c r="C1091" s="5">
        <v>20</v>
      </c>
      <c r="D1091" s="9" t="s">
        <v>14</v>
      </c>
      <c r="E1091" s="10">
        <v>140</v>
      </c>
      <c r="F1091" s="10">
        <f t="shared" si="16"/>
        <v>2800</v>
      </c>
    </row>
    <row r="1092" spans="1:6" s="9" customFormat="1" x14ac:dyDescent="0.25">
      <c r="C1092" s="5"/>
      <c r="E1092" s="10"/>
      <c r="F1092" s="8">
        <f>SUM(F1091)</f>
        <v>2800</v>
      </c>
    </row>
    <row r="1093" spans="1:6" s="9" customFormat="1" x14ac:dyDescent="0.25">
      <c r="C1093" s="5"/>
      <c r="E1093" s="10"/>
      <c r="F1093" s="10"/>
    </row>
    <row r="1094" spans="1:6" s="9" customFormat="1" x14ac:dyDescent="0.25">
      <c r="A1094" s="9" t="s">
        <v>47</v>
      </c>
      <c r="B1094" s="4">
        <v>45854</v>
      </c>
      <c r="C1094" s="5">
        <v>14</v>
      </c>
      <c r="D1094" s="9" t="s">
        <v>14</v>
      </c>
      <c r="E1094" s="10">
        <v>140</v>
      </c>
      <c r="F1094" s="10">
        <f t="shared" si="16"/>
        <v>1960</v>
      </c>
    </row>
    <row r="1095" spans="1:6" s="9" customFormat="1" x14ac:dyDescent="0.25">
      <c r="C1095" s="5"/>
      <c r="E1095" s="10"/>
      <c r="F1095" s="8">
        <f>SUM(F1094)</f>
        <v>1960</v>
      </c>
    </row>
    <row r="1096" spans="1:6" s="9" customFormat="1" x14ac:dyDescent="0.25">
      <c r="C1096" s="5"/>
      <c r="E1096" s="10"/>
      <c r="F1096" s="10"/>
    </row>
    <row r="1097" spans="1:6" s="9" customFormat="1" x14ac:dyDescent="0.25">
      <c r="A1097" s="9" t="s">
        <v>253</v>
      </c>
      <c r="B1097" s="4">
        <v>45854</v>
      </c>
      <c r="C1097" s="5">
        <v>20</v>
      </c>
      <c r="D1097" s="9" t="s">
        <v>14</v>
      </c>
      <c r="E1097" s="10">
        <v>140</v>
      </c>
      <c r="F1097" s="10">
        <f t="shared" si="16"/>
        <v>2800</v>
      </c>
    </row>
    <row r="1098" spans="1:6" s="9" customFormat="1" x14ac:dyDescent="0.25">
      <c r="C1098" s="5"/>
      <c r="E1098" s="10"/>
      <c r="F1098" s="8">
        <f>SUM(F1097)</f>
        <v>2800</v>
      </c>
    </row>
    <row r="1099" spans="1:6" s="9" customFormat="1" x14ac:dyDescent="0.25">
      <c r="C1099" s="5"/>
      <c r="E1099" s="10"/>
      <c r="F1099" s="10"/>
    </row>
    <row r="1100" spans="1:6" s="9" customFormat="1" x14ac:dyDescent="0.25">
      <c r="A1100" s="9" t="s">
        <v>117</v>
      </c>
      <c r="B1100" s="4">
        <v>45854</v>
      </c>
      <c r="C1100" s="5">
        <v>5</v>
      </c>
      <c r="D1100" s="9" t="s">
        <v>13</v>
      </c>
      <c r="E1100" s="10">
        <v>150</v>
      </c>
      <c r="F1100" s="10">
        <f t="shared" ref="F1100:F1169" si="17">+C1100*E1100</f>
        <v>750</v>
      </c>
    </row>
    <row r="1101" spans="1:6" s="9" customFormat="1" x14ac:dyDescent="0.25">
      <c r="C1101" s="5"/>
      <c r="E1101" s="10"/>
      <c r="F1101" s="8">
        <f>SUM(F1100)</f>
        <v>750</v>
      </c>
    </row>
    <row r="1102" spans="1:6" s="9" customFormat="1" x14ac:dyDescent="0.25">
      <c r="C1102" s="5"/>
      <c r="E1102" s="10"/>
      <c r="F1102" s="10"/>
    </row>
    <row r="1103" spans="1:6" s="9" customFormat="1" x14ac:dyDescent="0.25">
      <c r="A1103" s="9" t="s">
        <v>103</v>
      </c>
      <c r="B1103" s="4">
        <v>45854</v>
      </c>
      <c r="C1103" s="5">
        <v>4</v>
      </c>
      <c r="D1103" s="9" t="s">
        <v>13</v>
      </c>
      <c r="E1103" s="10">
        <v>150</v>
      </c>
      <c r="F1103" s="10">
        <f t="shared" si="17"/>
        <v>600</v>
      </c>
    </row>
    <row r="1104" spans="1:6" s="9" customFormat="1" x14ac:dyDescent="0.25">
      <c r="C1104" s="5"/>
      <c r="E1104" s="10"/>
      <c r="F1104" s="8">
        <f>SUM(F1103)</f>
        <v>600</v>
      </c>
    </row>
    <row r="1105" spans="1:6" s="9" customFormat="1" x14ac:dyDescent="0.25">
      <c r="C1105" s="5"/>
      <c r="E1105" s="10"/>
      <c r="F1105" s="10"/>
    </row>
    <row r="1106" spans="1:6" s="9" customFormat="1" x14ac:dyDescent="0.25">
      <c r="A1106" s="9" t="s">
        <v>32</v>
      </c>
      <c r="B1106" s="4">
        <v>45854</v>
      </c>
      <c r="C1106" s="5">
        <v>30</v>
      </c>
      <c r="D1106" s="9" t="s">
        <v>13</v>
      </c>
      <c r="E1106" s="10">
        <v>140</v>
      </c>
      <c r="F1106" s="10">
        <f t="shared" si="17"/>
        <v>4200</v>
      </c>
    </row>
    <row r="1107" spans="1:6" s="9" customFormat="1" x14ac:dyDescent="0.25">
      <c r="C1107" s="5"/>
      <c r="E1107" s="10"/>
      <c r="F1107" s="8">
        <f>SUM(F1106)</f>
        <v>4200</v>
      </c>
    </row>
    <row r="1108" spans="1:6" s="9" customFormat="1" x14ac:dyDescent="0.25">
      <c r="C1108" s="5"/>
      <c r="E1108" s="10"/>
      <c r="F1108" s="10"/>
    </row>
    <row r="1109" spans="1:6" s="9" customFormat="1" x14ac:dyDescent="0.25">
      <c r="A1109" s="9" t="s">
        <v>32</v>
      </c>
      <c r="B1109" s="4">
        <v>45854</v>
      </c>
      <c r="C1109" s="5">
        <v>10</v>
      </c>
      <c r="D1109" s="9" t="s">
        <v>13</v>
      </c>
      <c r="E1109" s="10">
        <v>140</v>
      </c>
      <c r="F1109" s="10">
        <f t="shared" si="17"/>
        <v>1400</v>
      </c>
    </row>
    <row r="1110" spans="1:6" s="9" customFormat="1" x14ac:dyDescent="0.25">
      <c r="C1110" s="5"/>
      <c r="E1110" s="10"/>
      <c r="F1110" s="8">
        <f>SUM(F1109)</f>
        <v>1400</v>
      </c>
    </row>
    <row r="1111" spans="1:6" s="9" customFormat="1" x14ac:dyDescent="0.25">
      <c r="C1111" s="5"/>
      <c r="E1111" s="10"/>
      <c r="F1111" s="10"/>
    </row>
    <row r="1112" spans="1:6" s="9" customFormat="1" x14ac:dyDescent="0.25">
      <c r="A1112" s="9" t="s">
        <v>72</v>
      </c>
      <c r="B1112" s="4">
        <v>45854</v>
      </c>
      <c r="C1112" s="5">
        <v>250</v>
      </c>
      <c r="D1112" s="9" t="s">
        <v>13</v>
      </c>
      <c r="E1112" s="10">
        <v>135</v>
      </c>
      <c r="F1112" s="10">
        <f t="shared" si="17"/>
        <v>33750</v>
      </c>
    </row>
    <row r="1113" spans="1:6" s="9" customFormat="1" x14ac:dyDescent="0.25">
      <c r="C1113" s="5">
        <v>100</v>
      </c>
      <c r="D1113" s="9" t="s">
        <v>12</v>
      </c>
      <c r="E1113" s="10">
        <v>120</v>
      </c>
      <c r="F1113" s="10">
        <f t="shared" si="17"/>
        <v>12000</v>
      </c>
    </row>
    <row r="1114" spans="1:6" s="9" customFormat="1" x14ac:dyDescent="0.25">
      <c r="C1114" s="5">
        <v>20</v>
      </c>
      <c r="D1114" s="9" t="s">
        <v>14</v>
      </c>
      <c r="E1114" s="10">
        <v>130</v>
      </c>
      <c r="F1114" s="10">
        <f t="shared" si="17"/>
        <v>2600</v>
      </c>
    </row>
    <row r="1115" spans="1:6" s="9" customFormat="1" x14ac:dyDescent="0.25">
      <c r="C1115" s="5">
        <v>100</v>
      </c>
      <c r="D1115" s="9" t="s">
        <v>11</v>
      </c>
      <c r="E1115" s="10">
        <v>120</v>
      </c>
      <c r="F1115" s="10">
        <f t="shared" si="17"/>
        <v>12000</v>
      </c>
    </row>
    <row r="1116" spans="1:6" s="9" customFormat="1" x14ac:dyDescent="0.25">
      <c r="C1116" s="5"/>
      <c r="E1116" s="10"/>
      <c r="F1116" s="8">
        <f>SUM(F1112:F1115)</f>
        <v>60350</v>
      </c>
    </row>
    <row r="1117" spans="1:6" s="9" customFormat="1" x14ac:dyDescent="0.25">
      <c r="C1117" s="5"/>
      <c r="E1117" s="10"/>
      <c r="F1117" s="10"/>
    </row>
    <row r="1118" spans="1:6" s="9" customFormat="1" x14ac:dyDescent="0.25">
      <c r="A1118" s="9" t="s">
        <v>26</v>
      </c>
      <c r="B1118" s="4">
        <v>45854</v>
      </c>
      <c r="C1118" s="5">
        <v>20</v>
      </c>
      <c r="D1118" s="9" t="s">
        <v>14</v>
      </c>
      <c r="E1118" s="10">
        <v>130</v>
      </c>
      <c r="F1118" s="10">
        <f t="shared" si="17"/>
        <v>2600</v>
      </c>
    </row>
    <row r="1119" spans="1:6" s="9" customFormat="1" x14ac:dyDescent="0.25">
      <c r="C1119" s="5"/>
      <c r="E1119" s="10"/>
      <c r="F1119" s="8">
        <f>SUM(F1118)</f>
        <v>2600</v>
      </c>
    </row>
    <row r="1120" spans="1:6" s="9" customFormat="1" x14ac:dyDescent="0.25">
      <c r="C1120" s="5"/>
      <c r="E1120" s="10"/>
      <c r="F1120" s="10"/>
    </row>
    <row r="1121" spans="1:6" s="9" customFormat="1" x14ac:dyDescent="0.25">
      <c r="A1121" s="9" t="s">
        <v>181</v>
      </c>
      <c r="B1121" s="4">
        <v>45854</v>
      </c>
      <c r="C1121" s="5">
        <v>5</v>
      </c>
      <c r="D1121" s="9" t="s">
        <v>13</v>
      </c>
      <c r="E1121" s="10">
        <v>150</v>
      </c>
      <c r="F1121" s="10">
        <f t="shared" si="17"/>
        <v>750</v>
      </c>
    </row>
    <row r="1122" spans="1:6" s="9" customFormat="1" x14ac:dyDescent="0.25">
      <c r="C1122" s="5"/>
      <c r="E1122" s="10"/>
      <c r="F1122" s="8">
        <f>SUM(F1121)</f>
        <v>750</v>
      </c>
    </row>
    <row r="1123" spans="1:6" s="9" customFormat="1" x14ac:dyDescent="0.25">
      <c r="C1123" s="5"/>
      <c r="E1123" s="10"/>
      <c r="F1123" s="10"/>
    </row>
    <row r="1124" spans="1:6" s="9" customFormat="1" x14ac:dyDescent="0.25">
      <c r="A1124" s="9" t="s">
        <v>793</v>
      </c>
      <c r="B1124" s="4">
        <v>45854</v>
      </c>
      <c r="C1124" s="5">
        <v>3</v>
      </c>
      <c r="D1124" s="9" t="s">
        <v>9</v>
      </c>
      <c r="E1124" s="10">
        <v>3.3333300000000001</v>
      </c>
      <c r="F1124" s="10">
        <f t="shared" si="17"/>
        <v>9.9999900000000004</v>
      </c>
    </row>
    <row r="1125" spans="1:6" s="9" customFormat="1" x14ac:dyDescent="0.25">
      <c r="C1125" s="5">
        <v>1</v>
      </c>
      <c r="D1125" s="9" t="s">
        <v>8</v>
      </c>
      <c r="E1125" s="10">
        <v>170</v>
      </c>
      <c r="F1125" s="10">
        <f t="shared" si="17"/>
        <v>170</v>
      </c>
    </row>
    <row r="1126" spans="1:6" s="9" customFormat="1" x14ac:dyDescent="0.25">
      <c r="C1126" s="5">
        <v>1</v>
      </c>
      <c r="D1126" s="9" t="s">
        <v>154</v>
      </c>
      <c r="E1126" s="10">
        <v>150</v>
      </c>
      <c r="F1126" s="10">
        <f t="shared" si="17"/>
        <v>150</v>
      </c>
    </row>
    <row r="1127" spans="1:6" s="9" customFormat="1" x14ac:dyDescent="0.25">
      <c r="C1127" s="5"/>
      <c r="E1127" s="10"/>
      <c r="F1127" s="8">
        <f>SUM(F1124:F1126)</f>
        <v>329.99999000000003</v>
      </c>
    </row>
    <row r="1128" spans="1:6" s="9" customFormat="1" x14ac:dyDescent="0.25">
      <c r="C1128" s="5"/>
      <c r="E1128" s="10"/>
      <c r="F1128" s="10"/>
    </row>
    <row r="1129" spans="1:6" s="9" customFormat="1" x14ac:dyDescent="0.25">
      <c r="A1129" s="9" t="s">
        <v>181</v>
      </c>
      <c r="B1129" s="4">
        <v>45854</v>
      </c>
      <c r="C1129" s="5">
        <v>5</v>
      </c>
      <c r="D1129" s="9" t="s">
        <v>13</v>
      </c>
      <c r="E1129" s="10">
        <v>140</v>
      </c>
      <c r="F1129" s="10">
        <f t="shared" si="17"/>
        <v>700</v>
      </c>
    </row>
    <row r="1130" spans="1:6" s="9" customFormat="1" x14ac:dyDescent="0.25">
      <c r="C1130" s="5">
        <v>1</v>
      </c>
      <c r="D1130" s="9" t="s">
        <v>13</v>
      </c>
      <c r="E1130" s="10">
        <v>160</v>
      </c>
      <c r="F1130" s="10">
        <f t="shared" si="17"/>
        <v>160</v>
      </c>
    </row>
    <row r="1131" spans="1:6" s="9" customFormat="1" x14ac:dyDescent="0.25">
      <c r="C1131" s="5"/>
      <c r="E1131" s="10"/>
      <c r="F1131" s="8">
        <f>SUM(F1129:F1130)</f>
        <v>860</v>
      </c>
    </row>
    <row r="1132" spans="1:6" s="9" customFormat="1" x14ac:dyDescent="0.25">
      <c r="C1132" s="5"/>
      <c r="E1132" s="10"/>
      <c r="F1132" s="10"/>
    </row>
    <row r="1133" spans="1:6" s="9" customFormat="1" x14ac:dyDescent="0.25">
      <c r="A1133" s="9" t="s">
        <v>60</v>
      </c>
      <c r="B1133" s="4">
        <v>45855</v>
      </c>
      <c r="C1133" s="5">
        <v>30</v>
      </c>
      <c r="D1133" s="9" t="s">
        <v>13</v>
      </c>
      <c r="E1133" s="10">
        <v>140</v>
      </c>
      <c r="F1133" s="10">
        <f t="shared" si="17"/>
        <v>4200</v>
      </c>
    </row>
    <row r="1134" spans="1:6" s="9" customFormat="1" x14ac:dyDescent="0.25">
      <c r="C1134" s="5"/>
      <c r="E1134" s="10"/>
      <c r="F1134" s="8">
        <f>SUM(F1133)</f>
        <v>4200</v>
      </c>
    </row>
    <row r="1135" spans="1:6" s="9" customFormat="1" x14ac:dyDescent="0.25">
      <c r="C1135" s="5"/>
      <c r="E1135" s="10"/>
      <c r="F1135" s="10"/>
    </row>
    <row r="1136" spans="1:6" s="9" customFormat="1" x14ac:dyDescent="0.25">
      <c r="A1136" s="9" t="s">
        <v>255</v>
      </c>
      <c r="B1136" s="4">
        <v>45855</v>
      </c>
      <c r="C1136" s="5">
        <v>80</v>
      </c>
      <c r="D1136" s="9" t="s">
        <v>8</v>
      </c>
      <c r="E1136" s="10">
        <v>160</v>
      </c>
      <c r="F1136" s="10">
        <f t="shared" si="17"/>
        <v>12800</v>
      </c>
    </row>
    <row r="1137" spans="1:6" s="9" customFormat="1" x14ac:dyDescent="0.25">
      <c r="C1137" s="5"/>
      <c r="E1137" s="10"/>
      <c r="F1137" s="8">
        <f>SUM(F1136)</f>
        <v>12800</v>
      </c>
    </row>
    <row r="1138" spans="1:6" s="9" customFormat="1" x14ac:dyDescent="0.25">
      <c r="C1138" s="5"/>
      <c r="E1138" s="10"/>
      <c r="F1138" s="10"/>
    </row>
    <row r="1139" spans="1:6" s="9" customFormat="1" x14ac:dyDescent="0.25">
      <c r="A1139" s="9" t="s">
        <v>87</v>
      </c>
      <c r="B1139" s="4">
        <v>45855</v>
      </c>
      <c r="C1139" s="5">
        <v>2</v>
      </c>
      <c r="D1139" s="9" t="s">
        <v>13</v>
      </c>
      <c r="E1139" s="10">
        <v>145</v>
      </c>
      <c r="F1139" s="10">
        <f t="shared" si="17"/>
        <v>290</v>
      </c>
    </row>
    <row r="1140" spans="1:6" s="9" customFormat="1" x14ac:dyDescent="0.25">
      <c r="C1140" s="5">
        <v>2</v>
      </c>
      <c r="D1140" s="9" t="s">
        <v>22</v>
      </c>
      <c r="E1140" s="10">
        <v>120</v>
      </c>
      <c r="F1140" s="10">
        <f t="shared" si="17"/>
        <v>240</v>
      </c>
    </row>
    <row r="1141" spans="1:6" s="9" customFormat="1" x14ac:dyDescent="0.25">
      <c r="C1141" s="5"/>
      <c r="E1141" s="10"/>
      <c r="F1141" s="8">
        <f>SUM(F1139:F1140)</f>
        <v>530</v>
      </c>
    </row>
    <row r="1142" spans="1:6" s="9" customFormat="1" x14ac:dyDescent="0.25">
      <c r="C1142" s="5"/>
      <c r="E1142" s="10"/>
      <c r="F1142" s="10"/>
    </row>
    <row r="1143" spans="1:6" s="9" customFormat="1" x14ac:dyDescent="0.25">
      <c r="A1143" s="9" t="s">
        <v>794</v>
      </c>
      <c r="B1143" s="4">
        <v>45855</v>
      </c>
      <c r="C1143" s="5">
        <v>20</v>
      </c>
      <c r="D1143" s="9" t="s">
        <v>13</v>
      </c>
      <c r="E1143" s="10">
        <v>135</v>
      </c>
      <c r="F1143" s="10">
        <f t="shared" si="17"/>
        <v>2700</v>
      </c>
    </row>
    <row r="1144" spans="1:6" s="9" customFormat="1" x14ac:dyDescent="0.25">
      <c r="C1144" s="5">
        <v>30</v>
      </c>
      <c r="D1144" s="9" t="s">
        <v>12</v>
      </c>
      <c r="E1144" s="10">
        <v>125</v>
      </c>
      <c r="F1144" s="10">
        <f t="shared" si="17"/>
        <v>3750</v>
      </c>
    </row>
    <row r="1145" spans="1:6" s="9" customFormat="1" x14ac:dyDescent="0.25">
      <c r="C1145" s="5"/>
      <c r="E1145" s="10"/>
      <c r="F1145" s="8">
        <f>SUM(F1143:F1144)</f>
        <v>6450</v>
      </c>
    </row>
    <row r="1146" spans="1:6" s="9" customFormat="1" x14ac:dyDescent="0.25">
      <c r="C1146" s="5"/>
      <c r="E1146" s="10"/>
      <c r="F1146" s="10"/>
    </row>
    <row r="1147" spans="1:6" s="9" customFormat="1" x14ac:dyDescent="0.25">
      <c r="A1147" s="9" t="s">
        <v>65</v>
      </c>
      <c r="B1147" s="4">
        <v>45855</v>
      </c>
      <c r="C1147" s="5">
        <v>71</v>
      </c>
      <c r="D1147" s="9" t="s">
        <v>795</v>
      </c>
      <c r="E1147" s="10">
        <v>130</v>
      </c>
      <c r="F1147" s="10">
        <f t="shared" si="17"/>
        <v>9230</v>
      </c>
    </row>
    <row r="1148" spans="1:6" s="9" customFormat="1" x14ac:dyDescent="0.25">
      <c r="C1148" s="5">
        <v>200</v>
      </c>
      <c r="D1148" s="9" t="s">
        <v>22</v>
      </c>
      <c r="E1148" s="10">
        <v>115</v>
      </c>
      <c r="F1148" s="10">
        <f t="shared" si="17"/>
        <v>23000</v>
      </c>
    </row>
    <row r="1149" spans="1:6" s="9" customFormat="1" x14ac:dyDescent="0.25">
      <c r="C1149" s="5">
        <v>220</v>
      </c>
      <c r="D1149" s="9" t="s">
        <v>12</v>
      </c>
      <c r="E1149" s="10">
        <v>125</v>
      </c>
      <c r="F1149" s="10">
        <f t="shared" si="17"/>
        <v>27500</v>
      </c>
    </row>
    <row r="1150" spans="1:6" s="9" customFormat="1" x14ac:dyDescent="0.25">
      <c r="C1150" s="5">
        <v>50</v>
      </c>
      <c r="D1150" s="9" t="s">
        <v>11</v>
      </c>
      <c r="E1150" s="10">
        <v>125</v>
      </c>
      <c r="F1150" s="10">
        <f t="shared" si="17"/>
        <v>6250</v>
      </c>
    </row>
    <row r="1151" spans="1:6" s="9" customFormat="1" x14ac:dyDescent="0.25">
      <c r="C1151" s="5"/>
      <c r="E1151" s="10"/>
      <c r="F1151" s="8">
        <f>SUM(F1147:F1150)</f>
        <v>65980</v>
      </c>
    </row>
    <row r="1152" spans="1:6" s="9" customFormat="1" x14ac:dyDescent="0.25">
      <c r="C1152" s="5"/>
      <c r="E1152" s="10"/>
      <c r="F1152" s="10"/>
    </row>
    <row r="1153" spans="1:6" s="9" customFormat="1" x14ac:dyDescent="0.25">
      <c r="A1153" s="9" t="s">
        <v>7</v>
      </c>
      <c r="B1153" s="4">
        <v>45855</v>
      </c>
      <c r="C1153" s="5">
        <v>215</v>
      </c>
      <c r="D1153" s="9" t="s">
        <v>22</v>
      </c>
      <c r="E1153" s="10">
        <v>115</v>
      </c>
      <c r="F1153" s="10">
        <f t="shared" si="17"/>
        <v>24725</v>
      </c>
    </row>
    <row r="1154" spans="1:6" s="9" customFormat="1" x14ac:dyDescent="0.25">
      <c r="C1154" s="5">
        <v>218</v>
      </c>
      <c r="D1154" s="9" t="s">
        <v>12</v>
      </c>
      <c r="E1154" s="10">
        <v>125</v>
      </c>
      <c r="F1154" s="10">
        <f t="shared" si="17"/>
        <v>27250</v>
      </c>
    </row>
    <row r="1155" spans="1:6" s="9" customFormat="1" x14ac:dyDescent="0.25">
      <c r="C1155" s="5"/>
      <c r="E1155" s="10"/>
      <c r="F1155" s="8">
        <f>SUM(F1153:F1154)</f>
        <v>51975</v>
      </c>
    </row>
    <row r="1156" spans="1:6" s="9" customFormat="1" x14ac:dyDescent="0.25">
      <c r="C1156" s="5"/>
      <c r="E1156" s="10"/>
      <c r="F1156" s="10"/>
    </row>
    <row r="1157" spans="1:6" s="9" customFormat="1" x14ac:dyDescent="0.25">
      <c r="A1157" s="9" t="s">
        <v>101</v>
      </c>
      <c r="B1157" s="4">
        <v>45855</v>
      </c>
      <c r="C1157" s="5">
        <v>1</v>
      </c>
      <c r="D1157" s="9" t="s">
        <v>13</v>
      </c>
      <c r="E1157" s="10">
        <v>160</v>
      </c>
      <c r="F1157" s="10">
        <f t="shared" si="17"/>
        <v>160</v>
      </c>
    </row>
    <row r="1158" spans="1:6" s="9" customFormat="1" x14ac:dyDescent="0.25">
      <c r="C1158" s="5">
        <v>1</v>
      </c>
      <c r="D1158" s="9" t="s">
        <v>600</v>
      </c>
      <c r="E1158" s="10">
        <v>140</v>
      </c>
      <c r="F1158" s="10">
        <f t="shared" si="17"/>
        <v>140</v>
      </c>
    </row>
    <row r="1159" spans="1:6" s="9" customFormat="1" x14ac:dyDescent="0.25">
      <c r="C1159" s="5"/>
      <c r="E1159" s="10"/>
      <c r="F1159" s="8">
        <f>SUM(F1157:F1158)</f>
        <v>300</v>
      </c>
    </row>
    <row r="1160" spans="1:6" s="9" customFormat="1" x14ac:dyDescent="0.25">
      <c r="C1160" s="5"/>
      <c r="E1160" s="10"/>
      <c r="F1160" s="10"/>
    </row>
    <row r="1161" spans="1:6" s="9" customFormat="1" x14ac:dyDescent="0.25">
      <c r="A1161" s="9" t="s">
        <v>7</v>
      </c>
      <c r="B1161" s="4">
        <v>45855</v>
      </c>
      <c r="C1161" s="5">
        <v>1</v>
      </c>
      <c r="D1161" s="9" t="s">
        <v>12</v>
      </c>
      <c r="E1161" s="10">
        <v>150</v>
      </c>
      <c r="F1161" s="10">
        <f t="shared" si="17"/>
        <v>150</v>
      </c>
    </row>
    <row r="1162" spans="1:6" s="9" customFormat="1" x14ac:dyDescent="0.25">
      <c r="C1162" s="5">
        <v>1</v>
      </c>
      <c r="D1162" s="9" t="s">
        <v>8</v>
      </c>
      <c r="E1162" s="10">
        <v>150</v>
      </c>
      <c r="F1162" s="10">
        <f t="shared" si="17"/>
        <v>150</v>
      </c>
    </row>
    <row r="1163" spans="1:6" s="9" customFormat="1" x14ac:dyDescent="0.25">
      <c r="C1163" s="5">
        <v>2</v>
      </c>
      <c r="D1163" s="9" t="s">
        <v>12</v>
      </c>
      <c r="E1163" s="10">
        <v>150</v>
      </c>
      <c r="F1163" s="10">
        <f t="shared" si="17"/>
        <v>300</v>
      </c>
    </row>
    <row r="1164" spans="1:6" s="9" customFormat="1" x14ac:dyDescent="0.25">
      <c r="C1164" s="5"/>
      <c r="E1164" s="10"/>
      <c r="F1164" s="8">
        <f>SUM(F1161:F1163)</f>
        <v>600</v>
      </c>
    </row>
    <row r="1165" spans="1:6" s="9" customFormat="1" x14ac:dyDescent="0.25">
      <c r="C1165" s="5"/>
      <c r="E1165" s="10"/>
      <c r="F1165" s="10"/>
    </row>
    <row r="1166" spans="1:6" s="9" customFormat="1" x14ac:dyDescent="0.25">
      <c r="A1166" s="9" t="s">
        <v>44</v>
      </c>
      <c r="B1166" s="4">
        <v>45856</v>
      </c>
      <c r="C1166" s="5">
        <v>10</v>
      </c>
      <c r="D1166" s="9" t="s">
        <v>13</v>
      </c>
      <c r="E1166" s="10">
        <v>145</v>
      </c>
      <c r="F1166" s="10">
        <f t="shared" si="17"/>
        <v>1450</v>
      </c>
    </row>
    <row r="1167" spans="1:6" s="9" customFormat="1" x14ac:dyDescent="0.25">
      <c r="C1167" s="5"/>
      <c r="E1167" s="10"/>
      <c r="F1167" s="8">
        <f>SUM(F1166)</f>
        <v>1450</v>
      </c>
    </row>
    <row r="1168" spans="1:6" s="9" customFormat="1" x14ac:dyDescent="0.25">
      <c r="C1168" s="5"/>
      <c r="E1168" s="10"/>
      <c r="F1168" s="10"/>
    </row>
    <row r="1169" spans="1:6" s="9" customFormat="1" x14ac:dyDescent="0.25">
      <c r="A1169" s="9" t="s">
        <v>514</v>
      </c>
      <c r="B1169" s="4">
        <v>45856</v>
      </c>
      <c r="C1169" s="5">
        <v>10</v>
      </c>
      <c r="D1169" s="9" t="s">
        <v>98</v>
      </c>
      <c r="E1169" s="10">
        <v>100</v>
      </c>
      <c r="F1169" s="10">
        <f t="shared" si="17"/>
        <v>1000</v>
      </c>
    </row>
    <row r="1170" spans="1:6" s="9" customFormat="1" x14ac:dyDescent="0.25">
      <c r="C1170" s="5"/>
      <c r="E1170" s="10"/>
      <c r="F1170" s="8">
        <f>SUM(F1169)</f>
        <v>1000</v>
      </c>
    </row>
    <row r="1171" spans="1:6" s="9" customFormat="1" x14ac:dyDescent="0.25">
      <c r="C1171" s="5"/>
      <c r="E1171" s="10"/>
      <c r="F1171" s="10"/>
    </row>
    <row r="1172" spans="1:6" s="9" customFormat="1" x14ac:dyDescent="0.25">
      <c r="A1172" s="9" t="s">
        <v>15</v>
      </c>
      <c r="B1172" s="4">
        <v>45856</v>
      </c>
      <c r="C1172" s="5">
        <v>43</v>
      </c>
      <c r="D1172" s="9" t="s">
        <v>98</v>
      </c>
      <c r="E1172" s="10">
        <v>80</v>
      </c>
      <c r="F1172" s="10">
        <f t="shared" ref="F1172:F1233" si="18">+C1172*E1172</f>
        <v>3440</v>
      </c>
    </row>
    <row r="1173" spans="1:6" s="9" customFormat="1" x14ac:dyDescent="0.25">
      <c r="C1173" s="5"/>
      <c r="E1173" s="10"/>
      <c r="F1173" s="8">
        <f>SUM(F1172)</f>
        <v>3440</v>
      </c>
    </row>
    <row r="1174" spans="1:6" s="9" customFormat="1" x14ac:dyDescent="0.25">
      <c r="C1174" s="5"/>
      <c r="E1174" s="10"/>
      <c r="F1174" s="10"/>
    </row>
    <row r="1175" spans="1:6" s="9" customFormat="1" x14ac:dyDescent="0.25">
      <c r="A1175" s="9" t="s">
        <v>69</v>
      </c>
      <c r="B1175" s="4">
        <v>45856</v>
      </c>
      <c r="C1175" s="5">
        <v>10</v>
      </c>
      <c r="D1175" s="9" t="s">
        <v>98</v>
      </c>
      <c r="E1175" s="10">
        <v>100</v>
      </c>
      <c r="F1175" s="10">
        <f t="shared" si="18"/>
        <v>1000</v>
      </c>
    </row>
    <row r="1176" spans="1:6" s="9" customFormat="1" x14ac:dyDescent="0.25">
      <c r="C1176" s="5"/>
      <c r="E1176" s="10"/>
      <c r="F1176" s="8">
        <f>SUM(F1175)</f>
        <v>1000</v>
      </c>
    </row>
    <row r="1177" spans="1:6" s="9" customFormat="1" x14ac:dyDescent="0.25">
      <c r="C1177" s="5"/>
      <c r="E1177" s="10"/>
      <c r="F1177" s="10"/>
    </row>
    <row r="1178" spans="1:6" s="9" customFormat="1" x14ac:dyDescent="0.25">
      <c r="A1178" s="9" t="s">
        <v>20</v>
      </c>
      <c r="B1178" s="4">
        <v>45856</v>
      </c>
      <c r="C1178" s="5">
        <v>20</v>
      </c>
      <c r="D1178" s="9" t="s">
        <v>13</v>
      </c>
      <c r="E1178" s="10">
        <v>145</v>
      </c>
      <c r="F1178" s="10">
        <f t="shared" si="18"/>
        <v>2900</v>
      </c>
    </row>
    <row r="1179" spans="1:6" s="9" customFormat="1" x14ac:dyDescent="0.25">
      <c r="C1179" s="5">
        <v>10</v>
      </c>
      <c r="D1179" s="9" t="s">
        <v>8</v>
      </c>
      <c r="E1179" s="10">
        <v>160</v>
      </c>
      <c r="F1179" s="10">
        <f t="shared" si="18"/>
        <v>1600</v>
      </c>
    </row>
    <row r="1180" spans="1:6" s="9" customFormat="1" x14ac:dyDescent="0.25">
      <c r="C1180" s="5"/>
      <c r="E1180" s="10"/>
      <c r="F1180" s="8">
        <f>SUM(F1178:F1179)</f>
        <v>4500</v>
      </c>
    </row>
    <row r="1181" spans="1:6" s="9" customFormat="1" x14ac:dyDescent="0.25">
      <c r="C1181" s="5"/>
      <c r="E1181" s="10"/>
      <c r="F1181" s="10"/>
    </row>
    <row r="1182" spans="1:6" s="9" customFormat="1" x14ac:dyDescent="0.25">
      <c r="A1182" s="9" t="s">
        <v>17</v>
      </c>
      <c r="B1182" s="4">
        <v>45856</v>
      </c>
      <c r="C1182" s="5">
        <v>20</v>
      </c>
      <c r="D1182" s="9" t="s">
        <v>13</v>
      </c>
      <c r="E1182" s="10">
        <v>145</v>
      </c>
      <c r="F1182" s="10">
        <f t="shared" si="18"/>
        <v>2900</v>
      </c>
    </row>
    <row r="1183" spans="1:6" s="9" customFormat="1" x14ac:dyDescent="0.25">
      <c r="C1183" s="5"/>
      <c r="E1183" s="10"/>
      <c r="F1183" s="8">
        <f>SUM(F1182)</f>
        <v>2900</v>
      </c>
    </row>
    <row r="1184" spans="1:6" s="9" customFormat="1" x14ac:dyDescent="0.25">
      <c r="C1184" s="5"/>
      <c r="E1184" s="10"/>
      <c r="F1184" s="10"/>
    </row>
    <row r="1185" spans="1:6" s="9" customFormat="1" x14ac:dyDescent="0.25">
      <c r="A1185" s="9" t="s">
        <v>21</v>
      </c>
      <c r="B1185" s="4">
        <v>45856</v>
      </c>
      <c r="C1185" s="5">
        <v>30</v>
      </c>
      <c r="D1185" s="9" t="s">
        <v>13</v>
      </c>
      <c r="E1185" s="10">
        <v>145</v>
      </c>
      <c r="F1185" s="10">
        <f t="shared" si="18"/>
        <v>4350</v>
      </c>
    </row>
    <row r="1186" spans="1:6" s="9" customFormat="1" x14ac:dyDescent="0.25">
      <c r="C1186" s="5">
        <v>20</v>
      </c>
      <c r="D1186" s="9" t="s">
        <v>12</v>
      </c>
      <c r="E1186" s="10">
        <v>135</v>
      </c>
      <c r="F1186" s="10">
        <f t="shared" si="18"/>
        <v>2700</v>
      </c>
    </row>
    <row r="1187" spans="1:6" s="9" customFormat="1" x14ac:dyDescent="0.25">
      <c r="C1187" s="5">
        <v>10</v>
      </c>
      <c r="D1187" s="9" t="s">
        <v>8</v>
      </c>
      <c r="E1187" s="10">
        <v>160</v>
      </c>
      <c r="F1187" s="10">
        <f t="shared" si="18"/>
        <v>1600</v>
      </c>
    </row>
    <row r="1188" spans="1:6" s="9" customFormat="1" x14ac:dyDescent="0.25">
      <c r="C1188" s="5">
        <v>5</v>
      </c>
      <c r="D1188" s="9" t="s">
        <v>14</v>
      </c>
      <c r="E1188" s="10">
        <v>140</v>
      </c>
      <c r="F1188" s="10">
        <f t="shared" si="18"/>
        <v>700</v>
      </c>
    </row>
    <row r="1189" spans="1:6" s="9" customFormat="1" x14ac:dyDescent="0.25">
      <c r="C1189" s="5"/>
      <c r="E1189" s="10"/>
      <c r="F1189" s="8">
        <f>SUM(F1185:F1188)</f>
        <v>9350</v>
      </c>
    </row>
    <row r="1190" spans="1:6" s="9" customFormat="1" x14ac:dyDescent="0.25">
      <c r="C1190" s="5"/>
      <c r="E1190" s="10"/>
      <c r="F1190" s="10"/>
    </row>
    <row r="1191" spans="1:6" s="9" customFormat="1" x14ac:dyDescent="0.25">
      <c r="A1191" s="9" t="s">
        <v>57</v>
      </c>
      <c r="B1191" s="4">
        <v>45856</v>
      </c>
      <c r="C1191" s="5">
        <v>10</v>
      </c>
      <c r="D1191" s="9" t="s">
        <v>13</v>
      </c>
      <c r="E1191" s="10">
        <v>145</v>
      </c>
      <c r="F1191" s="10">
        <f t="shared" si="18"/>
        <v>1450</v>
      </c>
    </row>
    <row r="1192" spans="1:6" s="9" customFormat="1" x14ac:dyDescent="0.25">
      <c r="C1192" s="5"/>
      <c r="E1192" s="10"/>
      <c r="F1192" s="8">
        <f>SUM(F1191)</f>
        <v>1450</v>
      </c>
    </row>
    <row r="1193" spans="1:6" s="9" customFormat="1" x14ac:dyDescent="0.25">
      <c r="C1193" s="5"/>
      <c r="E1193" s="10"/>
      <c r="F1193" s="10"/>
    </row>
    <row r="1194" spans="1:6" s="9" customFormat="1" x14ac:dyDescent="0.25">
      <c r="A1194" s="9" t="s">
        <v>37</v>
      </c>
      <c r="B1194" s="4">
        <v>45856</v>
      </c>
      <c r="C1194" s="5">
        <v>15</v>
      </c>
      <c r="D1194" s="9" t="s">
        <v>12</v>
      </c>
      <c r="E1194" s="10">
        <v>135</v>
      </c>
      <c r="F1194" s="10">
        <f t="shared" si="18"/>
        <v>2025</v>
      </c>
    </row>
    <row r="1195" spans="1:6" s="9" customFormat="1" x14ac:dyDescent="0.25">
      <c r="C1195" s="5"/>
      <c r="E1195" s="10"/>
      <c r="F1195" s="8">
        <f>SUM(F1194)</f>
        <v>2025</v>
      </c>
    </row>
    <row r="1196" spans="1:6" s="9" customFormat="1" x14ac:dyDescent="0.25">
      <c r="C1196" s="5"/>
      <c r="E1196" s="10"/>
      <c r="F1196" s="10"/>
    </row>
    <row r="1197" spans="1:6" s="9" customFormat="1" x14ac:dyDescent="0.25">
      <c r="A1197" s="9" t="s">
        <v>25</v>
      </c>
      <c r="B1197" s="4">
        <v>45856</v>
      </c>
      <c r="C1197" s="5">
        <v>100</v>
      </c>
      <c r="D1197" s="9" t="s">
        <v>22</v>
      </c>
      <c r="E1197" s="10">
        <v>115</v>
      </c>
      <c r="F1197" s="10">
        <f t="shared" si="18"/>
        <v>11500</v>
      </c>
    </row>
    <row r="1198" spans="1:6" s="9" customFormat="1" x14ac:dyDescent="0.25">
      <c r="C1198" s="5"/>
      <c r="E1198" s="10"/>
      <c r="F1198" s="8">
        <f>SUM(F1197)</f>
        <v>11500</v>
      </c>
    </row>
    <row r="1199" spans="1:6" s="9" customFormat="1" x14ac:dyDescent="0.25">
      <c r="C1199" s="5"/>
      <c r="E1199" s="10"/>
      <c r="F1199" s="10"/>
    </row>
    <row r="1200" spans="1:6" s="9" customFormat="1" x14ac:dyDescent="0.25">
      <c r="A1200" s="9" t="s">
        <v>40</v>
      </c>
      <c r="B1200" s="4">
        <v>45856</v>
      </c>
      <c r="C1200" s="5">
        <v>11</v>
      </c>
      <c r="D1200" s="9" t="s">
        <v>50</v>
      </c>
      <c r="E1200" s="10">
        <v>110</v>
      </c>
      <c r="F1200" s="10">
        <f t="shared" si="18"/>
        <v>1210</v>
      </c>
    </row>
    <row r="1201" spans="1:6" s="9" customFormat="1" x14ac:dyDescent="0.25">
      <c r="C1201" s="5">
        <v>15</v>
      </c>
      <c r="D1201" s="9" t="s">
        <v>13</v>
      </c>
      <c r="E1201" s="10">
        <v>145</v>
      </c>
      <c r="F1201" s="10">
        <f t="shared" si="18"/>
        <v>2175</v>
      </c>
    </row>
    <row r="1202" spans="1:6" s="9" customFormat="1" x14ac:dyDescent="0.25">
      <c r="C1202" s="5">
        <v>10</v>
      </c>
      <c r="D1202" s="9" t="s">
        <v>22</v>
      </c>
      <c r="E1202" s="10">
        <v>115</v>
      </c>
      <c r="F1202" s="10">
        <f t="shared" si="18"/>
        <v>1150</v>
      </c>
    </row>
    <row r="1203" spans="1:6" s="9" customFormat="1" x14ac:dyDescent="0.25">
      <c r="C1203" s="5">
        <v>12</v>
      </c>
      <c r="D1203" s="9" t="s">
        <v>8</v>
      </c>
      <c r="E1203" s="10">
        <v>160</v>
      </c>
      <c r="F1203" s="10">
        <f t="shared" si="18"/>
        <v>1920</v>
      </c>
    </row>
    <row r="1204" spans="1:6" s="9" customFormat="1" x14ac:dyDescent="0.25">
      <c r="C1204" s="5">
        <v>10</v>
      </c>
      <c r="D1204" s="9" t="s">
        <v>14</v>
      </c>
      <c r="E1204" s="10">
        <v>140</v>
      </c>
      <c r="F1204" s="10">
        <f t="shared" si="18"/>
        <v>1400</v>
      </c>
    </row>
    <row r="1205" spans="1:6" s="9" customFormat="1" x14ac:dyDescent="0.25">
      <c r="C1205" s="5"/>
      <c r="E1205" s="10"/>
      <c r="F1205" s="8">
        <f>SUM(F1200:F1204)</f>
        <v>7855</v>
      </c>
    </row>
    <row r="1206" spans="1:6" s="9" customFormat="1" x14ac:dyDescent="0.25">
      <c r="C1206" s="5"/>
      <c r="E1206" s="10"/>
      <c r="F1206" s="10"/>
    </row>
    <row r="1207" spans="1:6" s="9" customFormat="1" x14ac:dyDescent="0.25">
      <c r="A1207" s="9" t="s">
        <v>58</v>
      </c>
      <c r="B1207" s="4">
        <v>45856</v>
      </c>
      <c r="C1207" s="5">
        <v>10</v>
      </c>
      <c r="D1207" s="9" t="s">
        <v>13</v>
      </c>
      <c r="E1207" s="10">
        <v>140</v>
      </c>
      <c r="F1207" s="10">
        <f t="shared" si="18"/>
        <v>1400</v>
      </c>
    </row>
    <row r="1208" spans="1:6" s="9" customFormat="1" x14ac:dyDescent="0.25">
      <c r="C1208" s="5"/>
      <c r="E1208" s="10"/>
      <c r="F1208" s="8">
        <f>SUM(F1207)</f>
        <v>1400</v>
      </c>
    </row>
    <row r="1209" spans="1:6" s="9" customFormat="1" x14ac:dyDescent="0.25">
      <c r="C1209" s="5"/>
      <c r="E1209" s="10"/>
      <c r="F1209" s="10"/>
    </row>
    <row r="1210" spans="1:6" s="9" customFormat="1" x14ac:dyDescent="0.25">
      <c r="A1210" s="9" t="s">
        <v>688</v>
      </c>
      <c r="B1210" s="4">
        <v>45856</v>
      </c>
      <c r="C1210" s="5">
        <v>6</v>
      </c>
      <c r="D1210" s="9" t="s">
        <v>13</v>
      </c>
      <c r="E1210" s="10">
        <v>145</v>
      </c>
      <c r="F1210" s="10">
        <f t="shared" si="18"/>
        <v>870</v>
      </c>
    </row>
    <row r="1211" spans="1:6" s="9" customFormat="1" x14ac:dyDescent="0.25">
      <c r="C1211" s="5"/>
      <c r="E1211" s="10"/>
      <c r="F1211" s="8">
        <f>SUM(F1210)</f>
        <v>870</v>
      </c>
    </row>
    <row r="1212" spans="1:6" s="9" customFormat="1" x14ac:dyDescent="0.25">
      <c r="C1212" s="5"/>
      <c r="E1212" s="10"/>
      <c r="F1212" s="10"/>
    </row>
    <row r="1213" spans="1:6" s="9" customFormat="1" x14ac:dyDescent="0.25">
      <c r="A1213" s="9" t="s">
        <v>259</v>
      </c>
      <c r="B1213" s="4">
        <v>45856</v>
      </c>
      <c r="C1213" s="5">
        <v>164</v>
      </c>
      <c r="D1213" s="9" t="s">
        <v>98</v>
      </c>
      <c r="E1213" s="10"/>
      <c r="F1213" s="10">
        <f t="shared" si="18"/>
        <v>0</v>
      </c>
    </row>
    <row r="1214" spans="1:6" s="9" customFormat="1" x14ac:dyDescent="0.25">
      <c r="C1214" s="5"/>
      <c r="E1214" s="10"/>
      <c r="F1214" s="8">
        <f>SUM(F1213)</f>
        <v>0</v>
      </c>
    </row>
    <row r="1215" spans="1:6" s="9" customFormat="1" x14ac:dyDescent="0.25">
      <c r="C1215" s="5"/>
      <c r="E1215" s="10"/>
      <c r="F1215" s="10"/>
    </row>
    <row r="1216" spans="1:6" s="9" customFormat="1" x14ac:dyDescent="0.25">
      <c r="A1216" s="9" t="s">
        <v>796</v>
      </c>
      <c r="B1216" s="4">
        <v>45856</v>
      </c>
      <c r="C1216" s="5">
        <v>6</v>
      </c>
      <c r="D1216" s="9" t="s">
        <v>11</v>
      </c>
      <c r="E1216" s="10">
        <v>135</v>
      </c>
      <c r="F1216" s="10">
        <f t="shared" si="18"/>
        <v>810</v>
      </c>
    </row>
    <row r="1217" spans="1:6" s="9" customFormat="1" x14ac:dyDescent="0.25">
      <c r="C1217" s="5"/>
      <c r="E1217" s="10"/>
      <c r="F1217" s="8">
        <f>SUM(F1216)</f>
        <v>810</v>
      </c>
    </row>
    <row r="1218" spans="1:6" s="9" customFormat="1" x14ac:dyDescent="0.25">
      <c r="C1218" s="5"/>
      <c r="E1218" s="10"/>
      <c r="F1218" s="10"/>
    </row>
    <row r="1219" spans="1:6" s="9" customFormat="1" x14ac:dyDescent="0.25">
      <c r="A1219" s="9" t="s">
        <v>41</v>
      </c>
      <c r="B1219" s="4">
        <v>45856</v>
      </c>
      <c r="C1219" s="5">
        <v>19</v>
      </c>
      <c r="D1219" s="9" t="s">
        <v>14</v>
      </c>
      <c r="E1219" s="10">
        <v>135</v>
      </c>
      <c r="F1219" s="10">
        <f t="shared" si="18"/>
        <v>2565</v>
      </c>
    </row>
    <row r="1220" spans="1:6" s="9" customFormat="1" x14ac:dyDescent="0.25">
      <c r="C1220" s="5">
        <v>6</v>
      </c>
      <c r="D1220" s="9" t="s">
        <v>13</v>
      </c>
      <c r="E1220" s="10">
        <v>135</v>
      </c>
      <c r="F1220" s="10">
        <f t="shared" si="18"/>
        <v>810</v>
      </c>
    </row>
    <row r="1221" spans="1:6" s="9" customFormat="1" x14ac:dyDescent="0.25">
      <c r="C1221" s="5"/>
      <c r="E1221" s="10"/>
      <c r="F1221" s="8">
        <f>SUM(F1219:F1220)</f>
        <v>3375</v>
      </c>
    </row>
    <row r="1222" spans="1:6" s="9" customFormat="1" x14ac:dyDescent="0.25">
      <c r="C1222" s="5"/>
      <c r="E1222" s="10"/>
      <c r="F1222" s="10"/>
    </row>
    <row r="1223" spans="1:6" s="9" customFormat="1" x14ac:dyDescent="0.25">
      <c r="A1223" s="9" t="s">
        <v>106</v>
      </c>
      <c r="B1223" s="4">
        <v>45856</v>
      </c>
      <c r="C1223" s="5">
        <v>60</v>
      </c>
      <c r="D1223" s="9" t="s">
        <v>12</v>
      </c>
      <c r="E1223" s="10">
        <v>130</v>
      </c>
      <c r="F1223" s="10">
        <f t="shared" si="18"/>
        <v>7800</v>
      </c>
    </row>
    <row r="1224" spans="1:6" s="9" customFormat="1" x14ac:dyDescent="0.25">
      <c r="C1224" s="5"/>
      <c r="E1224" s="10"/>
      <c r="F1224" s="8">
        <f>SUM(F1223)</f>
        <v>7800</v>
      </c>
    </row>
    <row r="1225" spans="1:6" s="9" customFormat="1" x14ac:dyDescent="0.25">
      <c r="C1225" s="5"/>
      <c r="E1225" s="10"/>
      <c r="F1225" s="10"/>
    </row>
    <row r="1226" spans="1:6" s="9" customFormat="1" x14ac:dyDescent="0.25">
      <c r="A1226" s="9" t="s">
        <v>43</v>
      </c>
      <c r="B1226" s="4">
        <v>45856</v>
      </c>
      <c r="C1226" s="5">
        <v>23</v>
      </c>
      <c r="D1226" s="9" t="s">
        <v>49</v>
      </c>
      <c r="E1226" s="10">
        <v>145</v>
      </c>
      <c r="F1226" s="10">
        <f t="shared" si="18"/>
        <v>3335</v>
      </c>
    </row>
    <row r="1227" spans="1:6" s="9" customFormat="1" x14ac:dyDescent="0.25">
      <c r="C1227" s="5"/>
      <c r="E1227" s="10"/>
      <c r="F1227" s="8">
        <f>SUM(F1226)</f>
        <v>3335</v>
      </c>
    </row>
    <row r="1228" spans="1:6" s="9" customFormat="1" x14ac:dyDescent="0.25">
      <c r="C1228" s="5"/>
      <c r="E1228" s="10"/>
      <c r="F1228" s="10"/>
    </row>
    <row r="1229" spans="1:6" s="9" customFormat="1" x14ac:dyDescent="0.25">
      <c r="A1229" s="9" t="s">
        <v>44</v>
      </c>
      <c r="B1229" s="4">
        <v>45856</v>
      </c>
      <c r="C1229" s="5">
        <v>80</v>
      </c>
      <c r="D1229" s="9" t="s">
        <v>14</v>
      </c>
      <c r="E1229" s="10">
        <v>140</v>
      </c>
      <c r="F1229" s="10">
        <f t="shared" si="18"/>
        <v>11200</v>
      </c>
    </row>
    <row r="1230" spans="1:6" s="9" customFormat="1" x14ac:dyDescent="0.25">
      <c r="C1230" s="5"/>
      <c r="E1230" s="10"/>
      <c r="F1230" s="8">
        <f>SUM(F1229)</f>
        <v>11200</v>
      </c>
    </row>
    <row r="1231" spans="1:6" s="9" customFormat="1" x14ac:dyDescent="0.25">
      <c r="C1231" s="5"/>
      <c r="E1231" s="10"/>
      <c r="F1231" s="10"/>
    </row>
    <row r="1232" spans="1:6" s="9" customFormat="1" x14ac:dyDescent="0.25">
      <c r="A1232" s="9" t="s">
        <v>18</v>
      </c>
      <c r="B1232" s="4">
        <v>45856</v>
      </c>
      <c r="C1232" s="5">
        <v>20</v>
      </c>
      <c r="D1232" s="9" t="s">
        <v>14</v>
      </c>
      <c r="E1232" s="10">
        <v>140</v>
      </c>
      <c r="F1232" s="10">
        <f t="shared" si="18"/>
        <v>2800</v>
      </c>
    </row>
    <row r="1233" spans="1:6" s="9" customFormat="1" x14ac:dyDescent="0.25">
      <c r="C1233" s="5">
        <v>30</v>
      </c>
      <c r="D1233" s="9" t="s">
        <v>11</v>
      </c>
      <c r="E1233" s="10">
        <v>130</v>
      </c>
      <c r="F1233" s="10">
        <f t="shared" si="18"/>
        <v>3900</v>
      </c>
    </row>
    <row r="1234" spans="1:6" s="9" customFormat="1" x14ac:dyDescent="0.25">
      <c r="C1234" s="5"/>
      <c r="E1234" s="10"/>
      <c r="F1234" s="8">
        <f>SUM(F1232:F1233)</f>
        <v>6700</v>
      </c>
    </row>
    <row r="1235" spans="1:6" s="9" customFormat="1" x14ac:dyDescent="0.25">
      <c r="C1235" s="5"/>
      <c r="E1235" s="10"/>
      <c r="F1235" s="10"/>
    </row>
    <row r="1236" spans="1:6" s="9" customFormat="1" x14ac:dyDescent="0.25">
      <c r="A1236" s="9" t="s">
        <v>138</v>
      </c>
      <c r="B1236" s="4">
        <v>45856</v>
      </c>
      <c r="C1236" s="5">
        <v>15</v>
      </c>
      <c r="D1236" s="9" t="s">
        <v>286</v>
      </c>
      <c r="E1236" s="10">
        <v>145</v>
      </c>
      <c r="F1236" s="10">
        <f t="shared" ref="F1236:F1299" si="19">+C1236*E1236</f>
        <v>2175</v>
      </c>
    </row>
    <row r="1237" spans="1:6" s="9" customFormat="1" x14ac:dyDescent="0.25">
      <c r="C1237" s="5">
        <v>15</v>
      </c>
      <c r="D1237" s="9" t="s">
        <v>11</v>
      </c>
      <c r="E1237" s="10">
        <v>135</v>
      </c>
      <c r="F1237" s="10">
        <f t="shared" si="19"/>
        <v>2025</v>
      </c>
    </row>
    <row r="1238" spans="1:6" s="9" customFormat="1" x14ac:dyDescent="0.25">
      <c r="C1238" s="5"/>
      <c r="E1238" s="10"/>
      <c r="F1238" s="8">
        <f>SUM(F1236:F1237)</f>
        <v>4200</v>
      </c>
    </row>
    <row r="1239" spans="1:6" s="9" customFormat="1" x14ac:dyDescent="0.25">
      <c r="C1239" s="5"/>
      <c r="E1239" s="10"/>
      <c r="F1239" s="10"/>
    </row>
    <row r="1240" spans="1:6" s="9" customFormat="1" x14ac:dyDescent="0.25">
      <c r="A1240" s="9" t="s">
        <v>47</v>
      </c>
      <c r="B1240" s="4">
        <v>45856</v>
      </c>
      <c r="C1240" s="5">
        <v>10</v>
      </c>
      <c r="D1240" s="9" t="s">
        <v>286</v>
      </c>
      <c r="E1240" s="10">
        <v>145</v>
      </c>
      <c r="F1240" s="10">
        <f t="shared" si="19"/>
        <v>1450</v>
      </c>
    </row>
    <row r="1241" spans="1:6" s="9" customFormat="1" x14ac:dyDescent="0.25">
      <c r="C1241" s="5">
        <v>38</v>
      </c>
      <c r="D1241" s="9" t="s">
        <v>11</v>
      </c>
      <c r="E1241" s="10">
        <v>135</v>
      </c>
      <c r="F1241" s="10">
        <f t="shared" si="19"/>
        <v>5130</v>
      </c>
    </row>
    <row r="1242" spans="1:6" s="9" customFormat="1" x14ac:dyDescent="0.25">
      <c r="C1242" s="5"/>
      <c r="E1242" s="10"/>
      <c r="F1242" s="8">
        <f>SUM(F1240:F1241)</f>
        <v>6580</v>
      </c>
    </row>
    <row r="1243" spans="1:6" s="9" customFormat="1" x14ac:dyDescent="0.25">
      <c r="C1243" s="5"/>
      <c r="E1243" s="10"/>
      <c r="F1243" s="10"/>
    </row>
    <row r="1244" spans="1:6" s="9" customFormat="1" x14ac:dyDescent="0.25">
      <c r="A1244" s="9" t="s">
        <v>292</v>
      </c>
      <c r="B1244" s="4">
        <v>45856</v>
      </c>
      <c r="C1244" s="5">
        <v>4</v>
      </c>
      <c r="D1244" s="9" t="s">
        <v>286</v>
      </c>
      <c r="E1244" s="10">
        <v>145</v>
      </c>
      <c r="F1244" s="10">
        <f t="shared" si="19"/>
        <v>580</v>
      </c>
    </row>
    <row r="1245" spans="1:6" s="9" customFormat="1" x14ac:dyDescent="0.25">
      <c r="C1245" s="5">
        <v>4</v>
      </c>
      <c r="D1245" s="9" t="s">
        <v>13</v>
      </c>
      <c r="E1245" s="10">
        <v>135</v>
      </c>
      <c r="F1245" s="10">
        <f t="shared" si="19"/>
        <v>540</v>
      </c>
    </row>
    <row r="1246" spans="1:6" s="9" customFormat="1" x14ac:dyDescent="0.25">
      <c r="C1246" s="5"/>
      <c r="E1246" s="10"/>
      <c r="F1246" s="8">
        <f>SUM(F1244:F1245)</f>
        <v>1120</v>
      </c>
    </row>
    <row r="1247" spans="1:6" s="9" customFormat="1" x14ac:dyDescent="0.25">
      <c r="C1247" s="5"/>
      <c r="E1247" s="10"/>
      <c r="F1247" s="10"/>
    </row>
    <row r="1248" spans="1:6" s="9" customFormat="1" x14ac:dyDescent="0.25">
      <c r="A1248" s="9" t="s">
        <v>216</v>
      </c>
      <c r="B1248" s="4">
        <v>45856</v>
      </c>
      <c r="C1248" s="5">
        <v>12</v>
      </c>
      <c r="D1248" s="9" t="s">
        <v>49</v>
      </c>
      <c r="E1248" s="10"/>
      <c r="F1248" s="10">
        <f t="shared" si="19"/>
        <v>0</v>
      </c>
    </row>
    <row r="1249" spans="1:6" s="9" customFormat="1" x14ac:dyDescent="0.25">
      <c r="C1249" s="5">
        <v>166</v>
      </c>
      <c r="D1249" s="9" t="s">
        <v>14</v>
      </c>
      <c r="E1249" s="10"/>
      <c r="F1249" s="10">
        <f t="shared" si="19"/>
        <v>0</v>
      </c>
    </row>
    <row r="1250" spans="1:6" s="9" customFormat="1" x14ac:dyDescent="0.25">
      <c r="C1250" s="5">
        <v>21</v>
      </c>
      <c r="D1250" s="9" t="s">
        <v>50</v>
      </c>
      <c r="E1250" s="10"/>
      <c r="F1250" s="10">
        <f t="shared" si="19"/>
        <v>0</v>
      </c>
    </row>
    <row r="1251" spans="1:6" s="9" customFormat="1" x14ac:dyDescent="0.25">
      <c r="C1251" s="5">
        <v>28</v>
      </c>
      <c r="D1251" s="9" t="s">
        <v>797</v>
      </c>
      <c r="E1251" s="10"/>
      <c r="F1251" s="10">
        <f t="shared" si="19"/>
        <v>0</v>
      </c>
    </row>
    <row r="1252" spans="1:6" s="9" customFormat="1" x14ac:dyDescent="0.25">
      <c r="C1252" s="5"/>
      <c r="E1252" s="10"/>
      <c r="F1252" s="8">
        <f>SUM(F1248:F1251)</f>
        <v>0</v>
      </c>
    </row>
    <row r="1253" spans="1:6" s="9" customFormat="1" x14ac:dyDescent="0.25">
      <c r="C1253" s="5"/>
      <c r="E1253" s="10"/>
      <c r="F1253" s="10"/>
    </row>
    <row r="1254" spans="1:6" s="9" customFormat="1" x14ac:dyDescent="0.25">
      <c r="A1254" s="9" t="s">
        <v>113</v>
      </c>
      <c r="B1254" s="4">
        <v>45856</v>
      </c>
      <c r="C1254" s="5">
        <v>10</v>
      </c>
      <c r="D1254" s="9" t="s">
        <v>8</v>
      </c>
      <c r="E1254" s="10">
        <v>160</v>
      </c>
      <c r="F1254" s="10">
        <f t="shared" si="19"/>
        <v>1600</v>
      </c>
    </row>
    <row r="1255" spans="1:6" s="9" customFormat="1" x14ac:dyDescent="0.25">
      <c r="C1255" s="5">
        <v>10</v>
      </c>
      <c r="D1255" s="9" t="s">
        <v>13</v>
      </c>
      <c r="E1255" s="10">
        <v>145</v>
      </c>
      <c r="F1255" s="10">
        <f t="shared" si="19"/>
        <v>1450</v>
      </c>
    </row>
    <row r="1256" spans="1:6" s="9" customFormat="1" x14ac:dyDescent="0.25">
      <c r="C1256" s="5"/>
      <c r="E1256" s="10"/>
      <c r="F1256" s="8">
        <f>SUM(F1254:F1255)</f>
        <v>3050</v>
      </c>
    </row>
    <row r="1257" spans="1:6" s="9" customFormat="1" x14ac:dyDescent="0.25">
      <c r="C1257" s="5"/>
      <c r="E1257" s="10"/>
      <c r="F1257" s="10"/>
    </row>
    <row r="1258" spans="1:6" s="9" customFormat="1" x14ac:dyDescent="0.25">
      <c r="A1258" s="9" t="s">
        <v>184</v>
      </c>
      <c r="B1258" s="4">
        <v>45856</v>
      </c>
      <c r="C1258" s="5">
        <v>7</v>
      </c>
      <c r="D1258" s="9" t="s">
        <v>13</v>
      </c>
      <c r="E1258" s="10">
        <v>150</v>
      </c>
      <c r="F1258" s="10">
        <f t="shared" si="19"/>
        <v>1050</v>
      </c>
    </row>
    <row r="1259" spans="1:6" s="9" customFormat="1" x14ac:dyDescent="0.25">
      <c r="C1259" s="5"/>
      <c r="E1259" s="10"/>
      <c r="F1259" s="8">
        <f>SUM(F1258)</f>
        <v>1050</v>
      </c>
    </row>
    <row r="1260" spans="1:6" s="9" customFormat="1" x14ac:dyDescent="0.25">
      <c r="C1260" s="5"/>
      <c r="E1260" s="10"/>
      <c r="F1260" s="10"/>
    </row>
    <row r="1261" spans="1:6" s="9" customFormat="1" x14ac:dyDescent="0.25">
      <c r="A1261" s="9" t="s">
        <v>245</v>
      </c>
      <c r="B1261" s="4">
        <v>45856</v>
      </c>
      <c r="C1261" s="5">
        <v>30</v>
      </c>
      <c r="D1261" s="9" t="s">
        <v>14</v>
      </c>
      <c r="E1261" s="10">
        <v>130</v>
      </c>
      <c r="F1261" s="10">
        <f t="shared" si="19"/>
        <v>3900</v>
      </c>
    </row>
    <row r="1262" spans="1:6" s="9" customFormat="1" x14ac:dyDescent="0.25">
      <c r="C1262" s="5"/>
      <c r="E1262" s="10"/>
      <c r="F1262" s="8">
        <f>SUM(F1261)</f>
        <v>3900</v>
      </c>
    </row>
    <row r="1263" spans="1:6" s="9" customFormat="1" x14ac:dyDescent="0.25">
      <c r="C1263" s="5"/>
      <c r="E1263" s="10"/>
      <c r="F1263" s="10"/>
    </row>
    <row r="1264" spans="1:6" s="9" customFormat="1" x14ac:dyDescent="0.25">
      <c r="A1264" s="9" t="s">
        <v>112</v>
      </c>
      <c r="B1264" s="4">
        <v>45856</v>
      </c>
      <c r="C1264" s="5">
        <v>120</v>
      </c>
      <c r="D1264" s="9" t="s">
        <v>13</v>
      </c>
      <c r="E1264" s="10">
        <v>135</v>
      </c>
      <c r="F1264" s="10">
        <f t="shared" si="19"/>
        <v>16200</v>
      </c>
    </row>
    <row r="1265" spans="1:6" s="9" customFormat="1" x14ac:dyDescent="0.25">
      <c r="C1265" s="5">
        <v>50</v>
      </c>
      <c r="D1265" s="9" t="s">
        <v>11</v>
      </c>
      <c r="E1265" s="10">
        <v>125</v>
      </c>
      <c r="F1265" s="10">
        <f t="shared" si="19"/>
        <v>6250</v>
      </c>
    </row>
    <row r="1266" spans="1:6" s="9" customFormat="1" x14ac:dyDescent="0.25">
      <c r="C1266" s="5">
        <v>100</v>
      </c>
      <c r="D1266" s="9" t="s">
        <v>22</v>
      </c>
      <c r="E1266" s="10">
        <v>115</v>
      </c>
      <c r="F1266" s="10">
        <f t="shared" si="19"/>
        <v>11500</v>
      </c>
    </row>
    <row r="1267" spans="1:6" s="9" customFormat="1" x14ac:dyDescent="0.25">
      <c r="C1267" s="5"/>
      <c r="E1267" s="10"/>
      <c r="F1267" s="8">
        <f>SUM(F1264:F1266)</f>
        <v>33950</v>
      </c>
    </row>
    <row r="1268" spans="1:6" s="9" customFormat="1" x14ac:dyDescent="0.25">
      <c r="C1268" s="5"/>
      <c r="E1268" s="10"/>
      <c r="F1268" s="10"/>
    </row>
    <row r="1269" spans="1:6" s="9" customFormat="1" x14ac:dyDescent="0.25">
      <c r="A1269" s="9" t="s">
        <v>101</v>
      </c>
      <c r="B1269" s="4">
        <v>45856</v>
      </c>
      <c r="C1269" s="5">
        <v>1</v>
      </c>
      <c r="D1269" s="9" t="s">
        <v>91</v>
      </c>
      <c r="E1269" s="10">
        <v>100</v>
      </c>
      <c r="F1269" s="10">
        <f t="shared" si="19"/>
        <v>100</v>
      </c>
    </row>
    <row r="1270" spans="1:6" s="9" customFormat="1" x14ac:dyDescent="0.25">
      <c r="C1270" s="5">
        <v>1</v>
      </c>
      <c r="D1270" s="9" t="s">
        <v>91</v>
      </c>
      <c r="E1270" s="10">
        <v>100</v>
      </c>
      <c r="F1270" s="10">
        <f t="shared" si="19"/>
        <v>100</v>
      </c>
    </row>
    <row r="1271" spans="1:6" s="9" customFormat="1" x14ac:dyDescent="0.25">
      <c r="C1271" s="5"/>
      <c r="E1271" s="10"/>
      <c r="F1271" s="8">
        <f>SUM(F1269:F1270)</f>
        <v>200</v>
      </c>
    </row>
    <row r="1272" spans="1:6" s="9" customFormat="1" x14ac:dyDescent="0.25">
      <c r="C1272" s="5"/>
      <c r="E1272" s="10"/>
      <c r="F1272" s="10"/>
    </row>
    <row r="1273" spans="1:6" s="9" customFormat="1" x14ac:dyDescent="0.25">
      <c r="A1273" s="9" t="s">
        <v>7</v>
      </c>
      <c r="B1273" s="4">
        <v>45856</v>
      </c>
      <c r="C1273" s="5">
        <v>1</v>
      </c>
      <c r="D1273" s="9" t="s">
        <v>8</v>
      </c>
      <c r="E1273" s="10">
        <v>150</v>
      </c>
      <c r="F1273" s="10">
        <f t="shared" si="19"/>
        <v>150</v>
      </c>
    </row>
    <row r="1274" spans="1:6" s="9" customFormat="1" x14ac:dyDescent="0.25">
      <c r="C1274" s="5"/>
      <c r="E1274" s="10"/>
      <c r="F1274" s="8">
        <f>SUM(F1273)</f>
        <v>150</v>
      </c>
    </row>
    <row r="1275" spans="1:6" s="9" customFormat="1" x14ac:dyDescent="0.25">
      <c r="C1275" s="5"/>
      <c r="E1275" s="10"/>
      <c r="F1275" s="10"/>
    </row>
    <row r="1276" spans="1:6" s="9" customFormat="1" x14ac:dyDescent="0.25">
      <c r="A1276" s="9" t="s">
        <v>442</v>
      </c>
      <c r="B1276" s="4">
        <v>45857</v>
      </c>
      <c r="C1276" s="5">
        <v>25</v>
      </c>
      <c r="D1276" s="9" t="s">
        <v>13</v>
      </c>
      <c r="E1276" s="10">
        <v>145</v>
      </c>
      <c r="F1276" s="10">
        <f t="shared" si="19"/>
        <v>3625</v>
      </c>
    </row>
    <row r="1277" spans="1:6" s="9" customFormat="1" x14ac:dyDescent="0.25">
      <c r="C1277" s="5"/>
      <c r="E1277" s="10"/>
      <c r="F1277" s="8">
        <f>SUM(F1276)</f>
        <v>3625</v>
      </c>
    </row>
    <row r="1278" spans="1:6" s="9" customFormat="1" x14ac:dyDescent="0.25">
      <c r="C1278" s="5"/>
      <c r="E1278" s="10"/>
      <c r="F1278" s="10"/>
    </row>
    <row r="1279" spans="1:6" s="9" customFormat="1" x14ac:dyDescent="0.25">
      <c r="A1279" s="9" t="s">
        <v>20</v>
      </c>
      <c r="B1279" s="4">
        <v>45857</v>
      </c>
      <c r="C1279" s="5">
        <v>20</v>
      </c>
      <c r="D1279" s="9" t="s">
        <v>13</v>
      </c>
      <c r="E1279" s="10">
        <v>145</v>
      </c>
      <c r="F1279" s="10">
        <f t="shared" si="19"/>
        <v>2900</v>
      </c>
    </row>
    <row r="1280" spans="1:6" s="9" customFormat="1" x14ac:dyDescent="0.25">
      <c r="C1280" s="5"/>
      <c r="E1280" s="10"/>
      <c r="F1280" s="8">
        <f>SUM(F1279)</f>
        <v>2900</v>
      </c>
    </row>
    <row r="1281" spans="1:6" s="9" customFormat="1" x14ac:dyDescent="0.25">
      <c r="C1281" s="5"/>
      <c r="E1281" s="10"/>
      <c r="F1281" s="10"/>
    </row>
    <row r="1282" spans="1:6" s="9" customFormat="1" x14ac:dyDescent="0.25">
      <c r="A1282" s="9" t="s">
        <v>427</v>
      </c>
      <c r="B1282" s="4">
        <v>45857</v>
      </c>
      <c r="C1282" s="5">
        <v>10</v>
      </c>
      <c r="D1282" s="9" t="s">
        <v>13</v>
      </c>
      <c r="E1282" s="10">
        <v>145</v>
      </c>
      <c r="F1282" s="10">
        <f t="shared" si="19"/>
        <v>1450</v>
      </c>
    </row>
    <row r="1283" spans="1:6" s="9" customFormat="1" x14ac:dyDescent="0.25">
      <c r="C1283" s="5">
        <v>5</v>
      </c>
      <c r="D1283" s="9" t="s">
        <v>14</v>
      </c>
      <c r="E1283" s="10">
        <v>140</v>
      </c>
      <c r="F1283" s="10">
        <f t="shared" si="19"/>
        <v>700</v>
      </c>
    </row>
    <row r="1284" spans="1:6" s="9" customFormat="1" x14ac:dyDescent="0.25">
      <c r="C1284" s="5"/>
      <c r="E1284" s="10"/>
      <c r="F1284" s="8">
        <f>SUM(F1282:F1283)</f>
        <v>2150</v>
      </c>
    </row>
    <row r="1285" spans="1:6" s="9" customFormat="1" x14ac:dyDescent="0.25">
      <c r="C1285" s="5"/>
      <c r="E1285" s="10"/>
      <c r="F1285" s="10"/>
    </row>
    <row r="1286" spans="1:6" s="9" customFormat="1" x14ac:dyDescent="0.25">
      <c r="A1286" s="9" t="s">
        <v>673</v>
      </c>
      <c r="B1286" s="4">
        <v>45857</v>
      </c>
      <c r="C1286" s="5">
        <v>30</v>
      </c>
      <c r="D1286" s="9" t="s">
        <v>13</v>
      </c>
      <c r="E1286" s="10">
        <v>145</v>
      </c>
      <c r="F1286" s="10">
        <f t="shared" si="19"/>
        <v>4350</v>
      </c>
    </row>
    <row r="1287" spans="1:6" s="9" customFormat="1" x14ac:dyDescent="0.25">
      <c r="C1287" s="5">
        <v>20</v>
      </c>
      <c r="D1287" s="9" t="s">
        <v>12</v>
      </c>
      <c r="E1287" s="10">
        <v>135</v>
      </c>
      <c r="F1287" s="10">
        <f t="shared" si="19"/>
        <v>2700</v>
      </c>
    </row>
    <row r="1288" spans="1:6" s="9" customFormat="1" x14ac:dyDescent="0.25">
      <c r="C1288" s="5">
        <v>10</v>
      </c>
      <c r="D1288" s="9" t="s">
        <v>14</v>
      </c>
      <c r="E1288" s="10">
        <v>140</v>
      </c>
      <c r="F1288" s="10">
        <f t="shared" si="19"/>
        <v>1400</v>
      </c>
    </row>
    <row r="1289" spans="1:6" s="9" customFormat="1" x14ac:dyDescent="0.25">
      <c r="C1289" s="5">
        <v>10</v>
      </c>
      <c r="D1289" s="9" t="s">
        <v>8</v>
      </c>
      <c r="E1289" s="10">
        <v>160</v>
      </c>
      <c r="F1289" s="10">
        <f t="shared" si="19"/>
        <v>1600</v>
      </c>
    </row>
    <row r="1290" spans="1:6" s="9" customFormat="1" x14ac:dyDescent="0.25">
      <c r="C1290" s="5"/>
      <c r="E1290" s="10"/>
      <c r="F1290" s="8">
        <f>SUM(F1286:F1289)</f>
        <v>10050</v>
      </c>
    </row>
    <row r="1291" spans="1:6" s="9" customFormat="1" x14ac:dyDescent="0.25">
      <c r="C1291" s="5"/>
      <c r="E1291" s="10"/>
      <c r="F1291" s="10"/>
    </row>
    <row r="1292" spans="1:6" s="9" customFormat="1" x14ac:dyDescent="0.25">
      <c r="A1292" s="9" t="s">
        <v>57</v>
      </c>
      <c r="B1292" s="4">
        <v>45857</v>
      </c>
      <c r="C1292" s="5">
        <v>10</v>
      </c>
      <c r="D1292" s="9" t="s">
        <v>14</v>
      </c>
      <c r="E1292" s="10">
        <v>140</v>
      </c>
      <c r="F1292" s="10">
        <f t="shared" si="19"/>
        <v>1400</v>
      </c>
    </row>
    <row r="1293" spans="1:6" s="9" customFormat="1" x14ac:dyDescent="0.25">
      <c r="C1293" s="5">
        <v>10</v>
      </c>
      <c r="D1293" s="9" t="s">
        <v>13</v>
      </c>
      <c r="E1293" s="10">
        <v>145</v>
      </c>
      <c r="F1293" s="10">
        <f t="shared" si="19"/>
        <v>1450</v>
      </c>
    </row>
    <row r="1294" spans="1:6" s="9" customFormat="1" x14ac:dyDescent="0.25">
      <c r="C1294" s="5"/>
      <c r="E1294" s="10"/>
      <c r="F1294" s="8">
        <f>SUM(F1292:F1293)</f>
        <v>2850</v>
      </c>
    </row>
    <row r="1295" spans="1:6" s="9" customFormat="1" x14ac:dyDescent="0.25">
      <c r="C1295" s="5"/>
      <c r="E1295" s="10"/>
      <c r="F1295" s="10"/>
    </row>
    <row r="1296" spans="1:6" s="9" customFormat="1" x14ac:dyDescent="0.25">
      <c r="A1296" s="9" t="s">
        <v>40</v>
      </c>
      <c r="B1296" s="4">
        <v>45857</v>
      </c>
      <c r="C1296" s="5">
        <v>10</v>
      </c>
      <c r="D1296" s="9" t="s">
        <v>8</v>
      </c>
      <c r="E1296" s="10">
        <v>160</v>
      </c>
      <c r="F1296" s="10">
        <f t="shared" si="19"/>
        <v>1600</v>
      </c>
    </row>
    <row r="1297" spans="1:6" s="9" customFormat="1" x14ac:dyDescent="0.25">
      <c r="C1297" s="5"/>
      <c r="E1297" s="10"/>
      <c r="F1297" s="8">
        <f>SUM(F1296)</f>
        <v>1600</v>
      </c>
    </row>
    <row r="1298" spans="1:6" s="9" customFormat="1" x14ac:dyDescent="0.25">
      <c r="C1298" s="5"/>
      <c r="E1298" s="10"/>
      <c r="F1298" s="10"/>
    </row>
    <row r="1299" spans="1:6" s="9" customFormat="1" x14ac:dyDescent="0.25">
      <c r="A1299" s="9" t="s">
        <v>25</v>
      </c>
      <c r="B1299" s="4">
        <v>45857</v>
      </c>
      <c r="C1299" s="5">
        <v>30</v>
      </c>
      <c r="D1299" s="9" t="s">
        <v>8</v>
      </c>
      <c r="E1299" s="10">
        <v>160</v>
      </c>
      <c r="F1299" s="10">
        <f t="shared" si="19"/>
        <v>4800</v>
      </c>
    </row>
    <row r="1300" spans="1:6" s="9" customFormat="1" x14ac:dyDescent="0.25">
      <c r="C1300" s="5"/>
      <c r="E1300" s="10"/>
      <c r="F1300" s="8">
        <f>SUM(F1299)</f>
        <v>4800</v>
      </c>
    </row>
    <row r="1301" spans="1:6" s="9" customFormat="1" x14ac:dyDescent="0.25">
      <c r="C1301" s="5"/>
      <c r="E1301" s="10"/>
      <c r="F1301" s="10"/>
    </row>
    <row r="1302" spans="1:6" s="9" customFormat="1" x14ac:dyDescent="0.25">
      <c r="A1302" s="9" t="s">
        <v>798</v>
      </c>
      <c r="B1302" s="4">
        <v>45857</v>
      </c>
      <c r="C1302" s="5">
        <v>5</v>
      </c>
      <c r="D1302" s="9" t="s">
        <v>13</v>
      </c>
      <c r="E1302" s="10">
        <v>150</v>
      </c>
      <c r="F1302" s="10">
        <f t="shared" ref="F1302:F1362" si="20">+C1302*E1302</f>
        <v>750</v>
      </c>
    </row>
    <row r="1303" spans="1:6" s="9" customFormat="1" x14ac:dyDescent="0.25">
      <c r="C1303" s="5"/>
      <c r="E1303" s="10"/>
      <c r="F1303" s="8">
        <f>SUM(F1302)</f>
        <v>750</v>
      </c>
    </row>
    <row r="1304" spans="1:6" s="9" customFormat="1" x14ac:dyDescent="0.25">
      <c r="C1304" s="5"/>
      <c r="E1304" s="10"/>
      <c r="F1304" s="10"/>
    </row>
    <row r="1305" spans="1:6" s="9" customFormat="1" x14ac:dyDescent="0.25">
      <c r="A1305" s="9" t="s">
        <v>65</v>
      </c>
      <c r="B1305" s="4">
        <v>45857</v>
      </c>
      <c r="C1305" s="5">
        <v>375</v>
      </c>
      <c r="D1305" s="9" t="s">
        <v>12</v>
      </c>
      <c r="E1305" s="10"/>
      <c r="F1305" s="10">
        <f t="shared" si="20"/>
        <v>0</v>
      </c>
    </row>
    <row r="1306" spans="1:6" s="9" customFormat="1" x14ac:dyDescent="0.25">
      <c r="C1306" s="5">
        <v>120</v>
      </c>
      <c r="D1306" s="9" t="s">
        <v>11</v>
      </c>
      <c r="E1306" s="10"/>
      <c r="F1306" s="10">
        <f t="shared" si="20"/>
        <v>0</v>
      </c>
    </row>
    <row r="1307" spans="1:6" s="9" customFormat="1" x14ac:dyDescent="0.25">
      <c r="C1307" s="5">
        <v>127</v>
      </c>
      <c r="D1307" s="9" t="s">
        <v>22</v>
      </c>
      <c r="E1307" s="10"/>
      <c r="F1307" s="10">
        <f t="shared" si="20"/>
        <v>0</v>
      </c>
    </row>
    <row r="1308" spans="1:6" s="9" customFormat="1" x14ac:dyDescent="0.25">
      <c r="C1308" s="5">
        <v>220</v>
      </c>
      <c r="D1308" s="9" t="s">
        <v>14</v>
      </c>
      <c r="E1308" s="10"/>
      <c r="F1308" s="10">
        <f t="shared" si="20"/>
        <v>0</v>
      </c>
    </row>
    <row r="1309" spans="1:6" s="9" customFormat="1" x14ac:dyDescent="0.25">
      <c r="C1309" s="5">
        <v>98</v>
      </c>
      <c r="D1309" s="9" t="s">
        <v>13</v>
      </c>
      <c r="E1309" s="10"/>
      <c r="F1309" s="10">
        <f t="shared" si="20"/>
        <v>0</v>
      </c>
    </row>
    <row r="1310" spans="1:6" s="9" customFormat="1" x14ac:dyDescent="0.25">
      <c r="C1310" s="5">
        <v>25</v>
      </c>
      <c r="D1310" s="9" t="s">
        <v>799</v>
      </c>
      <c r="E1310" s="10"/>
      <c r="F1310" s="10">
        <f t="shared" si="20"/>
        <v>0</v>
      </c>
    </row>
    <row r="1311" spans="1:6" s="9" customFormat="1" x14ac:dyDescent="0.25">
      <c r="C1311" s="5"/>
      <c r="E1311" s="10"/>
      <c r="F1311" s="8">
        <f>SUM(F1305:F1310)</f>
        <v>0</v>
      </c>
    </row>
    <row r="1312" spans="1:6" s="9" customFormat="1" x14ac:dyDescent="0.25">
      <c r="C1312" s="5"/>
      <c r="E1312" s="10"/>
      <c r="F1312" s="10"/>
    </row>
    <row r="1313" spans="1:6" s="9" customFormat="1" x14ac:dyDescent="0.25">
      <c r="A1313" s="9" t="s">
        <v>174</v>
      </c>
      <c r="B1313" s="4">
        <v>45857</v>
      </c>
      <c r="C1313" s="5">
        <v>120</v>
      </c>
      <c r="D1313" s="9" t="s">
        <v>12</v>
      </c>
      <c r="E1313" s="10">
        <v>140</v>
      </c>
      <c r="F1313" s="10">
        <f t="shared" si="20"/>
        <v>16800</v>
      </c>
    </row>
    <row r="1314" spans="1:6" s="9" customFormat="1" x14ac:dyDescent="0.25">
      <c r="C1314" s="5"/>
      <c r="E1314" s="10"/>
      <c r="F1314" s="8">
        <f>SUM(F1313)</f>
        <v>16800</v>
      </c>
    </row>
    <row r="1315" spans="1:6" s="9" customFormat="1" x14ac:dyDescent="0.25">
      <c r="C1315" s="5"/>
      <c r="E1315" s="10"/>
      <c r="F1315" s="10"/>
    </row>
    <row r="1316" spans="1:6" s="9" customFormat="1" x14ac:dyDescent="0.25">
      <c r="A1316" s="9" t="s">
        <v>61</v>
      </c>
      <c r="B1316" s="4">
        <v>45857</v>
      </c>
      <c r="C1316" s="5">
        <v>70</v>
      </c>
      <c r="D1316" s="9" t="s">
        <v>13</v>
      </c>
      <c r="E1316" s="10">
        <v>140</v>
      </c>
      <c r="F1316" s="10">
        <f t="shared" si="20"/>
        <v>9800</v>
      </c>
    </row>
    <row r="1317" spans="1:6" s="9" customFormat="1" x14ac:dyDescent="0.25">
      <c r="C1317" s="5"/>
      <c r="E1317" s="10"/>
      <c r="F1317" s="8">
        <f>SUM(F1316)</f>
        <v>9800</v>
      </c>
    </row>
    <row r="1318" spans="1:6" s="9" customFormat="1" x14ac:dyDescent="0.25">
      <c r="C1318" s="5"/>
      <c r="E1318" s="10"/>
      <c r="F1318" s="10"/>
    </row>
    <row r="1319" spans="1:6" s="9" customFormat="1" x14ac:dyDescent="0.25">
      <c r="A1319" s="9" t="s">
        <v>127</v>
      </c>
      <c r="B1319" s="4">
        <v>45857</v>
      </c>
      <c r="C1319" s="5">
        <v>30</v>
      </c>
      <c r="D1319" s="9" t="s">
        <v>13</v>
      </c>
      <c r="E1319" s="10">
        <v>140</v>
      </c>
      <c r="F1319" s="10">
        <f t="shared" si="20"/>
        <v>4200</v>
      </c>
    </row>
    <row r="1320" spans="1:6" s="9" customFormat="1" x14ac:dyDescent="0.25">
      <c r="C1320" s="5"/>
      <c r="E1320" s="10"/>
      <c r="F1320" s="8">
        <f>SUM(F1319)</f>
        <v>4200</v>
      </c>
    </row>
    <row r="1321" spans="1:6" s="9" customFormat="1" x14ac:dyDescent="0.25">
      <c r="C1321" s="5"/>
      <c r="E1321" s="10"/>
      <c r="F1321" s="10"/>
    </row>
    <row r="1322" spans="1:6" s="9" customFormat="1" x14ac:dyDescent="0.25">
      <c r="A1322" s="9" t="s">
        <v>111</v>
      </c>
      <c r="B1322" s="4">
        <v>45857</v>
      </c>
      <c r="C1322" s="5">
        <v>30</v>
      </c>
      <c r="D1322" s="9" t="s">
        <v>13</v>
      </c>
      <c r="E1322" s="10">
        <v>140</v>
      </c>
      <c r="F1322" s="10">
        <f t="shared" si="20"/>
        <v>4200</v>
      </c>
    </row>
    <row r="1323" spans="1:6" s="9" customFormat="1" x14ac:dyDescent="0.25">
      <c r="C1323" s="5"/>
      <c r="E1323" s="10"/>
      <c r="F1323" s="8">
        <f>SUM(F1322)</f>
        <v>4200</v>
      </c>
    </row>
    <row r="1324" spans="1:6" s="9" customFormat="1" x14ac:dyDescent="0.25">
      <c r="C1324" s="5"/>
      <c r="E1324" s="10"/>
      <c r="F1324" s="10"/>
    </row>
    <row r="1325" spans="1:6" s="9" customFormat="1" x14ac:dyDescent="0.25">
      <c r="A1325" s="9" t="s">
        <v>800</v>
      </c>
      <c r="B1325" s="4">
        <v>45857</v>
      </c>
      <c r="C1325" s="5">
        <v>10</v>
      </c>
      <c r="D1325" s="9" t="s">
        <v>12</v>
      </c>
      <c r="E1325" s="10">
        <v>135</v>
      </c>
      <c r="F1325" s="10">
        <f t="shared" si="20"/>
        <v>1350</v>
      </c>
    </row>
    <row r="1326" spans="1:6" s="9" customFormat="1" x14ac:dyDescent="0.25">
      <c r="C1326" s="5"/>
      <c r="E1326" s="10"/>
      <c r="F1326" s="8">
        <f>SUM(F1325)</f>
        <v>1350</v>
      </c>
    </row>
    <row r="1327" spans="1:6" s="9" customFormat="1" x14ac:dyDescent="0.25">
      <c r="C1327" s="5"/>
      <c r="E1327" s="10"/>
      <c r="F1327" s="10"/>
    </row>
    <row r="1328" spans="1:6" s="9" customFormat="1" x14ac:dyDescent="0.25">
      <c r="A1328" s="9" t="s">
        <v>88</v>
      </c>
      <c r="B1328" s="4">
        <v>45857</v>
      </c>
      <c r="C1328" s="5">
        <v>10</v>
      </c>
      <c r="D1328" s="9" t="s">
        <v>14</v>
      </c>
      <c r="E1328" s="10">
        <v>135</v>
      </c>
      <c r="F1328" s="10">
        <f t="shared" si="20"/>
        <v>1350</v>
      </c>
    </row>
    <row r="1329" spans="1:6" s="9" customFormat="1" x14ac:dyDescent="0.25">
      <c r="C1329" s="5">
        <v>3</v>
      </c>
      <c r="D1329" s="9" t="s">
        <v>13</v>
      </c>
      <c r="E1329" s="10">
        <v>145</v>
      </c>
      <c r="F1329" s="10">
        <f t="shared" si="20"/>
        <v>435</v>
      </c>
    </row>
    <row r="1330" spans="1:6" s="9" customFormat="1" x14ac:dyDescent="0.25">
      <c r="C1330" s="5"/>
      <c r="E1330" s="10"/>
      <c r="F1330" s="8">
        <f>SUM(F1328:F1329)</f>
        <v>1785</v>
      </c>
    </row>
    <row r="1331" spans="1:6" s="9" customFormat="1" x14ac:dyDescent="0.25">
      <c r="C1331" s="5"/>
      <c r="E1331" s="10"/>
      <c r="F1331" s="10"/>
    </row>
    <row r="1332" spans="1:6" s="9" customFormat="1" x14ac:dyDescent="0.25">
      <c r="A1332" s="9" t="s">
        <v>72</v>
      </c>
      <c r="B1332" s="4">
        <v>45857</v>
      </c>
      <c r="C1332" s="5">
        <v>330</v>
      </c>
      <c r="D1332" s="9" t="s">
        <v>13</v>
      </c>
      <c r="E1332" s="10">
        <v>135</v>
      </c>
      <c r="F1332" s="10">
        <f t="shared" si="20"/>
        <v>44550</v>
      </c>
    </row>
    <row r="1333" spans="1:6" s="9" customFormat="1" x14ac:dyDescent="0.25">
      <c r="C1333" s="5">
        <v>120</v>
      </c>
      <c r="D1333" s="9" t="s">
        <v>12</v>
      </c>
      <c r="E1333" s="10">
        <v>125</v>
      </c>
      <c r="F1333" s="10">
        <f t="shared" si="20"/>
        <v>15000</v>
      </c>
    </row>
    <row r="1334" spans="1:6" s="9" customFormat="1" x14ac:dyDescent="0.25">
      <c r="C1334" s="5">
        <v>20</v>
      </c>
      <c r="D1334" s="9" t="s">
        <v>14</v>
      </c>
      <c r="E1334" s="10">
        <v>135</v>
      </c>
      <c r="F1334" s="10">
        <f t="shared" si="20"/>
        <v>2700</v>
      </c>
    </row>
    <row r="1335" spans="1:6" s="9" customFormat="1" x14ac:dyDescent="0.25">
      <c r="C1335" s="5">
        <v>100</v>
      </c>
      <c r="D1335" s="9" t="s">
        <v>11</v>
      </c>
      <c r="E1335" s="10">
        <v>125</v>
      </c>
      <c r="F1335" s="10">
        <f t="shared" si="20"/>
        <v>12500</v>
      </c>
    </row>
    <row r="1336" spans="1:6" s="9" customFormat="1" x14ac:dyDescent="0.25">
      <c r="C1336" s="5"/>
      <c r="E1336" s="10"/>
      <c r="F1336" s="8">
        <f>SUM(F1332:F1335)</f>
        <v>74750</v>
      </c>
    </row>
    <row r="1337" spans="1:6" s="9" customFormat="1" x14ac:dyDescent="0.25">
      <c r="C1337" s="5"/>
      <c r="E1337" s="10"/>
      <c r="F1337" s="10"/>
    </row>
    <row r="1338" spans="1:6" s="9" customFormat="1" x14ac:dyDescent="0.25">
      <c r="A1338" s="9" t="s">
        <v>76</v>
      </c>
      <c r="B1338" s="4">
        <v>45857</v>
      </c>
      <c r="C1338" s="5">
        <v>300</v>
      </c>
      <c r="D1338" s="9" t="s">
        <v>13</v>
      </c>
      <c r="E1338" s="10">
        <v>135</v>
      </c>
      <c r="F1338" s="10">
        <f t="shared" si="20"/>
        <v>40500</v>
      </c>
    </row>
    <row r="1339" spans="1:6" s="9" customFormat="1" x14ac:dyDescent="0.25">
      <c r="C1339" s="5">
        <v>300</v>
      </c>
      <c r="D1339" s="9" t="s">
        <v>14</v>
      </c>
      <c r="E1339" s="10">
        <v>130</v>
      </c>
      <c r="F1339" s="10">
        <f t="shared" si="20"/>
        <v>39000</v>
      </c>
    </row>
    <row r="1340" spans="1:6" s="9" customFormat="1" x14ac:dyDescent="0.25">
      <c r="C1340" s="5">
        <v>230</v>
      </c>
      <c r="D1340" s="9" t="s">
        <v>286</v>
      </c>
      <c r="E1340" s="10">
        <v>136</v>
      </c>
      <c r="F1340" s="10">
        <f t="shared" si="20"/>
        <v>31280</v>
      </c>
    </row>
    <row r="1341" spans="1:6" s="9" customFormat="1" x14ac:dyDescent="0.25">
      <c r="C1341" s="5">
        <v>40</v>
      </c>
      <c r="D1341" s="9" t="s">
        <v>22</v>
      </c>
      <c r="E1341" s="10">
        <v>105</v>
      </c>
      <c r="F1341" s="10">
        <f t="shared" si="20"/>
        <v>4200</v>
      </c>
    </row>
    <row r="1342" spans="1:6" s="9" customFormat="1" x14ac:dyDescent="0.25">
      <c r="C1342" s="5"/>
      <c r="E1342" s="10"/>
      <c r="F1342" s="8">
        <f>SUM(F1338:F1341)</f>
        <v>114980</v>
      </c>
    </row>
    <row r="1343" spans="1:6" s="9" customFormat="1" x14ac:dyDescent="0.25">
      <c r="C1343" s="5"/>
      <c r="E1343" s="10"/>
      <c r="F1343" s="10"/>
    </row>
    <row r="1344" spans="1:6" s="9" customFormat="1" x14ac:dyDescent="0.25">
      <c r="A1344" s="9" t="s">
        <v>29</v>
      </c>
      <c r="B1344" s="4">
        <v>45857</v>
      </c>
      <c r="C1344" s="5">
        <v>10</v>
      </c>
      <c r="D1344" s="9" t="s">
        <v>8</v>
      </c>
      <c r="E1344" s="10">
        <v>170</v>
      </c>
      <c r="F1344" s="10">
        <f t="shared" si="20"/>
        <v>1700</v>
      </c>
    </row>
    <row r="1345" spans="1:6" s="9" customFormat="1" x14ac:dyDescent="0.25">
      <c r="C1345" s="5"/>
      <c r="E1345" s="10"/>
      <c r="F1345" s="8">
        <f>SUM(F1344)</f>
        <v>1700</v>
      </c>
    </row>
    <row r="1346" spans="1:6" s="9" customFormat="1" x14ac:dyDescent="0.25">
      <c r="C1346" s="5"/>
      <c r="E1346" s="10"/>
      <c r="F1346" s="10"/>
    </row>
    <row r="1347" spans="1:6" s="9" customFormat="1" x14ac:dyDescent="0.25">
      <c r="A1347" s="9" t="s">
        <v>7</v>
      </c>
      <c r="B1347" s="4">
        <v>45857</v>
      </c>
      <c r="C1347" s="5">
        <v>2</v>
      </c>
      <c r="D1347" s="9" t="s">
        <v>801</v>
      </c>
      <c r="E1347" s="10">
        <v>150</v>
      </c>
      <c r="F1347" s="10">
        <f t="shared" si="20"/>
        <v>300</v>
      </c>
    </row>
    <row r="1348" spans="1:6" s="9" customFormat="1" x14ac:dyDescent="0.25">
      <c r="C1348" s="5">
        <v>2</v>
      </c>
      <c r="D1348" s="9" t="s">
        <v>224</v>
      </c>
      <c r="E1348" s="10">
        <v>140</v>
      </c>
      <c r="F1348" s="10">
        <f t="shared" si="20"/>
        <v>280</v>
      </c>
    </row>
    <row r="1349" spans="1:6" s="9" customFormat="1" x14ac:dyDescent="0.25">
      <c r="C1349" s="5">
        <v>1</v>
      </c>
      <c r="D1349" s="9" t="s">
        <v>8</v>
      </c>
      <c r="E1349" s="10">
        <v>150</v>
      </c>
      <c r="F1349" s="10">
        <f t="shared" si="20"/>
        <v>150</v>
      </c>
    </row>
    <row r="1350" spans="1:6" s="9" customFormat="1" x14ac:dyDescent="0.25">
      <c r="C1350" s="5">
        <v>2</v>
      </c>
      <c r="D1350" s="9" t="s">
        <v>12</v>
      </c>
      <c r="E1350" s="10">
        <v>140</v>
      </c>
      <c r="F1350" s="10">
        <f t="shared" si="20"/>
        <v>280</v>
      </c>
    </row>
    <row r="1351" spans="1:6" s="9" customFormat="1" x14ac:dyDescent="0.25">
      <c r="C1351" s="5">
        <v>1</v>
      </c>
      <c r="D1351" s="9" t="s">
        <v>98</v>
      </c>
      <c r="E1351" s="10">
        <v>100</v>
      </c>
      <c r="F1351" s="10">
        <f t="shared" si="20"/>
        <v>100</v>
      </c>
    </row>
    <row r="1352" spans="1:6" s="9" customFormat="1" x14ac:dyDescent="0.25">
      <c r="C1352" s="5">
        <v>2</v>
      </c>
      <c r="D1352" s="9" t="s">
        <v>8</v>
      </c>
      <c r="E1352" s="10">
        <v>170</v>
      </c>
      <c r="F1352" s="10">
        <f t="shared" si="20"/>
        <v>340</v>
      </c>
    </row>
    <row r="1353" spans="1:6" s="9" customFormat="1" x14ac:dyDescent="0.25">
      <c r="C1353" s="5">
        <v>1</v>
      </c>
      <c r="D1353" s="9" t="s">
        <v>12</v>
      </c>
      <c r="E1353" s="10">
        <v>150</v>
      </c>
      <c r="F1353" s="10">
        <f t="shared" si="20"/>
        <v>150</v>
      </c>
    </row>
    <row r="1354" spans="1:6" s="9" customFormat="1" x14ac:dyDescent="0.25">
      <c r="C1354" s="5"/>
      <c r="E1354" s="10"/>
      <c r="F1354" s="8">
        <f>SUM(F1347:F1353)</f>
        <v>1600</v>
      </c>
    </row>
    <row r="1355" spans="1:6" s="9" customFormat="1" x14ac:dyDescent="0.25">
      <c r="C1355" s="5"/>
      <c r="E1355" s="10"/>
      <c r="F1355" s="10"/>
    </row>
    <row r="1356" spans="1:6" s="9" customFormat="1" x14ac:dyDescent="0.25">
      <c r="A1356" s="9" t="s">
        <v>140</v>
      </c>
      <c r="B1356" s="4">
        <v>45858</v>
      </c>
      <c r="C1356" s="5">
        <v>200</v>
      </c>
      <c r="D1356" s="9" t="s">
        <v>13</v>
      </c>
      <c r="E1356" s="10">
        <v>140</v>
      </c>
      <c r="F1356" s="10">
        <f t="shared" si="20"/>
        <v>28000</v>
      </c>
    </row>
    <row r="1357" spans="1:6" s="9" customFormat="1" x14ac:dyDescent="0.25">
      <c r="C1357" s="5">
        <v>120</v>
      </c>
      <c r="D1357" s="9" t="s">
        <v>12</v>
      </c>
      <c r="E1357" s="10">
        <v>130</v>
      </c>
      <c r="F1357" s="10">
        <f t="shared" si="20"/>
        <v>15600</v>
      </c>
    </row>
    <row r="1358" spans="1:6" s="9" customFormat="1" x14ac:dyDescent="0.25">
      <c r="C1358" s="5">
        <v>100</v>
      </c>
      <c r="D1358" s="9" t="s">
        <v>14</v>
      </c>
      <c r="E1358" s="10">
        <v>140</v>
      </c>
      <c r="F1358" s="10">
        <f t="shared" si="20"/>
        <v>14000</v>
      </c>
    </row>
    <row r="1359" spans="1:6" s="9" customFormat="1" x14ac:dyDescent="0.25">
      <c r="C1359" s="5">
        <v>200</v>
      </c>
      <c r="D1359" s="9" t="s">
        <v>8</v>
      </c>
      <c r="E1359" s="10">
        <v>155</v>
      </c>
      <c r="F1359" s="10">
        <f t="shared" si="20"/>
        <v>31000</v>
      </c>
    </row>
    <row r="1360" spans="1:6" s="9" customFormat="1" x14ac:dyDescent="0.25">
      <c r="C1360" s="5"/>
      <c r="E1360" s="10"/>
      <c r="F1360" s="8">
        <f>SUM(F1356:F1359)</f>
        <v>88600</v>
      </c>
    </row>
    <row r="1361" spans="1:6" s="9" customFormat="1" x14ac:dyDescent="0.25">
      <c r="C1361" s="5"/>
      <c r="E1361" s="10"/>
      <c r="F1361" s="10"/>
    </row>
    <row r="1362" spans="1:6" s="9" customFormat="1" x14ac:dyDescent="0.25">
      <c r="A1362" s="9" t="s">
        <v>7</v>
      </c>
      <c r="B1362" s="4">
        <v>45858</v>
      </c>
      <c r="C1362" s="5">
        <v>1</v>
      </c>
      <c r="D1362" s="9" t="s">
        <v>337</v>
      </c>
      <c r="E1362" s="10">
        <v>170</v>
      </c>
      <c r="F1362" s="10">
        <f t="shared" si="20"/>
        <v>170</v>
      </c>
    </row>
    <row r="1363" spans="1:6" s="9" customFormat="1" x14ac:dyDescent="0.25">
      <c r="C1363" s="5"/>
      <c r="E1363" s="10"/>
      <c r="F1363" s="8">
        <f>SUM(F1362)</f>
        <v>170</v>
      </c>
    </row>
    <row r="1364" spans="1:6" s="9" customFormat="1" x14ac:dyDescent="0.25">
      <c r="C1364" s="5"/>
      <c r="E1364" s="10"/>
      <c r="F1364" s="10"/>
    </row>
    <row r="1365" spans="1:6" s="9" customFormat="1" x14ac:dyDescent="0.25">
      <c r="A1365" s="9" t="s">
        <v>514</v>
      </c>
      <c r="B1365" s="4">
        <v>45859</v>
      </c>
      <c r="C1365" s="5">
        <v>10</v>
      </c>
      <c r="D1365" s="9" t="s">
        <v>98</v>
      </c>
      <c r="E1365" s="10">
        <v>100</v>
      </c>
      <c r="F1365" s="10">
        <f t="shared" ref="F1365:F1426" si="21">+C1365*E1365</f>
        <v>1000</v>
      </c>
    </row>
    <row r="1366" spans="1:6" s="9" customFormat="1" x14ac:dyDescent="0.25">
      <c r="C1366" s="5"/>
      <c r="E1366" s="10"/>
      <c r="F1366" s="8">
        <f>SUM(F1365)</f>
        <v>1000</v>
      </c>
    </row>
    <row r="1367" spans="1:6" s="9" customFormat="1" x14ac:dyDescent="0.25">
      <c r="C1367" s="5"/>
      <c r="E1367" s="10"/>
      <c r="F1367" s="10"/>
    </row>
    <row r="1368" spans="1:6" s="9" customFormat="1" x14ac:dyDescent="0.25">
      <c r="A1368" s="9" t="s">
        <v>15</v>
      </c>
      <c r="B1368" s="4">
        <v>45859</v>
      </c>
      <c r="C1368" s="5">
        <v>52</v>
      </c>
      <c r="D1368" s="9" t="s">
        <v>98</v>
      </c>
      <c r="E1368" s="10">
        <v>85</v>
      </c>
      <c r="F1368" s="10">
        <f t="shared" si="21"/>
        <v>4420</v>
      </c>
    </row>
    <row r="1369" spans="1:6" s="9" customFormat="1" x14ac:dyDescent="0.25">
      <c r="C1369" s="5"/>
      <c r="E1369" s="10"/>
      <c r="F1369" s="8">
        <f>SUM(F1368)</f>
        <v>4420</v>
      </c>
    </row>
    <row r="1370" spans="1:6" s="9" customFormat="1" x14ac:dyDescent="0.25">
      <c r="C1370" s="5"/>
      <c r="E1370" s="10"/>
      <c r="F1370" s="10"/>
    </row>
    <row r="1371" spans="1:6" s="9" customFormat="1" x14ac:dyDescent="0.25">
      <c r="A1371" s="9" t="s">
        <v>58</v>
      </c>
      <c r="B1371" s="4">
        <v>45859</v>
      </c>
      <c r="C1371" s="5">
        <v>7</v>
      </c>
      <c r="D1371" s="9" t="s">
        <v>13</v>
      </c>
      <c r="E1371" s="10">
        <v>145</v>
      </c>
      <c r="F1371" s="10">
        <f t="shared" si="21"/>
        <v>1015</v>
      </c>
    </row>
    <row r="1372" spans="1:6" s="9" customFormat="1" x14ac:dyDescent="0.25">
      <c r="C1372" s="5"/>
      <c r="E1372" s="10"/>
      <c r="F1372" s="8">
        <f>SUM(F1371)</f>
        <v>1015</v>
      </c>
    </row>
    <row r="1373" spans="1:6" s="9" customFormat="1" x14ac:dyDescent="0.25">
      <c r="C1373" s="5"/>
      <c r="E1373" s="10"/>
      <c r="F1373" s="10"/>
    </row>
    <row r="1374" spans="1:6" s="9" customFormat="1" x14ac:dyDescent="0.25">
      <c r="A1374" s="9" t="s">
        <v>69</v>
      </c>
      <c r="B1374" s="4">
        <v>45859</v>
      </c>
      <c r="C1374" s="5">
        <v>10</v>
      </c>
      <c r="D1374" s="9" t="s">
        <v>98</v>
      </c>
      <c r="E1374" s="10">
        <v>100</v>
      </c>
      <c r="F1374" s="10">
        <f t="shared" si="21"/>
        <v>1000</v>
      </c>
    </row>
    <row r="1375" spans="1:6" s="9" customFormat="1" x14ac:dyDescent="0.25">
      <c r="C1375" s="5"/>
      <c r="E1375" s="10"/>
      <c r="F1375" s="8">
        <f>SUM(F1374)</f>
        <v>1000</v>
      </c>
    </row>
    <row r="1376" spans="1:6" s="9" customFormat="1" x14ac:dyDescent="0.25">
      <c r="C1376" s="5"/>
      <c r="E1376" s="10"/>
      <c r="F1376" s="10"/>
    </row>
    <row r="1377" spans="1:6" s="9" customFormat="1" x14ac:dyDescent="0.25">
      <c r="A1377" s="9" t="s">
        <v>79</v>
      </c>
      <c r="B1377" s="4">
        <v>45859</v>
      </c>
      <c r="C1377" s="5">
        <v>20</v>
      </c>
      <c r="D1377" s="9" t="s">
        <v>13</v>
      </c>
      <c r="E1377" s="10">
        <v>145</v>
      </c>
      <c r="F1377" s="10">
        <f t="shared" si="21"/>
        <v>2900</v>
      </c>
    </row>
    <row r="1378" spans="1:6" s="9" customFormat="1" x14ac:dyDescent="0.25">
      <c r="C1378" s="5"/>
      <c r="E1378" s="10"/>
      <c r="F1378" s="8">
        <f>SUM(F1377)</f>
        <v>2900</v>
      </c>
    </row>
    <row r="1379" spans="1:6" s="9" customFormat="1" x14ac:dyDescent="0.25">
      <c r="C1379" s="5"/>
      <c r="E1379" s="10"/>
      <c r="F1379" s="10"/>
    </row>
    <row r="1380" spans="1:6" s="9" customFormat="1" x14ac:dyDescent="0.25">
      <c r="A1380" s="9" t="s">
        <v>40</v>
      </c>
      <c r="B1380" s="4">
        <v>45859</v>
      </c>
      <c r="C1380" s="5">
        <v>18</v>
      </c>
      <c r="D1380" s="9" t="s">
        <v>14</v>
      </c>
      <c r="E1380" s="10">
        <v>145</v>
      </c>
      <c r="F1380" s="10">
        <f t="shared" si="21"/>
        <v>2610</v>
      </c>
    </row>
    <row r="1381" spans="1:6" s="9" customFormat="1" x14ac:dyDescent="0.25">
      <c r="C1381" s="5">
        <v>15</v>
      </c>
      <c r="D1381" s="9" t="s">
        <v>50</v>
      </c>
      <c r="E1381" s="10">
        <v>115</v>
      </c>
      <c r="F1381" s="10">
        <f t="shared" si="21"/>
        <v>1725</v>
      </c>
    </row>
    <row r="1382" spans="1:6" s="9" customFormat="1" x14ac:dyDescent="0.25">
      <c r="C1382" s="5">
        <v>7</v>
      </c>
      <c r="D1382" s="9" t="s">
        <v>12</v>
      </c>
      <c r="E1382" s="10">
        <v>140</v>
      </c>
      <c r="F1382" s="10">
        <f t="shared" si="21"/>
        <v>980</v>
      </c>
    </row>
    <row r="1383" spans="1:6" s="9" customFormat="1" x14ac:dyDescent="0.25">
      <c r="C1383" s="5">
        <v>10</v>
      </c>
      <c r="D1383" s="9" t="s">
        <v>8</v>
      </c>
      <c r="E1383" s="10">
        <v>160</v>
      </c>
      <c r="F1383" s="10">
        <f t="shared" si="21"/>
        <v>1600</v>
      </c>
    </row>
    <row r="1384" spans="1:6" s="9" customFormat="1" x14ac:dyDescent="0.25">
      <c r="C1384" s="5"/>
      <c r="E1384" s="10"/>
      <c r="F1384" s="8">
        <f>SUM(F1380:F1383)</f>
        <v>6915</v>
      </c>
    </row>
    <row r="1385" spans="1:6" s="9" customFormat="1" x14ac:dyDescent="0.25">
      <c r="C1385" s="5"/>
      <c r="E1385" s="10"/>
      <c r="F1385" s="10"/>
    </row>
    <row r="1386" spans="1:6" s="9" customFormat="1" x14ac:dyDescent="0.25">
      <c r="A1386" s="9" t="s">
        <v>17</v>
      </c>
      <c r="B1386" s="4">
        <v>45859</v>
      </c>
      <c r="C1386" s="5">
        <v>10</v>
      </c>
      <c r="D1386" s="9" t="s">
        <v>624</v>
      </c>
      <c r="E1386" s="10">
        <v>150</v>
      </c>
      <c r="F1386" s="10">
        <f t="shared" si="21"/>
        <v>1500</v>
      </c>
    </row>
    <row r="1387" spans="1:6" s="9" customFormat="1" x14ac:dyDescent="0.25">
      <c r="C1387" s="5"/>
      <c r="E1387" s="10"/>
      <c r="F1387" s="8">
        <f>SUM(F1386)</f>
        <v>1500</v>
      </c>
    </row>
    <row r="1388" spans="1:6" s="9" customFormat="1" x14ac:dyDescent="0.25">
      <c r="C1388" s="5"/>
      <c r="E1388" s="10"/>
      <c r="F1388" s="10"/>
    </row>
    <row r="1389" spans="1:6" s="9" customFormat="1" x14ac:dyDescent="0.25">
      <c r="A1389" s="9" t="s">
        <v>367</v>
      </c>
      <c r="B1389" s="4">
        <v>45859</v>
      </c>
      <c r="C1389" s="5">
        <v>10</v>
      </c>
      <c r="D1389" s="9" t="s">
        <v>13</v>
      </c>
      <c r="E1389" s="10">
        <v>150</v>
      </c>
      <c r="F1389" s="10">
        <f t="shared" si="21"/>
        <v>1500</v>
      </c>
    </row>
    <row r="1390" spans="1:6" s="9" customFormat="1" x14ac:dyDescent="0.25">
      <c r="C1390" s="5">
        <v>10</v>
      </c>
      <c r="D1390" s="9" t="s">
        <v>14</v>
      </c>
      <c r="E1390" s="10">
        <v>145</v>
      </c>
      <c r="F1390" s="10">
        <f t="shared" si="21"/>
        <v>1450</v>
      </c>
    </row>
    <row r="1391" spans="1:6" s="9" customFormat="1" x14ac:dyDescent="0.25">
      <c r="C1391" s="5"/>
      <c r="E1391" s="10"/>
      <c r="F1391" s="8">
        <f>SUM(F1389:F1390)</f>
        <v>2950</v>
      </c>
    </row>
    <row r="1392" spans="1:6" s="9" customFormat="1" x14ac:dyDescent="0.25">
      <c r="C1392" s="5"/>
      <c r="E1392" s="10"/>
      <c r="F1392" s="10"/>
    </row>
    <row r="1393" spans="1:6" s="9" customFormat="1" x14ac:dyDescent="0.25">
      <c r="A1393" s="9" t="s">
        <v>18</v>
      </c>
      <c r="B1393" s="4">
        <v>45859</v>
      </c>
      <c r="C1393" s="5">
        <v>7</v>
      </c>
      <c r="D1393" s="9" t="s">
        <v>13</v>
      </c>
      <c r="E1393" s="10">
        <v>150</v>
      </c>
      <c r="F1393" s="10">
        <f t="shared" si="21"/>
        <v>1050</v>
      </c>
    </row>
    <row r="1394" spans="1:6" s="9" customFormat="1" x14ac:dyDescent="0.25">
      <c r="C1394" s="5"/>
      <c r="E1394" s="10"/>
      <c r="F1394" s="8">
        <f>SUM(F1393)</f>
        <v>1050</v>
      </c>
    </row>
    <row r="1395" spans="1:6" s="9" customFormat="1" x14ac:dyDescent="0.25">
      <c r="C1395" s="5"/>
      <c r="E1395" s="10"/>
      <c r="F1395" s="10"/>
    </row>
    <row r="1396" spans="1:6" s="9" customFormat="1" x14ac:dyDescent="0.25">
      <c r="A1396" s="9" t="s">
        <v>688</v>
      </c>
      <c r="B1396" s="4">
        <v>45859</v>
      </c>
      <c r="C1396" s="5">
        <v>2</v>
      </c>
      <c r="D1396" s="9" t="s">
        <v>13</v>
      </c>
      <c r="E1396" s="10">
        <v>150</v>
      </c>
      <c r="F1396" s="10">
        <f t="shared" si="21"/>
        <v>300</v>
      </c>
    </row>
    <row r="1397" spans="1:6" s="9" customFormat="1" x14ac:dyDescent="0.25">
      <c r="C1397" s="5"/>
      <c r="E1397" s="10"/>
      <c r="F1397" s="8">
        <f>SUM(F1396)</f>
        <v>300</v>
      </c>
    </row>
    <row r="1398" spans="1:6" s="9" customFormat="1" x14ac:dyDescent="0.25">
      <c r="C1398" s="5"/>
      <c r="E1398" s="10"/>
      <c r="F1398" s="10"/>
    </row>
    <row r="1399" spans="1:6" s="9" customFormat="1" x14ac:dyDescent="0.25">
      <c r="A1399" s="9" t="s">
        <v>41</v>
      </c>
      <c r="B1399" s="4">
        <v>45859</v>
      </c>
      <c r="C1399" s="5">
        <v>45</v>
      </c>
      <c r="D1399" s="9" t="s">
        <v>14</v>
      </c>
      <c r="E1399" s="10">
        <v>135</v>
      </c>
      <c r="F1399" s="10">
        <f t="shared" si="21"/>
        <v>6075</v>
      </c>
    </row>
    <row r="1400" spans="1:6" s="9" customFormat="1" x14ac:dyDescent="0.25">
      <c r="C1400" s="5"/>
      <c r="E1400" s="10"/>
      <c r="F1400" s="8">
        <f>SUM(F1399)</f>
        <v>6075</v>
      </c>
    </row>
    <row r="1401" spans="1:6" s="9" customFormat="1" x14ac:dyDescent="0.25">
      <c r="C1401" s="5"/>
      <c r="E1401" s="10"/>
      <c r="F1401" s="10"/>
    </row>
    <row r="1402" spans="1:6" s="9" customFormat="1" x14ac:dyDescent="0.25">
      <c r="A1402" s="9" t="s">
        <v>43</v>
      </c>
      <c r="B1402" s="4">
        <v>45859</v>
      </c>
      <c r="C1402" s="5">
        <v>30</v>
      </c>
      <c r="D1402" s="9" t="s">
        <v>14</v>
      </c>
      <c r="E1402" s="10">
        <v>140</v>
      </c>
      <c r="F1402" s="10">
        <f t="shared" si="21"/>
        <v>4200</v>
      </c>
    </row>
    <row r="1403" spans="1:6" s="9" customFormat="1" x14ac:dyDescent="0.25">
      <c r="C1403" s="5"/>
      <c r="E1403" s="10"/>
      <c r="F1403" s="8">
        <f>SUM(F1402)</f>
        <v>4200</v>
      </c>
    </row>
    <row r="1404" spans="1:6" s="9" customFormat="1" x14ac:dyDescent="0.25">
      <c r="C1404" s="5"/>
      <c r="E1404" s="10"/>
      <c r="F1404" s="10"/>
    </row>
    <row r="1405" spans="1:6" s="9" customFormat="1" x14ac:dyDescent="0.25">
      <c r="A1405" s="9" t="s">
        <v>44</v>
      </c>
      <c r="B1405" s="4">
        <v>45859</v>
      </c>
      <c r="C1405" s="5">
        <v>52</v>
      </c>
      <c r="D1405" s="9" t="s">
        <v>14</v>
      </c>
      <c r="E1405" s="10">
        <v>140</v>
      </c>
      <c r="F1405" s="10">
        <f t="shared" si="21"/>
        <v>7280</v>
      </c>
    </row>
    <row r="1406" spans="1:6" s="9" customFormat="1" x14ac:dyDescent="0.25">
      <c r="C1406" s="5"/>
      <c r="E1406" s="10"/>
      <c r="F1406" s="8">
        <f>SUM(F1405)</f>
        <v>7280</v>
      </c>
    </row>
    <row r="1407" spans="1:6" s="9" customFormat="1" x14ac:dyDescent="0.25">
      <c r="C1407" s="5"/>
      <c r="E1407" s="10"/>
      <c r="F1407" s="10"/>
    </row>
    <row r="1408" spans="1:6" s="9" customFormat="1" x14ac:dyDescent="0.25">
      <c r="A1408" s="9" t="s">
        <v>18</v>
      </c>
      <c r="B1408" s="4">
        <v>45859</v>
      </c>
      <c r="C1408" s="5">
        <v>20</v>
      </c>
      <c r="D1408" s="9" t="s">
        <v>11</v>
      </c>
      <c r="E1408" s="10">
        <f>SUM(130)</f>
        <v>130</v>
      </c>
      <c r="F1408" s="10">
        <f t="shared" si="21"/>
        <v>2600</v>
      </c>
    </row>
    <row r="1409" spans="1:6" s="9" customFormat="1" x14ac:dyDescent="0.25">
      <c r="C1409" s="5"/>
      <c r="E1409" s="10"/>
      <c r="F1409" s="8">
        <f>SUM(F1408)</f>
        <v>2600</v>
      </c>
    </row>
    <row r="1410" spans="1:6" s="9" customFormat="1" x14ac:dyDescent="0.25">
      <c r="C1410" s="5"/>
      <c r="E1410" s="10"/>
      <c r="F1410" s="10"/>
    </row>
    <row r="1411" spans="1:6" s="9" customFormat="1" x14ac:dyDescent="0.25">
      <c r="A1411" s="9" t="s">
        <v>46</v>
      </c>
      <c r="B1411" s="4">
        <v>45859</v>
      </c>
      <c r="C1411" s="5">
        <v>30</v>
      </c>
      <c r="D1411" s="9" t="s">
        <v>14</v>
      </c>
      <c r="E1411" s="10">
        <v>140</v>
      </c>
      <c r="F1411" s="10">
        <f t="shared" si="21"/>
        <v>4200</v>
      </c>
    </row>
    <row r="1412" spans="1:6" s="9" customFormat="1" x14ac:dyDescent="0.25">
      <c r="C1412" s="5"/>
      <c r="E1412" s="10"/>
      <c r="F1412" s="8">
        <f>SUM(F1411)</f>
        <v>4200</v>
      </c>
    </row>
    <row r="1413" spans="1:6" s="9" customFormat="1" x14ac:dyDescent="0.25">
      <c r="C1413" s="5"/>
      <c r="E1413" s="10"/>
      <c r="F1413" s="10"/>
    </row>
    <row r="1414" spans="1:6" s="9" customFormat="1" x14ac:dyDescent="0.25">
      <c r="A1414" s="9" t="s">
        <v>145</v>
      </c>
      <c r="B1414" s="4">
        <v>45859</v>
      </c>
      <c r="C1414" s="5">
        <v>50</v>
      </c>
      <c r="D1414" s="9" t="s">
        <v>14</v>
      </c>
      <c r="E1414" s="10">
        <v>140</v>
      </c>
      <c r="F1414" s="10">
        <f t="shared" si="21"/>
        <v>7000</v>
      </c>
    </row>
    <row r="1415" spans="1:6" s="9" customFormat="1" x14ac:dyDescent="0.25">
      <c r="C1415" s="5"/>
      <c r="E1415" s="10"/>
      <c r="F1415" s="8">
        <f>SUM(F1414)</f>
        <v>7000</v>
      </c>
    </row>
    <row r="1416" spans="1:6" s="9" customFormat="1" x14ac:dyDescent="0.25">
      <c r="C1416" s="5"/>
      <c r="E1416" s="10"/>
      <c r="F1416" s="10"/>
    </row>
    <row r="1417" spans="1:6" s="9" customFormat="1" x14ac:dyDescent="0.25">
      <c r="A1417" s="9" t="s">
        <v>47</v>
      </c>
      <c r="B1417" s="4">
        <v>45859</v>
      </c>
      <c r="C1417" s="5">
        <v>32</v>
      </c>
      <c r="D1417" s="9" t="s">
        <v>14</v>
      </c>
      <c r="E1417" s="10">
        <v>140</v>
      </c>
      <c r="F1417" s="10">
        <f t="shared" si="21"/>
        <v>4480</v>
      </c>
    </row>
    <row r="1418" spans="1:6" s="9" customFormat="1" x14ac:dyDescent="0.25">
      <c r="C1418" s="5">
        <v>10</v>
      </c>
      <c r="D1418" s="9" t="s">
        <v>11</v>
      </c>
      <c r="E1418" s="10">
        <v>135</v>
      </c>
      <c r="F1418" s="10">
        <f t="shared" si="21"/>
        <v>1350</v>
      </c>
    </row>
    <row r="1419" spans="1:6" s="9" customFormat="1" x14ac:dyDescent="0.25">
      <c r="C1419" s="5"/>
      <c r="E1419" s="10"/>
      <c r="F1419" s="8">
        <f>SUM(F1417:F1418)</f>
        <v>5830</v>
      </c>
    </row>
    <row r="1420" spans="1:6" s="9" customFormat="1" x14ac:dyDescent="0.25">
      <c r="C1420" s="5"/>
      <c r="E1420" s="10"/>
      <c r="F1420" s="10"/>
    </row>
    <row r="1421" spans="1:6" s="9" customFormat="1" x14ac:dyDescent="0.25">
      <c r="A1421" s="9" t="s">
        <v>89</v>
      </c>
      <c r="B1421" s="4">
        <v>45859</v>
      </c>
      <c r="C1421" s="5">
        <v>29</v>
      </c>
      <c r="D1421" s="9" t="s">
        <v>13</v>
      </c>
      <c r="E1421" s="10">
        <v>140</v>
      </c>
      <c r="F1421" s="10">
        <f t="shared" si="21"/>
        <v>4060</v>
      </c>
    </row>
    <row r="1422" spans="1:6" s="9" customFormat="1" x14ac:dyDescent="0.25">
      <c r="C1422" s="5">
        <v>39</v>
      </c>
      <c r="D1422" s="9" t="s">
        <v>12</v>
      </c>
      <c r="E1422" s="10">
        <v>130</v>
      </c>
      <c r="F1422" s="10">
        <f t="shared" si="21"/>
        <v>5070</v>
      </c>
    </row>
    <row r="1423" spans="1:6" s="9" customFormat="1" x14ac:dyDescent="0.25">
      <c r="C1423" s="5">
        <v>30</v>
      </c>
      <c r="D1423" s="9" t="s">
        <v>22</v>
      </c>
      <c r="E1423" s="10">
        <v>120</v>
      </c>
      <c r="F1423" s="10">
        <f t="shared" si="21"/>
        <v>3600</v>
      </c>
    </row>
    <row r="1424" spans="1:6" s="9" customFormat="1" x14ac:dyDescent="0.25">
      <c r="C1424" s="5"/>
      <c r="E1424" s="10"/>
      <c r="F1424" s="8">
        <f>SUM(F1421:F1423)</f>
        <v>12730</v>
      </c>
    </row>
    <row r="1425" spans="1:6" s="9" customFormat="1" x14ac:dyDescent="0.25">
      <c r="C1425" s="5"/>
      <c r="E1425" s="10"/>
      <c r="F1425" s="10"/>
    </row>
    <row r="1426" spans="1:6" s="9" customFormat="1" x14ac:dyDescent="0.25">
      <c r="A1426" s="9" t="s">
        <v>160</v>
      </c>
      <c r="B1426" s="4">
        <v>45859</v>
      </c>
      <c r="C1426" s="5">
        <v>5</v>
      </c>
      <c r="D1426" s="9" t="s">
        <v>12</v>
      </c>
      <c r="E1426" s="10">
        <v>135</v>
      </c>
      <c r="F1426" s="10">
        <f t="shared" si="21"/>
        <v>675</v>
      </c>
    </row>
    <row r="1427" spans="1:6" s="9" customFormat="1" x14ac:dyDescent="0.25">
      <c r="C1427" s="5"/>
      <c r="E1427" s="10"/>
      <c r="F1427" s="8">
        <f>SUM(F1426)</f>
        <v>675</v>
      </c>
    </row>
    <row r="1428" spans="1:6" s="9" customFormat="1" x14ac:dyDescent="0.25">
      <c r="C1428" s="5"/>
      <c r="E1428" s="10"/>
      <c r="F1428" s="10"/>
    </row>
    <row r="1429" spans="1:6" s="9" customFormat="1" x14ac:dyDescent="0.25">
      <c r="A1429" s="9" t="s">
        <v>103</v>
      </c>
      <c r="B1429" s="4">
        <v>45859</v>
      </c>
      <c r="C1429" s="5">
        <v>4</v>
      </c>
      <c r="D1429" s="9" t="s">
        <v>13</v>
      </c>
      <c r="E1429" s="10">
        <v>150</v>
      </c>
      <c r="F1429" s="10">
        <f t="shared" ref="F1429:F1490" si="22">+C1429*E1429</f>
        <v>600</v>
      </c>
    </row>
    <row r="1430" spans="1:6" s="9" customFormat="1" x14ac:dyDescent="0.25">
      <c r="C1430" s="5"/>
      <c r="E1430" s="10"/>
      <c r="F1430" s="8">
        <f>SUM(F1429)</f>
        <v>600</v>
      </c>
    </row>
    <row r="1431" spans="1:6" s="9" customFormat="1" x14ac:dyDescent="0.25">
      <c r="C1431" s="5"/>
      <c r="E1431" s="10"/>
      <c r="F1431" s="10"/>
    </row>
    <row r="1432" spans="1:6" s="9" customFormat="1" x14ac:dyDescent="0.25">
      <c r="A1432" s="9" t="s">
        <v>151</v>
      </c>
      <c r="B1432" s="4">
        <v>45859</v>
      </c>
      <c r="C1432" s="5">
        <v>150</v>
      </c>
      <c r="D1432" s="9" t="s">
        <v>22</v>
      </c>
      <c r="E1432" s="10">
        <v>120</v>
      </c>
      <c r="F1432" s="10">
        <f t="shared" si="22"/>
        <v>18000</v>
      </c>
    </row>
    <row r="1433" spans="1:6" s="9" customFormat="1" x14ac:dyDescent="0.25">
      <c r="C1433" s="5">
        <v>150</v>
      </c>
      <c r="D1433" s="9" t="s">
        <v>13</v>
      </c>
      <c r="E1433" s="10">
        <v>140</v>
      </c>
      <c r="F1433" s="10">
        <f t="shared" si="22"/>
        <v>21000</v>
      </c>
    </row>
    <row r="1434" spans="1:6" s="9" customFormat="1" x14ac:dyDescent="0.25">
      <c r="C1434" s="5"/>
      <c r="E1434" s="10"/>
      <c r="F1434" s="8">
        <f>SUM(F1432:F1433)</f>
        <v>39000</v>
      </c>
    </row>
    <row r="1435" spans="1:6" s="9" customFormat="1" x14ac:dyDescent="0.25">
      <c r="C1435" s="5"/>
      <c r="E1435" s="10"/>
      <c r="F1435" s="10"/>
    </row>
    <row r="1436" spans="1:6" s="9" customFormat="1" x14ac:dyDescent="0.25">
      <c r="A1436" s="9" t="s">
        <v>26</v>
      </c>
      <c r="B1436" s="4">
        <v>45859</v>
      </c>
      <c r="C1436" s="5">
        <v>1000</v>
      </c>
      <c r="D1436" s="9" t="s">
        <v>13</v>
      </c>
      <c r="E1436" s="10">
        <v>138</v>
      </c>
      <c r="F1436" s="10">
        <f t="shared" si="22"/>
        <v>138000</v>
      </c>
    </row>
    <row r="1437" spans="1:6" s="9" customFormat="1" x14ac:dyDescent="0.25">
      <c r="C1437" s="5"/>
      <c r="E1437" s="10"/>
      <c r="F1437" s="8">
        <f>SUM(F1436)</f>
        <v>138000</v>
      </c>
    </row>
    <row r="1438" spans="1:6" s="9" customFormat="1" x14ac:dyDescent="0.25">
      <c r="C1438" s="5"/>
      <c r="E1438" s="10"/>
      <c r="F1438" s="10"/>
    </row>
    <row r="1439" spans="1:6" s="9" customFormat="1" x14ac:dyDescent="0.25">
      <c r="A1439" s="9" t="s">
        <v>26</v>
      </c>
      <c r="B1439" s="4">
        <v>45859</v>
      </c>
      <c r="C1439" s="5">
        <v>20</v>
      </c>
      <c r="D1439" s="9" t="s">
        <v>14</v>
      </c>
      <c r="E1439" s="10">
        <v>135</v>
      </c>
      <c r="F1439" s="10">
        <f t="shared" si="22"/>
        <v>2700</v>
      </c>
    </row>
    <row r="1440" spans="1:6" s="9" customFormat="1" x14ac:dyDescent="0.25">
      <c r="C1440" s="5"/>
      <c r="E1440" s="10"/>
      <c r="F1440" s="8">
        <f>SUM(F1439)</f>
        <v>2700</v>
      </c>
    </row>
    <row r="1441" spans="1:6" s="9" customFormat="1" x14ac:dyDescent="0.25">
      <c r="C1441" s="5"/>
      <c r="E1441" s="10"/>
      <c r="F1441" s="10"/>
    </row>
    <row r="1442" spans="1:6" s="9" customFormat="1" x14ac:dyDescent="0.25">
      <c r="A1442" s="9" t="s">
        <v>487</v>
      </c>
      <c r="B1442" s="4">
        <v>45859</v>
      </c>
      <c r="C1442" s="5">
        <v>7</v>
      </c>
      <c r="D1442" s="9" t="s">
        <v>12</v>
      </c>
      <c r="E1442" s="10">
        <v>135</v>
      </c>
      <c r="F1442" s="10">
        <f t="shared" si="22"/>
        <v>945</v>
      </c>
    </row>
    <row r="1443" spans="1:6" s="9" customFormat="1" x14ac:dyDescent="0.25">
      <c r="C1443" s="5"/>
      <c r="E1443" s="10"/>
      <c r="F1443" s="8">
        <f>SUM(F1442)</f>
        <v>945</v>
      </c>
    </row>
    <row r="1444" spans="1:6" s="9" customFormat="1" x14ac:dyDescent="0.25">
      <c r="C1444" s="5"/>
      <c r="E1444" s="10"/>
      <c r="F1444" s="10"/>
    </row>
    <row r="1445" spans="1:6" s="9" customFormat="1" x14ac:dyDescent="0.25">
      <c r="A1445" s="9" t="s">
        <v>68</v>
      </c>
      <c r="B1445" s="4">
        <v>45859</v>
      </c>
      <c r="C1445" s="5">
        <v>5</v>
      </c>
      <c r="D1445" s="9" t="s">
        <v>13</v>
      </c>
      <c r="E1445" s="10">
        <v>145</v>
      </c>
      <c r="F1445" s="10">
        <f t="shared" si="22"/>
        <v>725</v>
      </c>
    </row>
    <row r="1446" spans="1:6" s="9" customFormat="1" x14ac:dyDescent="0.25">
      <c r="C1446" s="5"/>
      <c r="E1446" s="10"/>
      <c r="F1446" s="8">
        <f>SUM(F1445)</f>
        <v>725</v>
      </c>
    </row>
    <row r="1447" spans="1:6" s="9" customFormat="1" x14ac:dyDescent="0.25">
      <c r="C1447" s="5"/>
      <c r="E1447" s="10"/>
      <c r="F1447" s="10"/>
    </row>
    <row r="1448" spans="1:6" s="9" customFormat="1" x14ac:dyDescent="0.25">
      <c r="A1448" s="9" t="s">
        <v>136</v>
      </c>
      <c r="B1448" s="4">
        <v>45859</v>
      </c>
      <c r="C1448" s="5">
        <v>12</v>
      </c>
      <c r="D1448" s="9" t="s">
        <v>13</v>
      </c>
      <c r="E1448" s="10">
        <v>140</v>
      </c>
      <c r="F1448" s="10">
        <f t="shared" si="22"/>
        <v>1680</v>
      </c>
    </row>
    <row r="1449" spans="1:6" s="9" customFormat="1" x14ac:dyDescent="0.25">
      <c r="C1449" s="5"/>
      <c r="E1449" s="10"/>
      <c r="F1449" s="8">
        <f>SUM(F1448)</f>
        <v>1680</v>
      </c>
    </row>
    <row r="1450" spans="1:6" s="9" customFormat="1" x14ac:dyDescent="0.25">
      <c r="C1450" s="5"/>
      <c r="E1450" s="10"/>
      <c r="F1450" s="10"/>
    </row>
    <row r="1451" spans="1:6" s="9" customFormat="1" x14ac:dyDescent="0.25">
      <c r="A1451" s="9" t="s">
        <v>76</v>
      </c>
      <c r="B1451" s="4">
        <v>45859</v>
      </c>
      <c r="C1451" s="5">
        <v>150</v>
      </c>
      <c r="D1451" s="9" t="s">
        <v>14</v>
      </c>
      <c r="E1451" s="10"/>
      <c r="F1451" s="10">
        <f t="shared" si="22"/>
        <v>0</v>
      </c>
    </row>
    <row r="1452" spans="1:6" s="9" customFormat="1" x14ac:dyDescent="0.25">
      <c r="C1452" s="5">
        <v>250</v>
      </c>
      <c r="D1452" s="9" t="s">
        <v>11</v>
      </c>
      <c r="E1452" s="10"/>
      <c r="F1452" s="10">
        <f t="shared" si="22"/>
        <v>0</v>
      </c>
    </row>
    <row r="1453" spans="1:6" s="9" customFormat="1" x14ac:dyDescent="0.25">
      <c r="C1453" s="5">
        <v>20</v>
      </c>
      <c r="D1453" s="9" t="s">
        <v>50</v>
      </c>
      <c r="E1453" s="10"/>
      <c r="F1453" s="10">
        <f t="shared" si="22"/>
        <v>0</v>
      </c>
    </row>
    <row r="1454" spans="1:6" s="9" customFormat="1" x14ac:dyDescent="0.25">
      <c r="C1454" s="5">
        <v>180</v>
      </c>
      <c r="D1454" s="9" t="s">
        <v>49</v>
      </c>
      <c r="E1454" s="10"/>
      <c r="F1454" s="10">
        <f t="shared" si="22"/>
        <v>0</v>
      </c>
    </row>
    <row r="1455" spans="1:6" s="9" customFormat="1" x14ac:dyDescent="0.25">
      <c r="C1455" s="5"/>
      <c r="E1455" s="10"/>
      <c r="F1455" s="8">
        <f t="shared" si="22"/>
        <v>0</v>
      </c>
    </row>
    <row r="1456" spans="1:6" s="9" customFormat="1" x14ac:dyDescent="0.25">
      <c r="C1456" s="5"/>
      <c r="E1456" s="10"/>
      <c r="F1456" s="10"/>
    </row>
    <row r="1457" spans="1:6" s="9" customFormat="1" x14ac:dyDescent="0.25">
      <c r="A1457" s="9" t="s">
        <v>116</v>
      </c>
      <c r="B1457" s="4">
        <v>45859</v>
      </c>
      <c r="C1457" s="5">
        <v>280</v>
      </c>
      <c r="D1457" s="9" t="s">
        <v>14</v>
      </c>
      <c r="E1457" s="10"/>
      <c r="F1457" s="10">
        <f t="shared" si="22"/>
        <v>0</v>
      </c>
    </row>
    <row r="1458" spans="1:6" s="9" customFormat="1" x14ac:dyDescent="0.25">
      <c r="C1458" s="5">
        <v>296</v>
      </c>
      <c r="D1458" s="9" t="s">
        <v>11</v>
      </c>
      <c r="E1458" s="10"/>
      <c r="F1458" s="10">
        <f t="shared" si="22"/>
        <v>0</v>
      </c>
    </row>
    <row r="1459" spans="1:6" s="9" customFormat="1" x14ac:dyDescent="0.25">
      <c r="C1459" s="5">
        <v>100</v>
      </c>
      <c r="D1459" s="9" t="s">
        <v>98</v>
      </c>
      <c r="E1459" s="10"/>
      <c r="F1459" s="10">
        <f t="shared" si="22"/>
        <v>0</v>
      </c>
    </row>
    <row r="1460" spans="1:6" s="9" customFormat="1" x14ac:dyDescent="0.25">
      <c r="C1460" s="5"/>
      <c r="E1460" s="10"/>
      <c r="F1460" s="8">
        <f>SUM(F1457:F1459)</f>
        <v>0</v>
      </c>
    </row>
    <row r="1461" spans="1:6" s="9" customFormat="1" x14ac:dyDescent="0.25">
      <c r="C1461" s="5"/>
      <c r="E1461" s="10"/>
      <c r="F1461" s="10"/>
    </row>
    <row r="1462" spans="1:6" s="9" customFormat="1" x14ac:dyDescent="0.25">
      <c r="A1462" s="9" t="s">
        <v>29</v>
      </c>
      <c r="B1462" s="4">
        <v>45859</v>
      </c>
      <c r="C1462" s="5">
        <v>2</v>
      </c>
      <c r="D1462" s="9" t="s">
        <v>8</v>
      </c>
      <c r="E1462" s="10">
        <v>170</v>
      </c>
      <c r="F1462" s="10">
        <f t="shared" si="22"/>
        <v>340</v>
      </c>
    </row>
    <row r="1463" spans="1:6" s="9" customFormat="1" x14ac:dyDescent="0.25">
      <c r="C1463" s="5"/>
      <c r="E1463" s="10"/>
      <c r="F1463" s="8">
        <f>SUM(F1462)</f>
        <v>340</v>
      </c>
    </row>
    <row r="1464" spans="1:6" s="9" customFormat="1" x14ac:dyDescent="0.25">
      <c r="C1464" s="5"/>
      <c r="E1464" s="10"/>
      <c r="F1464" s="10"/>
    </row>
    <row r="1465" spans="1:6" s="9" customFormat="1" x14ac:dyDescent="0.25">
      <c r="A1465" s="9" t="s">
        <v>292</v>
      </c>
      <c r="B1465" s="4">
        <v>45860</v>
      </c>
      <c r="C1465" s="5">
        <v>4</v>
      </c>
      <c r="D1465" s="9" t="s">
        <v>13</v>
      </c>
      <c r="E1465" s="10">
        <v>140</v>
      </c>
      <c r="F1465" s="10">
        <f t="shared" si="22"/>
        <v>560</v>
      </c>
    </row>
    <row r="1466" spans="1:6" s="9" customFormat="1" x14ac:dyDescent="0.25">
      <c r="C1466" s="5"/>
      <c r="E1466" s="10"/>
      <c r="F1466" s="8">
        <f>SUM(F1465)</f>
        <v>560</v>
      </c>
    </row>
    <row r="1467" spans="1:6" s="9" customFormat="1" x14ac:dyDescent="0.25">
      <c r="C1467" s="5"/>
      <c r="E1467" s="10"/>
      <c r="F1467" s="10"/>
    </row>
    <row r="1468" spans="1:6" s="9" customFormat="1" x14ac:dyDescent="0.25">
      <c r="A1468" s="9" t="s">
        <v>60</v>
      </c>
      <c r="B1468" s="4">
        <v>45860</v>
      </c>
      <c r="C1468" s="5">
        <v>30</v>
      </c>
      <c r="D1468" s="9" t="s">
        <v>13</v>
      </c>
      <c r="E1468" s="10">
        <v>145</v>
      </c>
      <c r="F1468" s="10">
        <f t="shared" si="22"/>
        <v>4350</v>
      </c>
    </row>
    <row r="1469" spans="1:6" s="9" customFormat="1" x14ac:dyDescent="0.25">
      <c r="C1469" s="5"/>
      <c r="E1469" s="10"/>
      <c r="F1469" s="8">
        <f>SUM(F1468)</f>
        <v>4350</v>
      </c>
    </row>
    <row r="1470" spans="1:6" s="9" customFormat="1" x14ac:dyDescent="0.25">
      <c r="C1470" s="5"/>
      <c r="E1470" s="10"/>
      <c r="F1470" s="10"/>
    </row>
    <row r="1471" spans="1:6" s="9" customFormat="1" x14ac:dyDescent="0.25">
      <c r="A1471" s="9" t="s">
        <v>62</v>
      </c>
      <c r="B1471" s="4">
        <v>45860</v>
      </c>
      <c r="C1471" s="5">
        <v>120</v>
      </c>
      <c r="D1471" s="9" t="s">
        <v>8</v>
      </c>
      <c r="E1471" s="10">
        <v>160</v>
      </c>
      <c r="F1471" s="10">
        <f t="shared" si="22"/>
        <v>19200</v>
      </c>
    </row>
    <row r="1472" spans="1:6" s="9" customFormat="1" x14ac:dyDescent="0.25">
      <c r="C1472" s="5"/>
      <c r="E1472" s="10"/>
      <c r="F1472" s="8">
        <f>SUM(F1471)</f>
        <v>19200</v>
      </c>
    </row>
    <row r="1473" spans="1:6" s="9" customFormat="1" x14ac:dyDescent="0.25">
      <c r="C1473" s="5"/>
      <c r="E1473" s="10"/>
      <c r="F1473" s="10"/>
    </row>
    <row r="1474" spans="1:6" s="9" customFormat="1" x14ac:dyDescent="0.25">
      <c r="A1474" s="9" t="s">
        <v>151</v>
      </c>
      <c r="B1474" s="4">
        <v>45860</v>
      </c>
      <c r="C1474" s="5">
        <v>40</v>
      </c>
      <c r="D1474" s="9" t="s">
        <v>11</v>
      </c>
      <c r="E1474" s="10">
        <v>130</v>
      </c>
      <c r="F1474" s="10">
        <f t="shared" si="22"/>
        <v>5200</v>
      </c>
    </row>
    <row r="1475" spans="1:6" s="9" customFormat="1" x14ac:dyDescent="0.25">
      <c r="C1475" s="5"/>
      <c r="E1475" s="10"/>
      <c r="F1475" s="8">
        <f>SUM(F1474)</f>
        <v>5200</v>
      </c>
    </row>
    <row r="1476" spans="1:6" s="9" customFormat="1" x14ac:dyDescent="0.25">
      <c r="C1476" s="5"/>
      <c r="E1476" s="10"/>
      <c r="F1476" s="10"/>
    </row>
    <row r="1477" spans="1:6" s="9" customFormat="1" x14ac:dyDescent="0.25">
      <c r="A1477" s="9" t="s">
        <v>61</v>
      </c>
      <c r="B1477" s="4">
        <v>45860</v>
      </c>
      <c r="C1477" s="5">
        <v>60</v>
      </c>
      <c r="D1477" s="9" t="s">
        <v>13</v>
      </c>
      <c r="E1477" s="10">
        <v>145</v>
      </c>
      <c r="F1477" s="10">
        <f t="shared" si="22"/>
        <v>8700</v>
      </c>
    </row>
    <row r="1478" spans="1:6" s="9" customFormat="1" x14ac:dyDescent="0.25">
      <c r="C1478" s="5"/>
      <c r="E1478" s="10"/>
      <c r="F1478" s="8">
        <f>SUM(F1477)</f>
        <v>8700</v>
      </c>
    </row>
    <row r="1479" spans="1:6" s="9" customFormat="1" x14ac:dyDescent="0.25">
      <c r="C1479" s="5"/>
      <c r="E1479" s="10"/>
      <c r="F1479" s="10"/>
    </row>
    <row r="1480" spans="1:6" s="9" customFormat="1" x14ac:dyDescent="0.25">
      <c r="A1480" s="9" t="s">
        <v>87</v>
      </c>
      <c r="B1480" s="4">
        <v>45860</v>
      </c>
      <c r="C1480" s="5">
        <v>4</v>
      </c>
      <c r="D1480" s="9" t="s">
        <v>14</v>
      </c>
      <c r="E1480" s="10">
        <v>145</v>
      </c>
      <c r="F1480" s="10">
        <f t="shared" si="22"/>
        <v>580</v>
      </c>
    </row>
    <row r="1481" spans="1:6" s="9" customFormat="1" x14ac:dyDescent="0.25">
      <c r="C1481" s="5"/>
      <c r="E1481" s="10"/>
      <c r="F1481" s="8">
        <f>SUM(F1480)</f>
        <v>580</v>
      </c>
    </row>
    <row r="1482" spans="1:6" s="9" customFormat="1" x14ac:dyDescent="0.25">
      <c r="C1482" s="5"/>
      <c r="E1482" s="10"/>
      <c r="F1482" s="10"/>
    </row>
    <row r="1483" spans="1:6" s="9" customFormat="1" x14ac:dyDescent="0.25">
      <c r="A1483" s="9" t="s">
        <v>802</v>
      </c>
      <c r="B1483" s="4">
        <v>45860</v>
      </c>
      <c r="C1483" s="5">
        <v>210</v>
      </c>
      <c r="D1483" s="9" t="s">
        <v>14</v>
      </c>
      <c r="E1483" s="10">
        <v>135</v>
      </c>
      <c r="F1483" s="10">
        <f t="shared" si="22"/>
        <v>28350</v>
      </c>
    </row>
    <row r="1484" spans="1:6" s="9" customFormat="1" x14ac:dyDescent="0.25">
      <c r="C1484" s="5">
        <v>90</v>
      </c>
      <c r="D1484" s="9" t="s">
        <v>11</v>
      </c>
      <c r="E1484" s="10">
        <v>130</v>
      </c>
      <c r="F1484" s="10">
        <f t="shared" si="22"/>
        <v>11700</v>
      </c>
    </row>
    <row r="1485" spans="1:6" s="9" customFormat="1" x14ac:dyDescent="0.25">
      <c r="C1485" s="5"/>
      <c r="E1485" s="10"/>
      <c r="F1485" s="8">
        <f>SUM(F1483:F1484)</f>
        <v>40050</v>
      </c>
    </row>
    <row r="1486" spans="1:6" s="9" customFormat="1" x14ac:dyDescent="0.25">
      <c r="C1486" s="5"/>
      <c r="E1486" s="10"/>
      <c r="F1486" s="10"/>
    </row>
    <row r="1487" spans="1:6" s="9" customFormat="1" x14ac:dyDescent="0.25">
      <c r="A1487" s="9" t="s">
        <v>117</v>
      </c>
      <c r="B1487" s="4">
        <v>45860</v>
      </c>
      <c r="C1487" s="5">
        <v>5</v>
      </c>
      <c r="D1487" s="9" t="s">
        <v>13</v>
      </c>
      <c r="E1487" s="10">
        <v>150</v>
      </c>
      <c r="F1487" s="10">
        <f t="shared" si="22"/>
        <v>750</v>
      </c>
    </row>
    <row r="1488" spans="1:6" s="9" customFormat="1" x14ac:dyDescent="0.25">
      <c r="C1488" s="5"/>
      <c r="E1488" s="10"/>
      <c r="F1488" s="8">
        <f>SUM(F1487)</f>
        <v>750</v>
      </c>
    </row>
    <row r="1489" spans="1:6" s="9" customFormat="1" x14ac:dyDescent="0.25">
      <c r="C1489" s="5"/>
      <c r="E1489" s="10"/>
      <c r="F1489" s="10"/>
    </row>
    <row r="1490" spans="1:6" s="9" customFormat="1" x14ac:dyDescent="0.25">
      <c r="A1490" s="9" t="s">
        <v>95</v>
      </c>
      <c r="B1490" s="4">
        <v>45860</v>
      </c>
      <c r="C1490" s="5">
        <v>20</v>
      </c>
      <c r="D1490" s="9" t="s">
        <v>13</v>
      </c>
      <c r="E1490" s="10">
        <v>150</v>
      </c>
      <c r="F1490" s="10">
        <f t="shared" si="22"/>
        <v>3000</v>
      </c>
    </row>
    <row r="1491" spans="1:6" s="9" customFormat="1" x14ac:dyDescent="0.25">
      <c r="C1491" s="5"/>
      <c r="E1491" s="10"/>
      <c r="F1491" s="8">
        <f>SUM(F1490)</f>
        <v>3000</v>
      </c>
    </row>
    <row r="1492" spans="1:6" s="9" customFormat="1" x14ac:dyDescent="0.25">
      <c r="C1492" s="5"/>
      <c r="E1492" s="10"/>
      <c r="F1492" s="10"/>
    </row>
    <row r="1493" spans="1:6" s="9" customFormat="1" x14ac:dyDescent="0.25">
      <c r="A1493" s="9" t="s">
        <v>29</v>
      </c>
      <c r="B1493" s="4">
        <v>45860</v>
      </c>
      <c r="C1493" s="5">
        <v>1</v>
      </c>
      <c r="D1493" s="9" t="s">
        <v>12</v>
      </c>
      <c r="E1493" s="10">
        <v>150</v>
      </c>
      <c r="F1493" s="10">
        <f t="shared" ref="F1493:F1553" si="23">+C1493*E1493</f>
        <v>150</v>
      </c>
    </row>
    <row r="1494" spans="1:6" s="9" customFormat="1" x14ac:dyDescent="0.25">
      <c r="C1494" s="11">
        <v>0.5</v>
      </c>
      <c r="D1494" s="9" t="s">
        <v>22</v>
      </c>
      <c r="E1494" s="10">
        <v>120</v>
      </c>
      <c r="F1494" s="10">
        <f t="shared" si="23"/>
        <v>60</v>
      </c>
    </row>
    <row r="1495" spans="1:6" s="9" customFormat="1" x14ac:dyDescent="0.25">
      <c r="C1495" s="5">
        <v>2</v>
      </c>
      <c r="D1495" s="9" t="s">
        <v>13</v>
      </c>
      <c r="E1495" s="10">
        <v>150</v>
      </c>
      <c r="F1495" s="10">
        <f t="shared" si="23"/>
        <v>300</v>
      </c>
    </row>
    <row r="1496" spans="1:6" s="9" customFormat="1" x14ac:dyDescent="0.25">
      <c r="C1496" s="5">
        <v>1</v>
      </c>
      <c r="D1496" s="9" t="s">
        <v>98</v>
      </c>
      <c r="E1496" s="10">
        <v>100</v>
      </c>
      <c r="F1496" s="10">
        <f t="shared" si="23"/>
        <v>100</v>
      </c>
    </row>
    <row r="1497" spans="1:6" s="9" customFormat="1" x14ac:dyDescent="0.25">
      <c r="C1497" s="5"/>
      <c r="E1497" s="10"/>
      <c r="F1497" s="8">
        <f>SUM(F1493:F1496)</f>
        <v>610</v>
      </c>
    </row>
    <row r="1498" spans="1:6" s="9" customFormat="1" x14ac:dyDescent="0.25">
      <c r="C1498" s="5"/>
      <c r="E1498" s="10"/>
      <c r="F1498" s="10"/>
    </row>
    <row r="1499" spans="1:6" s="9" customFormat="1" x14ac:dyDescent="0.25">
      <c r="A1499" s="9" t="s">
        <v>7</v>
      </c>
      <c r="B1499" s="4">
        <v>45860</v>
      </c>
      <c r="C1499" s="5">
        <v>1</v>
      </c>
      <c r="D1499" s="9" t="s">
        <v>803</v>
      </c>
      <c r="E1499" s="10">
        <v>0</v>
      </c>
      <c r="F1499" s="10">
        <f t="shared" si="23"/>
        <v>0</v>
      </c>
    </row>
    <row r="1500" spans="1:6" s="9" customFormat="1" x14ac:dyDescent="0.25">
      <c r="C1500" s="5"/>
      <c r="E1500" s="10"/>
      <c r="F1500" s="8">
        <f>SUM(F1499)</f>
        <v>0</v>
      </c>
    </row>
    <row r="1501" spans="1:6" s="9" customFormat="1" x14ac:dyDescent="0.25">
      <c r="C1501" s="5"/>
      <c r="E1501" s="10"/>
      <c r="F1501" s="10"/>
    </row>
    <row r="1502" spans="1:6" s="9" customFormat="1" x14ac:dyDescent="0.25">
      <c r="A1502" s="9" t="s">
        <v>514</v>
      </c>
      <c r="B1502" s="4">
        <v>45861</v>
      </c>
      <c r="C1502" s="5">
        <v>15</v>
      </c>
      <c r="D1502" s="9" t="s">
        <v>98</v>
      </c>
      <c r="E1502" s="10">
        <v>100</v>
      </c>
      <c r="F1502" s="10">
        <f t="shared" si="23"/>
        <v>1500</v>
      </c>
    </row>
    <row r="1503" spans="1:6" s="9" customFormat="1" x14ac:dyDescent="0.25">
      <c r="C1503" s="5"/>
      <c r="E1503" s="10"/>
      <c r="F1503" s="8">
        <f>SUM(F1502)</f>
        <v>1500</v>
      </c>
    </row>
    <row r="1504" spans="1:6" s="9" customFormat="1" x14ac:dyDescent="0.25">
      <c r="C1504" s="5"/>
      <c r="E1504" s="10"/>
      <c r="F1504" s="10"/>
    </row>
    <row r="1505" spans="1:6" s="9" customFormat="1" x14ac:dyDescent="0.25">
      <c r="A1505" s="9" t="s">
        <v>15</v>
      </c>
      <c r="B1505" s="4">
        <v>45861</v>
      </c>
      <c r="C1505" s="5">
        <v>55</v>
      </c>
      <c r="D1505" s="9" t="s">
        <v>98</v>
      </c>
      <c r="E1505" s="10">
        <v>85</v>
      </c>
      <c r="F1505" s="10">
        <f t="shared" si="23"/>
        <v>4675</v>
      </c>
    </row>
    <row r="1506" spans="1:6" s="9" customFormat="1" x14ac:dyDescent="0.25">
      <c r="C1506" s="5"/>
      <c r="E1506" s="10"/>
      <c r="F1506" s="8">
        <f>SUM(F1505)</f>
        <v>4675</v>
      </c>
    </row>
    <row r="1507" spans="1:6" s="9" customFormat="1" x14ac:dyDescent="0.25">
      <c r="C1507" s="5"/>
      <c r="E1507" s="10"/>
      <c r="F1507" s="10"/>
    </row>
    <row r="1508" spans="1:6" s="9" customFormat="1" x14ac:dyDescent="0.25">
      <c r="A1508" s="9" t="s">
        <v>69</v>
      </c>
      <c r="B1508" s="4">
        <v>45861</v>
      </c>
      <c r="C1508" s="5">
        <v>10</v>
      </c>
      <c r="D1508" s="9" t="s">
        <v>98</v>
      </c>
      <c r="E1508" s="10">
        <v>100</v>
      </c>
      <c r="F1508" s="10">
        <f t="shared" si="23"/>
        <v>1000</v>
      </c>
    </row>
    <row r="1509" spans="1:6" s="9" customFormat="1" x14ac:dyDescent="0.25">
      <c r="C1509" s="5"/>
      <c r="E1509" s="10"/>
      <c r="F1509" s="8">
        <f>SUM(F1508)</f>
        <v>1000</v>
      </c>
    </row>
    <row r="1510" spans="1:6" s="9" customFormat="1" x14ac:dyDescent="0.25">
      <c r="C1510" s="5"/>
      <c r="E1510" s="10"/>
      <c r="F1510" s="10"/>
    </row>
    <row r="1511" spans="1:6" s="9" customFormat="1" x14ac:dyDescent="0.25">
      <c r="A1511" s="9" t="s">
        <v>40</v>
      </c>
      <c r="B1511" s="4">
        <v>45861</v>
      </c>
      <c r="C1511" s="5">
        <v>10</v>
      </c>
      <c r="D1511" s="9" t="s">
        <v>14</v>
      </c>
      <c r="E1511" s="10">
        <v>145</v>
      </c>
      <c r="F1511" s="10">
        <f t="shared" si="23"/>
        <v>1450</v>
      </c>
    </row>
    <row r="1512" spans="1:6" s="9" customFormat="1" x14ac:dyDescent="0.25">
      <c r="C1512" s="5">
        <v>10</v>
      </c>
      <c r="D1512" s="9" t="s">
        <v>50</v>
      </c>
      <c r="E1512" s="10">
        <v>120</v>
      </c>
      <c r="F1512" s="10">
        <f t="shared" si="23"/>
        <v>1200</v>
      </c>
    </row>
    <row r="1513" spans="1:6" s="9" customFormat="1" x14ac:dyDescent="0.25">
      <c r="C1513" s="5">
        <v>50</v>
      </c>
      <c r="D1513" s="9" t="s">
        <v>22</v>
      </c>
      <c r="E1513" s="10">
        <v>115</v>
      </c>
      <c r="F1513" s="10">
        <f t="shared" si="23"/>
        <v>5750</v>
      </c>
    </row>
    <row r="1514" spans="1:6" s="9" customFormat="1" x14ac:dyDescent="0.25">
      <c r="C1514" s="5"/>
      <c r="E1514" s="10"/>
      <c r="F1514" s="8">
        <f>SUM(F1511:F1513)</f>
        <v>8400</v>
      </c>
    </row>
    <row r="1515" spans="1:6" s="9" customFormat="1" x14ac:dyDescent="0.25">
      <c r="C1515" s="5"/>
      <c r="E1515" s="10"/>
      <c r="F1515" s="10"/>
    </row>
    <row r="1516" spans="1:6" s="9" customFormat="1" x14ac:dyDescent="0.25">
      <c r="A1516" s="9" t="s">
        <v>427</v>
      </c>
      <c r="B1516" s="4">
        <v>45861</v>
      </c>
      <c r="C1516" s="5">
        <v>10</v>
      </c>
      <c r="D1516" s="9" t="s">
        <v>13</v>
      </c>
      <c r="E1516" s="10">
        <v>150</v>
      </c>
      <c r="F1516" s="10">
        <f t="shared" si="23"/>
        <v>1500</v>
      </c>
    </row>
    <row r="1517" spans="1:6" s="9" customFormat="1" x14ac:dyDescent="0.25">
      <c r="C1517" s="5"/>
      <c r="E1517" s="10"/>
      <c r="F1517" s="8">
        <f>SUM(F1516)</f>
        <v>1500</v>
      </c>
    </row>
    <row r="1518" spans="1:6" s="9" customFormat="1" x14ac:dyDescent="0.25">
      <c r="C1518" s="5"/>
      <c r="E1518" s="10"/>
      <c r="F1518" s="10"/>
    </row>
    <row r="1519" spans="1:6" s="9" customFormat="1" x14ac:dyDescent="0.25">
      <c r="A1519" s="9" t="s">
        <v>20</v>
      </c>
      <c r="B1519" s="4">
        <v>45861</v>
      </c>
      <c r="C1519" s="5">
        <v>10</v>
      </c>
      <c r="D1519" s="9" t="s">
        <v>13</v>
      </c>
      <c r="E1519" s="10">
        <v>150</v>
      </c>
      <c r="F1519" s="10">
        <f t="shared" si="23"/>
        <v>1500</v>
      </c>
    </row>
    <row r="1520" spans="1:6" s="9" customFormat="1" x14ac:dyDescent="0.25">
      <c r="C1520" s="5"/>
      <c r="E1520" s="10"/>
      <c r="F1520" s="8">
        <f>SUM(F1519)</f>
        <v>1500</v>
      </c>
    </row>
    <row r="1521" spans="1:6" s="9" customFormat="1" x14ac:dyDescent="0.25">
      <c r="C1521" s="5"/>
      <c r="E1521" s="10"/>
      <c r="F1521" s="10"/>
    </row>
    <row r="1522" spans="1:6" s="9" customFormat="1" x14ac:dyDescent="0.25">
      <c r="A1522" s="9" t="s">
        <v>21</v>
      </c>
      <c r="B1522" s="4">
        <v>45861</v>
      </c>
      <c r="C1522" s="5">
        <v>20</v>
      </c>
      <c r="D1522" s="9" t="s">
        <v>12</v>
      </c>
      <c r="E1522" s="10">
        <v>140</v>
      </c>
      <c r="F1522" s="10">
        <f t="shared" si="23"/>
        <v>2800</v>
      </c>
    </row>
    <row r="1523" spans="1:6" s="9" customFormat="1" x14ac:dyDescent="0.25">
      <c r="C1523" s="5">
        <v>10</v>
      </c>
      <c r="D1523" s="9" t="s">
        <v>14</v>
      </c>
      <c r="E1523" s="10">
        <v>145</v>
      </c>
      <c r="F1523" s="10">
        <f t="shared" si="23"/>
        <v>1450</v>
      </c>
    </row>
    <row r="1524" spans="1:6" s="9" customFormat="1" x14ac:dyDescent="0.25">
      <c r="C1524" s="5"/>
      <c r="E1524" s="10"/>
      <c r="F1524" s="8">
        <f>SUM(F1522:F1523)</f>
        <v>4250</v>
      </c>
    </row>
    <row r="1525" spans="1:6" s="9" customFormat="1" x14ac:dyDescent="0.25">
      <c r="C1525" s="5"/>
      <c r="E1525" s="10"/>
      <c r="F1525" s="10"/>
    </row>
    <row r="1526" spans="1:6" s="9" customFormat="1" x14ac:dyDescent="0.25">
      <c r="A1526" s="9" t="s">
        <v>37</v>
      </c>
      <c r="B1526" s="4">
        <v>45861</v>
      </c>
      <c r="C1526" s="5">
        <v>15</v>
      </c>
      <c r="D1526" s="9" t="s">
        <v>12</v>
      </c>
      <c r="E1526" s="10">
        <v>145</v>
      </c>
      <c r="F1526" s="10">
        <f t="shared" si="23"/>
        <v>2175</v>
      </c>
    </row>
    <row r="1527" spans="1:6" s="9" customFormat="1" x14ac:dyDescent="0.25">
      <c r="C1527" s="5"/>
      <c r="E1527" s="10"/>
      <c r="F1527" s="8">
        <f>SUM(F1526)</f>
        <v>2175</v>
      </c>
    </row>
    <row r="1528" spans="1:6" s="9" customFormat="1" x14ac:dyDescent="0.25">
      <c r="C1528" s="5"/>
      <c r="E1528" s="10"/>
      <c r="F1528" s="10"/>
    </row>
    <row r="1529" spans="1:6" s="9" customFormat="1" x14ac:dyDescent="0.25">
      <c r="A1529" s="9" t="s">
        <v>791</v>
      </c>
      <c r="B1529" s="4">
        <v>45861</v>
      </c>
      <c r="C1529" s="5">
        <v>10</v>
      </c>
      <c r="D1529" s="9" t="s">
        <v>14</v>
      </c>
      <c r="E1529" s="10">
        <v>145</v>
      </c>
      <c r="F1529" s="10">
        <f t="shared" si="23"/>
        <v>1450</v>
      </c>
    </row>
    <row r="1530" spans="1:6" s="9" customFormat="1" x14ac:dyDescent="0.25">
      <c r="C1530" s="5">
        <v>10</v>
      </c>
      <c r="D1530" s="9" t="s">
        <v>13</v>
      </c>
      <c r="E1530" s="10">
        <v>150</v>
      </c>
      <c r="F1530" s="10">
        <f t="shared" si="23"/>
        <v>1500</v>
      </c>
    </row>
    <row r="1531" spans="1:6" s="9" customFormat="1" x14ac:dyDescent="0.25">
      <c r="C1531" s="5">
        <v>10</v>
      </c>
      <c r="D1531" s="9" t="s">
        <v>50</v>
      </c>
      <c r="E1531" s="10">
        <v>120</v>
      </c>
      <c r="F1531" s="10">
        <f t="shared" si="23"/>
        <v>1200</v>
      </c>
    </row>
    <row r="1532" spans="1:6" s="9" customFormat="1" x14ac:dyDescent="0.25">
      <c r="C1532" s="5"/>
      <c r="E1532" s="10"/>
      <c r="F1532" s="8">
        <f>SUM(F1529:F1531)</f>
        <v>4150</v>
      </c>
    </row>
    <row r="1533" spans="1:6" s="9" customFormat="1" x14ac:dyDescent="0.25">
      <c r="C1533" s="5"/>
      <c r="E1533" s="10"/>
      <c r="F1533" s="10"/>
    </row>
    <row r="1534" spans="1:6" s="9" customFormat="1" x14ac:dyDescent="0.25">
      <c r="A1534" s="9" t="s">
        <v>18</v>
      </c>
      <c r="B1534" s="4">
        <v>45861</v>
      </c>
      <c r="C1534" s="5">
        <v>5</v>
      </c>
      <c r="D1534" s="9" t="s">
        <v>13</v>
      </c>
      <c r="E1534" s="10">
        <v>150</v>
      </c>
      <c r="F1534" s="10">
        <f t="shared" si="23"/>
        <v>750</v>
      </c>
    </row>
    <row r="1535" spans="1:6" s="9" customFormat="1" x14ac:dyDescent="0.25">
      <c r="C1535" s="5"/>
      <c r="E1535" s="10"/>
      <c r="F1535" s="8">
        <f>SUM(F1534)</f>
        <v>750</v>
      </c>
    </row>
    <row r="1536" spans="1:6" s="9" customFormat="1" x14ac:dyDescent="0.25">
      <c r="C1536" s="5"/>
      <c r="E1536" s="10"/>
      <c r="F1536" s="10"/>
    </row>
    <row r="1537" spans="1:6" s="9" customFormat="1" x14ac:dyDescent="0.25">
      <c r="A1537" s="9" t="s">
        <v>796</v>
      </c>
      <c r="B1537" s="4">
        <v>45861</v>
      </c>
      <c r="C1537" s="5">
        <v>5</v>
      </c>
      <c r="D1537" s="9" t="s">
        <v>14</v>
      </c>
      <c r="E1537" s="10">
        <v>145</v>
      </c>
      <c r="F1537" s="10">
        <f t="shared" si="23"/>
        <v>725</v>
      </c>
    </row>
    <row r="1538" spans="1:6" s="9" customFormat="1" x14ac:dyDescent="0.25">
      <c r="C1538" s="5"/>
      <c r="E1538" s="10"/>
      <c r="F1538" s="8">
        <f>SUM(F1537)</f>
        <v>725</v>
      </c>
    </row>
    <row r="1539" spans="1:6" s="9" customFormat="1" x14ac:dyDescent="0.25">
      <c r="C1539" s="5"/>
      <c r="E1539" s="10"/>
      <c r="F1539" s="10"/>
    </row>
    <row r="1540" spans="1:6" s="9" customFormat="1" x14ac:dyDescent="0.25">
      <c r="A1540" s="9" t="s">
        <v>41</v>
      </c>
      <c r="B1540" s="4">
        <v>45861</v>
      </c>
      <c r="C1540" s="5">
        <v>35</v>
      </c>
      <c r="D1540" s="9" t="s">
        <v>14</v>
      </c>
      <c r="E1540" s="10">
        <v>135</v>
      </c>
      <c r="F1540" s="10">
        <f t="shared" si="23"/>
        <v>4725</v>
      </c>
    </row>
    <row r="1541" spans="1:6" s="9" customFormat="1" x14ac:dyDescent="0.25">
      <c r="C1541" s="5"/>
      <c r="E1541" s="10"/>
      <c r="F1541" s="8">
        <f>SUM(F1540)</f>
        <v>4725</v>
      </c>
    </row>
    <row r="1542" spans="1:6" s="9" customFormat="1" x14ac:dyDescent="0.25">
      <c r="C1542" s="5"/>
      <c r="E1542" s="10"/>
      <c r="F1542" s="10"/>
    </row>
    <row r="1543" spans="1:6" s="9" customFormat="1" x14ac:dyDescent="0.25">
      <c r="A1543" s="9" t="s">
        <v>44</v>
      </c>
      <c r="B1543" s="4">
        <v>45861</v>
      </c>
      <c r="C1543" s="5">
        <v>50</v>
      </c>
      <c r="D1543" s="9" t="s">
        <v>14</v>
      </c>
      <c r="E1543" s="10">
        <v>140</v>
      </c>
      <c r="F1543" s="10">
        <f t="shared" si="23"/>
        <v>7000</v>
      </c>
    </row>
    <row r="1544" spans="1:6" s="9" customFormat="1" x14ac:dyDescent="0.25">
      <c r="C1544" s="5"/>
      <c r="E1544" s="10"/>
      <c r="F1544" s="8">
        <f>SUM(F1543)</f>
        <v>7000</v>
      </c>
    </row>
    <row r="1545" spans="1:6" s="9" customFormat="1" x14ac:dyDescent="0.25">
      <c r="C1545" s="5"/>
      <c r="E1545" s="10"/>
      <c r="F1545" s="10"/>
    </row>
    <row r="1546" spans="1:6" s="9" customFormat="1" x14ac:dyDescent="0.25">
      <c r="A1546" s="9" t="s">
        <v>107</v>
      </c>
      <c r="B1546" s="4">
        <v>45861</v>
      </c>
      <c r="C1546" s="5">
        <v>64</v>
      </c>
      <c r="D1546" s="9" t="s">
        <v>11</v>
      </c>
      <c r="E1546" s="10">
        <v>135</v>
      </c>
      <c r="F1546" s="10">
        <f t="shared" si="23"/>
        <v>8640</v>
      </c>
    </row>
    <row r="1547" spans="1:6" s="9" customFormat="1" x14ac:dyDescent="0.25">
      <c r="C1547" s="5"/>
      <c r="E1547" s="10"/>
      <c r="F1547" s="8">
        <f>SUM(F1546)</f>
        <v>8640</v>
      </c>
    </row>
    <row r="1548" spans="1:6" s="9" customFormat="1" x14ac:dyDescent="0.25">
      <c r="C1548" s="5"/>
      <c r="E1548" s="10"/>
      <c r="F1548" s="10"/>
    </row>
    <row r="1549" spans="1:6" s="9" customFormat="1" x14ac:dyDescent="0.25">
      <c r="A1549" s="9" t="s">
        <v>18</v>
      </c>
      <c r="B1549" s="4">
        <v>45861</v>
      </c>
      <c r="C1549" s="5">
        <v>10</v>
      </c>
      <c r="D1549" s="9" t="s">
        <v>13</v>
      </c>
      <c r="E1549" s="10">
        <v>145</v>
      </c>
      <c r="F1549" s="10">
        <f t="shared" si="23"/>
        <v>1450</v>
      </c>
    </row>
    <row r="1550" spans="1:6" s="9" customFormat="1" x14ac:dyDescent="0.25">
      <c r="C1550" s="5">
        <v>10</v>
      </c>
      <c r="D1550" s="9" t="s">
        <v>11</v>
      </c>
      <c r="E1550" s="10">
        <v>130</v>
      </c>
      <c r="F1550" s="10">
        <f t="shared" si="23"/>
        <v>1300</v>
      </c>
    </row>
    <row r="1551" spans="1:6" s="9" customFormat="1" x14ac:dyDescent="0.25">
      <c r="C1551" s="5"/>
      <c r="E1551" s="10"/>
      <c r="F1551" s="8">
        <f>SUM(F1549:F1550)</f>
        <v>2750</v>
      </c>
    </row>
    <row r="1552" spans="1:6" s="9" customFormat="1" x14ac:dyDescent="0.25">
      <c r="C1552" s="5"/>
      <c r="E1552" s="10"/>
      <c r="F1552" s="10"/>
    </row>
    <row r="1553" spans="1:6" s="9" customFormat="1" x14ac:dyDescent="0.25">
      <c r="A1553" s="9" t="s">
        <v>42</v>
      </c>
      <c r="B1553" s="4">
        <v>45861</v>
      </c>
      <c r="C1553" s="5">
        <v>20</v>
      </c>
      <c r="D1553" s="9" t="s">
        <v>14</v>
      </c>
      <c r="E1553" s="10">
        <v>140</v>
      </c>
      <c r="F1553" s="10">
        <f t="shared" si="23"/>
        <v>2800</v>
      </c>
    </row>
    <row r="1554" spans="1:6" s="9" customFormat="1" x14ac:dyDescent="0.25">
      <c r="C1554" s="5"/>
      <c r="E1554" s="10"/>
      <c r="F1554" s="8">
        <f>SUM(F1553)</f>
        <v>2800</v>
      </c>
    </row>
    <row r="1555" spans="1:6" s="9" customFormat="1" x14ac:dyDescent="0.25">
      <c r="C1555" s="5"/>
      <c r="E1555" s="10"/>
      <c r="F1555" s="10"/>
    </row>
    <row r="1556" spans="1:6" s="9" customFormat="1" x14ac:dyDescent="0.25">
      <c r="A1556" s="9" t="s">
        <v>46</v>
      </c>
      <c r="B1556" s="4">
        <v>45861</v>
      </c>
      <c r="C1556" s="5">
        <v>10</v>
      </c>
      <c r="D1556" s="9" t="s">
        <v>49</v>
      </c>
      <c r="E1556" s="10">
        <v>150</v>
      </c>
      <c r="F1556" s="10">
        <f t="shared" ref="F1556:F1618" si="24">+C1556*E1556</f>
        <v>1500</v>
      </c>
    </row>
    <row r="1557" spans="1:6" s="9" customFormat="1" x14ac:dyDescent="0.25">
      <c r="C1557" s="5">
        <v>10</v>
      </c>
      <c r="D1557" s="9" t="s">
        <v>14</v>
      </c>
      <c r="E1557" s="10">
        <v>145</v>
      </c>
      <c r="F1557" s="10">
        <f t="shared" si="24"/>
        <v>1450</v>
      </c>
    </row>
    <row r="1558" spans="1:6" s="9" customFormat="1" x14ac:dyDescent="0.25">
      <c r="C1558" s="5"/>
      <c r="E1558" s="10"/>
      <c r="F1558" s="8">
        <f>SUM(F1556:F1557)</f>
        <v>2950</v>
      </c>
    </row>
    <row r="1559" spans="1:6" s="9" customFormat="1" x14ac:dyDescent="0.25">
      <c r="C1559" s="5"/>
      <c r="E1559" s="10"/>
      <c r="F1559" s="10"/>
    </row>
    <row r="1560" spans="1:6" s="9" customFormat="1" x14ac:dyDescent="0.25">
      <c r="A1560" s="9" t="s">
        <v>47</v>
      </c>
      <c r="B1560" s="4">
        <v>45861</v>
      </c>
      <c r="C1560" s="5">
        <v>30</v>
      </c>
      <c r="D1560" s="9" t="s">
        <v>14</v>
      </c>
      <c r="E1560" s="10">
        <v>145</v>
      </c>
      <c r="F1560" s="10">
        <f t="shared" si="24"/>
        <v>4350</v>
      </c>
    </row>
    <row r="1561" spans="1:6" s="9" customFormat="1" x14ac:dyDescent="0.25">
      <c r="C1561" s="5"/>
      <c r="E1561" s="10"/>
      <c r="F1561" s="8">
        <f>SUM(F1560)</f>
        <v>4350</v>
      </c>
    </row>
    <row r="1562" spans="1:6" s="9" customFormat="1" x14ac:dyDescent="0.25">
      <c r="C1562" s="5"/>
      <c r="E1562" s="10"/>
      <c r="F1562" s="10"/>
    </row>
    <row r="1563" spans="1:6" s="9" customFormat="1" x14ac:dyDescent="0.25">
      <c r="A1563" s="9" t="s">
        <v>45</v>
      </c>
      <c r="B1563" s="4">
        <v>45861</v>
      </c>
      <c r="C1563" s="5">
        <v>3</v>
      </c>
      <c r="D1563" s="9" t="s">
        <v>49</v>
      </c>
      <c r="E1563" s="10">
        <v>150</v>
      </c>
      <c r="F1563" s="10">
        <f t="shared" si="24"/>
        <v>450</v>
      </c>
    </row>
    <row r="1564" spans="1:6" s="9" customFormat="1" x14ac:dyDescent="0.25">
      <c r="C1564" s="5"/>
      <c r="E1564" s="10"/>
      <c r="F1564" s="8">
        <f>SUM(F1563)</f>
        <v>450</v>
      </c>
    </row>
    <row r="1565" spans="1:6" s="9" customFormat="1" x14ac:dyDescent="0.25">
      <c r="C1565" s="5"/>
      <c r="E1565" s="10"/>
      <c r="F1565" s="10"/>
    </row>
    <row r="1566" spans="1:6" s="9" customFormat="1" x14ac:dyDescent="0.25">
      <c r="A1566" s="9" t="s">
        <v>65</v>
      </c>
      <c r="B1566" s="4">
        <v>45861</v>
      </c>
      <c r="C1566" s="5">
        <v>250</v>
      </c>
      <c r="D1566" s="9" t="s">
        <v>22</v>
      </c>
      <c r="E1566" s="10"/>
      <c r="F1566" s="10">
        <f t="shared" si="24"/>
        <v>0</v>
      </c>
    </row>
    <row r="1567" spans="1:6" s="9" customFormat="1" x14ac:dyDescent="0.25">
      <c r="C1567" s="5">
        <v>100</v>
      </c>
      <c r="D1567" s="9" t="s">
        <v>13</v>
      </c>
      <c r="E1567" s="10"/>
      <c r="F1567" s="10">
        <f t="shared" si="24"/>
        <v>0</v>
      </c>
    </row>
    <row r="1568" spans="1:6" s="9" customFormat="1" x14ac:dyDescent="0.25">
      <c r="C1568" s="5">
        <v>210</v>
      </c>
      <c r="D1568" s="9" t="s">
        <v>12</v>
      </c>
      <c r="E1568" s="10"/>
      <c r="F1568" s="10">
        <f t="shared" si="24"/>
        <v>0</v>
      </c>
    </row>
    <row r="1569" spans="1:6" s="9" customFormat="1" x14ac:dyDescent="0.25">
      <c r="C1569" s="5"/>
      <c r="E1569" s="10"/>
      <c r="F1569" s="8">
        <f>SUM(F1566:F1568)</f>
        <v>0</v>
      </c>
    </row>
    <row r="1570" spans="1:6" s="9" customFormat="1" x14ac:dyDescent="0.25">
      <c r="C1570" s="5"/>
      <c r="E1570" s="10"/>
      <c r="F1570" s="10"/>
    </row>
    <row r="1571" spans="1:6" s="9" customFormat="1" x14ac:dyDescent="0.25">
      <c r="A1571" s="9" t="s">
        <v>804</v>
      </c>
      <c r="B1571" s="4">
        <v>45861</v>
      </c>
      <c r="C1571" s="5">
        <v>210</v>
      </c>
      <c r="D1571" s="9" t="s">
        <v>12</v>
      </c>
      <c r="E1571" s="10"/>
      <c r="F1571" s="10">
        <f t="shared" si="24"/>
        <v>0</v>
      </c>
    </row>
    <row r="1572" spans="1:6" s="9" customFormat="1" x14ac:dyDescent="0.25">
      <c r="C1572" s="5">
        <v>275</v>
      </c>
      <c r="D1572" s="9" t="s">
        <v>22</v>
      </c>
      <c r="E1572" s="10"/>
      <c r="F1572" s="10">
        <f t="shared" si="24"/>
        <v>0</v>
      </c>
    </row>
    <row r="1573" spans="1:6" s="9" customFormat="1" x14ac:dyDescent="0.25">
      <c r="C1573" s="5">
        <v>50</v>
      </c>
      <c r="D1573" s="9" t="s">
        <v>13</v>
      </c>
      <c r="E1573" s="10"/>
      <c r="F1573" s="10">
        <f t="shared" si="24"/>
        <v>0</v>
      </c>
    </row>
    <row r="1574" spans="1:6" s="9" customFormat="1" x14ac:dyDescent="0.25">
      <c r="C1574" s="5"/>
      <c r="E1574" s="10"/>
      <c r="F1574" s="8">
        <f>SUM(F1571:F1573)</f>
        <v>0</v>
      </c>
    </row>
    <row r="1575" spans="1:6" s="9" customFormat="1" x14ac:dyDescent="0.25">
      <c r="C1575" s="5"/>
      <c r="E1575" s="10"/>
      <c r="F1575" s="10"/>
    </row>
    <row r="1576" spans="1:6" s="9" customFormat="1" x14ac:dyDescent="0.25">
      <c r="A1576" s="9" t="s">
        <v>66</v>
      </c>
      <c r="B1576" s="4">
        <v>45861</v>
      </c>
      <c r="C1576" s="5">
        <v>20</v>
      </c>
      <c r="D1576" s="9" t="s">
        <v>8</v>
      </c>
      <c r="E1576" s="10">
        <v>160</v>
      </c>
      <c r="F1576" s="10">
        <f t="shared" si="24"/>
        <v>3200</v>
      </c>
    </row>
    <row r="1577" spans="1:6" s="9" customFormat="1" x14ac:dyDescent="0.25">
      <c r="C1577" s="5"/>
      <c r="E1577" s="10"/>
      <c r="F1577" s="8">
        <f>SUM(F1576)</f>
        <v>3200</v>
      </c>
    </row>
    <row r="1578" spans="1:6" s="9" customFormat="1" x14ac:dyDescent="0.25">
      <c r="C1578" s="5"/>
      <c r="E1578" s="10"/>
      <c r="F1578" s="10"/>
    </row>
    <row r="1579" spans="1:6" s="9" customFormat="1" x14ac:dyDescent="0.25">
      <c r="A1579" s="9" t="s">
        <v>245</v>
      </c>
      <c r="B1579" s="4">
        <v>45861</v>
      </c>
      <c r="C1579" s="5">
        <v>10</v>
      </c>
      <c r="D1579" s="9" t="s">
        <v>14</v>
      </c>
      <c r="E1579" s="10">
        <v>135</v>
      </c>
      <c r="F1579" s="10">
        <f t="shared" si="24"/>
        <v>1350</v>
      </c>
    </row>
    <row r="1580" spans="1:6" s="9" customFormat="1" x14ac:dyDescent="0.25">
      <c r="C1580" s="5"/>
      <c r="E1580" s="10"/>
      <c r="F1580" s="8">
        <f>SUM(F1579)</f>
        <v>1350</v>
      </c>
    </row>
    <row r="1581" spans="1:6" s="9" customFormat="1" x14ac:dyDescent="0.25">
      <c r="C1581" s="5"/>
      <c r="E1581" s="10"/>
      <c r="F1581" s="10"/>
    </row>
    <row r="1582" spans="1:6" s="9" customFormat="1" x14ac:dyDescent="0.25">
      <c r="A1582" s="9" t="s">
        <v>245</v>
      </c>
      <c r="B1582" s="4">
        <v>45861</v>
      </c>
      <c r="C1582" s="5">
        <v>20</v>
      </c>
      <c r="D1582" s="9" t="s">
        <v>14</v>
      </c>
      <c r="E1582" s="10">
        <v>135</v>
      </c>
      <c r="F1582" s="10">
        <f t="shared" si="24"/>
        <v>2700</v>
      </c>
    </row>
    <row r="1583" spans="1:6" s="9" customFormat="1" x14ac:dyDescent="0.25">
      <c r="C1583" s="5"/>
      <c r="E1583" s="10"/>
      <c r="F1583" s="8">
        <f>SUM(F1582)</f>
        <v>2700</v>
      </c>
    </row>
    <row r="1584" spans="1:6" s="9" customFormat="1" x14ac:dyDescent="0.25">
      <c r="C1584" s="5"/>
      <c r="E1584" s="10"/>
      <c r="F1584" s="10"/>
    </row>
    <row r="1585" spans="1:6" s="9" customFormat="1" x14ac:dyDescent="0.25">
      <c r="A1585" s="9" t="s">
        <v>72</v>
      </c>
      <c r="B1585" s="4">
        <v>45861</v>
      </c>
      <c r="C1585" s="5">
        <v>150</v>
      </c>
      <c r="D1585" s="9" t="s">
        <v>13</v>
      </c>
      <c r="E1585" s="10">
        <v>135</v>
      </c>
      <c r="F1585" s="10">
        <f t="shared" si="24"/>
        <v>20250</v>
      </c>
    </row>
    <row r="1586" spans="1:6" s="9" customFormat="1" x14ac:dyDescent="0.25">
      <c r="C1586" s="5">
        <v>200</v>
      </c>
      <c r="D1586" s="9" t="s">
        <v>12</v>
      </c>
      <c r="E1586" s="10">
        <v>125</v>
      </c>
      <c r="F1586" s="10">
        <f t="shared" si="24"/>
        <v>25000</v>
      </c>
    </row>
    <row r="1587" spans="1:6" s="9" customFormat="1" x14ac:dyDescent="0.25">
      <c r="C1587" s="5">
        <v>20</v>
      </c>
      <c r="D1587" s="9" t="s">
        <v>14</v>
      </c>
      <c r="E1587" s="10">
        <v>135</v>
      </c>
      <c r="F1587" s="10">
        <f t="shared" si="24"/>
        <v>2700</v>
      </c>
    </row>
    <row r="1588" spans="1:6" s="9" customFormat="1" x14ac:dyDescent="0.25">
      <c r="C1588" s="5">
        <v>80</v>
      </c>
      <c r="D1588" s="9" t="s">
        <v>11</v>
      </c>
      <c r="E1588" s="10">
        <v>125</v>
      </c>
      <c r="F1588" s="10">
        <f t="shared" si="24"/>
        <v>10000</v>
      </c>
    </row>
    <row r="1589" spans="1:6" s="9" customFormat="1" x14ac:dyDescent="0.25">
      <c r="C1589" s="5"/>
      <c r="E1589" s="10"/>
      <c r="F1589" s="8">
        <f>SUM(F1585:F1588)</f>
        <v>57950</v>
      </c>
    </row>
    <row r="1590" spans="1:6" s="9" customFormat="1" x14ac:dyDescent="0.25">
      <c r="C1590" s="5"/>
      <c r="E1590" s="10"/>
      <c r="F1590" s="10"/>
    </row>
    <row r="1591" spans="1:6" s="9" customFormat="1" x14ac:dyDescent="0.25">
      <c r="A1591" s="9" t="s">
        <v>805</v>
      </c>
      <c r="B1591" s="4">
        <v>45861</v>
      </c>
      <c r="C1591" s="5">
        <v>5</v>
      </c>
      <c r="D1591" s="9" t="s">
        <v>78</v>
      </c>
      <c r="E1591" s="10">
        <v>100</v>
      </c>
      <c r="F1591" s="10">
        <f t="shared" si="24"/>
        <v>500</v>
      </c>
    </row>
    <row r="1592" spans="1:6" s="9" customFormat="1" x14ac:dyDescent="0.25">
      <c r="C1592" s="5">
        <v>1</v>
      </c>
      <c r="D1592" s="9" t="s">
        <v>13</v>
      </c>
      <c r="E1592" s="10">
        <v>160</v>
      </c>
      <c r="F1592" s="10">
        <f t="shared" si="24"/>
        <v>160</v>
      </c>
    </row>
    <row r="1593" spans="1:6" s="9" customFormat="1" x14ac:dyDescent="0.25">
      <c r="C1593" s="5">
        <v>1</v>
      </c>
      <c r="D1593" s="9" t="s">
        <v>8</v>
      </c>
      <c r="E1593" s="10">
        <v>170</v>
      </c>
      <c r="F1593" s="10">
        <f t="shared" si="24"/>
        <v>170</v>
      </c>
    </row>
    <row r="1594" spans="1:6" s="9" customFormat="1" x14ac:dyDescent="0.25">
      <c r="C1594" s="5"/>
      <c r="E1594" s="10"/>
      <c r="F1594" s="8">
        <f>SUM(F1591:F1593)</f>
        <v>830</v>
      </c>
    </row>
    <row r="1595" spans="1:6" s="9" customFormat="1" x14ac:dyDescent="0.25">
      <c r="C1595" s="5"/>
      <c r="E1595" s="10"/>
      <c r="F1595" s="10"/>
    </row>
    <row r="1596" spans="1:6" s="9" customFormat="1" x14ac:dyDescent="0.25">
      <c r="A1596" s="9" t="s">
        <v>7</v>
      </c>
      <c r="B1596" s="4">
        <v>45861</v>
      </c>
      <c r="C1596" s="5">
        <v>1</v>
      </c>
      <c r="D1596" s="9" t="s">
        <v>208</v>
      </c>
      <c r="E1596" s="10">
        <v>0</v>
      </c>
      <c r="F1596" s="10">
        <f t="shared" si="24"/>
        <v>0</v>
      </c>
    </row>
    <row r="1597" spans="1:6" s="9" customFormat="1" x14ac:dyDescent="0.25">
      <c r="C1597" s="5">
        <v>1</v>
      </c>
      <c r="D1597" s="9" t="s">
        <v>12</v>
      </c>
      <c r="E1597" s="10">
        <v>150</v>
      </c>
      <c r="F1597" s="10">
        <f t="shared" si="24"/>
        <v>150</v>
      </c>
    </row>
    <row r="1598" spans="1:6" s="9" customFormat="1" x14ac:dyDescent="0.25">
      <c r="C1598" s="5">
        <v>1</v>
      </c>
      <c r="D1598" s="9" t="s">
        <v>12</v>
      </c>
      <c r="E1598" s="10">
        <v>150</v>
      </c>
      <c r="F1598" s="10">
        <f t="shared" si="24"/>
        <v>150</v>
      </c>
    </row>
    <row r="1599" spans="1:6" s="9" customFormat="1" x14ac:dyDescent="0.25">
      <c r="C1599" s="5">
        <v>10</v>
      </c>
      <c r="D1599" s="9" t="s">
        <v>806</v>
      </c>
      <c r="E1599" s="10">
        <v>140</v>
      </c>
      <c r="F1599" s="10">
        <f t="shared" si="24"/>
        <v>1400</v>
      </c>
    </row>
    <row r="1600" spans="1:6" s="9" customFormat="1" x14ac:dyDescent="0.25">
      <c r="C1600" s="5">
        <v>2</v>
      </c>
      <c r="D1600" s="9" t="s">
        <v>13</v>
      </c>
      <c r="E1600" s="10">
        <v>160</v>
      </c>
      <c r="F1600" s="10">
        <f t="shared" si="24"/>
        <v>320</v>
      </c>
    </row>
    <row r="1601" spans="1:6" s="9" customFormat="1" x14ac:dyDescent="0.25">
      <c r="C1601" s="5">
        <v>1</v>
      </c>
      <c r="D1601" s="9" t="s">
        <v>8</v>
      </c>
      <c r="E1601" s="10">
        <v>170</v>
      </c>
      <c r="F1601" s="10">
        <f t="shared" si="24"/>
        <v>170</v>
      </c>
    </row>
    <row r="1602" spans="1:6" s="9" customFormat="1" x14ac:dyDescent="0.25">
      <c r="C1602" s="5">
        <v>2</v>
      </c>
      <c r="D1602" s="9" t="s">
        <v>12</v>
      </c>
      <c r="E1602" s="10">
        <v>150</v>
      </c>
      <c r="F1602" s="10">
        <f t="shared" si="24"/>
        <v>300</v>
      </c>
    </row>
    <row r="1603" spans="1:6" s="9" customFormat="1" x14ac:dyDescent="0.25">
      <c r="C1603" s="5"/>
      <c r="E1603" s="10"/>
      <c r="F1603" s="8">
        <f>SUM(F1596:F1602)</f>
        <v>2490</v>
      </c>
    </row>
    <row r="1604" spans="1:6" s="9" customFormat="1" x14ac:dyDescent="0.25">
      <c r="C1604" s="5"/>
      <c r="E1604" s="10"/>
      <c r="F1604" s="10"/>
    </row>
    <row r="1605" spans="1:6" s="9" customFormat="1" x14ac:dyDescent="0.25">
      <c r="A1605" s="9" t="s">
        <v>365</v>
      </c>
      <c r="B1605" s="4">
        <v>45862</v>
      </c>
      <c r="C1605" s="5">
        <v>10</v>
      </c>
      <c r="D1605" s="9" t="s">
        <v>13</v>
      </c>
      <c r="E1605" s="10">
        <v>145</v>
      </c>
      <c r="F1605" s="10">
        <f t="shared" si="24"/>
        <v>1450</v>
      </c>
    </row>
    <row r="1606" spans="1:6" s="9" customFormat="1" x14ac:dyDescent="0.25">
      <c r="C1606" s="5"/>
      <c r="E1606" s="10"/>
      <c r="F1606" s="8">
        <f>SUM(F1605)</f>
        <v>1450</v>
      </c>
    </row>
    <row r="1607" spans="1:6" s="9" customFormat="1" x14ac:dyDescent="0.25">
      <c r="C1607" s="5"/>
      <c r="E1607" s="10"/>
      <c r="F1607" s="10"/>
    </row>
    <row r="1608" spans="1:6" s="9" customFormat="1" x14ac:dyDescent="0.25">
      <c r="A1608" s="9" t="s">
        <v>807</v>
      </c>
      <c r="B1608" s="4">
        <v>45862</v>
      </c>
      <c r="C1608" s="5">
        <v>150</v>
      </c>
      <c r="D1608" s="9" t="s">
        <v>22</v>
      </c>
      <c r="E1608" s="10">
        <v>120</v>
      </c>
      <c r="F1608" s="10">
        <f t="shared" si="24"/>
        <v>18000</v>
      </c>
    </row>
    <row r="1609" spans="1:6" s="9" customFormat="1" x14ac:dyDescent="0.25">
      <c r="C1609" s="5"/>
      <c r="E1609" s="10"/>
      <c r="F1609" s="8">
        <f>SUM(F1608)</f>
        <v>18000</v>
      </c>
    </row>
    <row r="1610" spans="1:6" s="9" customFormat="1" x14ac:dyDescent="0.25">
      <c r="C1610" s="5"/>
      <c r="E1610" s="10"/>
      <c r="F1610" s="10"/>
    </row>
    <row r="1611" spans="1:6" s="9" customFormat="1" x14ac:dyDescent="0.25">
      <c r="A1611" s="9" t="s">
        <v>60</v>
      </c>
      <c r="B1611" s="4">
        <v>45862</v>
      </c>
      <c r="C1611" s="5">
        <v>30</v>
      </c>
      <c r="D1611" s="9" t="s">
        <v>13</v>
      </c>
      <c r="E1611" s="10">
        <v>145</v>
      </c>
      <c r="F1611" s="10">
        <f t="shared" si="24"/>
        <v>4350</v>
      </c>
    </row>
    <row r="1612" spans="1:6" s="9" customFormat="1" x14ac:dyDescent="0.25">
      <c r="C1612" s="5"/>
      <c r="E1612" s="10"/>
      <c r="F1612" s="8">
        <f>SUM(F1611)</f>
        <v>4350</v>
      </c>
    </row>
    <row r="1613" spans="1:6" s="9" customFormat="1" x14ac:dyDescent="0.25">
      <c r="C1613" s="5"/>
      <c r="E1613" s="10"/>
      <c r="F1613" s="10"/>
    </row>
    <row r="1614" spans="1:6" s="9" customFormat="1" x14ac:dyDescent="0.25">
      <c r="A1614" s="9" t="s">
        <v>391</v>
      </c>
      <c r="B1614" s="4">
        <v>45862</v>
      </c>
      <c r="C1614" s="5">
        <v>30</v>
      </c>
      <c r="D1614" s="9" t="s">
        <v>13</v>
      </c>
      <c r="E1614" s="10">
        <v>145</v>
      </c>
      <c r="F1614" s="10">
        <f t="shared" si="24"/>
        <v>4350</v>
      </c>
    </row>
    <row r="1615" spans="1:6" s="9" customFormat="1" x14ac:dyDescent="0.25">
      <c r="C1615" s="5"/>
      <c r="E1615" s="10"/>
      <c r="F1615" s="8">
        <f>SUM(F1614)</f>
        <v>4350</v>
      </c>
    </row>
    <row r="1616" spans="1:6" s="9" customFormat="1" x14ac:dyDescent="0.25">
      <c r="C1616" s="5"/>
      <c r="E1616" s="10"/>
      <c r="F1616" s="10"/>
    </row>
    <row r="1617" spans="1:6" s="9" customFormat="1" x14ac:dyDescent="0.25">
      <c r="A1617" s="9" t="s">
        <v>175</v>
      </c>
      <c r="B1617" s="4">
        <v>45862</v>
      </c>
      <c r="C1617" s="5">
        <v>5</v>
      </c>
      <c r="D1617" s="9" t="s">
        <v>13</v>
      </c>
      <c r="E1617" s="10">
        <v>150</v>
      </c>
      <c r="F1617" s="10">
        <f t="shared" si="24"/>
        <v>750</v>
      </c>
    </row>
    <row r="1618" spans="1:6" s="9" customFormat="1" x14ac:dyDescent="0.25">
      <c r="C1618" s="5">
        <v>5</v>
      </c>
      <c r="D1618" s="9" t="s">
        <v>14</v>
      </c>
      <c r="E1618" s="10">
        <v>140</v>
      </c>
      <c r="F1618" s="10">
        <f t="shared" si="24"/>
        <v>700</v>
      </c>
    </row>
    <row r="1619" spans="1:6" s="9" customFormat="1" x14ac:dyDescent="0.25">
      <c r="C1619" s="5"/>
      <c r="E1619" s="10"/>
      <c r="F1619" s="8">
        <f>SUM(F1617:F1618)</f>
        <v>1450</v>
      </c>
    </row>
    <row r="1620" spans="1:6" s="9" customFormat="1" x14ac:dyDescent="0.25">
      <c r="C1620" s="5"/>
      <c r="E1620" s="10"/>
      <c r="F1620" s="10"/>
    </row>
    <row r="1621" spans="1:6" s="9" customFormat="1" x14ac:dyDescent="0.25">
      <c r="A1621" s="9" t="s">
        <v>545</v>
      </c>
      <c r="B1621" s="4">
        <v>45862</v>
      </c>
      <c r="C1621" s="5">
        <v>30</v>
      </c>
      <c r="D1621" s="9" t="s">
        <v>12</v>
      </c>
      <c r="E1621" s="10">
        <v>130</v>
      </c>
      <c r="F1621" s="10">
        <f t="shared" ref="F1621:F1683" si="25">+C1621*E1621</f>
        <v>3900</v>
      </c>
    </row>
    <row r="1622" spans="1:6" s="9" customFormat="1" x14ac:dyDescent="0.25">
      <c r="C1622" s="5">
        <v>10</v>
      </c>
      <c r="D1622" s="9" t="s">
        <v>22</v>
      </c>
      <c r="E1622" s="10">
        <v>120</v>
      </c>
      <c r="F1622" s="10">
        <f t="shared" si="25"/>
        <v>1200</v>
      </c>
    </row>
    <row r="1623" spans="1:6" s="9" customFormat="1" x14ac:dyDescent="0.25">
      <c r="C1623" s="5"/>
      <c r="E1623" s="10"/>
      <c r="F1623" s="8">
        <f>SUM(F1621:F1622)</f>
        <v>5100</v>
      </c>
    </row>
    <row r="1624" spans="1:6" s="9" customFormat="1" x14ac:dyDescent="0.25">
      <c r="C1624" s="5"/>
      <c r="E1624" s="10"/>
      <c r="F1624" s="10"/>
    </row>
    <row r="1625" spans="1:6" s="9" customFormat="1" x14ac:dyDescent="0.25">
      <c r="A1625" s="9" t="s">
        <v>116</v>
      </c>
      <c r="B1625" s="4">
        <v>45862</v>
      </c>
      <c r="C1625" s="5">
        <v>130</v>
      </c>
      <c r="D1625" s="9" t="s">
        <v>78</v>
      </c>
      <c r="E1625" s="10"/>
      <c r="F1625" s="10">
        <f t="shared" si="25"/>
        <v>0</v>
      </c>
    </row>
    <row r="1626" spans="1:6" s="9" customFormat="1" x14ac:dyDescent="0.25">
      <c r="C1626" s="5">
        <v>100</v>
      </c>
      <c r="D1626" s="9" t="s">
        <v>49</v>
      </c>
      <c r="E1626" s="10"/>
      <c r="F1626" s="10">
        <f t="shared" si="25"/>
        <v>0</v>
      </c>
    </row>
    <row r="1627" spans="1:6" s="9" customFormat="1" x14ac:dyDescent="0.25">
      <c r="C1627" s="5"/>
      <c r="E1627" s="10"/>
      <c r="F1627" s="8">
        <f>SUM(F1625:F1626)</f>
        <v>0</v>
      </c>
    </row>
    <row r="1628" spans="1:6" s="9" customFormat="1" x14ac:dyDescent="0.25">
      <c r="C1628" s="5"/>
      <c r="E1628" s="10"/>
      <c r="F1628" s="10"/>
    </row>
    <row r="1629" spans="1:6" s="9" customFormat="1" x14ac:dyDescent="0.25">
      <c r="A1629" s="9" t="s">
        <v>29</v>
      </c>
      <c r="B1629" s="4">
        <v>45862</v>
      </c>
      <c r="C1629" s="5">
        <v>1</v>
      </c>
      <c r="D1629" s="9" t="s">
        <v>78</v>
      </c>
      <c r="E1629" s="10">
        <v>120</v>
      </c>
      <c r="F1629" s="10">
        <f t="shared" si="25"/>
        <v>120</v>
      </c>
    </row>
    <row r="1630" spans="1:6" s="9" customFormat="1" x14ac:dyDescent="0.25">
      <c r="C1630" s="5"/>
      <c r="E1630" s="10"/>
      <c r="F1630" s="8">
        <f>SUM(F1629)</f>
        <v>120</v>
      </c>
    </row>
    <row r="1631" spans="1:6" s="9" customFormat="1" x14ac:dyDescent="0.25">
      <c r="C1631" s="5"/>
      <c r="E1631" s="10"/>
      <c r="F1631" s="10"/>
    </row>
    <row r="1632" spans="1:6" s="9" customFormat="1" x14ac:dyDescent="0.25">
      <c r="A1632" s="9" t="s">
        <v>7</v>
      </c>
      <c r="B1632" s="4">
        <v>45862</v>
      </c>
      <c r="C1632" s="5">
        <v>1</v>
      </c>
      <c r="D1632" s="9" t="s">
        <v>8</v>
      </c>
      <c r="E1632" s="10">
        <v>170</v>
      </c>
      <c r="F1632" s="10">
        <f t="shared" si="25"/>
        <v>170</v>
      </c>
    </row>
    <row r="1633" spans="1:6" s="9" customFormat="1" x14ac:dyDescent="0.25">
      <c r="C1633" s="5">
        <v>1</v>
      </c>
      <c r="D1633" s="9" t="s">
        <v>640</v>
      </c>
      <c r="E1633" s="10">
        <v>150</v>
      </c>
      <c r="F1633" s="10">
        <f t="shared" si="25"/>
        <v>150</v>
      </c>
    </row>
    <row r="1634" spans="1:6" s="9" customFormat="1" x14ac:dyDescent="0.25">
      <c r="C1634" s="5"/>
      <c r="E1634" s="10"/>
      <c r="F1634" s="8">
        <f>SUM(F1632:F1633)</f>
        <v>320</v>
      </c>
    </row>
    <row r="1635" spans="1:6" s="9" customFormat="1" x14ac:dyDescent="0.25">
      <c r="C1635" s="5"/>
      <c r="E1635" s="10"/>
      <c r="F1635" s="10"/>
    </row>
    <row r="1636" spans="1:6" s="9" customFormat="1" x14ac:dyDescent="0.25">
      <c r="A1636" s="9" t="s">
        <v>44</v>
      </c>
      <c r="B1636" s="4">
        <v>45863</v>
      </c>
      <c r="C1636" s="5">
        <v>10</v>
      </c>
      <c r="D1636" s="9" t="s">
        <v>13</v>
      </c>
      <c r="E1636" s="10">
        <v>145</v>
      </c>
      <c r="F1636" s="10">
        <f t="shared" si="25"/>
        <v>1450</v>
      </c>
    </row>
    <row r="1637" spans="1:6" s="9" customFormat="1" x14ac:dyDescent="0.25">
      <c r="C1637" s="5"/>
      <c r="E1637" s="10"/>
      <c r="F1637" s="8">
        <f>SUM(F1636)</f>
        <v>1450</v>
      </c>
    </row>
    <row r="1638" spans="1:6" s="9" customFormat="1" x14ac:dyDescent="0.25">
      <c r="C1638" s="5"/>
      <c r="E1638" s="10"/>
      <c r="F1638" s="10"/>
    </row>
    <row r="1639" spans="1:6" s="9" customFormat="1" x14ac:dyDescent="0.25">
      <c r="A1639" s="9" t="s">
        <v>184</v>
      </c>
      <c r="B1639" s="4">
        <v>45863</v>
      </c>
      <c r="C1639" s="5">
        <v>8</v>
      </c>
      <c r="D1639" s="9" t="s">
        <v>13</v>
      </c>
      <c r="E1639" s="10">
        <v>150</v>
      </c>
      <c r="F1639" s="10">
        <f t="shared" si="25"/>
        <v>1200</v>
      </c>
    </row>
    <row r="1640" spans="1:6" s="9" customFormat="1" x14ac:dyDescent="0.25">
      <c r="C1640" s="5"/>
      <c r="E1640" s="10"/>
      <c r="F1640" s="8">
        <f>SUM(F1639)</f>
        <v>1200</v>
      </c>
    </row>
    <row r="1641" spans="1:6" s="9" customFormat="1" x14ac:dyDescent="0.25">
      <c r="C1641" s="5"/>
      <c r="E1641" s="10"/>
      <c r="F1641" s="10"/>
    </row>
    <row r="1642" spans="1:6" s="9" customFormat="1" x14ac:dyDescent="0.25">
      <c r="A1642" s="9" t="s">
        <v>17</v>
      </c>
      <c r="B1642" s="4">
        <v>45863</v>
      </c>
      <c r="C1642" s="5">
        <v>10</v>
      </c>
      <c r="D1642" s="9" t="s">
        <v>13</v>
      </c>
      <c r="E1642" s="10">
        <v>150</v>
      </c>
      <c r="F1642" s="10">
        <f t="shared" si="25"/>
        <v>1500</v>
      </c>
    </row>
    <row r="1643" spans="1:6" s="9" customFormat="1" x14ac:dyDescent="0.25">
      <c r="C1643" s="5"/>
      <c r="E1643" s="10"/>
      <c r="F1643" s="8">
        <f>SUM(F1642)</f>
        <v>1500</v>
      </c>
    </row>
    <row r="1644" spans="1:6" s="9" customFormat="1" x14ac:dyDescent="0.25">
      <c r="C1644" s="5"/>
      <c r="E1644" s="10"/>
      <c r="F1644" s="10"/>
    </row>
    <row r="1645" spans="1:6" s="9" customFormat="1" x14ac:dyDescent="0.25">
      <c r="A1645" s="9" t="s">
        <v>20</v>
      </c>
      <c r="B1645" s="4">
        <v>45863</v>
      </c>
      <c r="C1645" s="5">
        <v>20</v>
      </c>
      <c r="D1645" s="9" t="s">
        <v>13</v>
      </c>
      <c r="E1645" s="10">
        <v>150</v>
      </c>
      <c r="F1645" s="10">
        <f t="shared" si="25"/>
        <v>3000</v>
      </c>
    </row>
    <row r="1646" spans="1:6" s="9" customFormat="1" x14ac:dyDescent="0.25">
      <c r="C1646" s="5"/>
      <c r="E1646" s="10"/>
      <c r="F1646" s="8">
        <f>SUM(F1645)</f>
        <v>3000</v>
      </c>
    </row>
    <row r="1647" spans="1:6" s="9" customFormat="1" x14ac:dyDescent="0.25">
      <c r="C1647" s="5"/>
      <c r="E1647" s="10"/>
      <c r="F1647" s="10"/>
    </row>
    <row r="1648" spans="1:6" s="9" customFormat="1" x14ac:dyDescent="0.25">
      <c r="A1648" s="9" t="s">
        <v>25</v>
      </c>
      <c r="B1648" s="4">
        <v>45863</v>
      </c>
      <c r="C1648" s="5">
        <v>10</v>
      </c>
      <c r="D1648" s="9" t="s">
        <v>13</v>
      </c>
      <c r="E1648" s="10">
        <v>145</v>
      </c>
      <c r="F1648" s="10">
        <f t="shared" si="25"/>
        <v>1450</v>
      </c>
    </row>
    <row r="1649" spans="1:6" s="9" customFormat="1" x14ac:dyDescent="0.25">
      <c r="C1649" s="5"/>
      <c r="E1649" s="10"/>
      <c r="F1649" s="8">
        <f>SUM(F1648)</f>
        <v>1450</v>
      </c>
    </row>
    <row r="1650" spans="1:6" s="9" customFormat="1" x14ac:dyDescent="0.25">
      <c r="C1650" s="5"/>
      <c r="E1650" s="10"/>
      <c r="F1650" s="10"/>
    </row>
    <row r="1651" spans="1:6" s="9" customFormat="1" x14ac:dyDescent="0.25">
      <c r="A1651" s="9" t="s">
        <v>427</v>
      </c>
      <c r="B1651" s="4">
        <v>45863</v>
      </c>
      <c r="C1651" s="5">
        <v>7</v>
      </c>
      <c r="D1651" s="9" t="s">
        <v>14</v>
      </c>
      <c r="E1651" s="10">
        <v>145</v>
      </c>
      <c r="F1651" s="10">
        <f t="shared" si="25"/>
        <v>1015</v>
      </c>
    </row>
    <row r="1652" spans="1:6" s="9" customFormat="1" x14ac:dyDescent="0.25">
      <c r="C1652" s="5"/>
      <c r="E1652" s="10"/>
      <c r="F1652" s="8">
        <f>SUM(F1651)</f>
        <v>1015</v>
      </c>
    </row>
    <row r="1653" spans="1:6" s="9" customFormat="1" x14ac:dyDescent="0.25">
      <c r="C1653" s="5"/>
      <c r="E1653" s="10"/>
      <c r="F1653" s="10"/>
    </row>
    <row r="1654" spans="1:6" s="9" customFormat="1" x14ac:dyDescent="0.25">
      <c r="A1654" s="9" t="s">
        <v>69</v>
      </c>
      <c r="B1654" s="4">
        <v>45863</v>
      </c>
      <c r="C1654" s="5">
        <v>10</v>
      </c>
      <c r="D1654" s="9" t="s">
        <v>98</v>
      </c>
      <c r="E1654" s="10">
        <v>100</v>
      </c>
      <c r="F1654" s="10">
        <f t="shared" si="25"/>
        <v>1000</v>
      </c>
    </row>
    <row r="1655" spans="1:6" s="9" customFormat="1" x14ac:dyDescent="0.25">
      <c r="C1655" s="5"/>
      <c r="E1655" s="10"/>
      <c r="F1655" s="8">
        <f>SUM(F1654)</f>
        <v>1000</v>
      </c>
    </row>
    <row r="1656" spans="1:6" s="9" customFormat="1" x14ac:dyDescent="0.25">
      <c r="C1656" s="5"/>
      <c r="E1656" s="10"/>
      <c r="F1656" s="10"/>
    </row>
    <row r="1657" spans="1:6" s="9" customFormat="1" x14ac:dyDescent="0.25">
      <c r="A1657" s="9" t="s">
        <v>808</v>
      </c>
      <c r="B1657" s="4">
        <v>45863</v>
      </c>
      <c r="C1657" s="5">
        <v>19</v>
      </c>
      <c r="D1657" s="9" t="s">
        <v>13</v>
      </c>
      <c r="E1657" s="10">
        <v>150</v>
      </c>
      <c r="F1657" s="10">
        <f t="shared" si="25"/>
        <v>2850</v>
      </c>
    </row>
    <row r="1658" spans="1:6" s="9" customFormat="1" x14ac:dyDescent="0.25">
      <c r="C1658" s="5">
        <v>20</v>
      </c>
      <c r="D1658" s="9" t="s">
        <v>22</v>
      </c>
      <c r="E1658" s="10">
        <v>120</v>
      </c>
      <c r="F1658" s="10">
        <f t="shared" si="25"/>
        <v>2400</v>
      </c>
    </row>
    <row r="1659" spans="1:6" s="9" customFormat="1" x14ac:dyDescent="0.25">
      <c r="C1659" s="5">
        <v>10</v>
      </c>
      <c r="D1659" s="9" t="s">
        <v>12</v>
      </c>
      <c r="E1659" s="10">
        <v>140</v>
      </c>
      <c r="F1659" s="10">
        <f t="shared" si="25"/>
        <v>1400</v>
      </c>
    </row>
    <row r="1660" spans="1:6" s="9" customFormat="1" x14ac:dyDescent="0.25">
      <c r="C1660" s="5"/>
      <c r="E1660" s="10"/>
      <c r="F1660" s="8">
        <f>SUM(F1657:F1659)</f>
        <v>6650</v>
      </c>
    </row>
    <row r="1661" spans="1:6" s="9" customFormat="1" x14ac:dyDescent="0.25">
      <c r="C1661" s="5"/>
      <c r="E1661" s="10"/>
      <c r="F1661" s="10"/>
    </row>
    <row r="1662" spans="1:6" s="9" customFormat="1" x14ac:dyDescent="0.25">
      <c r="A1662" s="9" t="s">
        <v>514</v>
      </c>
      <c r="B1662" s="4">
        <v>45863</v>
      </c>
      <c r="C1662" s="5">
        <v>10</v>
      </c>
      <c r="D1662" s="9" t="s">
        <v>98</v>
      </c>
      <c r="E1662" s="10">
        <v>100</v>
      </c>
      <c r="F1662" s="10">
        <f t="shared" si="25"/>
        <v>1000</v>
      </c>
    </row>
    <row r="1663" spans="1:6" s="9" customFormat="1" x14ac:dyDescent="0.25">
      <c r="C1663" s="5"/>
      <c r="E1663" s="10"/>
      <c r="F1663" s="8">
        <f>SUM(F1662)</f>
        <v>1000</v>
      </c>
    </row>
    <row r="1664" spans="1:6" s="9" customFormat="1" x14ac:dyDescent="0.25">
      <c r="C1664" s="5"/>
      <c r="E1664" s="10"/>
      <c r="F1664" s="10"/>
    </row>
    <row r="1665" spans="1:6" s="9" customFormat="1" x14ac:dyDescent="0.25">
      <c r="A1665" s="9" t="s">
        <v>40</v>
      </c>
      <c r="B1665" s="4">
        <v>45863</v>
      </c>
      <c r="C1665" s="5">
        <v>10</v>
      </c>
      <c r="D1665" s="9" t="s">
        <v>50</v>
      </c>
      <c r="E1665" s="10">
        <v>120</v>
      </c>
      <c r="F1665" s="10">
        <f t="shared" si="25"/>
        <v>1200</v>
      </c>
    </row>
    <row r="1666" spans="1:6" s="9" customFormat="1" x14ac:dyDescent="0.25">
      <c r="C1666" s="5">
        <v>5</v>
      </c>
      <c r="D1666" s="9" t="s">
        <v>22</v>
      </c>
      <c r="E1666" s="10">
        <v>120</v>
      </c>
      <c r="F1666" s="10">
        <f t="shared" si="25"/>
        <v>600</v>
      </c>
    </row>
    <row r="1667" spans="1:6" s="9" customFormat="1" x14ac:dyDescent="0.25">
      <c r="C1667" s="5">
        <v>6</v>
      </c>
      <c r="D1667" s="9" t="s">
        <v>14</v>
      </c>
      <c r="E1667" s="10">
        <v>145</v>
      </c>
      <c r="F1667" s="10">
        <f t="shared" si="25"/>
        <v>870</v>
      </c>
    </row>
    <row r="1668" spans="1:6" s="9" customFormat="1" x14ac:dyDescent="0.25">
      <c r="C1668" s="5"/>
      <c r="E1668" s="10"/>
      <c r="F1668" s="8">
        <f>SUM(F1665:F1667)</f>
        <v>2670</v>
      </c>
    </row>
    <row r="1669" spans="1:6" s="9" customFormat="1" x14ac:dyDescent="0.25">
      <c r="C1669" s="5"/>
      <c r="E1669" s="10"/>
      <c r="F1669" s="10"/>
    </row>
    <row r="1670" spans="1:6" s="9" customFormat="1" x14ac:dyDescent="0.25">
      <c r="A1670" s="9" t="s">
        <v>791</v>
      </c>
      <c r="B1670" s="4">
        <v>45863</v>
      </c>
      <c r="C1670" s="5">
        <v>20</v>
      </c>
      <c r="D1670" s="9" t="s">
        <v>22</v>
      </c>
      <c r="E1670" s="10">
        <v>120</v>
      </c>
      <c r="F1670" s="10">
        <f t="shared" si="25"/>
        <v>2400</v>
      </c>
    </row>
    <row r="1671" spans="1:6" s="9" customFormat="1" x14ac:dyDescent="0.25">
      <c r="C1671" s="5">
        <v>10</v>
      </c>
      <c r="D1671" s="9" t="s">
        <v>14</v>
      </c>
      <c r="E1671" s="10">
        <v>145</v>
      </c>
      <c r="F1671" s="10">
        <f t="shared" si="25"/>
        <v>1450</v>
      </c>
    </row>
    <row r="1672" spans="1:6" s="9" customFormat="1" x14ac:dyDescent="0.25">
      <c r="C1672" s="5"/>
      <c r="E1672" s="10"/>
      <c r="F1672" s="8">
        <f>SUM(F1670:F1671)</f>
        <v>3850</v>
      </c>
    </row>
    <row r="1673" spans="1:6" s="9" customFormat="1" x14ac:dyDescent="0.25">
      <c r="C1673" s="5"/>
      <c r="E1673" s="10"/>
      <c r="F1673" s="10"/>
    </row>
    <row r="1674" spans="1:6" s="9" customFormat="1" x14ac:dyDescent="0.25">
      <c r="A1674" s="9" t="s">
        <v>591</v>
      </c>
      <c r="B1674" s="4">
        <v>45863</v>
      </c>
      <c r="C1674" s="5">
        <v>2</v>
      </c>
      <c r="D1674" s="9" t="s">
        <v>13</v>
      </c>
      <c r="E1674" s="10">
        <v>150</v>
      </c>
      <c r="F1674" s="10">
        <f t="shared" si="25"/>
        <v>300</v>
      </c>
    </row>
    <row r="1675" spans="1:6" s="9" customFormat="1" x14ac:dyDescent="0.25">
      <c r="C1675" s="5"/>
      <c r="E1675" s="10"/>
      <c r="F1675" s="8">
        <f>SUM(F1674)</f>
        <v>300</v>
      </c>
    </row>
    <row r="1676" spans="1:6" s="9" customFormat="1" x14ac:dyDescent="0.25">
      <c r="C1676" s="5"/>
      <c r="E1676" s="10"/>
      <c r="F1676" s="10"/>
    </row>
    <row r="1677" spans="1:6" s="9" customFormat="1" x14ac:dyDescent="0.25">
      <c r="A1677" s="9" t="s">
        <v>15</v>
      </c>
      <c r="B1677" s="4">
        <v>45863</v>
      </c>
      <c r="C1677" s="5">
        <v>39</v>
      </c>
      <c r="D1677" s="9" t="s">
        <v>98</v>
      </c>
      <c r="E1677" s="10">
        <v>90</v>
      </c>
      <c r="F1677" s="10">
        <f t="shared" si="25"/>
        <v>3510</v>
      </c>
    </row>
    <row r="1678" spans="1:6" s="9" customFormat="1" x14ac:dyDescent="0.25">
      <c r="C1678" s="5"/>
      <c r="E1678" s="10"/>
      <c r="F1678" s="8">
        <f>SUM(F1677)</f>
        <v>3510</v>
      </c>
    </row>
    <row r="1679" spans="1:6" s="9" customFormat="1" x14ac:dyDescent="0.25">
      <c r="C1679" s="5"/>
      <c r="E1679" s="10"/>
      <c r="F1679" s="10"/>
    </row>
    <row r="1680" spans="1:6" s="9" customFormat="1" x14ac:dyDescent="0.25">
      <c r="A1680" s="9" t="s">
        <v>106</v>
      </c>
      <c r="B1680" s="4">
        <v>45863</v>
      </c>
      <c r="C1680" s="5">
        <v>60</v>
      </c>
      <c r="D1680" s="9" t="s">
        <v>50</v>
      </c>
      <c r="E1680" s="10">
        <v>140</v>
      </c>
      <c r="F1680" s="10">
        <f t="shared" si="25"/>
        <v>8400</v>
      </c>
    </row>
    <row r="1681" spans="1:6" s="9" customFormat="1" x14ac:dyDescent="0.25">
      <c r="C1681" s="5"/>
      <c r="E1681" s="10"/>
      <c r="F1681" s="8">
        <f>SUM(F1680)</f>
        <v>8400</v>
      </c>
    </row>
    <row r="1682" spans="1:6" s="9" customFormat="1" x14ac:dyDescent="0.25">
      <c r="C1682" s="5"/>
      <c r="E1682" s="10"/>
      <c r="F1682" s="10"/>
    </row>
    <row r="1683" spans="1:6" s="9" customFormat="1" x14ac:dyDescent="0.25">
      <c r="A1683" s="9" t="s">
        <v>41</v>
      </c>
      <c r="B1683" s="4">
        <v>45863</v>
      </c>
      <c r="C1683" s="5">
        <v>30</v>
      </c>
      <c r="D1683" s="9" t="s">
        <v>13</v>
      </c>
      <c r="E1683" s="10">
        <v>135</v>
      </c>
      <c r="F1683" s="10">
        <f t="shared" si="25"/>
        <v>4050</v>
      </c>
    </row>
    <row r="1684" spans="1:6" s="9" customFormat="1" x14ac:dyDescent="0.25">
      <c r="C1684" s="5"/>
      <c r="E1684" s="10"/>
      <c r="F1684" s="8">
        <f>SUM(F1683)</f>
        <v>4050</v>
      </c>
    </row>
    <row r="1685" spans="1:6" s="9" customFormat="1" x14ac:dyDescent="0.25">
      <c r="C1685" s="5"/>
      <c r="E1685" s="10"/>
      <c r="F1685" s="10"/>
    </row>
    <row r="1686" spans="1:6" s="9" customFormat="1" x14ac:dyDescent="0.25">
      <c r="A1686" s="9" t="s">
        <v>85</v>
      </c>
      <c r="B1686" s="4">
        <v>45863</v>
      </c>
      <c r="C1686" s="5">
        <v>60</v>
      </c>
      <c r="D1686" s="9" t="s">
        <v>14</v>
      </c>
      <c r="E1686" s="10">
        <v>140</v>
      </c>
      <c r="F1686" s="10">
        <f t="shared" ref="F1686:F1719" si="26">+C1686*E1686</f>
        <v>8400</v>
      </c>
    </row>
    <row r="1687" spans="1:6" s="9" customFormat="1" x14ac:dyDescent="0.25">
      <c r="C1687" s="5"/>
      <c r="E1687" s="10"/>
      <c r="F1687" s="8">
        <f>SUM(F1686)</f>
        <v>8400</v>
      </c>
    </row>
    <row r="1688" spans="1:6" s="9" customFormat="1" x14ac:dyDescent="0.25">
      <c r="C1688" s="5"/>
      <c r="E1688" s="10"/>
      <c r="F1688" s="10"/>
    </row>
    <row r="1689" spans="1:6" s="9" customFormat="1" x14ac:dyDescent="0.25">
      <c r="A1689" s="9" t="s">
        <v>18</v>
      </c>
      <c r="B1689" s="4">
        <v>45863</v>
      </c>
      <c r="C1689" s="5">
        <v>30</v>
      </c>
      <c r="D1689" s="9" t="s">
        <v>11</v>
      </c>
      <c r="E1689" s="10">
        <v>135</v>
      </c>
      <c r="F1689" s="10">
        <f t="shared" si="26"/>
        <v>4050</v>
      </c>
    </row>
    <row r="1690" spans="1:6" s="9" customFormat="1" x14ac:dyDescent="0.25">
      <c r="C1690" s="5"/>
      <c r="E1690" s="10"/>
      <c r="F1690" s="8">
        <f>SUM(F1689)</f>
        <v>4050</v>
      </c>
    </row>
    <row r="1691" spans="1:6" s="9" customFormat="1" x14ac:dyDescent="0.25">
      <c r="C1691" s="5"/>
      <c r="E1691" s="10"/>
      <c r="F1691" s="10"/>
    </row>
    <row r="1692" spans="1:6" s="9" customFormat="1" x14ac:dyDescent="0.25">
      <c r="A1692" s="9" t="s">
        <v>46</v>
      </c>
      <c r="B1692" s="4">
        <v>45863</v>
      </c>
      <c r="C1692" s="5">
        <v>10</v>
      </c>
      <c r="D1692" s="9" t="s">
        <v>14</v>
      </c>
      <c r="E1692" s="10">
        <v>145</v>
      </c>
      <c r="F1692" s="10">
        <f t="shared" si="26"/>
        <v>1450</v>
      </c>
    </row>
    <row r="1693" spans="1:6" s="9" customFormat="1" x14ac:dyDescent="0.25">
      <c r="C1693" s="5">
        <v>1</v>
      </c>
      <c r="D1693" s="9" t="s">
        <v>49</v>
      </c>
      <c r="E1693" s="10">
        <v>150</v>
      </c>
      <c r="F1693" s="10">
        <f t="shared" si="26"/>
        <v>150</v>
      </c>
    </row>
    <row r="1694" spans="1:6" s="9" customFormat="1" x14ac:dyDescent="0.25">
      <c r="C1694" s="5"/>
      <c r="E1694" s="10"/>
      <c r="F1694" s="8">
        <f>SUM(F1692:F1693)</f>
        <v>1600</v>
      </c>
    </row>
    <row r="1695" spans="1:6" s="9" customFormat="1" x14ac:dyDescent="0.25">
      <c r="C1695" s="5"/>
      <c r="E1695" s="10"/>
      <c r="F1695" s="10"/>
    </row>
    <row r="1696" spans="1:6" s="9" customFormat="1" x14ac:dyDescent="0.25">
      <c r="A1696" s="9" t="s">
        <v>47</v>
      </c>
      <c r="B1696" s="4">
        <v>45863</v>
      </c>
      <c r="C1696" s="5">
        <v>26</v>
      </c>
      <c r="D1696" s="9" t="s">
        <v>49</v>
      </c>
      <c r="E1696" s="10">
        <v>150</v>
      </c>
      <c r="F1696" s="10">
        <f t="shared" si="26"/>
        <v>3900</v>
      </c>
    </row>
    <row r="1697" spans="1:6" s="9" customFormat="1" x14ac:dyDescent="0.25">
      <c r="C1697" s="5"/>
      <c r="E1697" s="10"/>
      <c r="F1697" s="8">
        <f>SUM(F1696)</f>
        <v>3900</v>
      </c>
    </row>
    <row r="1698" spans="1:6" s="9" customFormat="1" x14ac:dyDescent="0.25">
      <c r="C1698" s="5"/>
      <c r="E1698" s="10"/>
      <c r="F1698" s="10"/>
    </row>
    <row r="1699" spans="1:6" s="9" customFormat="1" x14ac:dyDescent="0.25">
      <c r="A1699" s="9" t="s">
        <v>809</v>
      </c>
      <c r="B1699" s="4">
        <v>45863</v>
      </c>
      <c r="C1699" s="5">
        <v>2</v>
      </c>
      <c r="D1699" s="9" t="s">
        <v>49</v>
      </c>
      <c r="E1699" s="10">
        <v>145</v>
      </c>
      <c r="F1699" s="10">
        <f t="shared" si="26"/>
        <v>290</v>
      </c>
    </row>
    <row r="1700" spans="1:6" s="9" customFormat="1" x14ac:dyDescent="0.25">
      <c r="C1700" s="5">
        <v>2</v>
      </c>
      <c r="D1700" s="9" t="s">
        <v>13</v>
      </c>
      <c r="E1700" s="10">
        <v>140</v>
      </c>
      <c r="F1700" s="10">
        <f t="shared" si="26"/>
        <v>280</v>
      </c>
    </row>
    <row r="1701" spans="1:6" s="9" customFormat="1" x14ac:dyDescent="0.25">
      <c r="C1701" s="5"/>
      <c r="E1701" s="10"/>
      <c r="F1701" s="8">
        <f>SUM(F1699:F1700)</f>
        <v>570</v>
      </c>
    </row>
    <row r="1702" spans="1:6" s="9" customFormat="1" x14ac:dyDescent="0.25">
      <c r="C1702" s="5"/>
      <c r="E1702" s="10"/>
      <c r="F1702" s="10"/>
    </row>
    <row r="1703" spans="1:6" s="9" customFormat="1" x14ac:dyDescent="0.25">
      <c r="A1703" s="9" t="s">
        <v>661</v>
      </c>
      <c r="B1703" s="4">
        <v>45863</v>
      </c>
      <c r="C1703" s="5">
        <v>6</v>
      </c>
      <c r="D1703" s="9" t="s">
        <v>13</v>
      </c>
      <c r="E1703" s="10">
        <v>150</v>
      </c>
      <c r="F1703" s="10">
        <f t="shared" si="26"/>
        <v>900</v>
      </c>
    </row>
    <row r="1704" spans="1:6" s="9" customFormat="1" x14ac:dyDescent="0.25">
      <c r="C1704" s="5"/>
      <c r="E1704" s="10"/>
      <c r="F1704" s="8">
        <f>SUM(F1703)</f>
        <v>900</v>
      </c>
    </row>
    <row r="1705" spans="1:6" s="9" customFormat="1" x14ac:dyDescent="0.25">
      <c r="C1705" s="5"/>
      <c r="E1705" s="10"/>
      <c r="F1705" s="10"/>
    </row>
    <row r="1706" spans="1:6" s="9" customFormat="1" x14ac:dyDescent="0.25">
      <c r="A1706" s="9" t="s">
        <v>810</v>
      </c>
      <c r="B1706" s="4">
        <v>45863</v>
      </c>
      <c r="C1706" s="11">
        <v>2.5</v>
      </c>
      <c r="D1706" s="9" t="s">
        <v>13</v>
      </c>
      <c r="E1706" s="10">
        <v>150</v>
      </c>
      <c r="F1706" s="10">
        <f t="shared" si="26"/>
        <v>375</v>
      </c>
    </row>
    <row r="1707" spans="1:6" s="9" customFormat="1" x14ac:dyDescent="0.25">
      <c r="C1707" s="5"/>
      <c r="E1707" s="10"/>
      <c r="F1707" s="8">
        <f>SUM(F1706)</f>
        <v>375</v>
      </c>
    </row>
    <row r="1708" spans="1:6" s="9" customFormat="1" x14ac:dyDescent="0.25">
      <c r="C1708" s="5"/>
      <c r="E1708" s="10"/>
      <c r="F1708" s="10"/>
    </row>
    <row r="1709" spans="1:6" s="9" customFormat="1" x14ac:dyDescent="0.25">
      <c r="A1709" s="9" t="s">
        <v>487</v>
      </c>
      <c r="B1709" s="4">
        <v>45863</v>
      </c>
      <c r="C1709" s="5">
        <v>5</v>
      </c>
      <c r="D1709" s="9" t="s">
        <v>811</v>
      </c>
      <c r="E1709" s="10">
        <v>140</v>
      </c>
      <c r="F1709" s="10">
        <f t="shared" si="26"/>
        <v>700</v>
      </c>
    </row>
    <row r="1710" spans="1:6" s="9" customFormat="1" x14ac:dyDescent="0.25">
      <c r="C1710" s="5"/>
      <c r="E1710" s="10"/>
      <c r="F1710" s="8">
        <f>SUM(F1709)</f>
        <v>700</v>
      </c>
    </row>
    <row r="1711" spans="1:6" s="9" customFormat="1" x14ac:dyDescent="0.25">
      <c r="C1711" s="5"/>
      <c r="E1711" s="10"/>
      <c r="F1711" s="10"/>
    </row>
    <row r="1712" spans="1:6" s="9" customFormat="1" x14ac:dyDescent="0.25">
      <c r="A1712" s="9" t="s">
        <v>423</v>
      </c>
      <c r="B1712" s="4">
        <v>45863</v>
      </c>
      <c r="C1712" s="5">
        <v>5</v>
      </c>
      <c r="D1712" s="9" t="s">
        <v>12</v>
      </c>
      <c r="E1712" s="10">
        <v>140</v>
      </c>
      <c r="F1712" s="10">
        <f t="shared" si="26"/>
        <v>700</v>
      </c>
    </row>
    <row r="1713" spans="1:6" s="9" customFormat="1" x14ac:dyDescent="0.25">
      <c r="C1713" s="5">
        <v>5</v>
      </c>
      <c r="D1713" s="9" t="s">
        <v>22</v>
      </c>
      <c r="E1713" s="10">
        <v>125</v>
      </c>
      <c r="F1713" s="10">
        <f t="shared" si="26"/>
        <v>625</v>
      </c>
    </row>
    <row r="1714" spans="1:6" s="9" customFormat="1" x14ac:dyDescent="0.25">
      <c r="C1714" s="5"/>
      <c r="E1714" s="10"/>
      <c r="F1714" s="8">
        <f>SUM(F1712:F1713)</f>
        <v>1325</v>
      </c>
    </row>
    <row r="1715" spans="1:6" s="9" customFormat="1" x14ac:dyDescent="0.25">
      <c r="C1715" s="5"/>
      <c r="E1715" s="10"/>
      <c r="F1715" s="10"/>
    </row>
    <row r="1716" spans="1:6" s="9" customFormat="1" x14ac:dyDescent="0.25">
      <c r="A1716" s="9" t="s">
        <v>59</v>
      </c>
      <c r="B1716" s="4">
        <v>45863</v>
      </c>
      <c r="C1716" s="5">
        <v>30</v>
      </c>
      <c r="D1716" s="9" t="s">
        <v>13</v>
      </c>
      <c r="E1716" s="10">
        <v>145</v>
      </c>
      <c r="F1716" s="10">
        <f t="shared" si="26"/>
        <v>4350</v>
      </c>
    </row>
    <row r="1717" spans="1:6" s="9" customFormat="1" x14ac:dyDescent="0.25">
      <c r="C1717" s="5"/>
      <c r="E1717" s="10"/>
      <c r="F1717" s="8">
        <f>SUM(F1716)</f>
        <v>4350</v>
      </c>
    </row>
    <row r="1718" spans="1:6" s="9" customFormat="1" x14ac:dyDescent="0.25">
      <c r="C1718" s="5"/>
      <c r="E1718" s="10"/>
      <c r="F1718" s="10"/>
    </row>
    <row r="1719" spans="1:6" s="9" customFormat="1" x14ac:dyDescent="0.25">
      <c r="A1719" s="9" t="s">
        <v>112</v>
      </c>
      <c r="B1719" s="4">
        <v>45863</v>
      </c>
      <c r="C1719" s="5">
        <v>50</v>
      </c>
      <c r="D1719" s="9" t="s">
        <v>13</v>
      </c>
      <c r="E1719" s="10">
        <v>140</v>
      </c>
      <c r="F1719" s="10">
        <f t="shared" si="26"/>
        <v>7000</v>
      </c>
    </row>
    <row r="1720" spans="1:6" s="9" customFormat="1" x14ac:dyDescent="0.25">
      <c r="C1720" s="5"/>
      <c r="E1720" s="10"/>
      <c r="F1720" s="8">
        <f>SUM(F1719)</f>
        <v>7000</v>
      </c>
    </row>
    <row r="1721" spans="1:6" s="9" customFormat="1" x14ac:dyDescent="0.25">
      <c r="C1721" s="5"/>
      <c r="E1721" s="10"/>
      <c r="F1721" s="10"/>
    </row>
    <row r="1722" spans="1:6" s="9" customFormat="1" x14ac:dyDescent="0.25">
      <c r="A1722" s="9" t="s">
        <v>716</v>
      </c>
      <c r="B1722" s="4">
        <v>45863</v>
      </c>
      <c r="C1722" s="5">
        <v>14</v>
      </c>
      <c r="D1722" s="9" t="s">
        <v>13</v>
      </c>
      <c r="E1722" s="10">
        <v>145</v>
      </c>
      <c r="F1722" s="10">
        <f>+C1722*E1722</f>
        <v>2030</v>
      </c>
    </row>
    <row r="1723" spans="1:6" s="9" customFormat="1" x14ac:dyDescent="0.25">
      <c r="C1723" s="5"/>
      <c r="E1723" s="10"/>
      <c r="F1723" s="8">
        <f>SUM(F1722)</f>
        <v>2030</v>
      </c>
    </row>
    <row r="1724" spans="1:6" s="9" customFormat="1" x14ac:dyDescent="0.25">
      <c r="C1724" s="5"/>
      <c r="E1724" s="10"/>
      <c r="F1724" s="10"/>
    </row>
    <row r="1725" spans="1:6" s="9" customFormat="1" x14ac:dyDescent="0.25">
      <c r="A1725" s="9" t="s">
        <v>190</v>
      </c>
      <c r="B1725" s="4">
        <v>45863</v>
      </c>
      <c r="C1725" s="5">
        <v>5</v>
      </c>
      <c r="D1725" s="9" t="s">
        <v>14</v>
      </c>
      <c r="E1725" s="10">
        <v>140</v>
      </c>
      <c r="F1725" s="10">
        <f>+C1725*E1725</f>
        <v>700</v>
      </c>
    </row>
    <row r="1726" spans="1:6" s="9" customFormat="1" x14ac:dyDescent="0.25">
      <c r="C1726" s="5"/>
      <c r="E1726" s="10"/>
      <c r="F1726" s="8">
        <f>SUM(F1725)</f>
        <v>700</v>
      </c>
    </row>
    <row r="1727" spans="1:6" s="9" customFormat="1" x14ac:dyDescent="0.25">
      <c r="C1727" s="5"/>
      <c r="E1727" s="10"/>
      <c r="F1727" s="10"/>
    </row>
    <row r="1728" spans="1:6" s="9" customFormat="1" x14ac:dyDescent="0.25">
      <c r="A1728" s="9" t="s">
        <v>26</v>
      </c>
      <c r="B1728" s="4">
        <v>45863</v>
      </c>
      <c r="C1728" s="5">
        <v>20</v>
      </c>
      <c r="D1728" s="9" t="s">
        <v>14</v>
      </c>
      <c r="E1728" s="10">
        <v>135</v>
      </c>
      <c r="F1728" s="10">
        <f>+C1728*E1728</f>
        <v>2700</v>
      </c>
    </row>
    <row r="1729" spans="1:6" s="9" customFormat="1" x14ac:dyDescent="0.25">
      <c r="C1729" s="5"/>
      <c r="E1729" s="10"/>
      <c r="F1729" s="8">
        <f>SUM(F1728)</f>
        <v>2700</v>
      </c>
    </row>
    <row r="1730" spans="1:6" s="9" customFormat="1" x14ac:dyDescent="0.25">
      <c r="C1730" s="5"/>
      <c r="E1730" s="10"/>
      <c r="F1730" s="10"/>
    </row>
    <row r="1731" spans="1:6" s="9" customFormat="1" x14ac:dyDescent="0.25">
      <c r="A1731" s="9" t="s">
        <v>48</v>
      </c>
      <c r="B1731" s="4">
        <v>45863</v>
      </c>
      <c r="C1731" s="5">
        <v>18</v>
      </c>
      <c r="D1731" s="9" t="s">
        <v>286</v>
      </c>
      <c r="E1731" s="10"/>
      <c r="F1731" s="10">
        <f t="shared" ref="F1731:F1736" si="27">+C1731*E1731</f>
        <v>0</v>
      </c>
    </row>
    <row r="1732" spans="1:6" s="9" customFormat="1" x14ac:dyDescent="0.25">
      <c r="C1732" s="5">
        <v>130</v>
      </c>
      <c r="D1732" s="9" t="s">
        <v>475</v>
      </c>
      <c r="E1732" s="10"/>
      <c r="F1732" s="10">
        <f t="shared" si="27"/>
        <v>0</v>
      </c>
    </row>
    <row r="1733" spans="1:6" s="9" customFormat="1" x14ac:dyDescent="0.25">
      <c r="C1733" s="5">
        <v>115</v>
      </c>
      <c r="D1733" s="9" t="s">
        <v>50</v>
      </c>
      <c r="E1733" s="10"/>
      <c r="F1733" s="10">
        <f t="shared" si="27"/>
        <v>0</v>
      </c>
    </row>
    <row r="1734" spans="1:6" s="9" customFormat="1" x14ac:dyDescent="0.25">
      <c r="C1734" s="5">
        <v>25</v>
      </c>
      <c r="D1734" s="9" t="s">
        <v>22</v>
      </c>
      <c r="E1734" s="10"/>
      <c r="F1734" s="10">
        <f t="shared" si="27"/>
        <v>0</v>
      </c>
    </row>
    <row r="1735" spans="1:6" s="9" customFormat="1" x14ac:dyDescent="0.25">
      <c r="C1735" s="5">
        <v>10</v>
      </c>
      <c r="D1735" s="9" t="s">
        <v>98</v>
      </c>
      <c r="E1735" s="10"/>
      <c r="F1735" s="10">
        <f t="shared" si="27"/>
        <v>0</v>
      </c>
    </row>
    <row r="1736" spans="1:6" s="9" customFormat="1" x14ac:dyDescent="0.25">
      <c r="C1736" s="5">
        <v>100</v>
      </c>
      <c r="D1736" s="9" t="s">
        <v>812</v>
      </c>
      <c r="E1736" s="10"/>
      <c r="F1736" s="10">
        <f t="shared" si="27"/>
        <v>0</v>
      </c>
    </row>
    <row r="1737" spans="1:6" s="9" customFormat="1" x14ac:dyDescent="0.25">
      <c r="C1737" s="5"/>
      <c r="E1737" s="10"/>
      <c r="F1737" s="8">
        <f>SUM(F1731:F1736)</f>
        <v>0</v>
      </c>
    </row>
    <row r="1738" spans="1:6" s="9" customFormat="1" x14ac:dyDescent="0.25">
      <c r="C1738" s="5"/>
      <c r="E1738" s="10"/>
      <c r="F1738" s="10"/>
    </row>
    <row r="1739" spans="1:6" s="9" customFormat="1" x14ac:dyDescent="0.25">
      <c r="A1739" s="9" t="s">
        <v>101</v>
      </c>
      <c r="B1739" s="4">
        <v>45863</v>
      </c>
      <c r="C1739" s="5">
        <v>3</v>
      </c>
      <c r="D1739" s="9" t="s">
        <v>229</v>
      </c>
      <c r="E1739" s="10">
        <v>3.3330000000000002</v>
      </c>
      <c r="F1739" s="10">
        <f>+C1739*E1739</f>
        <v>9.9990000000000006</v>
      </c>
    </row>
    <row r="1740" spans="1:6" s="9" customFormat="1" x14ac:dyDescent="0.25">
      <c r="C1740" s="5">
        <v>6</v>
      </c>
      <c r="D1740" s="9" t="s">
        <v>8</v>
      </c>
      <c r="E1740" s="10">
        <v>160</v>
      </c>
      <c r="F1740" s="10">
        <f>+C1740*E1740</f>
        <v>960</v>
      </c>
    </row>
    <row r="1741" spans="1:6" s="9" customFormat="1" x14ac:dyDescent="0.25">
      <c r="C1741" s="5">
        <v>2</v>
      </c>
      <c r="D1741" s="9" t="s">
        <v>220</v>
      </c>
      <c r="E1741" s="10">
        <v>150</v>
      </c>
      <c r="F1741" s="10">
        <f>+C1741*E1741</f>
        <v>300</v>
      </c>
    </row>
    <row r="1742" spans="1:6" s="9" customFormat="1" x14ac:dyDescent="0.25">
      <c r="C1742" s="5"/>
      <c r="E1742" s="10"/>
      <c r="F1742" s="8">
        <f>SUM(F1739:F1741)</f>
        <v>1269.999</v>
      </c>
    </row>
    <row r="1743" spans="1:6" s="9" customFormat="1" x14ac:dyDescent="0.25">
      <c r="C1743" s="5"/>
      <c r="E1743" s="10"/>
      <c r="F1743" s="10"/>
    </row>
    <row r="1744" spans="1:6" s="9" customFormat="1" x14ac:dyDescent="0.25">
      <c r="A1744" s="9" t="s">
        <v>7</v>
      </c>
      <c r="B1744" s="4">
        <v>45863</v>
      </c>
      <c r="C1744" s="5">
        <v>1</v>
      </c>
      <c r="D1744" s="9" t="s">
        <v>8</v>
      </c>
      <c r="E1744" s="10">
        <v>170</v>
      </c>
      <c r="F1744" s="10">
        <f>+C1744*E1744</f>
        <v>170</v>
      </c>
    </row>
    <row r="1745" spans="1:6" s="9" customFormat="1" x14ac:dyDescent="0.25">
      <c r="C1745" s="5"/>
      <c r="E1745" s="10"/>
      <c r="F1745" s="8">
        <f>SUM(F1744)</f>
        <v>170</v>
      </c>
    </row>
    <row r="1746" spans="1:6" s="9" customFormat="1" x14ac:dyDescent="0.25">
      <c r="C1746" s="5"/>
      <c r="E1746" s="10"/>
      <c r="F1746" s="10"/>
    </row>
    <row r="1747" spans="1:6" s="9" customFormat="1" x14ac:dyDescent="0.25">
      <c r="A1747" s="9" t="s">
        <v>151</v>
      </c>
      <c r="B1747" s="4">
        <v>45864</v>
      </c>
      <c r="C1747" s="5">
        <v>150</v>
      </c>
      <c r="D1747" s="9" t="s">
        <v>13</v>
      </c>
      <c r="E1747" s="10">
        <v>140</v>
      </c>
      <c r="F1747" s="10">
        <f>+C1747*E1747</f>
        <v>21000</v>
      </c>
    </row>
    <row r="1748" spans="1:6" s="9" customFormat="1" x14ac:dyDescent="0.25">
      <c r="C1748" s="5"/>
      <c r="E1748" s="10"/>
      <c r="F1748" s="8">
        <f>SUM(F1747)</f>
        <v>21000</v>
      </c>
    </row>
    <row r="1749" spans="1:6" s="9" customFormat="1" x14ac:dyDescent="0.25">
      <c r="C1749" s="5"/>
      <c r="E1749" s="10"/>
      <c r="F1749" s="10"/>
    </row>
    <row r="1750" spans="1:6" s="9" customFormat="1" x14ac:dyDescent="0.25">
      <c r="A1750" s="9" t="s">
        <v>60</v>
      </c>
      <c r="B1750" s="4">
        <v>45864</v>
      </c>
      <c r="C1750" s="5">
        <v>30</v>
      </c>
      <c r="D1750" s="9" t="s">
        <v>13</v>
      </c>
      <c r="E1750" s="10">
        <v>145</v>
      </c>
      <c r="F1750" s="10">
        <f t="shared" ref="F1750:F1818" si="28">+C1750*E1750</f>
        <v>4350</v>
      </c>
    </row>
    <row r="1751" spans="1:6" s="9" customFormat="1" x14ac:dyDescent="0.25">
      <c r="C1751" s="5"/>
      <c r="E1751" s="10"/>
      <c r="F1751" s="8">
        <f>SUM(F1750)</f>
        <v>4350</v>
      </c>
    </row>
    <row r="1752" spans="1:6" s="9" customFormat="1" x14ac:dyDescent="0.25">
      <c r="C1752" s="5"/>
      <c r="E1752" s="10"/>
      <c r="F1752" s="10"/>
    </row>
    <row r="1753" spans="1:6" s="9" customFormat="1" x14ac:dyDescent="0.25">
      <c r="A1753" s="9" t="s">
        <v>113</v>
      </c>
      <c r="B1753" s="4">
        <v>45864</v>
      </c>
      <c r="C1753" s="5">
        <v>10</v>
      </c>
      <c r="D1753" s="9" t="s">
        <v>13</v>
      </c>
      <c r="E1753" s="10">
        <v>150</v>
      </c>
      <c r="F1753" s="10">
        <f t="shared" si="28"/>
        <v>1500</v>
      </c>
    </row>
    <row r="1754" spans="1:6" s="9" customFormat="1" x14ac:dyDescent="0.25">
      <c r="C1754" s="5">
        <v>10</v>
      </c>
      <c r="D1754" s="9" t="s">
        <v>8</v>
      </c>
      <c r="E1754" s="10">
        <v>160</v>
      </c>
      <c r="F1754" s="10">
        <f t="shared" si="28"/>
        <v>1600</v>
      </c>
    </row>
    <row r="1755" spans="1:6" s="9" customFormat="1" x14ac:dyDescent="0.25">
      <c r="C1755" s="5"/>
      <c r="E1755" s="10"/>
      <c r="F1755" s="8">
        <f>SUM(F1753:F1754)</f>
        <v>3100</v>
      </c>
    </row>
    <row r="1756" spans="1:6" s="9" customFormat="1" x14ac:dyDescent="0.25">
      <c r="C1756" s="5"/>
      <c r="E1756" s="10"/>
      <c r="F1756" s="10"/>
    </row>
    <row r="1757" spans="1:6" s="9" customFormat="1" x14ac:dyDescent="0.25">
      <c r="A1757" s="9" t="s">
        <v>61</v>
      </c>
      <c r="B1757" s="4">
        <v>45864</v>
      </c>
      <c r="C1757" s="5">
        <v>80</v>
      </c>
      <c r="D1757" s="9" t="s">
        <v>13</v>
      </c>
      <c r="E1757" s="10">
        <v>145</v>
      </c>
      <c r="F1757" s="10">
        <f t="shared" si="28"/>
        <v>11600</v>
      </c>
    </row>
    <row r="1758" spans="1:6" s="9" customFormat="1" x14ac:dyDescent="0.25">
      <c r="C1758" s="5"/>
      <c r="E1758" s="10"/>
      <c r="F1758" s="8">
        <f>SUM(F1757)</f>
        <v>11600</v>
      </c>
    </row>
    <row r="1759" spans="1:6" s="9" customFormat="1" x14ac:dyDescent="0.25">
      <c r="C1759" s="5"/>
      <c r="E1759" s="10"/>
      <c r="F1759" s="10"/>
    </row>
    <row r="1760" spans="1:6" s="9" customFormat="1" x14ac:dyDescent="0.25">
      <c r="A1760" s="9" t="s">
        <v>88</v>
      </c>
      <c r="B1760" s="4">
        <v>45864</v>
      </c>
      <c r="C1760" s="5">
        <v>6</v>
      </c>
      <c r="D1760" s="9" t="s">
        <v>13</v>
      </c>
      <c r="E1760" s="10">
        <v>145</v>
      </c>
      <c r="F1760" s="10">
        <f t="shared" si="28"/>
        <v>870</v>
      </c>
    </row>
    <row r="1761" spans="1:6" s="9" customFormat="1" x14ac:dyDescent="0.25">
      <c r="C1761" s="5">
        <v>6</v>
      </c>
      <c r="D1761" s="9" t="s">
        <v>14</v>
      </c>
      <c r="E1761" s="10">
        <v>135</v>
      </c>
      <c r="F1761" s="10">
        <f t="shared" si="28"/>
        <v>810</v>
      </c>
    </row>
    <row r="1762" spans="1:6" s="9" customFormat="1" x14ac:dyDescent="0.25">
      <c r="C1762" s="5"/>
      <c r="E1762" s="10"/>
      <c r="F1762" s="8">
        <f>SUM(F1760:F1761)</f>
        <v>1680</v>
      </c>
    </row>
    <row r="1763" spans="1:6" s="9" customFormat="1" x14ac:dyDescent="0.25">
      <c r="C1763" s="5"/>
      <c r="E1763" s="10"/>
      <c r="F1763" s="10"/>
    </row>
    <row r="1764" spans="1:6" s="9" customFormat="1" x14ac:dyDescent="0.25">
      <c r="A1764" s="9" t="s">
        <v>117</v>
      </c>
      <c r="B1764" s="4">
        <v>45864</v>
      </c>
      <c r="C1764" s="5">
        <v>5</v>
      </c>
      <c r="D1764" s="9" t="s">
        <v>13</v>
      </c>
      <c r="E1764" s="10">
        <v>150</v>
      </c>
      <c r="F1764" s="10">
        <f t="shared" si="28"/>
        <v>750</v>
      </c>
    </row>
    <row r="1765" spans="1:6" s="9" customFormat="1" x14ac:dyDescent="0.25">
      <c r="C1765" s="5"/>
      <c r="E1765" s="10"/>
      <c r="F1765" s="8">
        <f>SUM(F1764)</f>
        <v>750</v>
      </c>
    </row>
    <row r="1766" spans="1:6" s="9" customFormat="1" x14ac:dyDescent="0.25">
      <c r="C1766" s="5"/>
      <c r="E1766" s="10"/>
      <c r="F1766" s="10"/>
    </row>
    <row r="1767" spans="1:6" s="9" customFormat="1" x14ac:dyDescent="0.25">
      <c r="A1767" s="9" t="s">
        <v>26</v>
      </c>
      <c r="B1767" s="4">
        <v>45864</v>
      </c>
      <c r="C1767" s="5">
        <v>30</v>
      </c>
      <c r="D1767" s="9" t="s">
        <v>14</v>
      </c>
      <c r="E1767" s="10">
        <v>135</v>
      </c>
      <c r="F1767" s="10">
        <f t="shared" si="28"/>
        <v>4050</v>
      </c>
    </row>
    <row r="1768" spans="1:6" s="9" customFormat="1" x14ac:dyDescent="0.25">
      <c r="C1768" s="5"/>
      <c r="E1768" s="10"/>
      <c r="F1768" s="8">
        <f>SUM(F1767)</f>
        <v>4050</v>
      </c>
    </row>
    <row r="1769" spans="1:6" s="9" customFormat="1" x14ac:dyDescent="0.25">
      <c r="C1769" s="5"/>
      <c r="E1769" s="10"/>
      <c r="F1769" s="10"/>
    </row>
    <row r="1770" spans="1:6" s="9" customFormat="1" x14ac:dyDescent="0.25">
      <c r="A1770" s="9" t="s">
        <v>72</v>
      </c>
      <c r="B1770" s="4">
        <v>45864</v>
      </c>
      <c r="C1770" s="5">
        <v>300</v>
      </c>
      <c r="D1770" s="9" t="s">
        <v>13</v>
      </c>
      <c r="E1770" s="10">
        <v>140</v>
      </c>
      <c r="F1770" s="10">
        <f t="shared" si="28"/>
        <v>42000</v>
      </c>
    </row>
    <row r="1771" spans="1:6" s="9" customFormat="1" x14ac:dyDescent="0.25">
      <c r="C1771" s="5">
        <v>150</v>
      </c>
      <c r="D1771" s="9" t="s">
        <v>12</v>
      </c>
      <c r="E1771" s="10">
        <v>130</v>
      </c>
      <c r="F1771" s="10">
        <f t="shared" si="28"/>
        <v>19500</v>
      </c>
    </row>
    <row r="1772" spans="1:6" s="9" customFormat="1" x14ac:dyDescent="0.25">
      <c r="C1772" s="5">
        <v>20</v>
      </c>
      <c r="D1772" s="9" t="s">
        <v>14</v>
      </c>
      <c r="E1772" s="10">
        <v>140</v>
      </c>
      <c r="F1772" s="10">
        <f t="shared" si="28"/>
        <v>2800</v>
      </c>
    </row>
    <row r="1773" spans="1:6" s="9" customFormat="1" x14ac:dyDescent="0.25">
      <c r="C1773" s="5">
        <v>80</v>
      </c>
      <c r="D1773" s="9" t="s">
        <v>11</v>
      </c>
      <c r="E1773" s="10">
        <v>130</v>
      </c>
      <c r="F1773" s="10">
        <f t="shared" si="28"/>
        <v>10400</v>
      </c>
    </row>
    <row r="1774" spans="1:6" s="9" customFormat="1" x14ac:dyDescent="0.25">
      <c r="C1774" s="5"/>
      <c r="E1774" s="10"/>
      <c r="F1774" s="8">
        <f>SUM(F1770:F1773)</f>
        <v>74700</v>
      </c>
    </row>
    <row r="1775" spans="1:6" s="9" customFormat="1" x14ac:dyDescent="0.25">
      <c r="C1775" s="5"/>
      <c r="E1775" s="10"/>
      <c r="F1775" s="10"/>
    </row>
    <row r="1776" spans="1:6" s="9" customFormat="1" x14ac:dyDescent="0.25">
      <c r="A1776" s="9" t="s">
        <v>65</v>
      </c>
      <c r="B1776" s="4">
        <v>45864</v>
      </c>
      <c r="C1776" s="5">
        <v>477</v>
      </c>
      <c r="D1776" s="9" t="s">
        <v>829</v>
      </c>
      <c r="E1776" s="10">
        <v>135</v>
      </c>
      <c r="F1776" s="10">
        <f t="shared" si="28"/>
        <v>64395</v>
      </c>
    </row>
    <row r="1777" spans="1:6" s="9" customFormat="1" x14ac:dyDescent="0.25">
      <c r="C1777" s="5">
        <v>150</v>
      </c>
      <c r="D1777" s="9" t="s">
        <v>13</v>
      </c>
      <c r="E1777" s="10">
        <v>145</v>
      </c>
      <c r="F1777" s="10">
        <f t="shared" si="28"/>
        <v>21750</v>
      </c>
    </row>
    <row r="1778" spans="1:6" s="9" customFormat="1" x14ac:dyDescent="0.25">
      <c r="C1778" s="5">
        <v>150</v>
      </c>
      <c r="D1778" s="9" t="s">
        <v>11</v>
      </c>
      <c r="E1778" s="10">
        <v>135</v>
      </c>
      <c r="F1778" s="10">
        <f t="shared" si="28"/>
        <v>20250</v>
      </c>
    </row>
    <row r="1779" spans="1:6" s="9" customFormat="1" x14ac:dyDescent="0.25">
      <c r="C1779" s="5">
        <v>350</v>
      </c>
      <c r="D1779" s="9" t="s">
        <v>14</v>
      </c>
      <c r="E1779" s="10">
        <v>145</v>
      </c>
      <c r="F1779" s="10">
        <f t="shared" si="28"/>
        <v>50750</v>
      </c>
    </row>
    <row r="1780" spans="1:6" s="9" customFormat="1" x14ac:dyDescent="0.25">
      <c r="C1780" s="5">
        <v>173</v>
      </c>
      <c r="D1780" s="9" t="s">
        <v>22</v>
      </c>
      <c r="E1780" s="10">
        <v>125</v>
      </c>
      <c r="F1780" s="10">
        <f t="shared" si="28"/>
        <v>21625</v>
      </c>
    </row>
    <row r="1781" spans="1:6" s="9" customFormat="1" x14ac:dyDescent="0.25">
      <c r="C1781" s="5">
        <v>62</v>
      </c>
      <c r="D1781" s="9" t="s">
        <v>50</v>
      </c>
      <c r="E1781" s="10">
        <v>125</v>
      </c>
      <c r="F1781" s="10">
        <f t="shared" si="28"/>
        <v>7750</v>
      </c>
    </row>
    <row r="1782" spans="1:6" s="9" customFormat="1" x14ac:dyDescent="0.25">
      <c r="C1782" s="5"/>
      <c r="E1782" s="10"/>
      <c r="F1782" s="8">
        <f>SUM(F1776:F1781)</f>
        <v>186520</v>
      </c>
    </row>
    <row r="1783" spans="1:6" s="9" customFormat="1" x14ac:dyDescent="0.25">
      <c r="C1783" s="5"/>
      <c r="E1783" s="10"/>
      <c r="F1783" s="10"/>
    </row>
    <row r="1784" spans="1:6" s="9" customFormat="1" x14ac:dyDescent="0.25">
      <c r="A1784" s="9" t="s">
        <v>69</v>
      </c>
      <c r="B1784" s="4">
        <v>45864</v>
      </c>
      <c r="C1784" s="5">
        <v>10</v>
      </c>
      <c r="D1784" s="9" t="s">
        <v>98</v>
      </c>
      <c r="E1784" s="10">
        <v>100</v>
      </c>
      <c r="F1784" s="10">
        <f t="shared" si="28"/>
        <v>1000</v>
      </c>
    </row>
    <row r="1785" spans="1:6" s="9" customFormat="1" x14ac:dyDescent="0.25">
      <c r="C1785" s="5"/>
      <c r="E1785" s="10"/>
      <c r="F1785" s="8">
        <f>SUM(F1784)</f>
        <v>1000</v>
      </c>
    </row>
    <row r="1786" spans="1:6" s="9" customFormat="1" x14ac:dyDescent="0.25">
      <c r="C1786" s="5"/>
      <c r="E1786" s="10"/>
      <c r="F1786" s="10"/>
    </row>
    <row r="1787" spans="1:6" s="9" customFormat="1" x14ac:dyDescent="0.25">
      <c r="A1787" s="9" t="s">
        <v>216</v>
      </c>
      <c r="B1787" s="4">
        <v>45864</v>
      </c>
      <c r="C1787" s="5">
        <v>250</v>
      </c>
      <c r="D1787" s="9" t="s">
        <v>13</v>
      </c>
      <c r="E1787" s="10"/>
      <c r="F1787" s="10">
        <f t="shared" si="28"/>
        <v>0</v>
      </c>
    </row>
    <row r="1788" spans="1:6" s="9" customFormat="1" x14ac:dyDescent="0.25">
      <c r="C1788" s="5">
        <v>200</v>
      </c>
      <c r="D1788" s="9" t="s">
        <v>14</v>
      </c>
      <c r="E1788" s="10"/>
      <c r="F1788" s="10">
        <f t="shared" si="28"/>
        <v>0</v>
      </c>
    </row>
    <row r="1789" spans="1:6" s="9" customFormat="1" x14ac:dyDescent="0.25">
      <c r="C1789" s="5">
        <v>81</v>
      </c>
      <c r="D1789" s="9" t="s">
        <v>12</v>
      </c>
      <c r="E1789" s="10"/>
      <c r="F1789" s="10">
        <f t="shared" si="28"/>
        <v>0</v>
      </c>
    </row>
    <row r="1790" spans="1:6" s="9" customFormat="1" x14ac:dyDescent="0.25">
      <c r="C1790" s="5"/>
      <c r="E1790" s="10"/>
      <c r="F1790" s="8">
        <f>SUM(F1787:F1789)</f>
        <v>0</v>
      </c>
    </row>
    <row r="1791" spans="1:6" s="9" customFormat="1" x14ac:dyDescent="0.25">
      <c r="C1791" s="5"/>
      <c r="E1791" s="10"/>
      <c r="F1791" s="10"/>
    </row>
    <row r="1792" spans="1:6" s="9" customFormat="1" x14ac:dyDescent="0.25">
      <c r="A1792" s="9" t="s">
        <v>29</v>
      </c>
      <c r="B1792" s="4">
        <v>45864</v>
      </c>
      <c r="C1792" s="5">
        <v>2</v>
      </c>
      <c r="D1792" s="9" t="s">
        <v>13</v>
      </c>
      <c r="E1792" s="10">
        <v>160</v>
      </c>
      <c r="F1792" s="10">
        <f t="shared" si="28"/>
        <v>320</v>
      </c>
    </row>
    <row r="1793" spans="1:6" s="9" customFormat="1" x14ac:dyDescent="0.25">
      <c r="C1793" s="5">
        <v>1</v>
      </c>
      <c r="D1793" s="9" t="s">
        <v>13</v>
      </c>
      <c r="E1793" s="10">
        <v>140</v>
      </c>
      <c r="F1793" s="10">
        <f t="shared" si="28"/>
        <v>140</v>
      </c>
    </row>
    <row r="1794" spans="1:6" s="9" customFormat="1" x14ac:dyDescent="0.25">
      <c r="C1794" s="5"/>
      <c r="E1794" s="10"/>
      <c r="F1794" s="8">
        <f>SUM(F1792:F1793)</f>
        <v>460</v>
      </c>
    </row>
    <row r="1795" spans="1:6" s="9" customFormat="1" x14ac:dyDescent="0.25">
      <c r="C1795" s="5"/>
      <c r="E1795" s="10"/>
      <c r="F1795" s="10"/>
    </row>
    <row r="1796" spans="1:6" s="9" customFormat="1" x14ac:dyDescent="0.25">
      <c r="A1796" s="9" t="s">
        <v>7</v>
      </c>
      <c r="B1796" s="4">
        <v>45864</v>
      </c>
      <c r="C1796" s="5">
        <v>2</v>
      </c>
      <c r="D1796" s="9" t="s">
        <v>8</v>
      </c>
      <c r="E1796" s="10">
        <v>170</v>
      </c>
      <c r="F1796" s="10">
        <f t="shared" si="28"/>
        <v>340</v>
      </c>
    </row>
    <row r="1797" spans="1:6" s="9" customFormat="1" x14ac:dyDescent="0.25">
      <c r="C1797" s="5">
        <v>1</v>
      </c>
      <c r="D1797" s="9" t="s">
        <v>813</v>
      </c>
      <c r="E1797" s="10">
        <v>0</v>
      </c>
      <c r="F1797" s="10">
        <f t="shared" si="28"/>
        <v>0</v>
      </c>
    </row>
    <row r="1798" spans="1:6" s="9" customFormat="1" x14ac:dyDescent="0.25">
      <c r="C1798" s="5">
        <v>1</v>
      </c>
      <c r="D1798" s="9" t="s">
        <v>8</v>
      </c>
      <c r="E1798" s="10">
        <v>170</v>
      </c>
      <c r="F1798" s="10">
        <f t="shared" si="28"/>
        <v>170</v>
      </c>
    </row>
    <row r="1799" spans="1:6" s="9" customFormat="1" x14ac:dyDescent="0.25">
      <c r="C1799" s="5"/>
      <c r="E1799" s="10"/>
      <c r="F1799" s="8">
        <f>SUM(F1796:F1798)</f>
        <v>510</v>
      </c>
    </row>
    <row r="1800" spans="1:6" s="9" customFormat="1" x14ac:dyDescent="0.25">
      <c r="C1800" s="5"/>
      <c r="E1800" s="10"/>
      <c r="F1800" s="10"/>
    </row>
    <row r="1801" spans="1:6" s="9" customFormat="1" x14ac:dyDescent="0.25">
      <c r="A1801" s="9" t="s">
        <v>140</v>
      </c>
      <c r="B1801" s="4">
        <v>45865</v>
      </c>
      <c r="C1801" s="5">
        <v>200</v>
      </c>
      <c r="D1801" s="9" t="s">
        <v>13</v>
      </c>
      <c r="E1801" s="10">
        <v>145</v>
      </c>
      <c r="F1801" s="10">
        <f t="shared" si="28"/>
        <v>29000</v>
      </c>
    </row>
    <row r="1802" spans="1:6" s="9" customFormat="1" x14ac:dyDescent="0.25">
      <c r="C1802" s="5">
        <v>100</v>
      </c>
      <c r="D1802" s="9" t="s">
        <v>14</v>
      </c>
      <c r="E1802" s="10">
        <v>145</v>
      </c>
      <c r="F1802" s="10">
        <f t="shared" si="28"/>
        <v>14500</v>
      </c>
    </row>
    <row r="1803" spans="1:6" s="9" customFormat="1" x14ac:dyDescent="0.25">
      <c r="C1803" s="5">
        <v>100</v>
      </c>
      <c r="D1803" s="9" t="s">
        <v>12</v>
      </c>
      <c r="E1803" s="10">
        <v>135</v>
      </c>
      <c r="F1803" s="10">
        <f t="shared" si="28"/>
        <v>13500</v>
      </c>
    </row>
    <row r="1804" spans="1:6" s="9" customFormat="1" x14ac:dyDescent="0.25">
      <c r="C1804" s="5">
        <v>50</v>
      </c>
      <c r="D1804" s="9" t="s">
        <v>11</v>
      </c>
      <c r="E1804" s="10">
        <v>135</v>
      </c>
      <c r="F1804" s="10">
        <f t="shared" si="28"/>
        <v>6750</v>
      </c>
    </row>
    <row r="1805" spans="1:6" s="9" customFormat="1" x14ac:dyDescent="0.25">
      <c r="C1805" s="5">
        <v>95</v>
      </c>
      <c r="D1805" s="9" t="s">
        <v>8</v>
      </c>
      <c r="E1805" s="10">
        <v>160</v>
      </c>
      <c r="F1805" s="10">
        <f t="shared" si="28"/>
        <v>15200</v>
      </c>
    </row>
    <row r="1806" spans="1:6" s="9" customFormat="1" x14ac:dyDescent="0.25">
      <c r="C1806" s="5"/>
      <c r="E1806" s="10"/>
      <c r="F1806" s="8">
        <f>SUM(F1801:F1805)</f>
        <v>78950</v>
      </c>
    </row>
    <row r="1807" spans="1:6" s="9" customFormat="1" x14ac:dyDescent="0.25">
      <c r="C1807" s="5"/>
      <c r="E1807" s="10"/>
      <c r="F1807" s="10"/>
    </row>
    <row r="1808" spans="1:6" s="9" customFormat="1" x14ac:dyDescent="0.25">
      <c r="A1808" s="9" t="s">
        <v>7</v>
      </c>
      <c r="B1808" s="4">
        <v>45865</v>
      </c>
      <c r="C1808" s="5">
        <v>2</v>
      </c>
      <c r="D1808" s="9" t="s">
        <v>8</v>
      </c>
      <c r="E1808" s="10">
        <v>170</v>
      </c>
      <c r="F1808" s="10">
        <f t="shared" si="28"/>
        <v>340</v>
      </c>
    </row>
    <row r="1809" spans="1:6" s="9" customFormat="1" x14ac:dyDescent="0.25">
      <c r="C1809" s="5">
        <v>1</v>
      </c>
      <c r="D1809" s="9" t="s">
        <v>208</v>
      </c>
      <c r="E1809" s="10">
        <v>0</v>
      </c>
      <c r="F1809" s="10">
        <f t="shared" si="28"/>
        <v>0</v>
      </c>
    </row>
    <row r="1810" spans="1:6" s="9" customFormat="1" x14ac:dyDescent="0.25">
      <c r="C1810" s="5"/>
      <c r="E1810" s="10"/>
      <c r="F1810" s="8">
        <f>SUM(F1808:F1809)</f>
        <v>340</v>
      </c>
    </row>
    <row r="1811" spans="1:6" s="9" customFormat="1" x14ac:dyDescent="0.25">
      <c r="C1811" s="5"/>
      <c r="E1811" s="10"/>
      <c r="F1811" s="10"/>
    </row>
    <row r="1812" spans="1:6" s="9" customFormat="1" x14ac:dyDescent="0.25">
      <c r="A1812" s="9" t="s">
        <v>724</v>
      </c>
      <c r="B1812" s="4">
        <v>45866</v>
      </c>
      <c r="C1812" s="5">
        <v>20</v>
      </c>
      <c r="D1812" s="9" t="s">
        <v>98</v>
      </c>
      <c r="E1812" s="10">
        <v>100</v>
      </c>
      <c r="F1812" s="10">
        <f t="shared" si="28"/>
        <v>2000</v>
      </c>
    </row>
    <row r="1813" spans="1:6" s="9" customFormat="1" x14ac:dyDescent="0.25">
      <c r="C1813" s="5"/>
      <c r="E1813" s="10"/>
      <c r="F1813" s="8">
        <f>SUM(F1812)</f>
        <v>2000</v>
      </c>
    </row>
    <row r="1814" spans="1:6" s="9" customFormat="1" x14ac:dyDescent="0.25">
      <c r="C1814" s="5"/>
      <c r="E1814" s="10"/>
      <c r="F1814" s="10"/>
    </row>
    <row r="1815" spans="1:6" s="9" customFormat="1" x14ac:dyDescent="0.25">
      <c r="A1815" s="9" t="s">
        <v>15</v>
      </c>
      <c r="B1815" s="4">
        <v>45866</v>
      </c>
      <c r="C1815" s="5">
        <v>54</v>
      </c>
      <c r="D1815" s="9" t="s">
        <v>98</v>
      </c>
      <c r="E1815" s="10">
        <v>90</v>
      </c>
      <c r="F1815" s="10">
        <f t="shared" si="28"/>
        <v>4860</v>
      </c>
    </row>
    <row r="1816" spans="1:6" s="9" customFormat="1" x14ac:dyDescent="0.25">
      <c r="C1816" s="5"/>
      <c r="E1816" s="10"/>
      <c r="F1816" s="8">
        <f>SUM(F1815)</f>
        <v>4860</v>
      </c>
    </row>
    <row r="1817" spans="1:6" s="9" customFormat="1" x14ac:dyDescent="0.25">
      <c r="C1817" s="5"/>
      <c r="E1817" s="10"/>
      <c r="F1817" s="10"/>
    </row>
    <row r="1818" spans="1:6" s="9" customFormat="1" x14ac:dyDescent="0.25">
      <c r="A1818" s="9" t="s">
        <v>79</v>
      </c>
      <c r="B1818" s="4">
        <v>45866</v>
      </c>
      <c r="C1818" s="5">
        <v>20</v>
      </c>
      <c r="D1818" s="9" t="s">
        <v>13</v>
      </c>
      <c r="E1818" s="10">
        <v>145</v>
      </c>
      <c r="F1818" s="10">
        <f t="shared" si="28"/>
        <v>2900</v>
      </c>
    </row>
    <row r="1819" spans="1:6" s="9" customFormat="1" x14ac:dyDescent="0.25">
      <c r="C1819" s="5"/>
      <c r="E1819" s="10"/>
      <c r="F1819" s="8">
        <f>SUM(F1818)</f>
        <v>2900</v>
      </c>
    </row>
    <row r="1820" spans="1:6" s="9" customFormat="1" x14ac:dyDescent="0.25">
      <c r="C1820" s="5"/>
      <c r="E1820" s="10"/>
      <c r="F1820" s="10"/>
    </row>
    <row r="1821" spans="1:6" s="9" customFormat="1" x14ac:dyDescent="0.25">
      <c r="A1821" s="9" t="s">
        <v>17</v>
      </c>
      <c r="B1821" s="4">
        <v>45866</v>
      </c>
      <c r="C1821" s="5">
        <v>13</v>
      </c>
      <c r="D1821" s="9" t="s">
        <v>13</v>
      </c>
      <c r="E1821" s="10">
        <v>150</v>
      </c>
      <c r="F1821" s="10">
        <f t="shared" ref="F1821:F1883" si="29">+C1821*E1821</f>
        <v>1950</v>
      </c>
    </row>
    <row r="1822" spans="1:6" s="9" customFormat="1" x14ac:dyDescent="0.25">
      <c r="C1822" s="5"/>
      <c r="E1822" s="10"/>
      <c r="F1822" s="8">
        <f>SUM(F1821)</f>
        <v>1950</v>
      </c>
    </row>
    <row r="1823" spans="1:6" s="9" customFormat="1" x14ac:dyDescent="0.25">
      <c r="C1823" s="5"/>
      <c r="E1823" s="10"/>
      <c r="F1823" s="10"/>
    </row>
    <row r="1824" spans="1:6" s="9" customFormat="1" x14ac:dyDescent="0.25">
      <c r="A1824" s="9" t="s">
        <v>20</v>
      </c>
      <c r="B1824" s="4">
        <v>45866</v>
      </c>
      <c r="C1824" s="5">
        <v>20</v>
      </c>
      <c r="D1824" s="9" t="s">
        <v>13</v>
      </c>
      <c r="E1824" s="10">
        <v>150</v>
      </c>
      <c r="F1824" s="10">
        <f t="shared" si="29"/>
        <v>3000</v>
      </c>
    </row>
    <row r="1825" spans="1:6" s="9" customFormat="1" x14ac:dyDescent="0.25">
      <c r="C1825" s="5"/>
      <c r="E1825" s="10"/>
      <c r="F1825" s="8">
        <f>SUM(F1824)</f>
        <v>3000</v>
      </c>
    </row>
    <row r="1826" spans="1:6" s="9" customFormat="1" x14ac:dyDescent="0.25">
      <c r="C1826" s="5"/>
      <c r="E1826" s="10"/>
      <c r="F1826" s="10"/>
    </row>
    <row r="1827" spans="1:6" s="9" customFormat="1" x14ac:dyDescent="0.25">
      <c r="A1827" s="9" t="s">
        <v>427</v>
      </c>
      <c r="B1827" s="4">
        <v>45866</v>
      </c>
      <c r="C1827" s="5">
        <v>8</v>
      </c>
      <c r="D1827" s="9" t="s">
        <v>13</v>
      </c>
      <c r="E1827" s="10">
        <v>150</v>
      </c>
      <c r="F1827" s="10">
        <f t="shared" si="29"/>
        <v>1200</v>
      </c>
    </row>
    <row r="1828" spans="1:6" s="9" customFormat="1" x14ac:dyDescent="0.25">
      <c r="C1828" s="5"/>
      <c r="E1828" s="10"/>
      <c r="F1828" s="8">
        <f>SUM(F1827)</f>
        <v>1200</v>
      </c>
    </row>
    <row r="1829" spans="1:6" s="9" customFormat="1" x14ac:dyDescent="0.25">
      <c r="C1829" s="5"/>
      <c r="E1829" s="10"/>
      <c r="F1829" s="10"/>
    </row>
    <row r="1830" spans="1:6" s="9" customFormat="1" x14ac:dyDescent="0.25">
      <c r="A1830" s="9" t="s">
        <v>21</v>
      </c>
      <c r="B1830" s="4">
        <v>45866</v>
      </c>
      <c r="C1830" s="5">
        <v>10</v>
      </c>
      <c r="D1830" s="9" t="s">
        <v>14</v>
      </c>
      <c r="E1830" s="10">
        <v>145</v>
      </c>
      <c r="F1830" s="10">
        <f t="shared" si="29"/>
        <v>1450</v>
      </c>
    </row>
    <row r="1831" spans="1:6" s="9" customFormat="1" x14ac:dyDescent="0.25">
      <c r="C1831" s="5">
        <v>10</v>
      </c>
      <c r="D1831" s="9" t="s">
        <v>13</v>
      </c>
      <c r="E1831" s="10">
        <v>150</v>
      </c>
      <c r="F1831" s="10">
        <f t="shared" si="29"/>
        <v>1500</v>
      </c>
    </row>
    <row r="1832" spans="1:6" s="9" customFormat="1" x14ac:dyDescent="0.25">
      <c r="C1832" s="5"/>
      <c r="E1832" s="10"/>
      <c r="F1832" s="8">
        <f>SUM(F1830:F1831)</f>
        <v>2950</v>
      </c>
    </row>
    <row r="1833" spans="1:6" s="9" customFormat="1" x14ac:dyDescent="0.25">
      <c r="C1833" s="5"/>
      <c r="E1833" s="10"/>
      <c r="F1833" s="10"/>
    </row>
    <row r="1834" spans="1:6" s="9" customFormat="1" x14ac:dyDescent="0.25">
      <c r="A1834" s="9" t="s">
        <v>57</v>
      </c>
      <c r="B1834" s="4">
        <v>45866</v>
      </c>
      <c r="C1834" s="5">
        <v>10</v>
      </c>
      <c r="D1834" s="9" t="s">
        <v>13</v>
      </c>
      <c r="E1834" s="10">
        <v>150</v>
      </c>
      <c r="F1834" s="10">
        <f t="shared" si="29"/>
        <v>1500</v>
      </c>
    </row>
    <row r="1835" spans="1:6" s="9" customFormat="1" x14ac:dyDescent="0.25">
      <c r="C1835" s="5">
        <v>10</v>
      </c>
      <c r="D1835" s="9" t="s">
        <v>14</v>
      </c>
      <c r="E1835" s="10">
        <v>145</v>
      </c>
      <c r="F1835" s="10">
        <f t="shared" si="29"/>
        <v>1450</v>
      </c>
    </row>
    <row r="1836" spans="1:6" s="9" customFormat="1" x14ac:dyDescent="0.25">
      <c r="C1836" s="5"/>
      <c r="E1836" s="10"/>
      <c r="F1836" s="8">
        <f>SUM(F1834:F1835)</f>
        <v>2950</v>
      </c>
    </row>
    <row r="1837" spans="1:6" s="9" customFormat="1" x14ac:dyDescent="0.25">
      <c r="C1837" s="5"/>
      <c r="E1837" s="10"/>
      <c r="F1837" s="10"/>
    </row>
    <row r="1838" spans="1:6" s="9" customFormat="1" x14ac:dyDescent="0.25">
      <c r="A1838" s="9" t="s">
        <v>40</v>
      </c>
      <c r="B1838" s="4">
        <v>45866</v>
      </c>
      <c r="C1838" s="5">
        <v>10</v>
      </c>
      <c r="D1838" s="9" t="s">
        <v>22</v>
      </c>
      <c r="E1838" s="10">
        <v>120</v>
      </c>
      <c r="F1838" s="10">
        <f t="shared" si="29"/>
        <v>1200</v>
      </c>
    </row>
    <row r="1839" spans="1:6" s="9" customFormat="1" x14ac:dyDescent="0.25">
      <c r="C1839" s="5">
        <v>10</v>
      </c>
      <c r="D1839" s="9" t="s">
        <v>50</v>
      </c>
      <c r="E1839" s="10">
        <v>120</v>
      </c>
      <c r="F1839" s="10">
        <f t="shared" si="29"/>
        <v>1200</v>
      </c>
    </row>
    <row r="1840" spans="1:6" s="9" customFormat="1" x14ac:dyDescent="0.25">
      <c r="C1840" s="5">
        <v>10</v>
      </c>
      <c r="D1840" s="9" t="s">
        <v>12</v>
      </c>
      <c r="E1840" s="10">
        <v>140</v>
      </c>
      <c r="F1840" s="10">
        <f t="shared" si="29"/>
        <v>1400</v>
      </c>
    </row>
    <row r="1841" spans="1:6" s="9" customFormat="1" x14ac:dyDescent="0.25">
      <c r="C1841" s="5">
        <v>7</v>
      </c>
      <c r="D1841" s="9" t="s">
        <v>8</v>
      </c>
      <c r="E1841" s="10">
        <v>160</v>
      </c>
      <c r="F1841" s="10">
        <f t="shared" si="29"/>
        <v>1120</v>
      </c>
    </row>
    <row r="1842" spans="1:6" s="9" customFormat="1" x14ac:dyDescent="0.25">
      <c r="C1842" s="5">
        <v>20</v>
      </c>
      <c r="D1842" s="9" t="s">
        <v>14</v>
      </c>
      <c r="E1842" s="10">
        <v>145</v>
      </c>
      <c r="F1842" s="10">
        <f t="shared" si="29"/>
        <v>2900</v>
      </c>
    </row>
    <row r="1843" spans="1:6" s="9" customFormat="1" x14ac:dyDescent="0.25">
      <c r="C1843" s="5">
        <v>9</v>
      </c>
      <c r="D1843" s="9" t="s">
        <v>13</v>
      </c>
      <c r="E1843" s="10">
        <v>150</v>
      </c>
      <c r="F1843" s="10">
        <f t="shared" si="29"/>
        <v>1350</v>
      </c>
    </row>
    <row r="1844" spans="1:6" s="9" customFormat="1" x14ac:dyDescent="0.25">
      <c r="C1844" s="5"/>
      <c r="E1844" s="10"/>
      <c r="F1844" s="8">
        <f>SUM(F1838:F1843)</f>
        <v>9170</v>
      </c>
    </row>
    <row r="1845" spans="1:6" s="9" customFormat="1" x14ac:dyDescent="0.25">
      <c r="C1845" s="5"/>
      <c r="E1845" s="10"/>
      <c r="F1845" s="10"/>
    </row>
    <row r="1846" spans="1:6" s="9" customFormat="1" x14ac:dyDescent="0.25">
      <c r="A1846" s="9" t="s">
        <v>18</v>
      </c>
      <c r="B1846" s="4">
        <v>45866</v>
      </c>
      <c r="C1846" s="5">
        <v>12</v>
      </c>
      <c r="D1846" s="9" t="s">
        <v>13</v>
      </c>
      <c r="E1846" s="10">
        <v>150</v>
      </c>
      <c r="F1846" s="10">
        <f t="shared" si="29"/>
        <v>1800</v>
      </c>
    </row>
    <row r="1847" spans="1:6" s="9" customFormat="1" x14ac:dyDescent="0.25">
      <c r="C1847" s="5"/>
      <c r="E1847" s="10"/>
      <c r="F1847" s="8">
        <f>SUM(F1846)</f>
        <v>1800</v>
      </c>
    </row>
    <row r="1848" spans="1:6" s="9" customFormat="1" x14ac:dyDescent="0.25">
      <c r="C1848" s="5"/>
      <c r="E1848" s="10"/>
      <c r="F1848" s="10"/>
    </row>
    <row r="1849" spans="1:6" s="9" customFormat="1" x14ac:dyDescent="0.25">
      <c r="A1849" s="9" t="s">
        <v>46</v>
      </c>
      <c r="B1849" s="4">
        <v>45866</v>
      </c>
      <c r="C1849" s="5">
        <v>30</v>
      </c>
      <c r="D1849" s="9" t="s">
        <v>14</v>
      </c>
      <c r="E1849" s="10">
        <v>145</v>
      </c>
      <c r="F1849" s="10">
        <f t="shared" si="29"/>
        <v>4350</v>
      </c>
    </row>
    <row r="1850" spans="1:6" s="9" customFormat="1" x14ac:dyDescent="0.25">
      <c r="C1850" s="5"/>
      <c r="E1850" s="10"/>
      <c r="F1850" s="8">
        <f>SUM(F1849)</f>
        <v>4350</v>
      </c>
    </row>
    <row r="1851" spans="1:6" s="9" customFormat="1" x14ac:dyDescent="0.25">
      <c r="C1851" s="5"/>
      <c r="E1851" s="10"/>
      <c r="F1851" s="10"/>
    </row>
    <row r="1852" spans="1:6" s="9" customFormat="1" x14ac:dyDescent="0.25">
      <c r="A1852" s="9" t="s">
        <v>253</v>
      </c>
      <c r="B1852" s="4">
        <v>45866</v>
      </c>
      <c r="C1852" s="5">
        <v>10</v>
      </c>
      <c r="D1852" s="9" t="s">
        <v>14</v>
      </c>
      <c r="E1852" s="10">
        <v>145</v>
      </c>
      <c r="F1852" s="10">
        <f t="shared" si="29"/>
        <v>1450</v>
      </c>
    </row>
    <row r="1853" spans="1:6" s="9" customFormat="1" x14ac:dyDescent="0.25">
      <c r="C1853" s="5"/>
      <c r="E1853" s="10"/>
      <c r="F1853" s="8">
        <f>SUM(F1852)</f>
        <v>1450</v>
      </c>
    </row>
    <row r="1854" spans="1:6" s="9" customFormat="1" x14ac:dyDescent="0.25">
      <c r="C1854" s="5"/>
      <c r="E1854" s="10"/>
      <c r="F1854" s="10"/>
    </row>
    <row r="1855" spans="1:6" s="9" customFormat="1" x14ac:dyDescent="0.25">
      <c r="A1855" s="9" t="s">
        <v>18</v>
      </c>
      <c r="B1855" s="4">
        <v>45866</v>
      </c>
      <c r="C1855" s="5">
        <v>10</v>
      </c>
      <c r="D1855" s="9" t="s">
        <v>14</v>
      </c>
      <c r="E1855" s="10">
        <v>140</v>
      </c>
      <c r="F1855" s="10">
        <f t="shared" si="29"/>
        <v>1400</v>
      </c>
    </row>
    <row r="1856" spans="1:6" s="9" customFormat="1" x14ac:dyDescent="0.25">
      <c r="C1856" s="5"/>
      <c r="E1856" s="10"/>
      <c r="F1856" s="8">
        <f>SUM(F1855)</f>
        <v>1400</v>
      </c>
    </row>
    <row r="1857" spans="1:6" s="9" customFormat="1" x14ac:dyDescent="0.25">
      <c r="C1857" s="5"/>
      <c r="E1857" s="10"/>
      <c r="F1857" s="10"/>
    </row>
    <row r="1858" spans="1:6" s="9" customFormat="1" x14ac:dyDescent="0.25">
      <c r="A1858" s="9" t="s">
        <v>251</v>
      </c>
      <c r="B1858" s="4">
        <v>45866</v>
      </c>
      <c r="C1858" s="5">
        <v>80</v>
      </c>
      <c r="D1858" s="9" t="s">
        <v>12</v>
      </c>
      <c r="E1858" s="10">
        <v>135</v>
      </c>
      <c r="F1858" s="10">
        <f t="shared" si="29"/>
        <v>10800</v>
      </c>
    </row>
    <row r="1859" spans="1:6" s="9" customFormat="1" x14ac:dyDescent="0.25">
      <c r="C1859" s="5"/>
      <c r="E1859" s="10"/>
      <c r="F1859" s="8">
        <f>SUM(F1858)</f>
        <v>10800</v>
      </c>
    </row>
    <row r="1860" spans="1:6" s="9" customFormat="1" x14ac:dyDescent="0.25">
      <c r="C1860" s="5"/>
      <c r="E1860" s="10"/>
      <c r="F1860" s="10"/>
    </row>
    <row r="1861" spans="1:6" s="9" customFormat="1" x14ac:dyDescent="0.25">
      <c r="A1861" s="9" t="s">
        <v>47</v>
      </c>
      <c r="B1861" s="4">
        <v>45866</v>
      </c>
      <c r="C1861" s="5">
        <v>20</v>
      </c>
      <c r="D1861" s="9" t="s">
        <v>14</v>
      </c>
      <c r="E1861" s="10">
        <v>145</v>
      </c>
      <c r="F1861" s="10">
        <f t="shared" si="29"/>
        <v>2900</v>
      </c>
    </row>
    <row r="1862" spans="1:6" s="9" customFormat="1" x14ac:dyDescent="0.25">
      <c r="C1862" s="5"/>
      <c r="E1862" s="10"/>
      <c r="F1862" s="8">
        <f>SUM(F1861)</f>
        <v>2900</v>
      </c>
    </row>
    <row r="1863" spans="1:6" s="9" customFormat="1" x14ac:dyDescent="0.25">
      <c r="C1863" s="5"/>
      <c r="E1863" s="10"/>
      <c r="F1863" s="10"/>
    </row>
    <row r="1864" spans="1:6" s="9" customFormat="1" x14ac:dyDescent="0.25">
      <c r="A1864" s="9" t="s">
        <v>45</v>
      </c>
      <c r="B1864" s="4">
        <v>45866</v>
      </c>
      <c r="C1864" s="5">
        <v>2</v>
      </c>
      <c r="D1864" s="9" t="s">
        <v>14</v>
      </c>
      <c r="E1864" s="10">
        <v>145</v>
      </c>
      <c r="F1864" s="10">
        <f t="shared" si="29"/>
        <v>290</v>
      </c>
    </row>
    <row r="1865" spans="1:6" s="9" customFormat="1" x14ac:dyDescent="0.25">
      <c r="C1865" s="5"/>
      <c r="E1865" s="10"/>
      <c r="F1865" s="8">
        <f>SUM(F1864)</f>
        <v>290</v>
      </c>
    </row>
    <row r="1866" spans="1:6" s="9" customFormat="1" x14ac:dyDescent="0.25">
      <c r="C1866" s="5"/>
      <c r="E1866" s="10"/>
      <c r="F1866" s="10"/>
    </row>
    <row r="1867" spans="1:6" s="9" customFormat="1" x14ac:dyDescent="0.25">
      <c r="A1867" s="9" t="s">
        <v>41</v>
      </c>
      <c r="B1867" s="4">
        <v>45866</v>
      </c>
      <c r="C1867" s="5">
        <v>45</v>
      </c>
      <c r="D1867" s="9" t="s">
        <v>14</v>
      </c>
      <c r="E1867" s="10">
        <v>135</v>
      </c>
      <c r="F1867" s="10">
        <f t="shared" si="29"/>
        <v>6075</v>
      </c>
    </row>
    <row r="1868" spans="1:6" s="9" customFormat="1" x14ac:dyDescent="0.25">
      <c r="C1868" s="5"/>
      <c r="E1868" s="10"/>
      <c r="F1868" s="8">
        <f>SUM(F1867)</f>
        <v>6075</v>
      </c>
    </row>
    <row r="1869" spans="1:6" s="9" customFormat="1" x14ac:dyDescent="0.25">
      <c r="C1869" s="5"/>
      <c r="E1869" s="10"/>
      <c r="F1869" s="10"/>
    </row>
    <row r="1870" spans="1:6" s="9" customFormat="1" x14ac:dyDescent="0.25">
      <c r="A1870" s="9" t="s">
        <v>44</v>
      </c>
      <c r="B1870" s="4">
        <v>45866</v>
      </c>
      <c r="C1870" s="5">
        <v>50</v>
      </c>
      <c r="D1870" s="9" t="s">
        <v>14</v>
      </c>
      <c r="E1870" s="10">
        <v>140</v>
      </c>
      <c r="F1870" s="10">
        <f t="shared" si="29"/>
        <v>7000</v>
      </c>
    </row>
    <row r="1871" spans="1:6" s="9" customFormat="1" x14ac:dyDescent="0.25">
      <c r="C1871" s="5"/>
      <c r="E1871" s="10"/>
      <c r="F1871" s="8">
        <f>SUM(F1870)</f>
        <v>7000</v>
      </c>
    </row>
    <row r="1872" spans="1:6" s="9" customFormat="1" x14ac:dyDescent="0.25">
      <c r="C1872" s="5"/>
      <c r="E1872" s="10"/>
      <c r="F1872" s="10"/>
    </row>
    <row r="1873" spans="1:6" s="9" customFormat="1" x14ac:dyDescent="0.25">
      <c r="A1873" s="9" t="s">
        <v>796</v>
      </c>
      <c r="B1873" s="4">
        <v>45866</v>
      </c>
      <c r="C1873" s="5">
        <v>5</v>
      </c>
      <c r="D1873" s="9" t="s">
        <v>14</v>
      </c>
      <c r="E1873" s="10">
        <v>145</v>
      </c>
      <c r="F1873" s="10">
        <f t="shared" si="29"/>
        <v>725</v>
      </c>
    </row>
    <row r="1874" spans="1:6" s="9" customFormat="1" x14ac:dyDescent="0.25">
      <c r="C1874" s="5"/>
      <c r="E1874" s="10"/>
      <c r="F1874" s="8">
        <f>SUM(F1873)</f>
        <v>725</v>
      </c>
    </row>
    <row r="1875" spans="1:6" s="9" customFormat="1" x14ac:dyDescent="0.25">
      <c r="C1875" s="5"/>
      <c r="E1875" s="10"/>
      <c r="F1875" s="10"/>
    </row>
    <row r="1876" spans="1:6" s="9" customFormat="1" x14ac:dyDescent="0.25">
      <c r="A1876" s="9" t="s">
        <v>89</v>
      </c>
      <c r="B1876" s="4">
        <v>45866</v>
      </c>
      <c r="C1876" s="5">
        <v>20</v>
      </c>
      <c r="D1876" s="9" t="s">
        <v>13</v>
      </c>
      <c r="E1876" s="10">
        <v>140</v>
      </c>
      <c r="F1876" s="10">
        <f t="shared" si="29"/>
        <v>2800</v>
      </c>
    </row>
    <row r="1877" spans="1:6" s="9" customFormat="1" x14ac:dyDescent="0.25">
      <c r="C1877" s="5">
        <v>30</v>
      </c>
      <c r="D1877" s="9" t="s">
        <v>22</v>
      </c>
      <c r="E1877" s="10">
        <v>120</v>
      </c>
      <c r="F1877" s="10">
        <f t="shared" si="29"/>
        <v>3600</v>
      </c>
    </row>
    <row r="1878" spans="1:6" s="9" customFormat="1" x14ac:dyDescent="0.25">
      <c r="C1878" s="5">
        <v>20</v>
      </c>
      <c r="D1878" s="9" t="s">
        <v>12</v>
      </c>
      <c r="E1878" s="10">
        <v>130</v>
      </c>
      <c r="F1878" s="10">
        <f t="shared" si="29"/>
        <v>2600</v>
      </c>
    </row>
    <row r="1879" spans="1:6" s="9" customFormat="1" x14ac:dyDescent="0.25">
      <c r="C1879" s="5"/>
      <c r="E1879" s="10"/>
      <c r="F1879" s="8">
        <f>SUM(F1876:F1878)</f>
        <v>9000</v>
      </c>
    </row>
    <row r="1880" spans="1:6" s="9" customFormat="1" x14ac:dyDescent="0.25">
      <c r="C1880" s="5"/>
      <c r="E1880" s="10"/>
      <c r="F1880" s="10"/>
    </row>
    <row r="1881" spans="1:6" s="9" customFormat="1" x14ac:dyDescent="0.25">
      <c r="A1881" s="9" t="s">
        <v>151</v>
      </c>
      <c r="B1881" s="4">
        <v>45866</v>
      </c>
      <c r="C1881" s="5">
        <v>150</v>
      </c>
      <c r="D1881" s="9" t="s">
        <v>22</v>
      </c>
      <c r="E1881" s="10">
        <v>120</v>
      </c>
      <c r="F1881" s="10">
        <f t="shared" si="29"/>
        <v>18000</v>
      </c>
    </row>
    <row r="1882" spans="1:6" s="9" customFormat="1" x14ac:dyDescent="0.25">
      <c r="C1882" s="5">
        <v>60</v>
      </c>
      <c r="D1882" s="9" t="s">
        <v>13</v>
      </c>
      <c r="E1882" s="10">
        <v>140</v>
      </c>
      <c r="F1882" s="10">
        <f t="shared" si="29"/>
        <v>8400</v>
      </c>
    </row>
    <row r="1883" spans="1:6" s="9" customFormat="1" x14ac:dyDescent="0.25">
      <c r="C1883" s="5">
        <v>80</v>
      </c>
      <c r="D1883" s="9" t="s">
        <v>11</v>
      </c>
      <c r="E1883" s="10">
        <v>130</v>
      </c>
      <c r="F1883" s="10">
        <f t="shared" si="29"/>
        <v>10400</v>
      </c>
    </row>
    <row r="1884" spans="1:6" s="9" customFormat="1" x14ac:dyDescent="0.25">
      <c r="C1884" s="5">
        <v>10</v>
      </c>
      <c r="D1884" s="9" t="s">
        <v>14</v>
      </c>
      <c r="E1884" s="10">
        <v>140</v>
      </c>
      <c r="F1884" s="10">
        <f t="shared" ref="F1884:F1946" si="30">+C1884*E1884</f>
        <v>1400</v>
      </c>
    </row>
    <row r="1885" spans="1:6" s="9" customFormat="1" x14ac:dyDescent="0.25">
      <c r="C1885" s="5"/>
      <c r="E1885" s="10"/>
      <c r="F1885" s="8">
        <f>SUM(F1881:F1884)</f>
        <v>38200</v>
      </c>
    </row>
    <row r="1886" spans="1:6" s="9" customFormat="1" x14ac:dyDescent="0.25">
      <c r="C1886" s="5"/>
      <c r="E1886" s="10"/>
      <c r="F1886" s="10"/>
    </row>
    <row r="1887" spans="1:6" s="9" customFormat="1" x14ac:dyDescent="0.25">
      <c r="A1887" s="9" t="s">
        <v>164</v>
      </c>
      <c r="B1887" s="4">
        <v>45866</v>
      </c>
      <c r="C1887" s="5">
        <v>5</v>
      </c>
      <c r="D1887" s="9" t="s">
        <v>8</v>
      </c>
      <c r="E1887" s="10">
        <v>170</v>
      </c>
      <c r="F1887" s="10">
        <f t="shared" si="30"/>
        <v>850</v>
      </c>
    </row>
    <row r="1888" spans="1:6" s="9" customFormat="1" x14ac:dyDescent="0.25">
      <c r="C1888" s="5"/>
      <c r="E1888" s="10"/>
      <c r="F1888" s="8">
        <f>SUM(F1887)</f>
        <v>850</v>
      </c>
    </row>
    <row r="1889" spans="1:6" s="9" customFormat="1" x14ac:dyDescent="0.25">
      <c r="C1889" s="5"/>
      <c r="E1889" s="10"/>
      <c r="F1889" s="10"/>
    </row>
    <row r="1890" spans="1:6" s="9" customFormat="1" x14ac:dyDescent="0.25">
      <c r="A1890" s="9" t="s">
        <v>103</v>
      </c>
      <c r="B1890" s="4">
        <v>45866</v>
      </c>
      <c r="C1890" s="5">
        <v>4</v>
      </c>
      <c r="D1890" s="9" t="s">
        <v>13</v>
      </c>
      <c r="E1890" s="10">
        <v>150</v>
      </c>
      <c r="F1890" s="10">
        <f t="shared" si="30"/>
        <v>600</v>
      </c>
    </row>
    <row r="1891" spans="1:6" s="9" customFormat="1" x14ac:dyDescent="0.25">
      <c r="C1891" s="5"/>
      <c r="E1891" s="10"/>
      <c r="F1891" s="8">
        <f>SUM(F1890)</f>
        <v>600</v>
      </c>
    </row>
    <row r="1892" spans="1:6" s="9" customFormat="1" x14ac:dyDescent="0.25">
      <c r="C1892" s="5"/>
      <c r="E1892" s="10"/>
      <c r="F1892" s="10"/>
    </row>
    <row r="1893" spans="1:6" s="9" customFormat="1" x14ac:dyDescent="0.25">
      <c r="A1893" s="9" t="s">
        <v>530</v>
      </c>
      <c r="B1893" s="4">
        <v>45866</v>
      </c>
      <c r="C1893" s="5">
        <v>10</v>
      </c>
      <c r="D1893" s="9" t="s">
        <v>8</v>
      </c>
      <c r="E1893" s="10">
        <v>160</v>
      </c>
      <c r="F1893" s="10">
        <f t="shared" si="30"/>
        <v>1600</v>
      </c>
    </row>
    <row r="1894" spans="1:6" s="9" customFormat="1" x14ac:dyDescent="0.25">
      <c r="C1894" s="5"/>
      <c r="E1894" s="10"/>
      <c r="F1894" s="8">
        <f>SUM(F1893)</f>
        <v>1600</v>
      </c>
    </row>
    <row r="1895" spans="1:6" s="9" customFormat="1" x14ac:dyDescent="0.25">
      <c r="C1895" s="5"/>
      <c r="E1895" s="10"/>
      <c r="F1895" s="10"/>
    </row>
    <row r="1896" spans="1:6" s="9" customFormat="1" x14ac:dyDescent="0.25">
      <c r="A1896" s="9" t="s">
        <v>59</v>
      </c>
      <c r="B1896" s="4">
        <v>45866</v>
      </c>
      <c r="C1896" s="5">
        <v>30</v>
      </c>
      <c r="D1896" s="9" t="s">
        <v>13</v>
      </c>
      <c r="E1896" s="10">
        <v>145</v>
      </c>
      <c r="F1896" s="10">
        <f t="shared" si="30"/>
        <v>4350</v>
      </c>
    </row>
    <row r="1897" spans="1:6" s="9" customFormat="1" x14ac:dyDescent="0.25">
      <c r="C1897" s="5"/>
      <c r="E1897" s="10"/>
      <c r="F1897" s="8">
        <f>SUM(F1896)</f>
        <v>4350</v>
      </c>
    </row>
    <row r="1898" spans="1:6" s="9" customFormat="1" x14ac:dyDescent="0.25">
      <c r="C1898" s="5"/>
      <c r="E1898" s="10"/>
      <c r="F1898" s="10"/>
    </row>
    <row r="1899" spans="1:6" s="9" customFormat="1" x14ac:dyDescent="0.25">
      <c r="A1899" s="9" t="s">
        <v>7</v>
      </c>
      <c r="B1899" s="4">
        <v>45866</v>
      </c>
      <c r="C1899" s="5">
        <v>2</v>
      </c>
      <c r="D1899" s="9" t="s">
        <v>13</v>
      </c>
      <c r="E1899" s="10">
        <v>150</v>
      </c>
      <c r="F1899" s="10">
        <f t="shared" si="30"/>
        <v>300</v>
      </c>
    </row>
    <row r="1900" spans="1:6" s="9" customFormat="1" x14ac:dyDescent="0.25">
      <c r="C1900" s="5"/>
      <c r="E1900" s="10"/>
      <c r="F1900" s="8">
        <f>SUM(F1899)</f>
        <v>300</v>
      </c>
    </row>
    <row r="1901" spans="1:6" s="9" customFormat="1" x14ac:dyDescent="0.25">
      <c r="C1901" s="5"/>
      <c r="E1901" s="10"/>
      <c r="F1901" s="10"/>
    </row>
    <row r="1902" spans="1:6" s="9" customFormat="1" x14ac:dyDescent="0.25">
      <c r="A1902" s="9" t="s">
        <v>88</v>
      </c>
      <c r="B1902" s="4">
        <v>45866</v>
      </c>
      <c r="C1902" s="5">
        <v>10</v>
      </c>
      <c r="D1902" s="9" t="s">
        <v>14</v>
      </c>
      <c r="E1902" s="10">
        <v>135</v>
      </c>
      <c r="F1902" s="10">
        <f t="shared" si="30"/>
        <v>1350</v>
      </c>
    </row>
    <row r="1903" spans="1:6" s="9" customFormat="1" x14ac:dyDescent="0.25">
      <c r="C1903" s="5"/>
      <c r="E1903" s="10"/>
      <c r="F1903" s="8">
        <f>SUM(F1902)</f>
        <v>1350</v>
      </c>
    </row>
    <row r="1904" spans="1:6" s="9" customFormat="1" x14ac:dyDescent="0.25">
      <c r="C1904" s="5"/>
      <c r="E1904" s="10"/>
      <c r="F1904" s="10"/>
    </row>
    <row r="1905" spans="1:6" s="9" customFormat="1" x14ac:dyDescent="0.25">
      <c r="A1905" s="9" t="s">
        <v>245</v>
      </c>
      <c r="B1905" s="4">
        <v>45866</v>
      </c>
      <c r="C1905" s="5">
        <v>20</v>
      </c>
      <c r="D1905" s="9" t="s">
        <v>14</v>
      </c>
      <c r="E1905" s="10">
        <v>135</v>
      </c>
      <c r="F1905" s="10">
        <f t="shared" si="30"/>
        <v>2700</v>
      </c>
    </row>
    <row r="1906" spans="1:6" s="9" customFormat="1" x14ac:dyDescent="0.25">
      <c r="C1906" s="5"/>
      <c r="E1906" s="10"/>
      <c r="F1906" s="8">
        <f>SUM(F1905)</f>
        <v>2700</v>
      </c>
    </row>
    <row r="1907" spans="1:6" s="9" customFormat="1" x14ac:dyDescent="0.25">
      <c r="C1907" s="5"/>
      <c r="E1907" s="10"/>
      <c r="F1907" s="10"/>
    </row>
    <row r="1908" spans="1:6" s="9" customFormat="1" x14ac:dyDescent="0.25">
      <c r="A1908" s="9" t="s">
        <v>7</v>
      </c>
      <c r="B1908" s="4">
        <v>45866</v>
      </c>
      <c r="C1908" s="5">
        <v>2</v>
      </c>
      <c r="D1908" s="9" t="s">
        <v>13</v>
      </c>
      <c r="E1908" s="10">
        <v>150</v>
      </c>
      <c r="F1908" s="10">
        <f t="shared" si="30"/>
        <v>300</v>
      </c>
    </row>
    <row r="1909" spans="1:6" s="9" customFormat="1" x14ac:dyDescent="0.25">
      <c r="C1909" s="5"/>
      <c r="E1909" s="10"/>
      <c r="F1909" s="8">
        <f>SUM(F1908)</f>
        <v>300</v>
      </c>
    </row>
    <row r="1910" spans="1:6" s="9" customFormat="1" x14ac:dyDescent="0.25">
      <c r="C1910" s="5"/>
      <c r="E1910" s="10"/>
      <c r="F1910" s="10"/>
    </row>
    <row r="1911" spans="1:6" s="9" customFormat="1" x14ac:dyDescent="0.25">
      <c r="A1911" s="9" t="s">
        <v>29</v>
      </c>
      <c r="B1911" s="4">
        <v>45866</v>
      </c>
      <c r="C1911" s="5">
        <v>1</v>
      </c>
      <c r="D1911" s="9" t="s">
        <v>13</v>
      </c>
      <c r="E1911" s="10">
        <v>160</v>
      </c>
      <c r="F1911" s="10">
        <f t="shared" si="30"/>
        <v>160</v>
      </c>
    </row>
    <row r="1912" spans="1:6" s="9" customFormat="1" x14ac:dyDescent="0.25">
      <c r="C1912" s="5"/>
      <c r="E1912" s="10"/>
      <c r="F1912" s="8">
        <f>SUM(F1911)</f>
        <v>160</v>
      </c>
    </row>
    <row r="1913" spans="1:6" s="9" customFormat="1" x14ac:dyDescent="0.25">
      <c r="C1913" s="5"/>
      <c r="E1913" s="10"/>
      <c r="F1913" s="10"/>
    </row>
    <row r="1914" spans="1:6" s="9" customFormat="1" x14ac:dyDescent="0.25">
      <c r="A1914" s="9" t="s">
        <v>7</v>
      </c>
      <c r="B1914" s="4">
        <v>45866</v>
      </c>
      <c r="C1914" s="5">
        <v>1</v>
      </c>
      <c r="D1914" s="9" t="s">
        <v>8</v>
      </c>
      <c r="E1914" s="10">
        <v>170</v>
      </c>
      <c r="F1914" s="10">
        <f t="shared" si="30"/>
        <v>170</v>
      </c>
    </row>
    <row r="1915" spans="1:6" s="9" customFormat="1" x14ac:dyDescent="0.25">
      <c r="C1915" s="5">
        <v>1</v>
      </c>
      <c r="D1915" s="9" t="s">
        <v>8</v>
      </c>
      <c r="E1915" s="10">
        <v>170</v>
      </c>
      <c r="F1915" s="10">
        <f t="shared" si="30"/>
        <v>170</v>
      </c>
    </row>
    <row r="1916" spans="1:6" s="9" customFormat="1" x14ac:dyDescent="0.25">
      <c r="C1916" s="5">
        <v>2</v>
      </c>
      <c r="D1916" s="9" t="s">
        <v>811</v>
      </c>
      <c r="E1916" s="10">
        <v>140</v>
      </c>
      <c r="F1916" s="10">
        <f t="shared" si="30"/>
        <v>280</v>
      </c>
    </row>
    <row r="1917" spans="1:6" s="9" customFormat="1" x14ac:dyDescent="0.25">
      <c r="C1917" s="5"/>
      <c r="E1917" s="10"/>
      <c r="F1917" s="8">
        <f>SUM(F1914:F1916)</f>
        <v>620</v>
      </c>
    </row>
    <row r="1918" spans="1:6" s="9" customFormat="1" x14ac:dyDescent="0.25">
      <c r="C1918" s="5"/>
      <c r="E1918" s="10"/>
      <c r="F1918" s="10"/>
    </row>
    <row r="1919" spans="1:6" s="9" customFormat="1" x14ac:dyDescent="0.25">
      <c r="A1919" s="9" t="s">
        <v>69</v>
      </c>
      <c r="B1919" s="4">
        <v>45867</v>
      </c>
      <c r="C1919" s="5">
        <v>20</v>
      </c>
      <c r="D1919" s="9" t="s">
        <v>22</v>
      </c>
      <c r="E1919" s="10">
        <v>120</v>
      </c>
      <c r="F1919" s="10">
        <f t="shared" si="30"/>
        <v>2400</v>
      </c>
    </row>
    <row r="1920" spans="1:6" s="9" customFormat="1" x14ac:dyDescent="0.25">
      <c r="C1920" s="5"/>
      <c r="E1920" s="10"/>
      <c r="F1920" s="8">
        <f>SUM(F1919)</f>
        <v>2400</v>
      </c>
    </row>
    <row r="1921" spans="1:6" s="9" customFormat="1" x14ac:dyDescent="0.25">
      <c r="C1921" s="5"/>
      <c r="E1921" s="10"/>
      <c r="F1921" s="10"/>
    </row>
    <row r="1922" spans="1:6" s="9" customFormat="1" x14ac:dyDescent="0.25">
      <c r="A1922" s="9" t="s">
        <v>114</v>
      </c>
      <c r="B1922" s="4">
        <v>45867</v>
      </c>
      <c r="C1922" s="5">
        <v>5</v>
      </c>
      <c r="D1922" s="9" t="s">
        <v>814</v>
      </c>
      <c r="E1922" s="10">
        <v>145</v>
      </c>
      <c r="F1922" s="10">
        <f t="shared" si="30"/>
        <v>725</v>
      </c>
    </row>
    <row r="1923" spans="1:6" s="9" customFormat="1" x14ac:dyDescent="0.25">
      <c r="C1923" s="5"/>
      <c r="E1923" s="10"/>
      <c r="F1923" s="8">
        <f>SUM(F1922)</f>
        <v>725</v>
      </c>
    </row>
    <row r="1924" spans="1:6" s="9" customFormat="1" x14ac:dyDescent="0.25">
      <c r="C1924" s="5"/>
      <c r="E1924" s="10"/>
      <c r="F1924" s="10"/>
    </row>
    <row r="1925" spans="1:6" s="9" customFormat="1" x14ac:dyDescent="0.25">
      <c r="A1925" s="9" t="s">
        <v>60</v>
      </c>
      <c r="B1925" s="4">
        <v>45867</v>
      </c>
      <c r="C1925" s="5">
        <v>30</v>
      </c>
      <c r="D1925" s="9" t="s">
        <v>13</v>
      </c>
      <c r="E1925" s="10">
        <v>145</v>
      </c>
      <c r="F1925" s="10">
        <f t="shared" si="30"/>
        <v>4350</v>
      </c>
    </row>
    <row r="1926" spans="1:6" s="9" customFormat="1" x14ac:dyDescent="0.25">
      <c r="C1926" s="5"/>
      <c r="E1926" s="10"/>
      <c r="F1926" s="8">
        <f>SUM(F1925)</f>
        <v>4350</v>
      </c>
    </row>
    <row r="1927" spans="1:6" s="9" customFormat="1" x14ac:dyDescent="0.25">
      <c r="C1927" s="5"/>
      <c r="E1927" s="10"/>
      <c r="F1927" s="10"/>
    </row>
    <row r="1928" spans="1:6" s="9" customFormat="1" x14ac:dyDescent="0.25">
      <c r="A1928" s="9" t="s">
        <v>61</v>
      </c>
      <c r="B1928" s="4">
        <v>45867</v>
      </c>
      <c r="C1928" s="5">
        <v>60</v>
      </c>
      <c r="D1928" s="9" t="s">
        <v>13</v>
      </c>
      <c r="E1928" s="10">
        <v>145</v>
      </c>
      <c r="F1928" s="10">
        <f t="shared" si="30"/>
        <v>8700</v>
      </c>
    </row>
    <row r="1929" spans="1:6" s="9" customFormat="1" x14ac:dyDescent="0.25">
      <c r="C1929" s="5"/>
      <c r="E1929" s="10"/>
      <c r="F1929" s="8">
        <f>SUM(F1928)</f>
        <v>8700</v>
      </c>
    </row>
    <row r="1930" spans="1:6" s="9" customFormat="1" x14ac:dyDescent="0.25">
      <c r="C1930" s="5"/>
      <c r="E1930" s="10"/>
      <c r="F1930" s="10"/>
    </row>
    <row r="1931" spans="1:6" s="9" customFormat="1" x14ac:dyDescent="0.25">
      <c r="A1931" s="9" t="s">
        <v>487</v>
      </c>
      <c r="B1931" s="4">
        <v>45867</v>
      </c>
      <c r="C1931" s="5">
        <v>5</v>
      </c>
      <c r="D1931" s="9" t="s">
        <v>811</v>
      </c>
      <c r="E1931" s="10">
        <v>140</v>
      </c>
      <c r="F1931" s="10">
        <f t="shared" si="30"/>
        <v>700</v>
      </c>
    </row>
    <row r="1932" spans="1:6" s="9" customFormat="1" x14ac:dyDescent="0.25">
      <c r="C1932" s="5">
        <v>2</v>
      </c>
      <c r="D1932" s="9" t="s">
        <v>815</v>
      </c>
      <c r="E1932" s="10">
        <v>150</v>
      </c>
      <c r="F1932" s="10">
        <f t="shared" si="30"/>
        <v>300</v>
      </c>
    </row>
    <row r="1933" spans="1:6" s="9" customFormat="1" x14ac:dyDescent="0.25">
      <c r="C1933" s="5"/>
      <c r="E1933" s="10"/>
      <c r="F1933" s="8">
        <f>SUM(F1931:F1932)</f>
        <v>1000</v>
      </c>
    </row>
    <row r="1934" spans="1:6" s="9" customFormat="1" x14ac:dyDescent="0.25">
      <c r="C1934" s="5"/>
      <c r="E1934" s="10"/>
      <c r="F1934" s="10"/>
    </row>
    <row r="1935" spans="1:6" s="9" customFormat="1" x14ac:dyDescent="0.25">
      <c r="A1935" s="9" t="s">
        <v>365</v>
      </c>
      <c r="B1935" s="4">
        <v>45867</v>
      </c>
      <c r="C1935" s="5">
        <v>10</v>
      </c>
      <c r="D1935" s="9" t="s">
        <v>13</v>
      </c>
      <c r="E1935" s="10">
        <v>145</v>
      </c>
      <c r="F1935" s="10">
        <f t="shared" si="30"/>
        <v>1450</v>
      </c>
    </row>
    <row r="1936" spans="1:6" s="9" customFormat="1" x14ac:dyDescent="0.25">
      <c r="C1936" s="5"/>
      <c r="E1936" s="10"/>
      <c r="F1936" s="8">
        <f>SUM(F1935)</f>
        <v>1450</v>
      </c>
    </row>
    <row r="1937" spans="1:6" s="9" customFormat="1" x14ac:dyDescent="0.25">
      <c r="C1937" s="5"/>
      <c r="E1937" s="10"/>
      <c r="F1937" s="10"/>
    </row>
    <row r="1938" spans="1:6" s="9" customFormat="1" x14ac:dyDescent="0.25">
      <c r="A1938" s="9" t="s">
        <v>216</v>
      </c>
      <c r="B1938" s="4">
        <v>45867</v>
      </c>
      <c r="C1938" s="5">
        <v>270</v>
      </c>
      <c r="D1938" s="9" t="s">
        <v>475</v>
      </c>
      <c r="E1938" s="10"/>
      <c r="F1938" s="10">
        <f t="shared" si="30"/>
        <v>0</v>
      </c>
    </row>
    <row r="1939" spans="1:6" s="9" customFormat="1" x14ac:dyDescent="0.25">
      <c r="C1939" s="5">
        <v>40</v>
      </c>
      <c r="D1939" s="9" t="s">
        <v>258</v>
      </c>
      <c r="E1939" s="10"/>
      <c r="F1939" s="10">
        <f t="shared" si="30"/>
        <v>0</v>
      </c>
    </row>
    <row r="1940" spans="1:6" s="9" customFormat="1" x14ac:dyDescent="0.25">
      <c r="C1940" s="5">
        <v>40</v>
      </c>
      <c r="D1940" s="9" t="s">
        <v>356</v>
      </c>
      <c r="E1940" s="10"/>
      <c r="F1940" s="10">
        <f t="shared" si="30"/>
        <v>0</v>
      </c>
    </row>
    <row r="1941" spans="1:6" s="9" customFormat="1" x14ac:dyDescent="0.25">
      <c r="C1941" s="5"/>
      <c r="E1941" s="10"/>
      <c r="F1941" s="8">
        <f>SUM(F1938:F1940)</f>
        <v>0</v>
      </c>
    </row>
    <row r="1942" spans="1:6" s="9" customFormat="1" x14ac:dyDescent="0.25">
      <c r="C1942" s="5"/>
      <c r="E1942" s="10"/>
      <c r="F1942" s="10"/>
    </row>
    <row r="1943" spans="1:6" s="9" customFormat="1" x14ac:dyDescent="0.25">
      <c r="A1943" s="9" t="s">
        <v>48</v>
      </c>
      <c r="B1943" s="4">
        <v>45867</v>
      </c>
      <c r="C1943" s="5">
        <v>17</v>
      </c>
      <c r="D1943" s="9" t="s">
        <v>286</v>
      </c>
      <c r="E1943" s="10"/>
      <c r="F1943" s="10">
        <f t="shared" si="30"/>
        <v>0</v>
      </c>
    </row>
    <row r="1944" spans="1:6" s="9" customFormat="1" x14ac:dyDescent="0.25">
      <c r="C1944" s="5">
        <v>142</v>
      </c>
      <c r="D1944" s="9" t="s">
        <v>475</v>
      </c>
      <c r="E1944" s="10"/>
      <c r="F1944" s="10">
        <f t="shared" si="30"/>
        <v>0</v>
      </c>
    </row>
    <row r="1945" spans="1:6" s="9" customFormat="1" x14ac:dyDescent="0.25">
      <c r="C1945" s="5">
        <v>200</v>
      </c>
      <c r="D1945" s="9" t="s">
        <v>50</v>
      </c>
      <c r="E1945" s="10"/>
      <c r="F1945" s="10">
        <f t="shared" si="30"/>
        <v>0</v>
      </c>
    </row>
    <row r="1946" spans="1:6" s="9" customFormat="1" x14ac:dyDescent="0.25">
      <c r="C1946" s="5">
        <v>24</v>
      </c>
      <c r="D1946" s="9" t="s">
        <v>22</v>
      </c>
      <c r="E1946" s="10"/>
      <c r="F1946" s="10">
        <f t="shared" si="30"/>
        <v>0</v>
      </c>
    </row>
    <row r="1947" spans="1:6" s="9" customFormat="1" x14ac:dyDescent="0.25">
      <c r="C1947" s="5"/>
      <c r="E1947" s="10"/>
      <c r="F1947" s="8">
        <f>SUM(F1943:F1946)</f>
        <v>0</v>
      </c>
    </row>
    <row r="1948" spans="1:6" s="9" customFormat="1" x14ac:dyDescent="0.25">
      <c r="C1948" s="5"/>
      <c r="E1948" s="10"/>
      <c r="F1948" s="10"/>
    </row>
    <row r="1949" spans="1:6" s="9" customFormat="1" x14ac:dyDescent="0.25">
      <c r="A1949" s="9" t="s">
        <v>292</v>
      </c>
      <c r="B1949" s="4">
        <v>45867</v>
      </c>
      <c r="C1949" s="5">
        <v>2</v>
      </c>
      <c r="D1949" s="9" t="s">
        <v>8</v>
      </c>
      <c r="E1949" s="10">
        <v>145</v>
      </c>
      <c r="F1949" s="10">
        <f t="shared" ref="F1949:F2011" si="31">+C1949*E1949</f>
        <v>290</v>
      </c>
    </row>
    <row r="1950" spans="1:6" s="9" customFormat="1" x14ac:dyDescent="0.25">
      <c r="C1950" s="5">
        <v>3</v>
      </c>
      <c r="D1950" s="9" t="s">
        <v>13</v>
      </c>
      <c r="E1950" s="10">
        <v>140</v>
      </c>
      <c r="F1950" s="10">
        <f t="shared" si="31"/>
        <v>420</v>
      </c>
    </row>
    <row r="1951" spans="1:6" s="9" customFormat="1" x14ac:dyDescent="0.25">
      <c r="C1951" s="5"/>
      <c r="E1951" s="10"/>
      <c r="F1951" s="8">
        <f>SUM(F1949:F1950)</f>
        <v>710</v>
      </c>
    </row>
    <row r="1952" spans="1:6" s="9" customFormat="1" x14ac:dyDescent="0.25">
      <c r="C1952" s="5"/>
      <c r="E1952" s="10"/>
      <c r="F1952" s="10"/>
    </row>
    <row r="1953" spans="1:6" s="9" customFormat="1" x14ac:dyDescent="0.25">
      <c r="A1953" s="9" t="s">
        <v>116</v>
      </c>
      <c r="B1953" s="4">
        <v>45867</v>
      </c>
      <c r="C1953" s="5">
        <v>131</v>
      </c>
      <c r="D1953" s="9" t="s">
        <v>98</v>
      </c>
      <c r="E1953" s="10"/>
      <c r="F1953" s="10">
        <f t="shared" si="31"/>
        <v>0</v>
      </c>
    </row>
    <row r="1954" spans="1:6" s="9" customFormat="1" x14ac:dyDescent="0.25">
      <c r="C1954" s="5">
        <v>250</v>
      </c>
      <c r="D1954" s="9" t="s">
        <v>14</v>
      </c>
      <c r="E1954" s="10"/>
      <c r="F1954" s="10">
        <f t="shared" si="31"/>
        <v>0</v>
      </c>
    </row>
    <row r="1955" spans="1:6" s="9" customFormat="1" x14ac:dyDescent="0.25">
      <c r="C1955" s="5">
        <v>250</v>
      </c>
      <c r="D1955" s="9" t="s">
        <v>11</v>
      </c>
      <c r="E1955" s="10"/>
      <c r="F1955" s="10">
        <f t="shared" si="31"/>
        <v>0</v>
      </c>
    </row>
    <row r="1956" spans="1:6" s="9" customFormat="1" x14ac:dyDescent="0.25">
      <c r="C1956" s="5"/>
      <c r="E1956" s="10"/>
      <c r="F1956" s="8">
        <f>SUM(F1953:F1955)</f>
        <v>0</v>
      </c>
    </row>
    <row r="1957" spans="1:6" s="9" customFormat="1" x14ac:dyDescent="0.25">
      <c r="C1957" s="5"/>
      <c r="E1957" s="10"/>
      <c r="F1957" s="10"/>
    </row>
    <row r="1958" spans="1:6" s="9" customFormat="1" x14ac:dyDescent="0.25">
      <c r="A1958" s="9" t="s">
        <v>65</v>
      </c>
      <c r="B1958" s="4">
        <v>45867</v>
      </c>
      <c r="C1958" s="5">
        <v>110</v>
      </c>
      <c r="D1958" s="9" t="s">
        <v>13</v>
      </c>
      <c r="E1958" s="10">
        <v>145</v>
      </c>
      <c r="F1958" s="10">
        <f t="shared" si="31"/>
        <v>15950</v>
      </c>
    </row>
    <row r="1959" spans="1:6" s="9" customFormat="1" x14ac:dyDescent="0.25">
      <c r="C1959" s="5">
        <v>310</v>
      </c>
      <c r="D1959" s="9" t="s">
        <v>12</v>
      </c>
      <c r="E1959" s="10">
        <v>135</v>
      </c>
      <c r="F1959" s="10">
        <f t="shared" si="31"/>
        <v>41850</v>
      </c>
    </row>
    <row r="1960" spans="1:6" s="9" customFormat="1" x14ac:dyDescent="0.25">
      <c r="C1960" s="5">
        <v>70</v>
      </c>
      <c r="D1960" s="9" t="s">
        <v>22</v>
      </c>
      <c r="E1960" s="10">
        <v>125</v>
      </c>
      <c r="F1960" s="10">
        <f t="shared" si="31"/>
        <v>8750</v>
      </c>
    </row>
    <row r="1961" spans="1:6" s="9" customFormat="1" x14ac:dyDescent="0.25">
      <c r="C1961" s="5">
        <v>25</v>
      </c>
      <c r="D1961" s="9" t="s">
        <v>50</v>
      </c>
      <c r="E1961" s="10">
        <v>125</v>
      </c>
      <c r="F1961" s="10">
        <f t="shared" si="31"/>
        <v>3125</v>
      </c>
    </row>
    <row r="1962" spans="1:6" s="9" customFormat="1" x14ac:dyDescent="0.25">
      <c r="C1962" s="5">
        <v>120</v>
      </c>
      <c r="D1962" s="9" t="s">
        <v>11</v>
      </c>
      <c r="E1962" s="10">
        <v>135</v>
      </c>
      <c r="F1962" s="10">
        <f t="shared" si="31"/>
        <v>16200</v>
      </c>
    </row>
    <row r="1963" spans="1:6" s="9" customFormat="1" x14ac:dyDescent="0.25">
      <c r="C1963" s="5"/>
      <c r="E1963" s="10"/>
      <c r="F1963" s="8">
        <f>SUM(F1958:F1962)</f>
        <v>85875</v>
      </c>
    </row>
    <row r="1964" spans="1:6" s="9" customFormat="1" x14ac:dyDescent="0.25">
      <c r="C1964" s="5"/>
      <c r="E1964" s="10"/>
      <c r="F1964" s="10"/>
    </row>
    <row r="1965" spans="1:6" s="9" customFormat="1" x14ac:dyDescent="0.25">
      <c r="A1965" s="9" t="s">
        <v>7</v>
      </c>
      <c r="B1965" s="4">
        <v>45867</v>
      </c>
      <c r="C1965" s="5">
        <v>340</v>
      </c>
      <c r="D1965" s="9" t="s">
        <v>12</v>
      </c>
      <c r="E1965" s="10"/>
      <c r="F1965" s="10">
        <f t="shared" si="31"/>
        <v>0</v>
      </c>
    </row>
    <row r="1966" spans="1:6" s="9" customFormat="1" x14ac:dyDescent="0.25">
      <c r="C1966" s="5">
        <v>172</v>
      </c>
      <c r="D1966" s="9" t="s">
        <v>125</v>
      </c>
      <c r="E1966" s="10"/>
      <c r="F1966" s="10">
        <f t="shared" si="31"/>
        <v>0</v>
      </c>
    </row>
    <row r="1967" spans="1:6" s="9" customFormat="1" x14ac:dyDescent="0.25">
      <c r="C1967" s="5"/>
      <c r="E1967" s="10"/>
      <c r="F1967" s="8">
        <f>SUM(F1965:F1966)</f>
        <v>0</v>
      </c>
    </row>
    <row r="1968" spans="1:6" s="9" customFormat="1" x14ac:dyDescent="0.25">
      <c r="C1968" s="5"/>
      <c r="E1968" s="10"/>
      <c r="F1968" s="10"/>
    </row>
    <row r="1969" spans="1:6" s="9" customFormat="1" x14ac:dyDescent="0.25">
      <c r="A1969" s="9" t="s">
        <v>29</v>
      </c>
      <c r="B1969" s="4">
        <v>45867</v>
      </c>
      <c r="C1969" s="5">
        <v>1</v>
      </c>
      <c r="D1969" s="9" t="s">
        <v>8</v>
      </c>
      <c r="E1969" s="10">
        <v>170</v>
      </c>
      <c r="F1969" s="10">
        <f t="shared" si="31"/>
        <v>170</v>
      </c>
    </row>
    <row r="1970" spans="1:6" s="9" customFormat="1" x14ac:dyDescent="0.25">
      <c r="C1970" s="5">
        <v>4</v>
      </c>
      <c r="D1970" s="9" t="s">
        <v>98</v>
      </c>
      <c r="E1970" s="10">
        <v>100</v>
      </c>
      <c r="F1970" s="10">
        <f t="shared" si="31"/>
        <v>400</v>
      </c>
    </row>
    <row r="1971" spans="1:6" s="9" customFormat="1" x14ac:dyDescent="0.25">
      <c r="C1971" s="5">
        <v>2</v>
      </c>
      <c r="D1971" s="9" t="s">
        <v>13</v>
      </c>
      <c r="E1971" s="10">
        <v>160</v>
      </c>
      <c r="F1971" s="10">
        <f t="shared" si="31"/>
        <v>320</v>
      </c>
    </row>
    <row r="1972" spans="1:6" s="9" customFormat="1" x14ac:dyDescent="0.25">
      <c r="C1972" s="5"/>
      <c r="E1972" s="10"/>
      <c r="F1972" s="8">
        <f>SUM(F1969:F1971)</f>
        <v>890</v>
      </c>
    </row>
    <row r="1973" spans="1:6" s="9" customFormat="1" x14ac:dyDescent="0.25">
      <c r="C1973" s="5"/>
      <c r="E1973" s="10"/>
      <c r="F1973" s="10"/>
    </row>
    <row r="1974" spans="1:6" s="9" customFormat="1" x14ac:dyDescent="0.25">
      <c r="A1974" s="9" t="s">
        <v>181</v>
      </c>
      <c r="B1974" s="4">
        <v>45867</v>
      </c>
      <c r="C1974" s="5">
        <v>1</v>
      </c>
      <c r="D1974" s="9" t="s">
        <v>729</v>
      </c>
      <c r="E1974" s="10">
        <v>0</v>
      </c>
      <c r="F1974" s="10">
        <f t="shared" si="31"/>
        <v>0</v>
      </c>
    </row>
    <row r="1975" spans="1:6" s="9" customFormat="1" x14ac:dyDescent="0.25">
      <c r="C1975" s="5">
        <v>1</v>
      </c>
      <c r="D1975" s="9" t="s">
        <v>787</v>
      </c>
      <c r="E1975" s="10">
        <v>140</v>
      </c>
      <c r="F1975" s="10">
        <f t="shared" si="31"/>
        <v>140</v>
      </c>
    </row>
    <row r="1976" spans="1:6" s="9" customFormat="1" x14ac:dyDescent="0.25">
      <c r="C1976" s="5">
        <v>1</v>
      </c>
      <c r="D1976" s="9" t="s">
        <v>12</v>
      </c>
      <c r="E1976" s="10">
        <v>150</v>
      </c>
      <c r="F1976" s="10">
        <f t="shared" si="31"/>
        <v>150</v>
      </c>
    </row>
    <row r="1977" spans="1:6" s="9" customFormat="1" x14ac:dyDescent="0.25">
      <c r="C1977" s="5">
        <v>12</v>
      </c>
      <c r="D1977" s="9" t="s">
        <v>13</v>
      </c>
      <c r="E1977" s="10">
        <v>140</v>
      </c>
      <c r="F1977" s="10">
        <f t="shared" si="31"/>
        <v>1680</v>
      </c>
    </row>
    <row r="1978" spans="1:6" s="9" customFormat="1" x14ac:dyDescent="0.25">
      <c r="C1978" s="5">
        <v>1</v>
      </c>
      <c r="D1978" s="9" t="s">
        <v>641</v>
      </c>
      <c r="E1978" s="10">
        <v>140</v>
      </c>
      <c r="F1978" s="10">
        <f t="shared" si="31"/>
        <v>140</v>
      </c>
    </row>
    <row r="1979" spans="1:6" s="9" customFormat="1" x14ac:dyDescent="0.25">
      <c r="C1979" s="5"/>
      <c r="E1979" s="10"/>
      <c r="F1979" s="8">
        <f>SUM(F1974:F1978)</f>
        <v>2110</v>
      </c>
    </row>
    <row r="1980" spans="1:6" s="9" customFormat="1" x14ac:dyDescent="0.25">
      <c r="C1980" s="5"/>
      <c r="E1980" s="10"/>
      <c r="F1980" s="10"/>
    </row>
    <row r="1981" spans="1:6" s="9" customFormat="1" x14ac:dyDescent="0.25">
      <c r="A1981" s="9" t="s">
        <v>514</v>
      </c>
      <c r="B1981" s="4">
        <v>45868</v>
      </c>
      <c r="C1981" s="5">
        <v>15</v>
      </c>
      <c r="D1981" s="9" t="s">
        <v>98</v>
      </c>
      <c r="E1981" s="10">
        <v>100</v>
      </c>
      <c r="F1981" s="10">
        <f t="shared" si="31"/>
        <v>1500</v>
      </c>
    </row>
    <row r="1982" spans="1:6" s="9" customFormat="1" x14ac:dyDescent="0.25">
      <c r="C1982" s="5"/>
      <c r="E1982" s="10"/>
      <c r="F1982" s="8">
        <f>SUM(F1981)</f>
        <v>1500</v>
      </c>
    </row>
    <row r="1983" spans="1:6" s="9" customFormat="1" x14ac:dyDescent="0.25">
      <c r="C1983" s="5"/>
      <c r="E1983" s="10"/>
      <c r="F1983" s="10"/>
    </row>
    <row r="1984" spans="1:6" s="9" customFormat="1" x14ac:dyDescent="0.25">
      <c r="A1984" s="9" t="s">
        <v>15</v>
      </c>
      <c r="B1984" s="4">
        <v>45868</v>
      </c>
      <c r="C1984" s="5">
        <v>49</v>
      </c>
      <c r="D1984" s="9" t="s">
        <v>98</v>
      </c>
      <c r="E1984" s="10">
        <v>90</v>
      </c>
      <c r="F1984" s="10">
        <f t="shared" si="31"/>
        <v>4410</v>
      </c>
    </row>
    <row r="1985" spans="1:6" s="9" customFormat="1" x14ac:dyDescent="0.25">
      <c r="C1985" s="5"/>
      <c r="E1985" s="10"/>
      <c r="F1985" s="8">
        <f>SUM(F1984)</f>
        <v>4410</v>
      </c>
    </row>
    <row r="1986" spans="1:6" s="9" customFormat="1" x14ac:dyDescent="0.25">
      <c r="C1986" s="5"/>
      <c r="E1986" s="10"/>
      <c r="F1986" s="10"/>
    </row>
    <row r="1987" spans="1:6" s="9" customFormat="1" x14ac:dyDescent="0.25">
      <c r="A1987" s="9" t="s">
        <v>58</v>
      </c>
      <c r="B1987" s="4">
        <v>45868</v>
      </c>
      <c r="C1987" s="5">
        <v>8</v>
      </c>
      <c r="D1987" s="9" t="s">
        <v>13</v>
      </c>
      <c r="E1987" s="10">
        <v>145</v>
      </c>
      <c r="F1987" s="10">
        <f t="shared" si="31"/>
        <v>1160</v>
      </c>
    </row>
    <row r="1988" spans="1:6" s="9" customFormat="1" x14ac:dyDescent="0.25">
      <c r="C1988" s="5"/>
      <c r="E1988" s="10"/>
      <c r="F1988" s="8">
        <f>SUM(F1987)</f>
        <v>1160</v>
      </c>
    </row>
    <row r="1989" spans="1:6" s="9" customFormat="1" x14ac:dyDescent="0.25">
      <c r="C1989" s="5"/>
      <c r="E1989" s="10"/>
      <c r="F1989" s="10"/>
    </row>
    <row r="1990" spans="1:6" s="9" customFormat="1" x14ac:dyDescent="0.25">
      <c r="A1990" s="9" t="s">
        <v>69</v>
      </c>
      <c r="B1990" s="4">
        <v>45868</v>
      </c>
      <c r="C1990" s="5">
        <v>10</v>
      </c>
      <c r="D1990" s="9" t="s">
        <v>98</v>
      </c>
      <c r="E1990" s="10">
        <v>100</v>
      </c>
      <c r="F1990" s="10">
        <f t="shared" si="31"/>
        <v>1000</v>
      </c>
    </row>
    <row r="1991" spans="1:6" s="9" customFormat="1" x14ac:dyDescent="0.25">
      <c r="C1991" s="5"/>
      <c r="E1991" s="10"/>
      <c r="F1991" s="8">
        <f>SUM(F1990)</f>
        <v>1000</v>
      </c>
    </row>
    <row r="1992" spans="1:6" s="9" customFormat="1" x14ac:dyDescent="0.25">
      <c r="C1992" s="5"/>
      <c r="E1992" s="10"/>
      <c r="F1992" s="10"/>
    </row>
    <row r="1993" spans="1:6" s="9" customFormat="1" x14ac:dyDescent="0.25">
      <c r="A1993" s="9" t="s">
        <v>442</v>
      </c>
      <c r="B1993" s="4">
        <v>45868</v>
      </c>
      <c r="C1993" s="5">
        <v>15</v>
      </c>
      <c r="D1993" s="9" t="s">
        <v>13</v>
      </c>
      <c r="E1993" s="10">
        <v>145</v>
      </c>
      <c r="F1993" s="10">
        <f t="shared" si="31"/>
        <v>2175</v>
      </c>
    </row>
    <row r="1994" spans="1:6" s="9" customFormat="1" x14ac:dyDescent="0.25">
      <c r="C1994" s="5"/>
      <c r="E1994" s="10"/>
      <c r="F1994" s="8">
        <f>SUM(F1993)</f>
        <v>2175</v>
      </c>
    </row>
    <row r="1995" spans="1:6" s="9" customFormat="1" x14ac:dyDescent="0.25">
      <c r="C1995" s="5"/>
      <c r="E1995" s="10"/>
      <c r="F1995" s="10"/>
    </row>
    <row r="1996" spans="1:6" s="9" customFormat="1" x14ac:dyDescent="0.25">
      <c r="A1996" s="9" t="s">
        <v>37</v>
      </c>
      <c r="B1996" s="4">
        <v>45868</v>
      </c>
      <c r="C1996" s="5">
        <v>15</v>
      </c>
      <c r="D1996" s="9" t="s">
        <v>12</v>
      </c>
      <c r="E1996" s="10">
        <v>145</v>
      </c>
      <c r="F1996" s="10">
        <f t="shared" si="31"/>
        <v>2175</v>
      </c>
    </row>
    <row r="1997" spans="1:6" s="9" customFormat="1" x14ac:dyDescent="0.25">
      <c r="C1997" s="5"/>
      <c r="E1997" s="10"/>
      <c r="F1997" s="8">
        <f>SUM(F1996)</f>
        <v>2175</v>
      </c>
    </row>
    <row r="1998" spans="1:6" s="9" customFormat="1" x14ac:dyDescent="0.25">
      <c r="C1998" s="5"/>
      <c r="E1998" s="10"/>
      <c r="F1998" s="10"/>
    </row>
    <row r="1999" spans="1:6" s="9" customFormat="1" x14ac:dyDescent="0.25">
      <c r="A1999" s="9" t="s">
        <v>20</v>
      </c>
      <c r="B1999" s="4">
        <v>45868</v>
      </c>
      <c r="C1999" s="5">
        <v>10</v>
      </c>
      <c r="D1999" s="9" t="s">
        <v>13</v>
      </c>
      <c r="E1999" s="10">
        <v>150</v>
      </c>
      <c r="F1999" s="10">
        <f t="shared" si="31"/>
        <v>1500</v>
      </c>
    </row>
    <row r="2000" spans="1:6" s="9" customFormat="1" x14ac:dyDescent="0.25">
      <c r="C2000" s="5"/>
      <c r="E2000" s="10"/>
      <c r="F2000" s="8">
        <f>SUM(F1999)</f>
        <v>1500</v>
      </c>
    </row>
    <row r="2001" spans="1:6" s="9" customFormat="1" x14ac:dyDescent="0.25">
      <c r="C2001" s="5"/>
      <c r="E2001" s="10"/>
      <c r="F2001" s="10"/>
    </row>
    <row r="2002" spans="1:6" s="9" customFormat="1" x14ac:dyDescent="0.25">
      <c r="A2002" s="9" t="s">
        <v>808</v>
      </c>
      <c r="B2002" s="4">
        <v>45868</v>
      </c>
      <c r="C2002" s="5">
        <v>10</v>
      </c>
      <c r="D2002" s="9" t="s">
        <v>14</v>
      </c>
      <c r="E2002" s="10">
        <v>145</v>
      </c>
      <c r="F2002" s="10">
        <f t="shared" si="31"/>
        <v>1450</v>
      </c>
    </row>
    <row r="2003" spans="1:6" s="9" customFormat="1" x14ac:dyDescent="0.25">
      <c r="C2003" s="5">
        <v>10</v>
      </c>
      <c r="D2003" s="9" t="s">
        <v>12</v>
      </c>
      <c r="E2003" s="10">
        <v>140</v>
      </c>
      <c r="F2003" s="10">
        <f t="shared" si="31"/>
        <v>1400</v>
      </c>
    </row>
    <row r="2004" spans="1:6" s="9" customFormat="1" x14ac:dyDescent="0.25">
      <c r="C2004" s="5">
        <v>30</v>
      </c>
      <c r="D2004" s="9" t="s">
        <v>22</v>
      </c>
      <c r="E2004" s="10">
        <v>120</v>
      </c>
      <c r="F2004" s="10">
        <f t="shared" si="31"/>
        <v>3600</v>
      </c>
    </row>
    <row r="2005" spans="1:6" s="9" customFormat="1" x14ac:dyDescent="0.25">
      <c r="C2005" s="5"/>
      <c r="E2005" s="10"/>
      <c r="F2005" s="8">
        <f>SUM(F2002:F2004)</f>
        <v>6450</v>
      </c>
    </row>
    <row r="2006" spans="1:6" s="9" customFormat="1" x14ac:dyDescent="0.25">
      <c r="C2006" s="5"/>
      <c r="E2006" s="10"/>
      <c r="F2006" s="10"/>
    </row>
    <row r="2007" spans="1:6" s="9" customFormat="1" x14ac:dyDescent="0.25">
      <c r="A2007" s="9" t="s">
        <v>57</v>
      </c>
      <c r="B2007" s="4">
        <v>45868</v>
      </c>
      <c r="C2007" s="5">
        <v>10</v>
      </c>
      <c r="D2007" s="9" t="s">
        <v>13</v>
      </c>
      <c r="E2007" s="10">
        <v>150</v>
      </c>
      <c r="F2007" s="10">
        <f t="shared" si="31"/>
        <v>1500</v>
      </c>
    </row>
    <row r="2008" spans="1:6" s="9" customFormat="1" x14ac:dyDescent="0.25">
      <c r="C2008" s="5">
        <v>10</v>
      </c>
      <c r="D2008" s="9" t="s">
        <v>14</v>
      </c>
      <c r="E2008" s="10">
        <v>145</v>
      </c>
      <c r="F2008" s="10">
        <f t="shared" si="31"/>
        <v>1450</v>
      </c>
    </row>
    <row r="2009" spans="1:6" s="9" customFormat="1" x14ac:dyDescent="0.25">
      <c r="C2009" s="5"/>
      <c r="E2009" s="10"/>
      <c r="F2009" s="8">
        <f>SUM(F2007:F2008)</f>
        <v>2950</v>
      </c>
    </row>
    <row r="2010" spans="1:6" s="9" customFormat="1" x14ac:dyDescent="0.25">
      <c r="C2010" s="5"/>
      <c r="E2010" s="10"/>
      <c r="F2010" s="10"/>
    </row>
    <row r="2011" spans="1:6" s="9" customFormat="1" x14ac:dyDescent="0.25">
      <c r="A2011" s="9" t="s">
        <v>791</v>
      </c>
      <c r="B2011" s="4">
        <v>45868</v>
      </c>
      <c r="C2011" s="5">
        <v>10</v>
      </c>
      <c r="D2011" s="9" t="s">
        <v>13</v>
      </c>
      <c r="E2011" s="10">
        <v>150</v>
      </c>
      <c r="F2011" s="10">
        <f t="shared" si="31"/>
        <v>1500</v>
      </c>
    </row>
    <row r="2012" spans="1:6" s="9" customFormat="1" x14ac:dyDescent="0.25">
      <c r="C2012" s="5">
        <v>10</v>
      </c>
      <c r="D2012" s="9" t="s">
        <v>12</v>
      </c>
      <c r="E2012" s="10">
        <v>140</v>
      </c>
      <c r="F2012" s="10">
        <f t="shared" ref="F2012:F2075" si="32">+C2012*E2012</f>
        <v>1400</v>
      </c>
    </row>
    <row r="2013" spans="1:6" s="9" customFormat="1" x14ac:dyDescent="0.25">
      <c r="C2013" s="5"/>
      <c r="E2013" s="10"/>
      <c r="F2013" s="8">
        <f>SUM(F2011:F2012)</f>
        <v>2900</v>
      </c>
    </row>
    <row r="2014" spans="1:6" s="9" customFormat="1" x14ac:dyDescent="0.25">
      <c r="C2014" s="5"/>
      <c r="E2014" s="10"/>
      <c r="F2014" s="10"/>
    </row>
    <row r="2015" spans="1:6" s="9" customFormat="1" x14ac:dyDescent="0.25">
      <c r="A2015" s="9" t="s">
        <v>25</v>
      </c>
      <c r="B2015" s="4">
        <v>45868</v>
      </c>
      <c r="C2015" s="5">
        <v>100</v>
      </c>
      <c r="D2015" s="9" t="s">
        <v>816</v>
      </c>
      <c r="E2015" s="10">
        <v>120</v>
      </c>
      <c r="F2015" s="10">
        <f t="shared" si="32"/>
        <v>12000</v>
      </c>
    </row>
    <row r="2016" spans="1:6" s="9" customFormat="1" x14ac:dyDescent="0.25">
      <c r="C2016" s="5"/>
      <c r="E2016" s="10"/>
      <c r="F2016" s="8">
        <f>SUM(F2015)</f>
        <v>12000</v>
      </c>
    </row>
    <row r="2017" spans="1:6" s="9" customFormat="1" x14ac:dyDescent="0.25">
      <c r="C2017" s="5"/>
      <c r="E2017" s="10"/>
      <c r="F2017" s="10"/>
    </row>
    <row r="2018" spans="1:6" s="9" customFormat="1" x14ac:dyDescent="0.25">
      <c r="A2018" s="9" t="s">
        <v>40</v>
      </c>
      <c r="B2018" s="4">
        <v>45868</v>
      </c>
      <c r="C2018" s="5">
        <v>10</v>
      </c>
      <c r="D2018" s="9" t="s">
        <v>14</v>
      </c>
      <c r="E2018" s="10">
        <v>145</v>
      </c>
      <c r="F2018" s="10">
        <f t="shared" si="32"/>
        <v>1450</v>
      </c>
    </row>
    <row r="2019" spans="1:6" s="9" customFormat="1" x14ac:dyDescent="0.25">
      <c r="C2019" s="5">
        <v>10</v>
      </c>
      <c r="D2019" s="9" t="s">
        <v>8</v>
      </c>
      <c r="E2019" s="10">
        <v>165</v>
      </c>
      <c r="F2019" s="10">
        <f t="shared" si="32"/>
        <v>1650</v>
      </c>
    </row>
    <row r="2020" spans="1:6" s="9" customFormat="1" x14ac:dyDescent="0.25">
      <c r="C2020" s="5"/>
      <c r="E2020" s="10"/>
      <c r="F2020" s="8">
        <f>SUM(F2018:F2019)</f>
        <v>3100</v>
      </c>
    </row>
    <row r="2021" spans="1:6" s="9" customFormat="1" x14ac:dyDescent="0.25">
      <c r="C2021" s="5"/>
      <c r="E2021" s="10"/>
      <c r="F2021" s="10"/>
    </row>
    <row r="2022" spans="1:6" s="9" customFormat="1" x14ac:dyDescent="0.25">
      <c r="A2022" s="9" t="s">
        <v>688</v>
      </c>
      <c r="B2022" s="4">
        <v>45868</v>
      </c>
      <c r="C2022" s="5">
        <v>1</v>
      </c>
      <c r="D2022" s="9" t="s">
        <v>13</v>
      </c>
      <c r="E2022" s="10">
        <v>150</v>
      </c>
      <c r="F2022" s="10">
        <f t="shared" si="32"/>
        <v>150</v>
      </c>
    </row>
    <row r="2023" spans="1:6" s="9" customFormat="1" x14ac:dyDescent="0.25">
      <c r="C2023" s="5"/>
      <c r="E2023" s="10"/>
      <c r="F2023" s="8">
        <f>SUM(F2022)</f>
        <v>150</v>
      </c>
    </row>
    <row r="2024" spans="1:6" s="9" customFormat="1" x14ac:dyDescent="0.25">
      <c r="C2024" s="5"/>
      <c r="E2024" s="10"/>
      <c r="F2024" s="10"/>
    </row>
    <row r="2025" spans="1:6" s="9" customFormat="1" x14ac:dyDescent="0.25">
      <c r="A2025" s="9" t="s">
        <v>41</v>
      </c>
      <c r="B2025" s="4">
        <v>45868</v>
      </c>
      <c r="C2025" s="5">
        <v>35</v>
      </c>
      <c r="D2025" s="9" t="s">
        <v>14</v>
      </c>
      <c r="E2025" s="10">
        <v>135</v>
      </c>
      <c r="F2025" s="10">
        <f t="shared" si="32"/>
        <v>4725</v>
      </c>
    </row>
    <row r="2026" spans="1:6" s="9" customFormat="1" x14ac:dyDescent="0.25">
      <c r="C2026" s="5"/>
      <c r="E2026" s="10"/>
      <c r="F2026" s="8">
        <f>SUM(F2025)</f>
        <v>4725</v>
      </c>
    </row>
    <row r="2027" spans="1:6" s="9" customFormat="1" x14ac:dyDescent="0.25">
      <c r="C2027" s="5"/>
      <c r="E2027" s="10"/>
      <c r="F2027" s="10"/>
    </row>
    <row r="2028" spans="1:6" s="9" customFormat="1" x14ac:dyDescent="0.25">
      <c r="A2028" s="9" t="s">
        <v>817</v>
      </c>
      <c r="B2028" s="4">
        <v>45868</v>
      </c>
      <c r="C2028" s="5">
        <v>10</v>
      </c>
      <c r="D2028" s="9" t="s">
        <v>14</v>
      </c>
      <c r="E2028" s="10">
        <v>140</v>
      </c>
      <c r="F2028" s="10">
        <f t="shared" si="32"/>
        <v>1400</v>
      </c>
    </row>
    <row r="2029" spans="1:6" s="9" customFormat="1" x14ac:dyDescent="0.25">
      <c r="C2029" s="5"/>
      <c r="E2029" s="10"/>
      <c r="F2029" s="8">
        <f>SUM(F2028)</f>
        <v>1400</v>
      </c>
    </row>
    <row r="2030" spans="1:6" s="9" customFormat="1" x14ac:dyDescent="0.25">
      <c r="C2030" s="5"/>
      <c r="E2030" s="10"/>
      <c r="F2030" s="10"/>
    </row>
    <row r="2031" spans="1:6" s="9" customFormat="1" x14ac:dyDescent="0.25">
      <c r="A2031" s="9" t="s">
        <v>253</v>
      </c>
      <c r="B2031" s="4">
        <v>45868</v>
      </c>
      <c r="C2031" s="5">
        <v>10</v>
      </c>
      <c r="D2031" s="9" t="s">
        <v>14</v>
      </c>
      <c r="E2031" s="10">
        <v>145</v>
      </c>
      <c r="F2031" s="10">
        <f t="shared" si="32"/>
        <v>1450</v>
      </c>
    </row>
    <row r="2032" spans="1:6" s="9" customFormat="1" x14ac:dyDescent="0.25">
      <c r="C2032" s="5"/>
      <c r="E2032" s="10"/>
      <c r="F2032" s="8">
        <f>SUM(F2031)</f>
        <v>1450</v>
      </c>
    </row>
    <row r="2033" spans="1:6" s="9" customFormat="1" x14ac:dyDescent="0.25">
      <c r="C2033" s="5"/>
      <c r="E2033" s="10"/>
      <c r="F2033" s="10"/>
    </row>
    <row r="2034" spans="1:6" s="9" customFormat="1" x14ac:dyDescent="0.25">
      <c r="A2034" s="9" t="s">
        <v>45</v>
      </c>
      <c r="B2034" s="4">
        <v>45868</v>
      </c>
      <c r="C2034" s="5">
        <v>3</v>
      </c>
      <c r="D2034" s="9" t="s">
        <v>818</v>
      </c>
      <c r="E2034" s="10">
        <v>145</v>
      </c>
      <c r="F2034" s="10">
        <f t="shared" si="32"/>
        <v>435</v>
      </c>
    </row>
    <row r="2035" spans="1:6" s="9" customFormat="1" x14ac:dyDescent="0.25">
      <c r="C2035" s="5"/>
      <c r="E2035" s="10"/>
      <c r="F2035" s="8">
        <f>SUM(F2034)</f>
        <v>435</v>
      </c>
    </row>
    <row r="2036" spans="1:6" s="9" customFormat="1" x14ac:dyDescent="0.25">
      <c r="C2036" s="5"/>
      <c r="E2036" s="10"/>
      <c r="F2036" s="10"/>
    </row>
    <row r="2037" spans="1:6" s="9" customFormat="1" x14ac:dyDescent="0.25">
      <c r="A2037" s="9" t="s">
        <v>44</v>
      </c>
      <c r="B2037" s="4">
        <v>45868</v>
      </c>
      <c r="C2037" s="5">
        <v>50</v>
      </c>
      <c r="D2037" s="9" t="s">
        <v>14</v>
      </c>
      <c r="E2037" s="10">
        <v>140</v>
      </c>
      <c r="F2037" s="10">
        <f t="shared" si="32"/>
        <v>7000</v>
      </c>
    </row>
    <row r="2038" spans="1:6" s="9" customFormat="1" x14ac:dyDescent="0.25">
      <c r="C2038" s="5"/>
      <c r="E2038" s="10"/>
      <c r="F2038" s="8">
        <f>SUM(F2037)</f>
        <v>7000</v>
      </c>
    </row>
    <row r="2039" spans="1:6" s="9" customFormat="1" x14ac:dyDescent="0.25">
      <c r="C2039" s="5"/>
      <c r="E2039" s="10"/>
      <c r="F2039" s="10"/>
    </row>
    <row r="2040" spans="1:6" s="9" customFormat="1" x14ac:dyDescent="0.25">
      <c r="A2040" s="9" t="s">
        <v>18</v>
      </c>
      <c r="B2040" s="4">
        <v>45868</v>
      </c>
      <c r="C2040" s="5">
        <v>10</v>
      </c>
      <c r="D2040" s="9" t="s">
        <v>238</v>
      </c>
      <c r="E2040" s="10">
        <v>145</v>
      </c>
      <c r="F2040" s="10">
        <f>+C2040*E2040</f>
        <v>1450</v>
      </c>
    </row>
    <row r="2041" spans="1:6" s="9" customFormat="1" x14ac:dyDescent="0.25">
      <c r="C2041" s="5"/>
      <c r="E2041" s="10"/>
      <c r="F2041" s="8">
        <f>SUM(F2040)</f>
        <v>1450</v>
      </c>
    </row>
    <row r="2042" spans="1:6" s="9" customFormat="1" x14ac:dyDescent="0.25">
      <c r="C2042" s="5"/>
      <c r="E2042" s="10"/>
      <c r="F2042" s="10"/>
    </row>
    <row r="2043" spans="1:6" s="9" customFormat="1" x14ac:dyDescent="0.25">
      <c r="A2043" s="9" t="s">
        <v>107</v>
      </c>
      <c r="B2043" s="4">
        <v>45868</v>
      </c>
      <c r="C2043" s="5">
        <v>48</v>
      </c>
      <c r="D2043" s="9" t="s">
        <v>819</v>
      </c>
      <c r="E2043" s="10">
        <v>135</v>
      </c>
      <c r="F2043" s="10">
        <f t="shared" si="32"/>
        <v>6480</v>
      </c>
    </row>
    <row r="2044" spans="1:6" s="9" customFormat="1" x14ac:dyDescent="0.25">
      <c r="C2044" s="5"/>
      <c r="E2044" s="10"/>
      <c r="F2044" s="8">
        <f>SUM(F2043)</f>
        <v>6480</v>
      </c>
    </row>
    <row r="2045" spans="1:6" s="9" customFormat="1" x14ac:dyDescent="0.25">
      <c r="C2045" s="5"/>
      <c r="E2045" s="10"/>
      <c r="F2045" s="10"/>
    </row>
    <row r="2046" spans="1:6" s="9" customFormat="1" x14ac:dyDescent="0.25">
      <c r="A2046" s="9" t="s">
        <v>46</v>
      </c>
      <c r="B2046" s="4">
        <v>45868</v>
      </c>
      <c r="C2046" s="5">
        <v>20</v>
      </c>
      <c r="D2046" s="9" t="s">
        <v>14</v>
      </c>
      <c r="E2046" s="10">
        <v>145</v>
      </c>
      <c r="F2046" s="10">
        <f t="shared" si="32"/>
        <v>2900</v>
      </c>
    </row>
    <row r="2047" spans="1:6" s="9" customFormat="1" x14ac:dyDescent="0.25">
      <c r="C2047" s="5"/>
      <c r="E2047" s="10"/>
      <c r="F2047" s="8">
        <f>SUM(F2046)</f>
        <v>2900</v>
      </c>
    </row>
    <row r="2048" spans="1:6" s="9" customFormat="1" x14ac:dyDescent="0.25">
      <c r="C2048" s="5"/>
      <c r="E2048" s="10"/>
      <c r="F2048" s="10"/>
    </row>
    <row r="2049" spans="1:6" s="9" customFormat="1" x14ac:dyDescent="0.25">
      <c r="A2049" s="9" t="s">
        <v>820</v>
      </c>
      <c r="B2049" s="4">
        <v>45868</v>
      </c>
      <c r="C2049" s="5">
        <v>10</v>
      </c>
      <c r="D2049" s="9" t="s">
        <v>12</v>
      </c>
      <c r="E2049" s="10">
        <v>140</v>
      </c>
      <c r="F2049" s="10">
        <f t="shared" si="32"/>
        <v>1400</v>
      </c>
    </row>
    <row r="2050" spans="1:6" s="9" customFormat="1" x14ac:dyDescent="0.25">
      <c r="C2050" s="5"/>
      <c r="E2050" s="10"/>
      <c r="F2050" s="8">
        <f>SUM(F2049)</f>
        <v>1400</v>
      </c>
    </row>
    <row r="2051" spans="1:6" s="9" customFormat="1" x14ac:dyDescent="0.25">
      <c r="C2051" s="5"/>
      <c r="E2051" s="10"/>
      <c r="F2051" s="10"/>
    </row>
    <row r="2052" spans="1:6" s="9" customFormat="1" x14ac:dyDescent="0.25">
      <c r="A2052" s="9" t="s">
        <v>661</v>
      </c>
      <c r="B2052" s="4">
        <v>45868</v>
      </c>
      <c r="C2052" s="5">
        <v>6</v>
      </c>
      <c r="D2052" s="9" t="s">
        <v>13</v>
      </c>
      <c r="E2052" s="10">
        <v>150</v>
      </c>
      <c r="F2052" s="10">
        <f t="shared" si="32"/>
        <v>900</v>
      </c>
    </row>
    <row r="2053" spans="1:6" s="9" customFormat="1" x14ac:dyDescent="0.25">
      <c r="C2053" s="5"/>
      <c r="E2053" s="10"/>
      <c r="F2053" s="8">
        <f>SUM(F2052)</f>
        <v>900</v>
      </c>
    </row>
    <row r="2054" spans="1:6" s="9" customFormat="1" x14ac:dyDescent="0.25">
      <c r="C2054" s="5"/>
      <c r="E2054" s="10"/>
      <c r="F2054" s="10"/>
    </row>
    <row r="2055" spans="1:6" s="9" customFormat="1" x14ac:dyDescent="0.25">
      <c r="A2055" s="9" t="s">
        <v>72</v>
      </c>
      <c r="B2055" s="4">
        <v>45868</v>
      </c>
      <c r="C2055" s="5">
        <v>250</v>
      </c>
      <c r="D2055" s="9" t="s">
        <v>13</v>
      </c>
      <c r="E2055" s="10">
        <v>140</v>
      </c>
      <c r="F2055" s="10">
        <f t="shared" si="32"/>
        <v>35000</v>
      </c>
    </row>
    <row r="2056" spans="1:6" s="9" customFormat="1" x14ac:dyDescent="0.25">
      <c r="C2056" s="5">
        <v>100</v>
      </c>
      <c r="D2056" s="9" t="s">
        <v>12</v>
      </c>
      <c r="E2056" s="10">
        <v>130</v>
      </c>
      <c r="F2056" s="10">
        <f t="shared" si="32"/>
        <v>13000</v>
      </c>
    </row>
    <row r="2057" spans="1:6" s="9" customFormat="1" x14ac:dyDescent="0.25">
      <c r="C2057" s="5">
        <v>20</v>
      </c>
      <c r="D2057" s="9" t="s">
        <v>14</v>
      </c>
      <c r="E2057" s="10">
        <v>140</v>
      </c>
      <c r="F2057" s="10">
        <f t="shared" si="32"/>
        <v>2800</v>
      </c>
    </row>
    <row r="2058" spans="1:6" s="9" customFormat="1" x14ac:dyDescent="0.25">
      <c r="C2058" s="5">
        <v>80</v>
      </c>
      <c r="D2058" s="9" t="s">
        <v>11</v>
      </c>
      <c r="E2058" s="10">
        <v>130</v>
      </c>
      <c r="F2058" s="10">
        <f t="shared" si="32"/>
        <v>10400</v>
      </c>
    </row>
    <row r="2059" spans="1:6" s="9" customFormat="1" x14ac:dyDescent="0.25">
      <c r="C2059" s="5"/>
      <c r="E2059" s="10"/>
      <c r="F2059" s="8">
        <f>SUM(F2055:F2058)</f>
        <v>61200</v>
      </c>
    </row>
    <row r="2060" spans="1:6" s="9" customFormat="1" x14ac:dyDescent="0.25">
      <c r="C2060" s="5"/>
      <c r="E2060" s="10"/>
      <c r="F2060" s="10"/>
    </row>
    <row r="2061" spans="1:6" s="9" customFormat="1" x14ac:dyDescent="0.25">
      <c r="A2061" s="9" t="s">
        <v>26</v>
      </c>
      <c r="B2061" s="4">
        <v>45868</v>
      </c>
      <c r="C2061" s="5">
        <v>30</v>
      </c>
      <c r="D2061" s="9" t="s">
        <v>14</v>
      </c>
      <c r="E2061" s="10">
        <v>135</v>
      </c>
      <c r="F2061" s="10">
        <f t="shared" si="32"/>
        <v>4050</v>
      </c>
    </row>
    <row r="2062" spans="1:6" s="9" customFormat="1" x14ac:dyDescent="0.25">
      <c r="C2062" s="5"/>
      <c r="E2062" s="10"/>
      <c r="F2062" s="8">
        <f>SUM(F2061)</f>
        <v>4050</v>
      </c>
    </row>
    <row r="2063" spans="1:6" s="9" customFormat="1" x14ac:dyDescent="0.25">
      <c r="C2063" s="5"/>
      <c r="E2063" s="10"/>
      <c r="F2063" s="10"/>
    </row>
    <row r="2064" spans="1:6" s="9" customFormat="1" x14ac:dyDescent="0.25">
      <c r="A2064" s="9" t="s">
        <v>153</v>
      </c>
      <c r="B2064" s="4">
        <v>45868</v>
      </c>
      <c r="C2064" s="5">
        <v>70</v>
      </c>
      <c r="D2064" s="9" t="s">
        <v>12</v>
      </c>
      <c r="E2064" s="10">
        <v>140</v>
      </c>
      <c r="F2064" s="10">
        <f t="shared" si="32"/>
        <v>9800</v>
      </c>
    </row>
    <row r="2065" spans="1:6" s="9" customFormat="1" x14ac:dyDescent="0.25">
      <c r="C2065" s="5">
        <v>60</v>
      </c>
      <c r="D2065" s="9" t="s">
        <v>22</v>
      </c>
      <c r="E2065" s="10">
        <v>120</v>
      </c>
      <c r="F2065" s="10">
        <f t="shared" si="32"/>
        <v>7200</v>
      </c>
    </row>
    <row r="2066" spans="1:6" s="9" customFormat="1" x14ac:dyDescent="0.25">
      <c r="C2066" s="5"/>
      <c r="E2066" s="10"/>
      <c r="F2066" s="8">
        <f>SUM(F2064:F2065)</f>
        <v>17000</v>
      </c>
    </row>
    <row r="2067" spans="1:6" s="9" customFormat="1" x14ac:dyDescent="0.25">
      <c r="C2067" s="5"/>
      <c r="E2067" s="10"/>
      <c r="F2067" s="10"/>
    </row>
    <row r="2068" spans="1:6" s="9" customFormat="1" x14ac:dyDescent="0.25">
      <c r="A2068" s="9" t="s">
        <v>191</v>
      </c>
      <c r="B2068" s="4">
        <v>45868</v>
      </c>
      <c r="C2068" s="5">
        <v>200</v>
      </c>
      <c r="D2068" s="9" t="s">
        <v>14</v>
      </c>
      <c r="E2068" s="10">
        <v>140</v>
      </c>
      <c r="F2068" s="10">
        <f t="shared" si="32"/>
        <v>28000</v>
      </c>
    </row>
    <row r="2069" spans="1:6" s="9" customFormat="1" x14ac:dyDescent="0.25">
      <c r="C2069" s="5">
        <v>100</v>
      </c>
      <c r="D2069" s="9" t="s">
        <v>11</v>
      </c>
      <c r="E2069" s="10">
        <v>135</v>
      </c>
      <c r="F2069" s="10">
        <f t="shared" si="32"/>
        <v>13500</v>
      </c>
    </row>
    <row r="2070" spans="1:6" s="9" customFormat="1" x14ac:dyDescent="0.25">
      <c r="C2070" s="5"/>
      <c r="E2070" s="10"/>
      <c r="F2070" s="8">
        <f>SUM(F2068:F2069)</f>
        <v>41500</v>
      </c>
    </row>
    <row r="2071" spans="1:6" s="9" customFormat="1" x14ac:dyDescent="0.25">
      <c r="C2071" s="5"/>
      <c r="E2071" s="10"/>
      <c r="F2071" s="10"/>
    </row>
    <row r="2072" spans="1:6" s="9" customFormat="1" x14ac:dyDescent="0.25">
      <c r="A2072" s="9" t="s">
        <v>184</v>
      </c>
      <c r="B2072" s="4">
        <v>45868</v>
      </c>
      <c r="C2072" s="5">
        <v>7</v>
      </c>
      <c r="D2072" s="9" t="s">
        <v>13</v>
      </c>
      <c r="E2072" s="10">
        <v>150</v>
      </c>
      <c r="F2072" s="10">
        <f t="shared" si="32"/>
        <v>1050</v>
      </c>
    </row>
    <row r="2073" spans="1:6" s="9" customFormat="1" x14ac:dyDescent="0.25">
      <c r="C2073" s="5"/>
      <c r="E2073" s="10"/>
      <c r="F2073" s="8">
        <f>SUM(F2072)</f>
        <v>1050</v>
      </c>
    </row>
    <row r="2074" spans="1:6" s="9" customFormat="1" x14ac:dyDescent="0.25">
      <c r="C2074" s="5"/>
      <c r="E2074" s="10"/>
      <c r="F2074" s="10"/>
    </row>
    <row r="2075" spans="1:6" s="9" customFormat="1" x14ac:dyDescent="0.25">
      <c r="A2075" s="9" t="s">
        <v>32</v>
      </c>
      <c r="B2075" s="4">
        <v>45868</v>
      </c>
      <c r="C2075" s="5">
        <v>10</v>
      </c>
      <c r="D2075" s="9" t="s">
        <v>13</v>
      </c>
      <c r="E2075" s="10">
        <v>140</v>
      </c>
      <c r="F2075" s="10">
        <f t="shared" si="32"/>
        <v>1400</v>
      </c>
    </row>
    <row r="2076" spans="1:6" s="9" customFormat="1" x14ac:dyDescent="0.25">
      <c r="C2076" s="5"/>
      <c r="E2076" s="10"/>
      <c r="F2076" s="8">
        <f>SUM(F2075)</f>
        <v>1400</v>
      </c>
    </row>
    <row r="2077" spans="1:6" s="9" customFormat="1" x14ac:dyDescent="0.25">
      <c r="C2077" s="5"/>
      <c r="E2077" s="10"/>
      <c r="F2077" s="10"/>
    </row>
    <row r="2078" spans="1:6" s="9" customFormat="1" x14ac:dyDescent="0.25">
      <c r="A2078" s="9" t="s">
        <v>29</v>
      </c>
      <c r="B2078" s="4">
        <v>45868</v>
      </c>
      <c r="C2078" s="5">
        <v>2</v>
      </c>
      <c r="D2078" s="9" t="s">
        <v>13</v>
      </c>
      <c r="E2078" s="10">
        <v>160</v>
      </c>
      <c r="F2078" s="10">
        <f t="shared" ref="F2078:F2132" si="33">+C2078*E2078</f>
        <v>320</v>
      </c>
    </row>
    <row r="2079" spans="1:6" s="9" customFormat="1" x14ac:dyDescent="0.25">
      <c r="C2079" s="5">
        <v>2</v>
      </c>
      <c r="D2079" s="9" t="s">
        <v>12</v>
      </c>
      <c r="E2079" s="10">
        <v>150</v>
      </c>
      <c r="F2079" s="10">
        <f t="shared" si="33"/>
        <v>300</v>
      </c>
    </row>
    <row r="2080" spans="1:6" s="9" customFormat="1" x14ac:dyDescent="0.25">
      <c r="C2080" s="5">
        <v>1</v>
      </c>
      <c r="D2080" s="9" t="s">
        <v>8</v>
      </c>
      <c r="E2080" s="10">
        <v>170</v>
      </c>
      <c r="F2080" s="10">
        <f t="shared" si="33"/>
        <v>170</v>
      </c>
    </row>
    <row r="2081" spans="1:6" s="9" customFormat="1" x14ac:dyDescent="0.25">
      <c r="C2081" s="5"/>
      <c r="E2081" s="10"/>
      <c r="F2081" s="8">
        <f>SUM(F2078:F2080)</f>
        <v>790</v>
      </c>
    </row>
    <row r="2082" spans="1:6" s="9" customFormat="1" x14ac:dyDescent="0.25">
      <c r="C2082" s="5"/>
      <c r="E2082" s="10"/>
      <c r="F2082" s="10"/>
    </row>
    <row r="2083" spans="1:6" s="9" customFormat="1" x14ac:dyDescent="0.25">
      <c r="A2083" s="26" t="s">
        <v>7</v>
      </c>
      <c r="B2083" s="4">
        <v>45868</v>
      </c>
      <c r="C2083" s="11">
        <v>1.5</v>
      </c>
      <c r="D2083" s="9" t="s">
        <v>8</v>
      </c>
      <c r="E2083" s="10">
        <v>170</v>
      </c>
      <c r="F2083" s="10">
        <f t="shared" si="33"/>
        <v>255</v>
      </c>
    </row>
    <row r="2084" spans="1:6" s="9" customFormat="1" x14ac:dyDescent="0.25">
      <c r="C2084" s="5"/>
      <c r="E2084" s="10"/>
      <c r="F2084" s="8">
        <f>SUM(F2083)</f>
        <v>255</v>
      </c>
    </row>
    <row r="2085" spans="1:6" s="9" customFormat="1" x14ac:dyDescent="0.25">
      <c r="C2085" s="5"/>
      <c r="E2085" s="10"/>
      <c r="F2085" s="10"/>
    </row>
    <row r="2086" spans="1:6" s="9" customFormat="1" x14ac:dyDescent="0.25">
      <c r="A2086" s="9" t="s">
        <v>61</v>
      </c>
      <c r="B2086" s="4">
        <v>45869</v>
      </c>
      <c r="C2086" s="5">
        <v>60</v>
      </c>
      <c r="D2086" s="9" t="s">
        <v>13</v>
      </c>
      <c r="E2086" s="10">
        <v>145</v>
      </c>
      <c r="F2086" s="10">
        <f t="shared" si="33"/>
        <v>8700</v>
      </c>
    </row>
    <row r="2087" spans="1:6" s="9" customFormat="1" x14ac:dyDescent="0.25">
      <c r="C2087" s="5"/>
      <c r="E2087" s="10"/>
      <c r="F2087" s="8">
        <f>SUM(F2086)</f>
        <v>8700</v>
      </c>
    </row>
    <row r="2088" spans="1:6" s="9" customFormat="1" x14ac:dyDescent="0.25">
      <c r="C2088" s="5"/>
      <c r="E2088" s="10"/>
      <c r="F2088" s="10"/>
    </row>
    <row r="2089" spans="1:6" s="9" customFormat="1" x14ac:dyDescent="0.25">
      <c r="A2089" s="9" t="s">
        <v>62</v>
      </c>
      <c r="B2089" s="4">
        <v>45869</v>
      </c>
      <c r="C2089" s="5">
        <v>30</v>
      </c>
      <c r="D2089" s="9" t="s">
        <v>8</v>
      </c>
      <c r="E2089" s="10">
        <v>160</v>
      </c>
      <c r="F2089" s="10">
        <f t="shared" si="33"/>
        <v>4800</v>
      </c>
    </row>
    <row r="2090" spans="1:6" s="9" customFormat="1" x14ac:dyDescent="0.25">
      <c r="C2090" s="5">
        <v>30</v>
      </c>
      <c r="D2090" s="9" t="s">
        <v>13</v>
      </c>
      <c r="E2090" s="10">
        <v>145</v>
      </c>
      <c r="F2090" s="10">
        <f t="shared" si="33"/>
        <v>4350</v>
      </c>
    </row>
    <row r="2091" spans="1:6" s="9" customFormat="1" x14ac:dyDescent="0.25">
      <c r="C2091" s="5"/>
      <c r="E2091" s="10"/>
      <c r="F2091" s="8">
        <f>SUM(F2089:F2090)</f>
        <v>9150</v>
      </c>
    </row>
    <row r="2092" spans="1:6" s="9" customFormat="1" x14ac:dyDescent="0.25">
      <c r="C2092" s="5"/>
      <c r="E2092" s="10"/>
      <c r="F2092" s="10"/>
    </row>
    <row r="2093" spans="1:6" s="9" customFormat="1" x14ac:dyDescent="0.25">
      <c r="A2093" s="9" t="s">
        <v>151</v>
      </c>
      <c r="B2093" s="4">
        <v>45869</v>
      </c>
      <c r="C2093" s="5">
        <v>80</v>
      </c>
      <c r="D2093" s="9" t="s">
        <v>11</v>
      </c>
      <c r="E2093" s="10">
        <v>130</v>
      </c>
      <c r="F2093" s="10">
        <f t="shared" si="33"/>
        <v>10400</v>
      </c>
    </row>
    <row r="2094" spans="1:6" s="9" customFormat="1" x14ac:dyDescent="0.25">
      <c r="C2094" s="5">
        <v>10</v>
      </c>
      <c r="D2094" s="9" t="s">
        <v>14</v>
      </c>
      <c r="E2094" s="10">
        <v>140</v>
      </c>
      <c r="F2094" s="10">
        <f t="shared" si="33"/>
        <v>1400</v>
      </c>
    </row>
    <row r="2095" spans="1:6" s="9" customFormat="1" x14ac:dyDescent="0.25">
      <c r="C2095" s="5">
        <v>150</v>
      </c>
      <c r="D2095" s="9" t="s">
        <v>22</v>
      </c>
      <c r="E2095" s="10">
        <v>120</v>
      </c>
      <c r="F2095" s="10">
        <f t="shared" si="33"/>
        <v>18000</v>
      </c>
    </row>
    <row r="2096" spans="1:6" s="9" customFormat="1" x14ac:dyDescent="0.25">
      <c r="C2096" s="5"/>
      <c r="E2096" s="10"/>
      <c r="F2096" s="8">
        <f>SUM(F2093:F2095)</f>
        <v>29800</v>
      </c>
    </row>
    <row r="2097" spans="1:6" s="9" customFormat="1" x14ac:dyDescent="0.25">
      <c r="C2097" s="5"/>
      <c r="E2097" s="10"/>
      <c r="F2097" s="10"/>
    </row>
    <row r="2098" spans="1:6" s="9" customFormat="1" x14ac:dyDescent="0.25">
      <c r="A2098" s="9" t="s">
        <v>59</v>
      </c>
      <c r="B2098" s="4">
        <v>45869</v>
      </c>
      <c r="C2098" s="5">
        <v>20</v>
      </c>
      <c r="D2098" s="9" t="s">
        <v>13</v>
      </c>
      <c r="E2098" s="10">
        <v>145</v>
      </c>
      <c r="F2098" s="10">
        <f t="shared" si="33"/>
        <v>2900</v>
      </c>
    </row>
    <row r="2099" spans="1:6" s="9" customFormat="1" x14ac:dyDescent="0.25">
      <c r="C2099" s="5"/>
      <c r="E2099" s="10"/>
      <c r="F2099" s="8">
        <f>SUM(F2098)</f>
        <v>2900</v>
      </c>
    </row>
    <row r="2100" spans="1:6" s="9" customFormat="1" x14ac:dyDescent="0.25">
      <c r="C2100" s="5"/>
      <c r="E2100" s="10"/>
      <c r="F2100" s="10"/>
    </row>
    <row r="2101" spans="1:6" s="9" customFormat="1" x14ac:dyDescent="0.25">
      <c r="A2101" s="9" t="s">
        <v>69</v>
      </c>
      <c r="B2101" s="4">
        <v>45869</v>
      </c>
      <c r="C2101" s="5">
        <v>10</v>
      </c>
      <c r="D2101" s="9" t="s">
        <v>8</v>
      </c>
      <c r="E2101" s="10">
        <v>160</v>
      </c>
      <c r="F2101" s="10">
        <f t="shared" si="33"/>
        <v>1600</v>
      </c>
    </row>
    <row r="2102" spans="1:6" s="9" customFormat="1" x14ac:dyDescent="0.25">
      <c r="C2102" s="5">
        <v>10</v>
      </c>
      <c r="D2102" s="9" t="s">
        <v>22</v>
      </c>
      <c r="E2102" s="10">
        <v>120</v>
      </c>
      <c r="F2102" s="10">
        <f t="shared" si="33"/>
        <v>1200</v>
      </c>
    </row>
    <row r="2103" spans="1:6" s="9" customFormat="1" x14ac:dyDescent="0.25">
      <c r="C2103" s="5"/>
      <c r="E2103" s="10"/>
      <c r="F2103" s="8">
        <f>SUM(F2101:F2102)</f>
        <v>2800</v>
      </c>
    </row>
    <row r="2104" spans="1:6" s="9" customFormat="1" x14ac:dyDescent="0.25">
      <c r="C2104" s="5"/>
      <c r="E2104" s="10"/>
      <c r="F2104" s="10"/>
    </row>
    <row r="2105" spans="1:6" s="9" customFormat="1" x14ac:dyDescent="0.25">
      <c r="A2105" s="9" t="s">
        <v>821</v>
      </c>
      <c r="B2105" s="4">
        <v>45869</v>
      </c>
      <c r="C2105" s="5">
        <v>15</v>
      </c>
      <c r="D2105" s="9" t="s">
        <v>13</v>
      </c>
      <c r="E2105" s="10">
        <v>145</v>
      </c>
      <c r="F2105" s="10">
        <f t="shared" si="33"/>
        <v>2175</v>
      </c>
    </row>
    <row r="2106" spans="1:6" s="9" customFormat="1" x14ac:dyDescent="0.25">
      <c r="C2106" s="5">
        <v>15</v>
      </c>
      <c r="D2106" s="9" t="s">
        <v>603</v>
      </c>
      <c r="E2106" s="10">
        <v>120</v>
      </c>
      <c r="F2106" s="10">
        <f t="shared" si="33"/>
        <v>1800</v>
      </c>
    </row>
    <row r="2107" spans="1:6" s="9" customFormat="1" x14ac:dyDescent="0.25">
      <c r="C2107" s="5"/>
      <c r="E2107" s="10"/>
      <c r="F2107" s="8">
        <f>SUM(F2105:F2106)</f>
        <v>3975</v>
      </c>
    </row>
    <row r="2108" spans="1:6" s="9" customFormat="1" x14ac:dyDescent="0.25">
      <c r="C2108" s="5"/>
      <c r="E2108" s="10"/>
      <c r="F2108" s="10"/>
    </row>
    <row r="2109" spans="1:6" s="9" customFormat="1" x14ac:dyDescent="0.25">
      <c r="A2109" s="9" t="s">
        <v>89</v>
      </c>
      <c r="B2109" s="4">
        <v>45869</v>
      </c>
      <c r="C2109" s="5">
        <v>20</v>
      </c>
      <c r="D2109" s="9" t="s">
        <v>13</v>
      </c>
      <c r="E2109" s="10">
        <v>140</v>
      </c>
      <c r="F2109" s="10">
        <f t="shared" si="33"/>
        <v>2800</v>
      </c>
    </row>
    <row r="2110" spans="1:6" s="9" customFormat="1" x14ac:dyDescent="0.25">
      <c r="C2110" s="5">
        <v>20</v>
      </c>
      <c r="D2110" s="9" t="s">
        <v>12</v>
      </c>
      <c r="E2110" s="10">
        <v>130</v>
      </c>
      <c r="F2110" s="10">
        <f t="shared" si="33"/>
        <v>2600</v>
      </c>
    </row>
    <row r="2111" spans="1:6" s="9" customFormat="1" x14ac:dyDescent="0.25">
      <c r="C2111" s="5">
        <v>20</v>
      </c>
      <c r="D2111" s="9" t="s">
        <v>22</v>
      </c>
      <c r="E2111" s="10">
        <v>120</v>
      </c>
      <c r="F2111" s="10">
        <f t="shared" si="33"/>
        <v>2400</v>
      </c>
    </row>
    <row r="2112" spans="1:6" s="9" customFormat="1" x14ac:dyDescent="0.25">
      <c r="C2112" s="5"/>
      <c r="E2112" s="10"/>
      <c r="F2112" s="8">
        <f>SUM(F2109:F2111)</f>
        <v>7800</v>
      </c>
    </row>
    <row r="2113" spans="1:6" s="9" customFormat="1" x14ac:dyDescent="0.25">
      <c r="C2113" s="5"/>
      <c r="E2113" s="10"/>
      <c r="F2113" s="10"/>
    </row>
    <row r="2114" spans="1:6" s="9" customFormat="1" x14ac:dyDescent="0.25">
      <c r="A2114" s="9" t="s">
        <v>487</v>
      </c>
      <c r="B2114" s="4">
        <v>45869</v>
      </c>
      <c r="C2114" s="5">
        <v>7</v>
      </c>
      <c r="D2114" s="9" t="s">
        <v>12</v>
      </c>
      <c r="E2114" s="10">
        <v>140</v>
      </c>
      <c r="F2114" s="10">
        <f t="shared" si="33"/>
        <v>980</v>
      </c>
    </row>
    <row r="2115" spans="1:6" s="9" customFormat="1" x14ac:dyDescent="0.25">
      <c r="C2115" s="5"/>
      <c r="E2115" s="10"/>
      <c r="F2115" s="8">
        <f>SUM(F2114)</f>
        <v>980</v>
      </c>
    </row>
    <row r="2116" spans="1:6" s="9" customFormat="1" x14ac:dyDescent="0.25">
      <c r="C2116" s="5"/>
      <c r="E2116" s="10"/>
      <c r="F2116" s="10"/>
    </row>
    <row r="2117" spans="1:6" s="9" customFormat="1" x14ac:dyDescent="0.25">
      <c r="A2117" s="9" t="s">
        <v>117</v>
      </c>
      <c r="B2117" s="4">
        <v>45869</v>
      </c>
      <c r="C2117" s="5">
        <v>5</v>
      </c>
      <c r="D2117" s="9" t="s">
        <v>13</v>
      </c>
      <c r="E2117" s="10">
        <v>150</v>
      </c>
      <c r="F2117" s="10">
        <f t="shared" si="33"/>
        <v>750</v>
      </c>
    </row>
    <row r="2118" spans="1:6" s="9" customFormat="1" x14ac:dyDescent="0.25">
      <c r="C2118" s="5"/>
      <c r="E2118" s="10"/>
      <c r="F2118" s="8">
        <f>SUM(F2117)</f>
        <v>750</v>
      </c>
    </row>
    <row r="2119" spans="1:6" s="9" customFormat="1" x14ac:dyDescent="0.25">
      <c r="C2119" s="5"/>
      <c r="E2119" s="10"/>
      <c r="F2119" s="10"/>
    </row>
    <row r="2120" spans="1:6" s="9" customFormat="1" x14ac:dyDescent="0.25">
      <c r="A2120" s="9" t="s">
        <v>65</v>
      </c>
      <c r="B2120" s="4">
        <v>45869</v>
      </c>
      <c r="C2120" s="5">
        <v>250</v>
      </c>
      <c r="D2120" s="9" t="s">
        <v>13</v>
      </c>
      <c r="E2120" s="10">
        <v>145</v>
      </c>
      <c r="F2120" s="10">
        <f t="shared" si="33"/>
        <v>36250</v>
      </c>
    </row>
    <row r="2121" spans="1:6" s="9" customFormat="1" x14ac:dyDescent="0.25">
      <c r="C2121" s="5">
        <v>300</v>
      </c>
      <c r="D2121" s="9" t="s">
        <v>12</v>
      </c>
      <c r="E2121" s="10">
        <v>135</v>
      </c>
      <c r="F2121" s="10">
        <f t="shared" si="33"/>
        <v>40500</v>
      </c>
    </row>
    <row r="2122" spans="1:6" s="9" customFormat="1" x14ac:dyDescent="0.25">
      <c r="C2122" s="5">
        <v>150</v>
      </c>
      <c r="D2122" s="9" t="s">
        <v>22</v>
      </c>
      <c r="E2122" s="10">
        <v>125</v>
      </c>
      <c r="F2122" s="10">
        <f t="shared" si="33"/>
        <v>18750</v>
      </c>
    </row>
    <row r="2123" spans="1:6" s="9" customFormat="1" x14ac:dyDescent="0.25">
      <c r="C2123" s="5"/>
      <c r="E2123" s="10"/>
      <c r="F2123" s="8">
        <f>SUM(F2120:F2122)</f>
        <v>95500</v>
      </c>
    </row>
    <row r="2124" spans="1:6" s="9" customFormat="1" x14ac:dyDescent="0.25">
      <c r="C2124" s="5"/>
      <c r="E2124" s="10"/>
      <c r="F2124" s="10"/>
    </row>
    <row r="2125" spans="1:6" s="9" customFormat="1" x14ac:dyDescent="0.25">
      <c r="A2125" s="9" t="s">
        <v>100</v>
      </c>
      <c r="B2125" s="4">
        <v>45869</v>
      </c>
      <c r="C2125" s="5">
        <v>10</v>
      </c>
      <c r="D2125" s="9" t="s">
        <v>13</v>
      </c>
      <c r="E2125" s="10">
        <v>140</v>
      </c>
      <c r="F2125" s="10">
        <f t="shared" si="33"/>
        <v>1400</v>
      </c>
    </row>
    <row r="2126" spans="1:6" s="9" customFormat="1" x14ac:dyDescent="0.25">
      <c r="C2126" s="5"/>
      <c r="E2126" s="10"/>
      <c r="F2126" s="8">
        <f>SUM(F2125)</f>
        <v>1400</v>
      </c>
    </row>
    <row r="2127" spans="1:6" s="9" customFormat="1" x14ac:dyDescent="0.25">
      <c r="C2127" s="5"/>
      <c r="E2127" s="10"/>
      <c r="F2127" s="10"/>
    </row>
    <row r="2128" spans="1:6" s="9" customFormat="1" x14ac:dyDescent="0.25">
      <c r="A2128" s="9" t="s">
        <v>29</v>
      </c>
      <c r="B2128" s="4">
        <v>45869</v>
      </c>
      <c r="C2128" s="5">
        <v>2</v>
      </c>
      <c r="D2128" s="9" t="s">
        <v>98</v>
      </c>
      <c r="E2128" s="10">
        <v>100</v>
      </c>
      <c r="F2128" s="10">
        <f t="shared" si="33"/>
        <v>200</v>
      </c>
    </row>
    <row r="2129" spans="3:7" s="9" customFormat="1" x14ac:dyDescent="0.25">
      <c r="C2129" s="5">
        <v>1</v>
      </c>
      <c r="D2129" s="9" t="s">
        <v>13</v>
      </c>
      <c r="E2129" s="10">
        <v>150</v>
      </c>
      <c r="F2129" s="10">
        <f t="shared" si="33"/>
        <v>150</v>
      </c>
    </row>
    <row r="2130" spans="3:7" s="9" customFormat="1" x14ac:dyDescent="0.25">
      <c r="C2130" s="5">
        <v>1</v>
      </c>
      <c r="D2130" s="9" t="s">
        <v>12</v>
      </c>
      <c r="E2130" s="10">
        <v>150</v>
      </c>
      <c r="F2130" s="10">
        <f t="shared" si="33"/>
        <v>150</v>
      </c>
    </row>
    <row r="2131" spans="3:7" s="9" customFormat="1" x14ac:dyDescent="0.25">
      <c r="C2131" s="5">
        <v>1</v>
      </c>
      <c r="D2131" s="9" t="s">
        <v>8</v>
      </c>
      <c r="E2131" s="10">
        <v>150</v>
      </c>
      <c r="F2131" s="10">
        <f t="shared" si="33"/>
        <v>150</v>
      </c>
    </row>
    <row r="2132" spans="3:7" s="9" customFormat="1" x14ac:dyDescent="0.25">
      <c r="C2132" s="5">
        <v>1</v>
      </c>
      <c r="D2132" s="9" t="s">
        <v>13</v>
      </c>
      <c r="E2132" s="10">
        <v>140</v>
      </c>
      <c r="F2132" s="10">
        <f t="shared" si="33"/>
        <v>140</v>
      </c>
    </row>
    <row r="2133" spans="3:7" s="9" customFormat="1" x14ac:dyDescent="0.25">
      <c r="C2133" s="5"/>
      <c r="E2133" s="10"/>
      <c r="F2133" s="8">
        <f>SUM(F2128:F2132)</f>
        <v>790</v>
      </c>
    </row>
    <row r="2134" spans="3:7" s="9" customFormat="1" x14ac:dyDescent="0.25">
      <c r="C2134" s="5"/>
      <c r="E2134" s="10"/>
      <c r="F2134" s="10"/>
    </row>
    <row r="2135" spans="3:7" s="9" customFormat="1" x14ac:dyDescent="0.25">
      <c r="C2135" s="5"/>
      <c r="E2135" s="10"/>
      <c r="F2135" s="10">
        <f t="shared" ref="F2135:F2136" si="34">+C2135*E2135</f>
        <v>0</v>
      </c>
    </row>
    <row r="2136" spans="3:7" s="9" customFormat="1" x14ac:dyDescent="0.25">
      <c r="C2136" s="5"/>
      <c r="E2136" s="10"/>
      <c r="F2136" s="10">
        <f t="shared" si="34"/>
        <v>0</v>
      </c>
    </row>
    <row r="2137" spans="3:7" s="9" customFormat="1" x14ac:dyDescent="0.25">
      <c r="C2137" s="5"/>
      <c r="E2137" s="10"/>
      <c r="F2137" s="10"/>
    </row>
    <row r="2138" spans="3:7" ht="15.75" x14ac:dyDescent="0.25">
      <c r="D2138" s="9"/>
      <c r="F2138" s="7" t="s">
        <v>294</v>
      </c>
      <c r="G2138" s="7">
        <f>+F4+F8+F11+F14+F19+F25+F30+F33+F38+F41+F47+F54+F58+F62+F65+F68+F71+F74+F77+F83+F87+F90+F95+F98+F102+F105+F108+F111+F114+F117+F122+F125+F128+F131+F134+F137+F141+F146+F149+F154+F159+F164+F171+F176+F179+F182+F185+F188+F192+F196+F200+F203+F206+F209+F212+F215+F220+F223+F229+F232+F235+F238+F241+F244+F248+F251+F256+F259+F262+F265+F270+F273+F276+F279+F282+F285+F288+F292+F295+F299+F302+F305+F309+F317+F320+F324+F327+F335+F338+F342+F345+F349+F352+F355+F358+F361+F364+F367+F370+F373+F378+F384+F391+F394+F397+F403+F408+F411+F414+F417+F420+F423+F426+F429+F432+F435+F438+F441+F444+F447+F450+F453+F456+F459+F462+F465+F468+F471+F474+F477+F481+F484+F489+F492+F495+F499+F503+F506+F510+F513+F516+F520+F523+F530+F535+F539+F542+F548+F552+F557+F563+F569+F572+F575+F578+F581+F584+F587+F591+F594+F597+F600+F603+F606+F609+F612+F615+F618+F622+F625+F629+F632+F636+F641+F645+F648+F651+F654+F658+F663+F669+F672+F675+F678+F682+F687+F690+F693+F696+F700+F703+F708+F713+F716+F719+F722+F725+F728+F731+F735+F739+F743+F747+F750+F753+F756+F759+F762+F765+F769+F772+F775+F779+F784+F787+F791+F794+F798+F801+F804+F808+F811+F815+F818+F821+F824+F827+F830+F834+F837+F840+F843+F846+F849+F855+F858+F865+F869+F877+F884+F888+F891+F894+F897+F900+F905+F908+F911+F914+F917+F920+F923+F926+F929+F932+F935+F939+F942+F945+F948+F951+F954+F957+F961+F965+F968+F971+F975+F978+F983+F988+F991+F994+F997+F1001+F1005+F1008+F1011+F1016+F1024+F1027+F1030+F1033+F1036+F1039+F1042+F1045+F1050+F1054+F1057+F1061+F1067+F1072+F1075+F1079+F1082+F1085+F1089+F1092+F1095+F1098+F1101+F1104+F1107+F1110+F1116+F1119+F1122+F1127+F1131+F1134+F1137+F1141+F1145+F1151+F1155+F1159+F1164+F1167+F1170+F1173+F1176+F1180+F1183+F1189+F1192+F1195+F1198+F1205+F1208+F1211+F1214+F1217+F1221+F1224+F1227+F1230+F1234+F1238+F1242+F1246+F1252+F1256+F1259+F1262+F1267+F1271+F1274+F1277+F1280+F1284+F1290+F1294+F1297+F1300+F1303+F1311+F1314+F1317+F1320+F1323+F1326+F1330+F1336+F1342+F1345+F1354+F1360+F1363+F1366+F1369+F1372+F1375+F1378+F1384+F1387+F1391+F1394+F1397+F1400+F1403+F1406+F1409+F1412+F1415+F1419+F1424+F1427+F1430+F1434+F1437+F1440+F1443+F1446+F1449+F1455+F1460+F1463+F1466+F1469+F1472+F1475+F1478+F1481+F1485+F1488+F1491+F1497+F1500+F1503+F1506+F1509+F1514+F1517+F1520+F1524+F1527+F1532+F1535+F1538+F1541+F1544+F1547+F1551+F1554+F1558+F1561+F1564+F1569+F1574+F1577+F1580+F1583+F1589+F1594+F1603+F1606+F1609+F1612+F1615+F1619+F1623+F1627+F1630+F1634+F1637+F1640+F1643+F1646+F1649+F1652+F1655+F1660+F1663+F1668+F1672+F1675+F1678+F1681+F1684+F1687+F1690+F1694+F1697+F1701+F1704+F1707+F1710+F1714+F1717+F1720+F1723+F1726+F1729+F1737+F1742+F1745+F1748+F1751+F1755+F1758+F1762+F1765+F1768+F1774+F1785+F1790+F1794+F1799+F1806+F1810+F1813+F1816+F1819+F1822+F1825+F1828+F1832+F1836+F1844+F1847+F1850+F1853+F1856+F1859+F1862+F1865+F1868+F1871+F1874+F1879+F1885+F1888+F1891+F1894+F1897+F1900+F1903+F1906+F1909+F1912+F1917+F1920+F1923+F1926+F1929+F1933+F1936+F1941+F1947+F1951+F1956+F1963+F1967+F1972+F1979+F1982+F1985+F1988+F1991+F1994+F1997+F2000+F2005+F2009+F2013+F2016+F2020+F2023+F2026+F2029+F2032+F2035+F2038+F2041+F2044+F2047+F2050+F2053+F2059+F2062+F2066+F2070+F2073+F2076+F2081+F2084+F2087+F2091+F2096+F2099+F2103+F2107+F2112+F2115+F2118+F2123+F2126+F2133</f>
        <v>4676057.4989899993</v>
      </c>
    </row>
    <row r="2139" spans="3:7" x14ac:dyDescent="0.25">
      <c r="D2139" s="9"/>
      <c r="G2139" s="10">
        <v>4676057.5</v>
      </c>
    </row>
  </sheetData>
  <sortState xmlns:xlrd2="http://schemas.microsoft.com/office/spreadsheetml/2017/richdata2" ref="A461">
    <sortCondition descending="1" ref="A461"/>
  </sortState>
  <mergeCells count="1">
    <mergeCell ref="A1:F1"/>
  </mergeCells>
  <pageMargins left="0.32" right="0.70866141732283472" top="0.25" bottom="0.19" header="0.21" footer="0.18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A7C7-69D8-423A-A630-D3E470A54DDF}">
  <dimension ref="A1:M1983"/>
  <sheetViews>
    <sheetView topLeftCell="A1954" workbookViewId="0">
      <selection activeCell="G1984" sqref="G1984"/>
    </sheetView>
  </sheetViews>
  <sheetFormatPr baseColWidth="10" defaultColWidth="11.42578125" defaultRowHeight="15" x14ac:dyDescent="0.25"/>
  <cols>
    <col min="1" max="1" width="22" bestFit="1" customWidth="1"/>
    <col min="3" max="3" width="11.42578125" style="5"/>
    <col min="4" max="4" width="50.140625" customWidth="1"/>
    <col min="5" max="5" width="18.140625" style="10" bestFit="1" customWidth="1"/>
    <col min="6" max="6" width="13.7109375" style="10" bestFit="1" customWidth="1"/>
    <col min="7" max="7" width="16.85546875" bestFit="1" customWidth="1"/>
  </cols>
  <sheetData>
    <row r="1" spans="1:13" ht="15.75" x14ac:dyDescent="0.25">
      <c r="A1" s="30" t="s">
        <v>0</v>
      </c>
      <c r="B1" s="30"/>
      <c r="C1" s="30"/>
      <c r="D1" s="30"/>
      <c r="E1" s="30"/>
      <c r="F1" s="30"/>
      <c r="G1" s="9"/>
      <c r="H1" s="9"/>
      <c r="I1" s="9"/>
      <c r="J1" s="9"/>
      <c r="K1" s="9"/>
      <c r="L1" s="9"/>
      <c r="M1" s="9"/>
    </row>
    <row r="2" spans="1:13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  <c r="G2" s="9"/>
      <c r="H2" s="9"/>
      <c r="I2" s="9"/>
      <c r="J2" s="9"/>
      <c r="K2" s="9"/>
      <c r="L2" s="9"/>
      <c r="M2" s="9"/>
    </row>
    <row r="3" spans="1:13" x14ac:dyDescent="0.25">
      <c r="A3" s="9" t="s">
        <v>514</v>
      </c>
      <c r="B3" s="4">
        <v>45870</v>
      </c>
      <c r="C3" s="5">
        <v>15</v>
      </c>
      <c r="D3" s="9" t="s">
        <v>98</v>
      </c>
      <c r="E3" s="10">
        <v>100</v>
      </c>
      <c r="F3" s="10">
        <f>+C3*E3</f>
        <v>1500</v>
      </c>
      <c r="G3" s="9"/>
      <c r="H3" s="9"/>
      <c r="I3" s="9"/>
      <c r="J3" s="9"/>
      <c r="K3" s="9"/>
      <c r="L3" s="9"/>
      <c r="M3" s="9"/>
    </row>
    <row r="4" spans="1:13" x14ac:dyDescent="0.25">
      <c r="A4" s="9"/>
      <c r="B4" s="4"/>
      <c r="D4" s="9"/>
      <c r="F4" s="8">
        <f>SUM(F3)</f>
        <v>1500</v>
      </c>
      <c r="G4" s="9"/>
      <c r="H4" s="9"/>
      <c r="I4" s="9"/>
      <c r="J4" s="9"/>
      <c r="K4" s="9"/>
      <c r="L4" s="9"/>
      <c r="M4" s="9" t="s">
        <v>460</v>
      </c>
    </row>
    <row r="5" spans="1:13" x14ac:dyDescent="0.25">
      <c r="A5" s="9"/>
      <c r="B5" s="4"/>
      <c r="D5" s="9"/>
      <c r="G5" s="9"/>
      <c r="H5" s="9"/>
      <c r="I5" s="9"/>
      <c r="J5" s="9"/>
      <c r="K5" s="9"/>
      <c r="L5" s="9"/>
      <c r="M5" s="9"/>
    </row>
    <row r="6" spans="1:13" x14ac:dyDescent="0.25">
      <c r="A6" s="9" t="s">
        <v>15</v>
      </c>
      <c r="B6" s="4">
        <v>45870</v>
      </c>
      <c r="C6" s="5">
        <v>60</v>
      </c>
      <c r="D6" s="9" t="s">
        <v>98</v>
      </c>
      <c r="E6" s="10">
        <v>90</v>
      </c>
      <c r="F6" s="10">
        <f t="shared" ref="F6:F66" si="0">+C6*E6</f>
        <v>5400</v>
      </c>
      <c r="G6" s="9"/>
      <c r="H6" s="9"/>
      <c r="I6" s="9"/>
      <c r="J6" s="9"/>
      <c r="K6" s="9"/>
      <c r="L6" s="9"/>
      <c r="M6" s="9"/>
    </row>
    <row r="7" spans="1:13" x14ac:dyDescent="0.25">
      <c r="A7" s="9"/>
      <c r="B7" s="4"/>
      <c r="D7" s="9"/>
      <c r="F7" s="8">
        <f>SUM(F6)</f>
        <v>5400</v>
      </c>
      <c r="G7" s="9"/>
      <c r="H7" s="9"/>
      <c r="I7" s="9"/>
      <c r="J7" s="9"/>
      <c r="K7" s="9"/>
      <c r="L7" s="9"/>
      <c r="M7" s="9"/>
    </row>
    <row r="8" spans="1:13" x14ac:dyDescent="0.25">
      <c r="A8" s="9"/>
      <c r="B8" s="4"/>
      <c r="D8" s="9"/>
      <c r="G8" s="9"/>
      <c r="H8" s="9"/>
      <c r="I8" s="9"/>
      <c r="J8" s="9"/>
      <c r="K8" s="9"/>
      <c r="L8" s="9"/>
      <c r="M8" s="9"/>
    </row>
    <row r="9" spans="1:13" x14ac:dyDescent="0.25">
      <c r="A9" s="9" t="s">
        <v>69</v>
      </c>
      <c r="B9" s="4">
        <v>45870</v>
      </c>
      <c r="C9" s="5">
        <v>10</v>
      </c>
      <c r="D9" s="9" t="s">
        <v>98</v>
      </c>
      <c r="E9" s="10">
        <v>100</v>
      </c>
      <c r="F9" s="10">
        <f t="shared" si="0"/>
        <v>1000</v>
      </c>
      <c r="G9" s="9"/>
      <c r="H9" s="9"/>
      <c r="I9" s="9"/>
      <c r="J9" s="9"/>
      <c r="K9" s="9"/>
      <c r="L9" s="9"/>
      <c r="M9" s="9"/>
    </row>
    <row r="10" spans="1:13" x14ac:dyDescent="0.25">
      <c r="A10" s="9"/>
      <c r="B10" s="4"/>
      <c r="D10" s="9"/>
      <c r="F10" s="8">
        <f>SUM(F9)</f>
        <v>1000</v>
      </c>
      <c r="G10" s="9"/>
      <c r="H10" s="9"/>
      <c r="I10" s="9"/>
      <c r="J10" s="9"/>
      <c r="K10" s="9"/>
      <c r="L10" s="9"/>
      <c r="M10" s="9"/>
    </row>
    <row r="11" spans="1:13" x14ac:dyDescent="0.25">
      <c r="A11" s="9"/>
      <c r="B11" s="4"/>
      <c r="D11" s="9"/>
      <c r="G11" s="9"/>
      <c r="H11" s="9"/>
      <c r="I11" s="9"/>
      <c r="J11" s="9"/>
      <c r="K11" s="9"/>
      <c r="L11" s="9"/>
      <c r="M11" s="9"/>
    </row>
    <row r="12" spans="1:13" x14ac:dyDescent="0.25">
      <c r="A12" s="9" t="s">
        <v>17</v>
      </c>
      <c r="B12" s="4">
        <v>45870</v>
      </c>
      <c r="C12" s="5">
        <v>20</v>
      </c>
      <c r="D12" s="9" t="s">
        <v>13</v>
      </c>
      <c r="E12" s="10">
        <v>150</v>
      </c>
      <c r="F12" s="10">
        <f t="shared" si="0"/>
        <v>3000</v>
      </c>
      <c r="G12" s="9"/>
      <c r="H12" s="9"/>
      <c r="I12" s="9"/>
      <c r="J12" s="9"/>
      <c r="K12" s="9"/>
      <c r="L12" s="9"/>
      <c r="M12" s="9"/>
    </row>
    <row r="13" spans="1:13" x14ac:dyDescent="0.25">
      <c r="A13" s="9"/>
      <c r="B13" s="4"/>
      <c r="D13" s="9"/>
      <c r="F13" s="8">
        <f>SUM(F12)</f>
        <v>3000</v>
      </c>
      <c r="G13" s="9"/>
      <c r="H13" s="9"/>
      <c r="I13" s="9"/>
      <c r="J13" s="9"/>
      <c r="K13" s="9"/>
      <c r="L13" s="9"/>
      <c r="M13" s="9"/>
    </row>
    <row r="14" spans="1:13" x14ac:dyDescent="0.25">
      <c r="A14" s="9"/>
      <c r="B14" s="4"/>
      <c r="D14" s="9"/>
      <c r="G14" s="9"/>
      <c r="H14" s="9"/>
      <c r="I14" s="9"/>
      <c r="J14" s="9"/>
      <c r="K14" s="9"/>
      <c r="L14" s="9"/>
      <c r="M14" s="9"/>
    </row>
    <row r="15" spans="1:13" x14ac:dyDescent="0.25">
      <c r="A15" s="9" t="s">
        <v>20</v>
      </c>
      <c r="B15" s="4">
        <v>45870</v>
      </c>
      <c r="C15" s="5">
        <v>20</v>
      </c>
      <c r="D15" s="9" t="s">
        <v>13</v>
      </c>
      <c r="E15" s="10">
        <v>150</v>
      </c>
      <c r="F15" s="10">
        <f t="shared" si="0"/>
        <v>3000</v>
      </c>
      <c r="G15" s="9"/>
      <c r="H15" s="9"/>
      <c r="I15" s="9"/>
      <c r="J15" s="9"/>
      <c r="K15" s="9"/>
      <c r="L15" s="9"/>
      <c r="M15" s="9"/>
    </row>
    <row r="16" spans="1:13" x14ac:dyDescent="0.25">
      <c r="A16" s="9"/>
      <c r="B16" s="4"/>
      <c r="D16" s="9"/>
      <c r="F16" s="8">
        <f>SUM(F15)</f>
        <v>3000</v>
      </c>
      <c r="G16" s="9"/>
      <c r="H16" s="9"/>
      <c r="I16" s="9"/>
      <c r="J16" s="9"/>
      <c r="K16" s="9"/>
      <c r="L16" s="9"/>
      <c r="M16" s="9"/>
    </row>
    <row r="17" spans="1:6" x14ac:dyDescent="0.25">
      <c r="A17" s="9"/>
      <c r="B17" s="4"/>
      <c r="D17" s="9"/>
    </row>
    <row r="18" spans="1:6" x14ac:dyDescent="0.25">
      <c r="A18" s="9" t="s">
        <v>482</v>
      </c>
      <c r="B18" s="4">
        <v>45870</v>
      </c>
      <c r="C18" s="5">
        <v>10</v>
      </c>
      <c r="D18" s="9" t="s">
        <v>13</v>
      </c>
      <c r="E18" s="10">
        <v>150</v>
      </c>
      <c r="F18" s="10">
        <f t="shared" si="0"/>
        <v>1500</v>
      </c>
    </row>
    <row r="19" spans="1:6" x14ac:dyDescent="0.25">
      <c r="A19" s="9"/>
      <c r="B19" s="4"/>
      <c r="D19" s="9"/>
      <c r="F19" s="8">
        <f>SUM(F18)</f>
        <v>1500</v>
      </c>
    </row>
    <row r="20" spans="1:6" x14ac:dyDescent="0.25">
      <c r="A20" s="9"/>
      <c r="B20" s="4"/>
      <c r="D20" s="9"/>
    </row>
    <row r="21" spans="1:6" x14ac:dyDescent="0.25">
      <c r="A21" s="9" t="s">
        <v>21</v>
      </c>
      <c r="B21" s="4">
        <v>45870</v>
      </c>
      <c r="C21" s="5">
        <v>20</v>
      </c>
      <c r="D21" s="9" t="s">
        <v>22</v>
      </c>
      <c r="E21" s="10">
        <v>120</v>
      </c>
      <c r="F21" s="10">
        <f t="shared" si="0"/>
        <v>2400</v>
      </c>
    </row>
    <row r="22" spans="1:6" x14ac:dyDescent="0.25">
      <c r="A22" s="9"/>
      <c r="B22" s="4"/>
      <c r="C22" s="5">
        <v>10</v>
      </c>
      <c r="D22" s="9" t="s">
        <v>12</v>
      </c>
      <c r="E22" s="10">
        <v>145</v>
      </c>
      <c r="F22" s="10">
        <f t="shared" si="0"/>
        <v>1450</v>
      </c>
    </row>
    <row r="23" spans="1:6" x14ac:dyDescent="0.25">
      <c r="A23" s="9"/>
      <c r="B23" s="4"/>
      <c r="D23" s="9"/>
      <c r="F23" s="8">
        <f>SUM(F21:F22)</f>
        <v>3850</v>
      </c>
    </row>
    <row r="24" spans="1:6" x14ac:dyDescent="0.25">
      <c r="A24" s="9"/>
      <c r="B24" s="4"/>
      <c r="D24" s="9"/>
    </row>
    <row r="25" spans="1:6" x14ac:dyDescent="0.25">
      <c r="A25" s="9" t="s">
        <v>57</v>
      </c>
      <c r="B25" s="4">
        <v>45870</v>
      </c>
      <c r="C25" s="5">
        <v>10</v>
      </c>
      <c r="D25" s="9" t="s">
        <v>14</v>
      </c>
      <c r="E25" s="10">
        <v>145</v>
      </c>
      <c r="F25" s="10">
        <f t="shared" si="0"/>
        <v>1450</v>
      </c>
    </row>
    <row r="26" spans="1:6" x14ac:dyDescent="0.25">
      <c r="A26" s="9"/>
      <c r="B26" s="4"/>
      <c r="D26" s="9"/>
      <c r="F26" s="8">
        <f>SUM(F25)</f>
        <v>1450</v>
      </c>
    </row>
    <row r="27" spans="1:6" x14ac:dyDescent="0.25">
      <c r="A27" s="9"/>
      <c r="B27" s="4"/>
      <c r="D27" s="9"/>
    </row>
    <row r="28" spans="1:6" x14ac:dyDescent="0.25">
      <c r="A28" s="9" t="s">
        <v>40</v>
      </c>
      <c r="B28" s="4">
        <v>45870</v>
      </c>
      <c r="C28" s="5">
        <v>10</v>
      </c>
      <c r="D28" s="9" t="s">
        <v>22</v>
      </c>
      <c r="E28" s="10">
        <v>120</v>
      </c>
      <c r="F28" s="10">
        <f t="shared" si="0"/>
        <v>1200</v>
      </c>
    </row>
    <row r="29" spans="1:6" x14ac:dyDescent="0.25">
      <c r="A29" s="9"/>
      <c r="B29" s="4"/>
      <c r="C29" s="5">
        <v>14</v>
      </c>
      <c r="D29" s="9" t="s">
        <v>50</v>
      </c>
      <c r="E29" s="10">
        <v>120</v>
      </c>
      <c r="F29" s="10">
        <f t="shared" si="0"/>
        <v>1680</v>
      </c>
    </row>
    <row r="30" spans="1:6" x14ac:dyDescent="0.25">
      <c r="A30" s="9"/>
      <c r="B30" s="4"/>
      <c r="C30" s="5">
        <v>13</v>
      </c>
      <c r="D30" s="9" t="s">
        <v>13</v>
      </c>
      <c r="E30" s="10">
        <v>150</v>
      </c>
      <c r="F30" s="10">
        <f t="shared" si="0"/>
        <v>1950</v>
      </c>
    </row>
    <row r="31" spans="1:6" x14ac:dyDescent="0.25">
      <c r="A31" s="9"/>
      <c r="B31" s="4"/>
      <c r="C31" s="5">
        <v>20</v>
      </c>
      <c r="D31" s="9" t="s">
        <v>14</v>
      </c>
      <c r="E31" s="10">
        <v>145</v>
      </c>
      <c r="F31" s="10">
        <f t="shared" si="0"/>
        <v>2900</v>
      </c>
    </row>
    <row r="32" spans="1:6" x14ac:dyDescent="0.25">
      <c r="A32" s="9"/>
      <c r="B32" s="4"/>
      <c r="D32" s="9"/>
      <c r="F32" s="8">
        <f>SUM(F28:F31)</f>
        <v>7730</v>
      </c>
    </row>
    <row r="33" spans="1:6" x14ac:dyDescent="0.25">
      <c r="A33" s="9"/>
      <c r="B33" s="4"/>
      <c r="D33" s="9"/>
    </row>
    <row r="34" spans="1:6" x14ac:dyDescent="0.25">
      <c r="A34" s="9" t="s">
        <v>18</v>
      </c>
      <c r="B34" s="4">
        <v>45870</v>
      </c>
      <c r="C34" s="5">
        <v>16</v>
      </c>
      <c r="D34" s="9" t="s">
        <v>13</v>
      </c>
      <c r="E34" s="10">
        <v>150</v>
      </c>
      <c r="F34" s="10">
        <f t="shared" si="0"/>
        <v>2400</v>
      </c>
    </row>
    <row r="35" spans="1:6" x14ac:dyDescent="0.25">
      <c r="A35" s="9"/>
      <c r="B35" s="4"/>
      <c r="D35" s="9"/>
      <c r="F35" s="8">
        <f>SUM(F34)</f>
        <v>2400</v>
      </c>
    </row>
    <row r="36" spans="1:6" x14ac:dyDescent="0.25">
      <c r="A36" s="9"/>
      <c r="B36" s="4"/>
      <c r="D36" s="9"/>
    </row>
    <row r="37" spans="1:6" x14ac:dyDescent="0.25">
      <c r="A37" s="9" t="s">
        <v>591</v>
      </c>
      <c r="B37" s="4">
        <v>45870</v>
      </c>
      <c r="C37" s="5">
        <v>5</v>
      </c>
      <c r="D37" s="9" t="s">
        <v>13</v>
      </c>
      <c r="E37" s="10">
        <v>145</v>
      </c>
      <c r="F37" s="10">
        <f t="shared" si="0"/>
        <v>725</v>
      </c>
    </row>
    <row r="38" spans="1:6" x14ac:dyDescent="0.25">
      <c r="A38" s="9"/>
      <c r="B38" s="4"/>
      <c r="D38" s="9"/>
      <c r="F38" s="8">
        <f>SUM(F37)</f>
        <v>725</v>
      </c>
    </row>
    <row r="39" spans="1:6" x14ac:dyDescent="0.25">
      <c r="A39" s="9"/>
      <c r="B39" s="4"/>
      <c r="D39" s="9"/>
    </row>
    <row r="40" spans="1:6" x14ac:dyDescent="0.25">
      <c r="A40" s="9" t="s">
        <v>780</v>
      </c>
      <c r="B40" s="4">
        <v>45870</v>
      </c>
      <c r="C40" s="5">
        <v>5</v>
      </c>
      <c r="D40" s="9" t="s">
        <v>14</v>
      </c>
      <c r="E40" s="10">
        <v>145</v>
      </c>
      <c r="F40" s="10">
        <f t="shared" si="0"/>
        <v>725</v>
      </c>
    </row>
    <row r="41" spans="1:6" x14ac:dyDescent="0.25">
      <c r="A41" s="9"/>
      <c r="B41" s="4"/>
      <c r="D41" s="9"/>
      <c r="F41" s="8">
        <f>SUM(F40)</f>
        <v>725</v>
      </c>
    </row>
    <row r="42" spans="1:6" x14ac:dyDescent="0.25">
      <c r="A42" s="9"/>
      <c r="B42" s="4"/>
      <c r="D42" s="9"/>
    </row>
    <row r="43" spans="1:6" x14ac:dyDescent="0.25">
      <c r="A43" s="9" t="s">
        <v>41</v>
      </c>
      <c r="B43" s="4">
        <v>45870</v>
      </c>
      <c r="C43" s="5">
        <v>30</v>
      </c>
      <c r="D43" s="9" t="s">
        <v>14</v>
      </c>
      <c r="E43" s="10">
        <v>135</v>
      </c>
      <c r="F43" s="10">
        <f t="shared" si="0"/>
        <v>4050</v>
      </c>
    </row>
    <row r="44" spans="1:6" x14ac:dyDescent="0.25">
      <c r="A44" s="9"/>
      <c r="B44" s="4"/>
      <c r="D44" s="9"/>
      <c r="F44" s="8">
        <f>SUM(F43)</f>
        <v>4050</v>
      </c>
    </row>
    <row r="45" spans="1:6" x14ac:dyDescent="0.25">
      <c r="A45" s="9"/>
      <c r="B45" s="4"/>
      <c r="D45" s="9"/>
    </row>
    <row r="46" spans="1:6" x14ac:dyDescent="0.25">
      <c r="A46" s="9" t="s">
        <v>106</v>
      </c>
      <c r="B46" s="4">
        <v>45870</v>
      </c>
      <c r="C46" s="5">
        <v>70</v>
      </c>
      <c r="D46" s="9" t="s">
        <v>11</v>
      </c>
      <c r="E46" s="10">
        <v>140</v>
      </c>
      <c r="F46" s="10">
        <f t="shared" si="0"/>
        <v>9800</v>
      </c>
    </row>
    <row r="47" spans="1:6" x14ac:dyDescent="0.25">
      <c r="A47" s="9"/>
      <c r="B47" s="4"/>
      <c r="D47" s="9"/>
      <c r="F47" s="8">
        <f>SUM(F46)</f>
        <v>9800</v>
      </c>
    </row>
    <row r="48" spans="1:6" x14ac:dyDescent="0.25">
      <c r="A48" s="9"/>
      <c r="B48" s="4"/>
      <c r="D48" s="9"/>
    </row>
    <row r="49" spans="1:13" x14ac:dyDescent="0.25">
      <c r="A49" s="9" t="s">
        <v>42</v>
      </c>
      <c r="B49" s="4">
        <v>45870</v>
      </c>
      <c r="C49" s="5">
        <v>10</v>
      </c>
      <c r="D49" s="9" t="s">
        <v>14</v>
      </c>
      <c r="E49" s="10">
        <v>145</v>
      </c>
      <c r="F49" s="10">
        <f t="shared" si="0"/>
        <v>1450</v>
      </c>
      <c r="G49" s="9"/>
      <c r="H49" s="9"/>
      <c r="I49" s="9"/>
      <c r="J49" s="9"/>
      <c r="K49" s="9"/>
      <c r="L49" s="9"/>
      <c r="M49" s="9"/>
    </row>
    <row r="50" spans="1:13" x14ac:dyDescent="0.25">
      <c r="A50" s="9"/>
      <c r="B50" s="4"/>
      <c r="D50" s="9"/>
      <c r="F50" s="8">
        <f>SUM(F49)</f>
        <v>1450</v>
      </c>
      <c r="G50" s="9"/>
      <c r="H50" s="9"/>
      <c r="I50" s="9"/>
      <c r="J50" s="9"/>
      <c r="K50" s="9"/>
      <c r="L50" s="9"/>
      <c r="M50" s="9"/>
    </row>
    <row r="51" spans="1:13" x14ac:dyDescent="0.25">
      <c r="A51" s="9"/>
      <c r="B51" s="4"/>
      <c r="D51" s="9"/>
      <c r="G51" s="9"/>
      <c r="H51" s="9"/>
      <c r="I51" s="9"/>
      <c r="J51" s="9"/>
      <c r="K51" s="9"/>
      <c r="L51" s="9"/>
      <c r="M51" s="9"/>
    </row>
    <row r="52" spans="1:13" x14ac:dyDescent="0.25">
      <c r="A52" s="9" t="s">
        <v>43</v>
      </c>
      <c r="B52" s="4">
        <v>45870</v>
      </c>
      <c r="C52" s="5">
        <v>30</v>
      </c>
      <c r="D52" s="9" t="s">
        <v>14</v>
      </c>
      <c r="E52" s="10">
        <v>145</v>
      </c>
      <c r="F52" s="10">
        <f t="shared" si="0"/>
        <v>4350</v>
      </c>
      <c r="G52" s="14"/>
      <c r="H52" s="14"/>
      <c r="I52" s="14"/>
      <c r="J52" s="14"/>
      <c r="K52" s="14"/>
      <c r="L52" s="14"/>
      <c r="M52" s="14"/>
    </row>
    <row r="53" spans="1:13" x14ac:dyDescent="0.25">
      <c r="A53" s="9"/>
      <c r="B53" s="4"/>
      <c r="D53" s="9"/>
      <c r="F53" s="8">
        <f>SUM(F52)</f>
        <v>4350</v>
      </c>
      <c r="G53" s="14"/>
      <c r="H53" s="14"/>
      <c r="I53" s="14"/>
      <c r="J53" s="14"/>
      <c r="K53" s="14"/>
      <c r="L53" s="14"/>
      <c r="M53" s="14"/>
    </row>
    <row r="54" spans="1:13" x14ac:dyDescent="0.25">
      <c r="A54" s="9"/>
      <c r="B54" s="4"/>
      <c r="D54" s="9"/>
      <c r="G54" s="14"/>
      <c r="H54" s="14"/>
      <c r="I54" s="14"/>
      <c r="J54" s="14"/>
      <c r="K54" s="14"/>
      <c r="L54" s="14"/>
      <c r="M54" s="14"/>
    </row>
    <row r="55" spans="1:13" x14ac:dyDescent="0.25">
      <c r="A55" s="9" t="s">
        <v>273</v>
      </c>
      <c r="B55" s="4">
        <v>45870</v>
      </c>
      <c r="C55" s="5">
        <v>20</v>
      </c>
      <c r="D55" s="9" t="s">
        <v>14</v>
      </c>
      <c r="E55" s="10">
        <v>145</v>
      </c>
      <c r="F55" s="10">
        <f t="shared" si="0"/>
        <v>2900</v>
      </c>
      <c r="G55" s="14"/>
      <c r="H55" s="14"/>
      <c r="I55" s="14"/>
      <c r="J55" s="14"/>
      <c r="K55" s="14"/>
      <c r="L55" s="14"/>
      <c r="M55" s="14"/>
    </row>
    <row r="56" spans="1:13" x14ac:dyDescent="0.25">
      <c r="A56" s="9"/>
      <c r="B56" s="4"/>
      <c r="D56" s="9"/>
      <c r="F56" s="8">
        <f>SUM(F55)</f>
        <v>2900</v>
      </c>
      <c r="G56" s="14"/>
      <c r="H56" s="14"/>
      <c r="I56" s="14"/>
      <c r="J56" s="14"/>
      <c r="K56" s="14"/>
      <c r="L56" s="14"/>
      <c r="M56" s="14"/>
    </row>
    <row r="57" spans="1:13" x14ac:dyDescent="0.25">
      <c r="A57" s="9"/>
      <c r="B57" s="4"/>
      <c r="D57" s="9"/>
      <c r="G57" s="14"/>
      <c r="H57" s="14"/>
      <c r="I57" s="14"/>
      <c r="J57" s="14"/>
      <c r="K57" s="14"/>
      <c r="L57" s="14"/>
      <c r="M57" s="14"/>
    </row>
    <row r="58" spans="1:13" x14ac:dyDescent="0.25">
      <c r="A58" s="9" t="s">
        <v>44</v>
      </c>
      <c r="B58" s="4">
        <v>45870</v>
      </c>
      <c r="C58" s="5">
        <v>50</v>
      </c>
      <c r="D58" s="9" t="s">
        <v>14</v>
      </c>
      <c r="E58" s="10">
        <v>140</v>
      </c>
      <c r="F58" s="10">
        <f t="shared" si="0"/>
        <v>7000</v>
      </c>
      <c r="G58" s="14"/>
      <c r="H58" s="14"/>
      <c r="I58" s="14"/>
      <c r="J58" s="14"/>
      <c r="K58" s="14"/>
      <c r="L58" s="14"/>
      <c r="M58" s="14"/>
    </row>
    <row r="59" spans="1:13" x14ac:dyDescent="0.25">
      <c r="A59" s="9"/>
      <c r="B59" s="4"/>
      <c r="D59" s="9"/>
      <c r="F59" s="8">
        <f>SUM(F58)</f>
        <v>7000</v>
      </c>
      <c r="G59" s="14"/>
      <c r="H59" s="14"/>
      <c r="I59" s="14"/>
      <c r="J59" s="14"/>
      <c r="K59" s="14"/>
      <c r="L59" s="14"/>
      <c r="M59" s="14"/>
    </row>
    <row r="60" spans="1:13" x14ac:dyDescent="0.25">
      <c r="A60" s="9"/>
      <c r="B60" s="4"/>
      <c r="D60" s="9"/>
      <c r="G60" s="14"/>
      <c r="H60" s="14"/>
      <c r="I60" s="14"/>
      <c r="J60" s="14"/>
      <c r="K60" s="14"/>
      <c r="L60" s="14"/>
      <c r="M60" s="14"/>
    </row>
    <row r="61" spans="1:13" x14ac:dyDescent="0.25">
      <c r="A61" s="9" t="s">
        <v>18</v>
      </c>
      <c r="B61" s="4">
        <v>45870</v>
      </c>
      <c r="C61" s="5">
        <v>10</v>
      </c>
      <c r="D61" s="9" t="s">
        <v>13</v>
      </c>
      <c r="E61" s="10">
        <v>145</v>
      </c>
      <c r="F61" s="10">
        <f t="shared" si="0"/>
        <v>1450</v>
      </c>
      <c r="G61" s="14"/>
      <c r="H61" s="14"/>
      <c r="I61" s="14"/>
      <c r="J61" s="14"/>
      <c r="K61" s="14"/>
      <c r="L61" s="14"/>
      <c r="M61" s="14"/>
    </row>
    <row r="62" spans="1:13" x14ac:dyDescent="0.25">
      <c r="A62" s="9"/>
      <c r="B62" s="4"/>
      <c r="C62" s="5">
        <v>20</v>
      </c>
      <c r="D62" s="9" t="s">
        <v>14</v>
      </c>
      <c r="E62" s="10">
        <v>145</v>
      </c>
      <c r="F62" s="10">
        <f t="shared" si="0"/>
        <v>2900</v>
      </c>
      <c r="G62" s="14"/>
      <c r="H62" s="14"/>
      <c r="I62" s="14"/>
      <c r="J62" s="14"/>
      <c r="K62" s="14"/>
      <c r="L62" s="14"/>
      <c r="M62" s="14"/>
    </row>
    <row r="63" spans="1:13" x14ac:dyDescent="0.25">
      <c r="A63" s="9"/>
      <c r="B63" s="4"/>
      <c r="C63" s="5">
        <v>20</v>
      </c>
      <c r="D63" s="9" t="s">
        <v>11</v>
      </c>
      <c r="E63" s="10">
        <v>135</v>
      </c>
      <c r="F63" s="10">
        <f t="shared" si="0"/>
        <v>2700</v>
      </c>
      <c r="G63" s="14"/>
      <c r="H63" s="14"/>
      <c r="I63" s="14"/>
      <c r="J63" s="14"/>
      <c r="K63" s="14"/>
      <c r="L63" s="14"/>
      <c r="M63" s="14"/>
    </row>
    <row r="64" spans="1:13" x14ac:dyDescent="0.25">
      <c r="A64" s="9"/>
      <c r="B64" s="4"/>
      <c r="D64" s="9"/>
      <c r="F64" s="8">
        <f>SUM(F61:F63)</f>
        <v>7050</v>
      </c>
      <c r="G64" s="14"/>
      <c r="H64" s="14"/>
      <c r="I64" s="14"/>
      <c r="J64" s="14"/>
      <c r="K64" s="14"/>
      <c r="L64" s="14"/>
      <c r="M64" s="14"/>
    </row>
    <row r="65" spans="1:13" x14ac:dyDescent="0.25">
      <c r="A65" s="9"/>
      <c r="B65" s="4"/>
      <c r="D65" s="9"/>
      <c r="G65" s="14"/>
      <c r="H65" s="14"/>
      <c r="I65" s="14"/>
      <c r="J65" s="14"/>
      <c r="K65" s="14"/>
      <c r="L65" s="14"/>
      <c r="M65" s="14"/>
    </row>
    <row r="66" spans="1:13" x14ac:dyDescent="0.25">
      <c r="A66" s="9" t="s">
        <v>46</v>
      </c>
      <c r="B66" s="4">
        <v>45870</v>
      </c>
      <c r="C66" s="5">
        <v>20</v>
      </c>
      <c r="D66" s="9" t="s">
        <v>14</v>
      </c>
      <c r="E66" s="10">
        <v>145</v>
      </c>
      <c r="F66" s="10">
        <f t="shared" si="0"/>
        <v>2900</v>
      </c>
      <c r="G66" s="14"/>
      <c r="H66" s="14"/>
      <c r="I66" s="14"/>
      <c r="J66" s="14"/>
      <c r="K66" s="14"/>
      <c r="L66" s="14"/>
      <c r="M66" s="14"/>
    </row>
    <row r="67" spans="1:13" x14ac:dyDescent="0.25">
      <c r="A67" s="9"/>
      <c r="B67" s="4"/>
      <c r="D67" s="9"/>
      <c r="F67" s="8">
        <f>SUM(F66)</f>
        <v>2900</v>
      </c>
      <c r="G67" s="14"/>
      <c r="H67" s="14"/>
      <c r="I67" s="14"/>
      <c r="J67" s="14"/>
      <c r="K67" s="14"/>
      <c r="L67" s="14"/>
      <c r="M67" s="14"/>
    </row>
    <row r="68" spans="1:13" x14ac:dyDescent="0.25">
      <c r="A68" s="9"/>
      <c r="B68" s="4"/>
      <c r="D68" s="9"/>
      <c r="G68" s="14"/>
      <c r="H68" s="14"/>
      <c r="I68" s="14"/>
      <c r="J68" s="14"/>
      <c r="K68" s="14"/>
      <c r="L68" s="14"/>
      <c r="M68" s="14"/>
    </row>
    <row r="69" spans="1:13" x14ac:dyDescent="0.25">
      <c r="A69" s="9" t="s">
        <v>822</v>
      </c>
      <c r="B69" s="4">
        <v>45870</v>
      </c>
      <c r="C69" s="5">
        <v>20</v>
      </c>
      <c r="D69" s="9" t="s">
        <v>14</v>
      </c>
      <c r="E69" s="10">
        <v>145</v>
      </c>
      <c r="F69" s="10">
        <f t="shared" ref="F69:F131" si="1">+C69*E69</f>
        <v>2900</v>
      </c>
      <c r="G69" s="14"/>
      <c r="H69" s="14"/>
      <c r="I69" s="14"/>
      <c r="J69" s="14"/>
      <c r="K69" s="14"/>
      <c r="L69" s="14"/>
      <c r="M69" s="14"/>
    </row>
    <row r="70" spans="1:13" x14ac:dyDescent="0.25">
      <c r="A70" s="9"/>
      <c r="B70" s="4"/>
      <c r="C70" s="5">
        <v>14</v>
      </c>
      <c r="D70" s="9" t="s">
        <v>11</v>
      </c>
      <c r="E70" s="10">
        <v>135</v>
      </c>
      <c r="F70" s="10">
        <f t="shared" si="1"/>
        <v>1890</v>
      </c>
      <c r="G70" s="14"/>
      <c r="H70" s="14"/>
      <c r="I70" s="14"/>
      <c r="J70" s="14"/>
      <c r="K70" s="14"/>
      <c r="L70" s="14"/>
      <c r="M70" s="14"/>
    </row>
    <row r="71" spans="1:13" x14ac:dyDescent="0.25">
      <c r="A71" s="9"/>
      <c r="B71" s="4"/>
      <c r="D71" s="9"/>
      <c r="F71" s="8">
        <f>SUM(F69:F70)</f>
        <v>4790</v>
      </c>
      <c r="G71" s="14"/>
      <c r="H71" s="14"/>
      <c r="I71" s="14"/>
      <c r="J71" s="14"/>
      <c r="K71" s="14"/>
      <c r="L71" s="14"/>
      <c r="M71" s="14"/>
    </row>
    <row r="72" spans="1:13" x14ac:dyDescent="0.25">
      <c r="A72" s="9"/>
      <c r="B72" s="4"/>
      <c r="D72" s="9"/>
      <c r="G72" s="14"/>
      <c r="H72" s="14"/>
      <c r="I72" s="14"/>
      <c r="J72" s="14"/>
      <c r="K72" s="14"/>
      <c r="L72" s="14"/>
      <c r="M72" s="14"/>
    </row>
    <row r="73" spans="1:13" x14ac:dyDescent="0.25">
      <c r="A73" s="9" t="s">
        <v>45</v>
      </c>
      <c r="B73" s="4">
        <v>45870</v>
      </c>
      <c r="C73" s="5">
        <v>2</v>
      </c>
      <c r="D73" s="9" t="s">
        <v>14</v>
      </c>
      <c r="E73" s="10">
        <v>145</v>
      </c>
      <c r="F73" s="10">
        <f t="shared" si="1"/>
        <v>290</v>
      </c>
      <c r="G73" s="14"/>
      <c r="H73" s="14"/>
      <c r="I73" s="14"/>
      <c r="J73" s="14"/>
      <c r="K73" s="14"/>
      <c r="L73" s="14"/>
      <c r="M73" s="14"/>
    </row>
    <row r="74" spans="1:13" x14ac:dyDescent="0.25">
      <c r="A74" s="9"/>
      <c r="B74" s="4"/>
      <c r="D74" s="9"/>
      <c r="F74" s="8">
        <f>SUM(F73)</f>
        <v>290</v>
      </c>
      <c r="G74" s="14"/>
      <c r="H74" s="14"/>
      <c r="I74" s="14"/>
      <c r="J74" s="14"/>
      <c r="K74" s="14"/>
      <c r="L74" s="14"/>
      <c r="M74" s="14"/>
    </row>
    <row r="75" spans="1:13" x14ac:dyDescent="0.25">
      <c r="A75" s="9"/>
      <c r="B75" s="4"/>
      <c r="D75" s="9"/>
      <c r="G75" s="14"/>
      <c r="H75" s="14"/>
      <c r="I75" s="14"/>
      <c r="J75" s="14"/>
      <c r="K75" s="14"/>
      <c r="L75" s="14"/>
      <c r="M75" s="14"/>
    </row>
    <row r="76" spans="1:13" x14ac:dyDescent="0.25">
      <c r="A76" s="9" t="s">
        <v>7</v>
      </c>
      <c r="B76" s="4">
        <v>45870</v>
      </c>
      <c r="C76" s="5">
        <v>2</v>
      </c>
      <c r="D76" s="9" t="s">
        <v>823</v>
      </c>
      <c r="E76" s="10">
        <v>140</v>
      </c>
      <c r="F76" s="10">
        <f t="shared" si="1"/>
        <v>280</v>
      </c>
      <c r="G76" s="14"/>
      <c r="H76" s="14"/>
      <c r="I76" s="14"/>
      <c r="J76" s="14"/>
      <c r="K76" s="14"/>
      <c r="L76" s="14"/>
      <c r="M76" s="14"/>
    </row>
    <row r="77" spans="1:13" x14ac:dyDescent="0.25">
      <c r="A77" s="9"/>
      <c r="B77" s="4"/>
      <c r="D77" s="9"/>
      <c r="F77" s="8">
        <f>SUM(F76)</f>
        <v>280</v>
      </c>
      <c r="G77" s="14"/>
      <c r="H77" s="14"/>
      <c r="I77" s="14"/>
      <c r="J77" s="14"/>
      <c r="K77" s="14"/>
      <c r="L77" s="14"/>
      <c r="M77" s="14"/>
    </row>
    <row r="78" spans="1:13" x14ac:dyDescent="0.25">
      <c r="A78" s="9"/>
      <c r="B78" s="4"/>
      <c r="D78" s="9"/>
      <c r="G78" s="14"/>
      <c r="H78" s="14"/>
      <c r="I78" s="14"/>
      <c r="J78" s="14"/>
      <c r="K78" s="14"/>
      <c r="L78" s="14"/>
      <c r="M78" s="14"/>
    </row>
    <row r="79" spans="1:13" x14ac:dyDescent="0.25">
      <c r="A79" s="9" t="s">
        <v>313</v>
      </c>
      <c r="B79" s="4">
        <v>45870</v>
      </c>
      <c r="C79" s="5">
        <v>5</v>
      </c>
      <c r="D79" s="9" t="s">
        <v>12</v>
      </c>
      <c r="E79" s="10">
        <v>140</v>
      </c>
      <c r="F79" s="10">
        <f t="shared" si="1"/>
        <v>700</v>
      </c>
      <c r="G79" s="14"/>
      <c r="H79" s="14"/>
      <c r="I79" s="14"/>
      <c r="J79" s="14"/>
      <c r="K79" s="14"/>
      <c r="L79" s="14"/>
      <c r="M79" s="14"/>
    </row>
    <row r="80" spans="1:13" x14ac:dyDescent="0.25">
      <c r="A80" s="9"/>
      <c r="B80" s="4"/>
      <c r="D80" s="9"/>
      <c r="F80" s="8">
        <f>SUM(F79)</f>
        <v>700</v>
      </c>
      <c r="G80" s="14"/>
      <c r="H80" s="14"/>
      <c r="I80" s="14"/>
      <c r="J80" s="14"/>
      <c r="K80" s="14"/>
      <c r="L80" s="14"/>
      <c r="M80" s="14"/>
    </row>
    <row r="81" spans="1:13" x14ac:dyDescent="0.25">
      <c r="A81" s="9"/>
      <c r="B81" s="4"/>
      <c r="D81" s="9"/>
      <c r="G81" s="14"/>
      <c r="H81" s="14"/>
      <c r="I81" s="14"/>
      <c r="J81" s="14"/>
      <c r="K81" s="14"/>
      <c r="L81" s="14"/>
      <c r="M81" s="14"/>
    </row>
    <row r="82" spans="1:13" x14ac:dyDescent="0.25">
      <c r="A82" s="9" t="s">
        <v>824</v>
      </c>
      <c r="B82" s="4">
        <v>45870</v>
      </c>
      <c r="C82" s="5">
        <v>3</v>
      </c>
      <c r="D82" s="9" t="s">
        <v>14</v>
      </c>
      <c r="E82" s="10">
        <v>145</v>
      </c>
      <c r="F82" s="10">
        <f t="shared" si="1"/>
        <v>435</v>
      </c>
      <c r="G82" s="14"/>
      <c r="H82" s="14"/>
      <c r="I82" s="14"/>
      <c r="J82" s="14"/>
      <c r="K82" s="14"/>
      <c r="L82" s="14"/>
      <c r="M82" s="14"/>
    </row>
    <row r="83" spans="1:13" x14ac:dyDescent="0.25">
      <c r="A83" s="9"/>
      <c r="B83" s="4"/>
      <c r="C83" s="5">
        <v>3</v>
      </c>
      <c r="D83" s="9" t="s">
        <v>22</v>
      </c>
      <c r="E83" s="10">
        <v>120</v>
      </c>
      <c r="F83" s="10">
        <f t="shared" si="1"/>
        <v>360</v>
      </c>
      <c r="G83" s="14"/>
      <c r="H83" s="14"/>
      <c r="I83" s="14"/>
      <c r="J83" s="14"/>
      <c r="K83" s="14"/>
      <c r="L83" s="14"/>
      <c r="M83" s="14"/>
    </row>
    <row r="84" spans="1:13" x14ac:dyDescent="0.25">
      <c r="A84" s="9"/>
      <c r="B84" s="4"/>
      <c r="D84" s="9"/>
      <c r="F84" s="8">
        <f>SUM(F82:F83)</f>
        <v>795</v>
      </c>
      <c r="G84" s="14"/>
      <c r="H84" s="14"/>
      <c r="I84" s="14"/>
      <c r="J84" s="14"/>
      <c r="K84" s="14"/>
      <c r="L84" s="14"/>
      <c r="M84" s="14"/>
    </row>
    <row r="85" spans="1:13" x14ac:dyDescent="0.25">
      <c r="A85" s="9"/>
      <c r="B85" s="4"/>
      <c r="D85" s="9"/>
      <c r="G85" s="14"/>
      <c r="H85" s="14"/>
      <c r="I85" s="14"/>
      <c r="J85" s="14"/>
      <c r="K85" s="14"/>
      <c r="L85" s="14"/>
      <c r="M85" s="14"/>
    </row>
    <row r="86" spans="1:13" x14ac:dyDescent="0.25">
      <c r="A86" s="9" t="s">
        <v>26</v>
      </c>
      <c r="B86" s="4">
        <v>45870</v>
      </c>
      <c r="C86" s="5">
        <v>30</v>
      </c>
      <c r="D86" s="9" t="s">
        <v>14</v>
      </c>
      <c r="E86" s="10">
        <v>135</v>
      </c>
      <c r="F86" s="10">
        <f t="shared" si="1"/>
        <v>4050</v>
      </c>
      <c r="G86" s="14"/>
      <c r="H86" s="14"/>
      <c r="I86" s="14"/>
      <c r="J86" s="14"/>
      <c r="K86" s="14"/>
      <c r="L86" s="14"/>
      <c r="M86" s="14"/>
    </row>
    <row r="87" spans="1:13" x14ac:dyDescent="0.25">
      <c r="A87" s="9"/>
      <c r="B87" s="4"/>
      <c r="D87" s="9"/>
      <c r="F87" s="8">
        <f>SUM(F86)</f>
        <v>4050</v>
      </c>
      <c r="G87" s="14"/>
      <c r="H87" s="14"/>
      <c r="I87" s="14"/>
      <c r="J87" s="14"/>
      <c r="K87" s="14"/>
      <c r="L87" s="14"/>
      <c r="M87" s="14"/>
    </row>
    <row r="88" spans="1:13" x14ac:dyDescent="0.25">
      <c r="A88" s="9"/>
      <c r="B88" s="4"/>
      <c r="D88" s="9"/>
      <c r="G88" s="14"/>
      <c r="H88" s="14"/>
      <c r="I88" s="14"/>
      <c r="J88" s="14"/>
      <c r="K88" s="14"/>
      <c r="L88" s="14"/>
      <c r="M88" s="14"/>
    </row>
    <row r="89" spans="1:13" x14ac:dyDescent="0.25">
      <c r="A89" s="9" t="s">
        <v>151</v>
      </c>
      <c r="B89" s="4">
        <v>45870</v>
      </c>
      <c r="C89" s="5">
        <v>200</v>
      </c>
      <c r="D89" s="9" t="s">
        <v>13</v>
      </c>
      <c r="E89" s="10">
        <v>140</v>
      </c>
      <c r="F89" s="10">
        <f t="shared" si="1"/>
        <v>28000</v>
      </c>
      <c r="G89" s="14"/>
      <c r="H89" s="14"/>
      <c r="I89" s="14"/>
      <c r="J89" s="14"/>
      <c r="K89" s="14"/>
      <c r="L89" s="14"/>
      <c r="M89" s="14"/>
    </row>
    <row r="90" spans="1:13" x14ac:dyDescent="0.25">
      <c r="A90" s="9"/>
      <c r="B90" s="4"/>
      <c r="D90" s="9"/>
      <c r="F90" s="8">
        <f>SUM(F89)</f>
        <v>28000</v>
      </c>
      <c r="G90" s="14"/>
      <c r="H90" s="14"/>
      <c r="I90" s="14"/>
      <c r="J90" s="14"/>
      <c r="K90" s="14"/>
      <c r="L90" s="14"/>
      <c r="M90" s="14"/>
    </row>
    <row r="91" spans="1:13" x14ac:dyDescent="0.25">
      <c r="A91" s="9"/>
      <c r="B91" s="4"/>
      <c r="D91" s="9"/>
      <c r="G91" s="14"/>
      <c r="H91" s="14"/>
      <c r="I91" s="14"/>
      <c r="J91" s="14"/>
      <c r="K91" s="14"/>
      <c r="L91" s="14"/>
      <c r="M91" s="14"/>
    </row>
    <row r="92" spans="1:13" x14ac:dyDescent="0.25">
      <c r="A92" s="9" t="s">
        <v>66</v>
      </c>
      <c r="B92" s="4">
        <v>45870</v>
      </c>
      <c r="C92" s="5">
        <v>20</v>
      </c>
      <c r="D92" s="9" t="s">
        <v>8</v>
      </c>
      <c r="E92" s="10">
        <v>160</v>
      </c>
      <c r="F92" s="10">
        <f t="shared" si="1"/>
        <v>3200</v>
      </c>
      <c r="G92" s="14"/>
      <c r="H92" s="14"/>
      <c r="I92" s="14"/>
      <c r="J92" s="14"/>
      <c r="K92" s="14"/>
      <c r="L92" s="14"/>
      <c r="M92" s="14"/>
    </row>
    <row r="93" spans="1:13" x14ac:dyDescent="0.25">
      <c r="A93" s="9"/>
      <c r="B93" s="4"/>
      <c r="D93" s="9"/>
      <c r="F93" s="8">
        <f>SUM(F92)</f>
        <v>3200</v>
      </c>
      <c r="G93" s="14"/>
      <c r="H93" s="14"/>
      <c r="I93" s="14"/>
      <c r="J93" s="14"/>
      <c r="K93" s="14"/>
      <c r="L93" s="14"/>
      <c r="M93" s="14"/>
    </row>
    <row r="94" spans="1:13" x14ac:dyDescent="0.25">
      <c r="A94" s="9"/>
      <c r="B94" s="4"/>
      <c r="D94" s="9"/>
      <c r="G94" s="14"/>
      <c r="H94" s="14"/>
      <c r="I94" s="14"/>
      <c r="J94" s="14"/>
      <c r="K94" s="14"/>
      <c r="L94" s="14"/>
      <c r="M94" s="14"/>
    </row>
    <row r="95" spans="1:13" x14ac:dyDescent="0.25">
      <c r="A95" s="9" t="s">
        <v>113</v>
      </c>
      <c r="B95" s="4">
        <v>45870</v>
      </c>
      <c r="C95" s="5">
        <v>15</v>
      </c>
      <c r="D95" s="9" t="s">
        <v>8</v>
      </c>
      <c r="E95" s="10">
        <v>160</v>
      </c>
      <c r="F95" s="10">
        <f t="shared" si="1"/>
        <v>2400</v>
      </c>
      <c r="G95" s="14"/>
      <c r="H95" s="14"/>
      <c r="I95" s="14"/>
      <c r="J95" s="14"/>
      <c r="K95" s="14"/>
      <c r="L95" s="14"/>
      <c r="M95" s="14"/>
    </row>
    <row r="96" spans="1:13" x14ac:dyDescent="0.25">
      <c r="A96" s="9"/>
      <c r="B96" s="4"/>
      <c r="C96" s="5">
        <v>5</v>
      </c>
      <c r="D96" s="9" t="s">
        <v>13</v>
      </c>
      <c r="E96" s="10">
        <v>150</v>
      </c>
      <c r="F96" s="10">
        <f t="shared" si="1"/>
        <v>750</v>
      </c>
      <c r="G96" s="14"/>
      <c r="H96" s="14"/>
      <c r="I96" s="14"/>
      <c r="J96" s="14"/>
      <c r="K96" s="14"/>
      <c r="L96" s="14"/>
      <c r="M96" s="14"/>
    </row>
    <row r="97" spans="1:13" x14ac:dyDescent="0.25">
      <c r="A97" s="9"/>
      <c r="B97" s="4"/>
      <c r="D97" s="9"/>
      <c r="F97" s="8">
        <f>SUM(F95:F96)</f>
        <v>3150</v>
      </c>
      <c r="G97" s="14"/>
      <c r="H97" s="14"/>
      <c r="I97" s="14"/>
      <c r="J97" s="14"/>
      <c r="K97" s="14"/>
      <c r="L97" s="14"/>
      <c r="M97" s="14"/>
    </row>
    <row r="98" spans="1:13" x14ac:dyDescent="0.25">
      <c r="A98" s="9"/>
      <c r="B98" s="4"/>
      <c r="D98" s="9"/>
      <c r="G98" s="14"/>
      <c r="H98" s="14"/>
      <c r="I98" s="14"/>
      <c r="J98" s="14"/>
      <c r="K98" s="14"/>
      <c r="L98" s="14"/>
      <c r="M98" s="14"/>
    </row>
    <row r="99" spans="1:13" x14ac:dyDescent="0.25">
      <c r="A99" s="9" t="s">
        <v>29</v>
      </c>
      <c r="B99" s="4">
        <v>45870</v>
      </c>
      <c r="C99" s="5">
        <v>1</v>
      </c>
      <c r="D99" s="9" t="s">
        <v>91</v>
      </c>
      <c r="E99" s="10">
        <v>100</v>
      </c>
      <c r="F99" s="10">
        <f t="shared" si="1"/>
        <v>100</v>
      </c>
      <c r="G99" s="14"/>
      <c r="H99" s="14"/>
      <c r="I99" s="14"/>
      <c r="J99" s="14"/>
      <c r="K99" s="14"/>
      <c r="L99" s="14"/>
      <c r="M99" s="14"/>
    </row>
    <row r="100" spans="1:13" x14ac:dyDescent="0.25">
      <c r="A100" s="9"/>
      <c r="B100" s="4"/>
      <c r="C100" s="5">
        <v>1</v>
      </c>
      <c r="D100" s="9" t="s">
        <v>12</v>
      </c>
      <c r="E100" s="10">
        <v>150</v>
      </c>
      <c r="F100" s="10">
        <f t="shared" si="1"/>
        <v>150</v>
      </c>
      <c r="G100" s="14"/>
      <c r="H100" s="14"/>
      <c r="I100" s="14"/>
      <c r="J100" s="14"/>
      <c r="K100" s="14"/>
      <c r="L100" s="14"/>
      <c r="M100" s="14"/>
    </row>
    <row r="101" spans="1:13" x14ac:dyDescent="0.25">
      <c r="A101" s="9"/>
      <c r="B101" s="4"/>
      <c r="C101" s="5">
        <v>2</v>
      </c>
      <c r="D101" s="9" t="s">
        <v>13</v>
      </c>
      <c r="E101" s="10">
        <v>140</v>
      </c>
      <c r="F101" s="10">
        <f t="shared" si="1"/>
        <v>280</v>
      </c>
      <c r="G101" s="14"/>
      <c r="H101" s="14"/>
      <c r="I101" s="14"/>
      <c r="J101" s="14"/>
      <c r="K101" s="14"/>
      <c r="L101" s="14"/>
      <c r="M101" s="14"/>
    </row>
    <row r="102" spans="1:13" x14ac:dyDescent="0.25">
      <c r="A102" s="9"/>
      <c r="B102" s="4"/>
      <c r="C102" s="5">
        <v>2</v>
      </c>
      <c r="D102" s="9" t="s">
        <v>13</v>
      </c>
      <c r="E102" s="10">
        <v>125</v>
      </c>
      <c r="F102" s="10">
        <f t="shared" si="1"/>
        <v>250</v>
      </c>
      <c r="G102" s="14"/>
      <c r="H102" s="14"/>
      <c r="I102" s="14"/>
      <c r="J102" s="14"/>
      <c r="K102" s="14"/>
      <c r="L102" s="14"/>
      <c r="M102" s="14"/>
    </row>
    <row r="103" spans="1:13" x14ac:dyDescent="0.25">
      <c r="A103" s="9"/>
      <c r="B103" s="4"/>
      <c r="D103" s="9"/>
      <c r="F103" s="8">
        <f>SUM(F99:F102)</f>
        <v>780</v>
      </c>
      <c r="G103" s="14"/>
      <c r="H103" s="14"/>
      <c r="I103" s="14"/>
      <c r="J103" s="14"/>
      <c r="K103" s="14"/>
      <c r="L103" s="14"/>
      <c r="M103" s="14"/>
    </row>
    <row r="104" spans="1:13" x14ac:dyDescent="0.25">
      <c r="A104" s="9"/>
      <c r="B104" s="4"/>
      <c r="D104" s="9"/>
      <c r="G104" s="14"/>
      <c r="H104" s="14"/>
      <c r="I104" s="14"/>
      <c r="J104" s="14"/>
      <c r="K104" s="14"/>
      <c r="L104" s="14"/>
      <c r="M104" s="14"/>
    </row>
    <row r="105" spans="1:13" x14ac:dyDescent="0.25">
      <c r="A105" s="9" t="s">
        <v>181</v>
      </c>
      <c r="B105" s="4">
        <v>45870</v>
      </c>
      <c r="C105" s="5">
        <v>2</v>
      </c>
      <c r="D105" s="9" t="s">
        <v>8</v>
      </c>
      <c r="E105" s="10">
        <v>170</v>
      </c>
      <c r="F105" s="10">
        <f t="shared" si="1"/>
        <v>340</v>
      </c>
      <c r="G105" s="14"/>
      <c r="H105" s="14"/>
      <c r="I105" s="14"/>
      <c r="J105" s="14"/>
      <c r="K105" s="14"/>
      <c r="L105" s="14"/>
      <c r="M105" s="14"/>
    </row>
    <row r="106" spans="1:13" x14ac:dyDescent="0.25">
      <c r="A106" s="9"/>
      <c r="B106" s="4"/>
      <c r="C106" s="5">
        <v>1</v>
      </c>
      <c r="D106" s="9" t="s">
        <v>8</v>
      </c>
      <c r="E106" s="10">
        <v>170</v>
      </c>
      <c r="F106" s="10">
        <f t="shared" si="1"/>
        <v>170</v>
      </c>
      <c r="G106" s="14"/>
      <c r="H106" s="14"/>
      <c r="I106" s="14"/>
      <c r="J106" s="14"/>
      <c r="K106" s="14"/>
      <c r="L106" s="14"/>
      <c r="M106" s="14"/>
    </row>
    <row r="107" spans="1:13" x14ac:dyDescent="0.25">
      <c r="A107" s="9"/>
      <c r="B107" s="4"/>
      <c r="C107" s="5">
        <v>1</v>
      </c>
      <c r="D107" s="9" t="s">
        <v>13</v>
      </c>
      <c r="E107" s="10">
        <v>140</v>
      </c>
      <c r="F107" s="10">
        <f t="shared" si="1"/>
        <v>140</v>
      </c>
      <c r="G107" s="14"/>
      <c r="H107" s="14"/>
      <c r="I107" s="14"/>
      <c r="J107" s="14"/>
      <c r="K107" s="14"/>
      <c r="L107" s="14"/>
      <c r="M107" s="14"/>
    </row>
    <row r="108" spans="1:13" x14ac:dyDescent="0.25">
      <c r="A108" s="9"/>
      <c r="B108" s="4"/>
      <c r="D108" s="9"/>
      <c r="F108" s="8">
        <f>SUM(F105:F107)</f>
        <v>650</v>
      </c>
      <c r="G108" s="14"/>
      <c r="H108" s="14"/>
      <c r="I108" s="14"/>
      <c r="J108" s="14"/>
      <c r="K108" s="14"/>
      <c r="L108" s="14"/>
      <c r="M108" s="14"/>
    </row>
    <row r="109" spans="1:13" x14ac:dyDescent="0.25">
      <c r="A109" s="9"/>
      <c r="B109" s="4"/>
      <c r="D109" s="9"/>
      <c r="G109" s="14"/>
      <c r="H109" s="14"/>
      <c r="I109" s="14"/>
      <c r="J109" s="14"/>
      <c r="K109" s="14"/>
      <c r="L109" s="14"/>
      <c r="M109" s="14"/>
    </row>
    <row r="110" spans="1:13" s="9" customFormat="1" x14ac:dyDescent="0.25">
      <c r="A110" s="9" t="s">
        <v>427</v>
      </c>
      <c r="B110" s="4">
        <v>45871</v>
      </c>
      <c r="C110" s="5">
        <v>10</v>
      </c>
      <c r="D110" s="9" t="s">
        <v>13</v>
      </c>
      <c r="E110" s="10">
        <v>150</v>
      </c>
      <c r="F110" s="10">
        <f t="shared" si="1"/>
        <v>1500</v>
      </c>
      <c r="G110" s="14"/>
      <c r="H110" s="14"/>
      <c r="I110" s="14"/>
      <c r="J110" s="14"/>
      <c r="K110" s="14"/>
      <c r="L110" s="14"/>
      <c r="M110" s="14"/>
    </row>
    <row r="111" spans="1:13" s="9" customFormat="1" x14ac:dyDescent="0.25">
      <c r="B111" s="4"/>
      <c r="C111" s="5"/>
      <c r="E111" s="10"/>
      <c r="F111" s="8">
        <f>SUM(F110)</f>
        <v>1500</v>
      </c>
      <c r="G111" s="14"/>
      <c r="H111" s="14"/>
      <c r="I111" s="14"/>
      <c r="J111" s="14"/>
      <c r="K111" s="14"/>
      <c r="L111" s="14"/>
      <c r="M111" s="14"/>
    </row>
    <row r="112" spans="1:13" s="9" customFormat="1" x14ac:dyDescent="0.25">
      <c r="B112" s="4"/>
      <c r="C112" s="5"/>
      <c r="E112" s="10"/>
      <c r="F112" s="10"/>
      <c r="G112" s="14"/>
      <c r="H112" s="14"/>
      <c r="I112" s="14"/>
      <c r="J112" s="14"/>
      <c r="K112" s="14"/>
      <c r="L112" s="14"/>
      <c r="M112" s="14"/>
    </row>
    <row r="113" spans="1:13" s="9" customFormat="1" x14ac:dyDescent="0.25">
      <c r="A113" s="9" t="s">
        <v>20</v>
      </c>
      <c r="B113" s="4">
        <v>45871</v>
      </c>
      <c r="C113" s="5">
        <v>20</v>
      </c>
      <c r="D113" s="9" t="s">
        <v>13</v>
      </c>
      <c r="E113" s="10">
        <v>150</v>
      </c>
      <c r="F113" s="10">
        <f t="shared" si="1"/>
        <v>3000</v>
      </c>
      <c r="G113" s="14"/>
      <c r="H113" s="14"/>
      <c r="I113" s="14"/>
      <c r="J113" s="14"/>
      <c r="K113" s="14"/>
      <c r="L113" s="14"/>
      <c r="M113" s="14"/>
    </row>
    <row r="114" spans="1:13" s="9" customFormat="1" x14ac:dyDescent="0.25">
      <c r="B114" s="4"/>
      <c r="C114" s="5"/>
      <c r="E114" s="10"/>
      <c r="F114" s="8">
        <f>SUM(F113)</f>
        <v>3000</v>
      </c>
      <c r="G114" s="14"/>
      <c r="H114" s="14"/>
      <c r="I114" s="14"/>
      <c r="J114" s="14"/>
      <c r="K114" s="14"/>
      <c r="L114" s="14"/>
      <c r="M114" s="14"/>
    </row>
    <row r="115" spans="1:13" s="9" customFormat="1" x14ac:dyDescent="0.25">
      <c r="B115" s="4"/>
      <c r="C115" s="5"/>
      <c r="E115" s="10"/>
      <c r="F115" s="10"/>
      <c r="G115" s="14"/>
      <c r="H115" s="14"/>
      <c r="I115" s="14"/>
      <c r="J115" s="14"/>
      <c r="K115" s="14"/>
      <c r="L115" s="14"/>
      <c r="M115" s="14"/>
    </row>
    <row r="116" spans="1:13" x14ac:dyDescent="0.25">
      <c r="A116" s="9" t="s">
        <v>40</v>
      </c>
      <c r="B116" s="4">
        <v>45871</v>
      </c>
      <c r="C116" s="5">
        <v>10</v>
      </c>
      <c r="D116" s="9" t="s">
        <v>8</v>
      </c>
      <c r="E116" s="10">
        <v>160</v>
      </c>
      <c r="F116" s="10">
        <f t="shared" si="1"/>
        <v>1600</v>
      </c>
      <c r="G116" s="14"/>
      <c r="H116" s="14"/>
      <c r="I116" s="14"/>
      <c r="J116" s="14"/>
      <c r="K116" s="14"/>
      <c r="L116" s="14"/>
      <c r="M116" s="14"/>
    </row>
    <row r="117" spans="1:13" x14ac:dyDescent="0.25">
      <c r="A117" s="9"/>
      <c r="B117" s="4"/>
      <c r="C117" s="5">
        <v>10</v>
      </c>
      <c r="D117" s="9" t="s">
        <v>14</v>
      </c>
      <c r="E117" s="10">
        <v>145</v>
      </c>
      <c r="F117" s="10">
        <f t="shared" si="1"/>
        <v>1450</v>
      </c>
      <c r="G117" s="14"/>
      <c r="H117" s="14"/>
      <c r="I117" s="14"/>
      <c r="J117" s="14"/>
      <c r="K117" s="14"/>
      <c r="L117" s="14"/>
      <c r="M117" s="14"/>
    </row>
    <row r="118" spans="1:13" x14ac:dyDescent="0.25">
      <c r="A118" s="9"/>
      <c r="B118" s="4"/>
      <c r="D118" s="9"/>
      <c r="F118" s="8">
        <f>SUM(F116:F117)</f>
        <v>3050</v>
      </c>
      <c r="G118" s="14"/>
      <c r="H118" s="14"/>
      <c r="I118" s="14"/>
      <c r="J118" s="14"/>
      <c r="K118" s="14"/>
      <c r="L118" s="14"/>
      <c r="M118" s="14"/>
    </row>
    <row r="119" spans="1:13" x14ac:dyDescent="0.25">
      <c r="A119" s="9"/>
      <c r="B119" s="4"/>
      <c r="D119" s="9"/>
      <c r="G119" s="14"/>
      <c r="H119" s="14"/>
      <c r="I119" s="14"/>
      <c r="J119" s="14"/>
      <c r="K119" s="14"/>
      <c r="L119" s="14"/>
      <c r="M119" s="14"/>
    </row>
    <row r="120" spans="1:13" x14ac:dyDescent="0.25">
      <c r="A120" s="9" t="s">
        <v>25</v>
      </c>
      <c r="B120" s="4">
        <v>45871</v>
      </c>
      <c r="C120" s="5">
        <v>10</v>
      </c>
      <c r="D120" s="9" t="s">
        <v>13</v>
      </c>
      <c r="E120" s="10">
        <v>150</v>
      </c>
      <c r="F120" s="10">
        <f t="shared" si="1"/>
        <v>1500</v>
      </c>
      <c r="G120" s="14"/>
      <c r="H120" s="14"/>
      <c r="I120" s="14"/>
      <c r="J120" s="14"/>
      <c r="K120" s="14"/>
      <c r="L120" s="14"/>
      <c r="M120" s="14"/>
    </row>
    <row r="121" spans="1:13" x14ac:dyDescent="0.25">
      <c r="A121" s="9"/>
      <c r="B121" s="4"/>
      <c r="D121" s="9"/>
      <c r="F121" s="8">
        <f>SUM(F120)</f>
        <v>1500</v>
      </c>
      <c r="G121" s="14"/>
      <c r="H121" s="14"/>
      <c r="I121" s="14"/>
      <c r="J121" s="14"/>
      <c r="K121" s="14"/>
      <c r="L121" s="14"/>
      <c r="M121" s="14"/>
    </row>
    <row r="122" spans="1:13" x14ac:dyDescent="0.25">
      <c r="A122" s="9"/>
      <c r="B122" s="4"/>
      <c r="D122" s="9"/>
      <c r="G122" s="14"/>
      <c r="H122" s="14"/>
      <c r="I122" s="14"/>
      <c r="J122" s="14"/>
      <c r="K122" s="14"/>
      <c r="L122" s="14"/>
      <c r="M122" s="14"/>
    </row>
    <row r="123" spans="1:13" x14ac:dyDescent="0.25">
      <c r="A123" s="9" t="s">
        <v>791</v>
      </c>
      <c r="B123" s="4">
        <v>45871</v>
      </c>
      <c r="C123" s="5">
        <v>20</v>
      </c>
      <c r="D123" s="9" t="s">
        <v>13</v>
      </c>
      <c r="E123" s="10">
        <v>150</v>
      </c>
      <c r="F123" s="10">
        <f t="shared" si="1"/>
        <v>3000</v>
      </c>
      <c r="G123" s="14"/>
      <c r="H123" s="14"/>
      <c r="I123" s="14"/>
      <c r="J123" s="14"/>
      <c r="K123" s="14"/>
      <c r="L123" s="14"/>
      <c r="M123" s="14"/>
    </row>
    <row r="124" spans="1:13" x14ac:dyDescent="0.25">
      <c r="A124" s="9"/>
      <c r="B124" s="4"/>
      <c r="D124" s="9"/>
      <c r="F124" s="8">
        <f>SUM(F123)</f>
        <v>3000</v>
      </c>
      <c r="G124" s="14"/>
      <c r="H124" s="14"/>
      <c r="I124" s="14"/>
      <c r="J124" s="14"/>
      <c r="K124" s="14"/>
      <c r="L124" s="14"/>
      <c r="M124" s="14"/>
    </row>
    <row r="125" spans="1:13" x14ac:dyDescent="0.25">
      <c r="A125" s="9"/>
      <c r="B125" s="4"/>
      <c r="D125" s="9"/>
      <c r="G125" s="14"/>
      <c r="H125" s="14"/>
      <c r="I125" s="14"/>
      <c r="J125" s="14"/>
      <c r="K125" s="14"/>
      <c r="L125" s="14"/>
      <c r="M125" s="14"/>
    </row>
    <row r="126" spans="1:13" x14ac:dyDescent="0.25">
      <c r="A126" s="9" t="s">
        <v>21</v>
      </c>
      <c r="B126" s="4">
        <v>45871</v>
      </c>
      <c r="C126" s="5">
        <v>10</v>
      </c>
      <c r="D126" s="9" t="s">
        <v>13</v>
      </c>
      <c r="E126" s="10">
        <v>150</v>
      </c>
      <c r="F126" s="10">
        <f t="shared" si="1"/>
        <v>1500</v>
      </c>
      <c r="G126" s="14"/>
      <c r="H126" s="14"/>
      <c r="I126" s="14"/>
      <c r="J126" s="14"/>
      <c r="K126" s="14"/>
      <c r="L126" s="14"/>
      <c r="M126" s="14"/>
    </row>
    <row r="127" spans="1:13" x14ac:dyDescent="0.25">
      <c r="A127" s="9"/>
      <c r="B127" s="4"/>
      <c r="C127" s="5">
        <v>10</v>
      </c>
      <c r="D127" s="9" t="s">
        <v>12</v>
      </c>
      <c r="E127" s="10">
        <v>140</v>
      </c>
      <c r="F127" s="10">
        <f t="shared" si="1"/>
        <v>1400</v>
      </c>
      <c r="G127" s="14"/>
      <c r="H127" s="14"/>
      <c r="I127" s="14"/>
      <c r="J127" s="14"/>
      <c r="K127" s="14"/>
      <c r="L127" s="14"/>
      <c r="M127" s="14"/>
    </row>
    <row r="128" spans="1:13" x14ac:dyDescent="0.25">
      <c r="A128" s="9"/>
      <c r="B128" s="4"/>
      <c r="D128" s="9"/>
      <c r="F128" s="8">
        <f>SUM(F126:F127)</f>
        <v>2900</v>
      </c>
      <c r="G128" s="14"/>
      <c r="H128" s="14"/>
      <c r="I128" s="14"/>
      <c r="J128" s="14"/>
      <c r="K128" s="14"/>
      <c r="L128" s="14"/>
      <c r="M128" s="14"/>
    </row>
    <row r="129" spans="1:13" x14ac:dyDescent="0.25">
      <c r="A129" s="9"/>
      <c r="B129" s="4"/>
      <c r="D129" s="9"/>
      <c r="G129" s="14"/>
      <c r="H129" s="14"/>
      <c r="I129" s="14"/>
      <c r="J129" s="14"/>
      <c r="K129" s="14"/>
      <c r="L129" s="14"/>
      <c r="M129" s="14"/>
    </row>
    <row r="130" spans="1:13" x14ac:dyDescent="0.25">
      <c r="A130" s="9" t="s">
        <v>57</v>
      </c>
      <c r="B130" s="4">
        <v>45871</v>
      </c>
      <c r="C130" s="5">
        <v>15</v>
      </c>
      <c r="D130" s="9" t="s">
        <v>13</v>
      </c>
      <c r="E130" s="10">
        <v>150</v>
      </c>
      <c r="F130" s="10">
        <f t="shared" si="1"/>
        <v>2250</v>
      </c>
      <c r="G130" s="14"/>
      <c r="H130" s="14"/>
      <c r="I130" s="14"/>
      <c r="J130" s="14"/>
      <c r="K130" s="14"/>
      <c r="L130" s="14"/>
      <c r="M130" s="14"/>
    </row>
    <row r="131" spans="1:13" x14ac:dyDescent="0.25">
      <c r="A131" s="9"/>
      <c r="B131" s="4"/>
      <c r="C131" s="5">
        <v>5</v>
      </c>
      <c r="D131" s="9" t="s">
        <v>14</v>
      </c>
      <c r="E131" s="10">
        <v>145</v>
      </c>
      <c r="F131" s="10">
        <f t="shared" si="1"/>
        <v>725</v>
      </c>
      <c r="G131" s="14"/>
      <c r="H131" s="14"/>
      <c r="I131" s="14"/>
      <c r="J131" s="14"/>
      <c r="K131" s="14"/>
      <c r="L131" s="14"/>
      <c r="M131" s="14"/>
    </row>
    <row r="132" spans="1:13" x14ac:dyDescent="0.25">
      <c r="A132" s="9"/>
      <c r="B132" s="4"/>
      <c r="D132" s="9"/>
      <c r="F132" s="8">
        <f>SUM(F130:F131)</f>
        <v>2975</v>
      </c>
      <c r="G132" s="14"/>
      <c r="H132" s="14"/>
      <c r="I132" s="14"/>
      <c r="J132" s="14"/>
      <c r="K132" s="14"/>
      <c r="L132" s="14"/>
      <c r="M132" s="14"/>
    </row>
    <row r="133" spans="1:13" x14ac:dyDescent="0.25">
      <c r="A133" s="9"/>
      <c r="B133" s="4"/>
      <c r="D133" s="9"/>
      <c r="G133" s="14"/>
      <c r="H133" s="14"/>
      <c r="I133" s="14"/>
      <c r="J133" s="14"/>
      <c r="K133" s="14"/>
      <c r="L133" s="14"/>
      <c r="M133" s="14"/>
    </row>
    <row r="134" spans="1:13" x14ac:dyDescent="0.25">
      <c r="A134" s="9" t="s">
        <v>716</v>
      </c>
      <c r="B134" s="4">
        <v>45871</v>
      </c>
      <c r="C134" s="5">
        <v>9</v>
      </c>
      <c r="D134" s="9" t="s">
        <v>13</v>
      </c>
      <c r="E134" s="10">
        <v>145</v>
      </c>
      <c r="F134" s="10">
        <f t="shared" ref="F134:F193" si="2">+C134*E134</f>
        <v>1305</v>
      </c>
      <c r="G134" s="14"/>
      <c r="H134" s="14"/>
      <c r="I134" s="14"/>
      <c r="J134" s="14"/>
      <c r="K134" s="14"/>
      <c r="L134" s="14"/>
      <c r="M134" s="14"/>
    </row>
    <row r="135" spans="1:13" x14ac:dyDescent="0.25">
      <c r="A135" s="9"/>
      <c r="B135" s="4"/>
      <c r="D135" s="9"/>
      <c r="F135" s="8">
        <f>SUM(F134)</f>
        <v>1305</v>
      </c>
      <c r="G135" s="14"/>
      <c r="H135" s="14"/>
      <c r="I135" s="14"/>
      <c r="J135" s="14"/>
      <c r="K135" s="14"/>
      <c r="L135" s="14"/>
      <c r="M135" s="14"/>
    </row>
    <row r="136" spans="1:13" x14ac:dyDescent="0.25">
      <c r="A136" s="9"/>
      <c r="B136" s="4"/>
      <c r="D136" s="9"/>
      <c r="G136" s="14"/>
      <c r="H136" s="14"/>
      <c r="I136" s="14"/>
      <c r="J136" s="14"/>
      <c r="K136" s="14"/>
      <c r="L136" s="14"/>
      <c r="M136" s="14"/>
    </row>
    <row r="137" spans="1:13" x14ac:dyDescent="0.25">
      <c r="A137" s="9" t="s">
        <v>140</v>
      </c>
      <c r="B137" s="4">
        <v>45871</v>
      </c>
      <c r="C137" s="5">
        <v>200</v>
      </c>
      <c r="D137" s="9" t="s">
        <v>13</v>
      </c>
      <c r="E137" s="10">
        <v>145</v>
      </c>
      <c r="F137" s="10">
        <f t="shared" si="2"/>
        <v>29000</v>
      </c>
      <c r="G137" s="14"/>
      <c r="H137" s="14"/>
      <c r="I137" s="14"/>
      <c r="J137" s="14"/>
      <c r="K137" s="14"/>
      <c r="L137" s="14"/>
      <c r="M137" s="14"/>
    </row>
    <row r="138" spans="1:13" x14ac:dyDescent="0.25">
      <c r="A138" s="9"/>
      <c r="B138" s="4"/>
      <c r="C138" s="5">
        <v>200</v>
      </c>
      <c r="D138" s="9" t="s">
        <v>12</v>
      </c>
      <c r="E138" s="10">
        <v>140</v>
      </c>
      <c r="F138" s="10">
        <f t="shared" si="2"/>
        <v>28000</v>
      </c>
      <c r="G138" s="14"/>
      <c r="H138" s="14"/>
      <c r="I138" s="14"/>
      <c r="J138" s="14"/>
      <c r="K138" s="14"/>
      <c r="L138" s="14"/>
      <c r="M138" s="14"/>
    </row>
    <row r="139" spans="1:13" x14ac:dyDescent="0.25">
      <c r="A139" s="9"/>
      <c r="B139" s="4"/>
      <c r="C139" s="5">
        <v>100</v>
      </c>
      <c r="D139" s="9" t="s">
        <v>11</v>
      </c>
      <c r="E139" s="10">
        <v>140</v>
      </c>
      <c r="F139" s="10">
        <f t="shared" si="2"/>
        <v>14000</v>
      </c>
      <c r="G139" s="14"/>
      <c r="H139" s="14"/>
      <c r="I139" s="14"/>
      <c r="J139" s="14"/>
      <c r="K139" s="14"/>
      <c r="L139" s="14"/>
      <c r="M139" s="14"/>
    </row>
    <row r="140" spans="1:13" x14ac:dyDescent="0.25">
      <c r="A140" s="9"/>
      <c r="B140" s="4"/>
      <c r="C140" s="5">
        <v>50</v>
      </c>
      <c r="D140" s="9" t="s">
        <v>14</v>
      </c>
      <c r="E140" s="10">
        <v>145</v>
      </c>
      <c r="F140" s="10">
        <f t="shared" si="2"/>
        <v>7250</v>
      </c>
      <c r="G140" s="14"/>
      <c r="H140" s="14"/>
      <c r="I140" s="14"/>
      <c r="J140" s="14"/>
      <c r="K140" s="14"/>
      <c r="L140" s="14"/>
      <c r="M140" s="14"/>
    </row>
    <row r="141" spans="1:13" x14ac:dyDescent="0.25">
      <c r="A141" s="9"/>
      <c r="B141" s="4"/>
      <c r="C141" s="5">
        <v>50</v>
      </c>
      <c r="D141" s="9" t="s">
        <v>8</v>
      </c>
      <c r="E141" s="10">
        <v>160</v>
      </c>
      <c r="F141" s="10">
        <f t="shared" si="2"/>
        <v>8000</v>
      </c>
      <c r="G141" s="14"/>
      <c r="H141" s="14"/>
      <c r="I141" s="14"/>
      <c r="J141" s="14"/>
      <c r="K141" s="14"/>
      <c r="L141" s="14"/>
      <c r="M141" s="14"/>
    </row>
    <row r="142" spans="1:13" x14ac:dyDescent="0.25">
      <c r="A142" s="9"/>
      <c r="B142" s="4"/>
      <c r="D142" s="9"/>
      <c r="F142" s="8">
        <f>SUM(F137:F141)</f>
        <v>86250</v>
      </c>
      <c r="G142" s="14"/>
      <c r="H142" s="14"/>
      <c r="I142" s="14"/>
      <c r="J142" s="14"/>
      <c r="K142" s="14"/>
      <c r="L142" s="14"/>
      <c r="M142" s="14"/>
    </row>
    <row r="143" spans="1:13" x14ac:dyDescent="0.25">
      <c r="A143" s="9"/>
      <c r="B143" s="4"/>
      <c r="D143" s="9"/>
      <c r="G143" s="14"/>
      <c r="H143" s="14"/>
      <c r="I143" s="14"/>
      <c r="J143" s="14"/>
      <c r="K143" s="14"/>
      <c r="L143" s="14"/>
      <c r="M143" s="14"/>
    </row>
    <row r="144" spans="1:13" x14ac:dyDescent="0.25">
      <c r="A144" s="9" t="s">
        <v>810</v>
      </c>
      <c r="B144" s="4">
        <v>45871</v>
      </c>
      <c r="C144" s="5">
        <v>2</v>
      </c>
      <c r="D144" s="9" t="s">
        <v>13</v>
      </c>
      <c r="E144" s="10">
        <v>150</v>
      </c>
      <c r="F144" s="10">
        <f t="shared" si="2"/>
        <v>300</v>
      </c>
      <c r="G144" s="14"/>
      <c r="H144" s="14"/>
      <c r="I144" s="14"/>
      <c r="J144" s="14"/>
      <c r="K144" s="14"/>
      <c r="L144" s="14"/>
      <c r="M144" s="14"/>
    </row>
    <row r="145" spans="1:13" x14ac:dyDescent="0.25">
      <c r="A145" s="9"/>
      <c r="B145" s="4"/>
      <c r="D145" s="9"/>
      <c r="F145" s="8">
        <f>SUM(F144)</f>
        <v>300</v>
      </c>
      <c r="G145" s="14"/>
      <c r="H145" s="14"/>
      <c r="I145" s="14"/>
      <c r="J145" s="14"/>
      <c r="K145" s="14"/>
      <c r="L145" s="14"/>
      <c r="M145" s="14"/>
    </row>
    <row r="146" spans="1:13" x14ac:dyDescent="0.25">
      <c r="A146" s="9"/>
      <c r="B146" s="4"/>
      <c r="D146" s="9"/>
      <c r="G146" s="14"/>
      <c r="H146" s="14"/>
      <c r="I146" s="14"/>
      <c r="J146" s="14"/>
      <c r="K146" s="14"/>
      <c r="L146" s="14"/>
      <c r="M146" s="14"/>
    </row>
    <row r="147" spans="1:13" x14ac:dyDescent="0.25">
      <c r="A147" s="9" t="s">
        <v>62</v>
      </c>
      <c r="B147" s="4">
        <v>45871</v>
      </c>
      <c r="C147" s="5">
        <v>50</v>
      </c>
      <c r="D147" s="9" t="s">
        <v>8</v>
      </c>
      <c r="E147" s="10">
        <v>160</v>
      </c>
      <c r="F147" s="10">
        <f t="shared" si="2"/>
        <v>8000</v>
      </c>
      <c r="G147" s="14"/>
      <c r="H147" s="14"/>
      <c r="I147" s="14"/>
      <c r="J147" s="14"/>
      <c r="K147" s="14"/>
      <c r="L147" s="14"/>
      <c r="M147" s="14"/>
    </row>
    <row r="148" spans="1:13" x14ac:dyDescent="0.25">
      <c r="A148" s="9"/>
      <c r="B148" s="4"/>
      <c r="C148" s="5">
        <v>20</v>
      </c>
      <c r="D148" s="9" t="s">
        <v>13</v>
      </c>
      <c r="E148" s="10">
        <v>145</v>
      </c>
      <c r="F148" s="10">
        <f t="shared" si="2"/>
        <v>2900</v>
      </c>
      <c r="G148" s="14"/>
      <c r="H148" s="14"/>
      <c r="I148" s="14"/>
      <c r="J148" s="14"/>
      <c r="K148" s="14"/>
      <c r="L148" s="14"/>
      <c r="M148" s="14"/>
    </row>
    <row r="149" spans="1:13" x14ac:dyDescent="0.25">
      <c r="A149" s="9"/>
      <c r="B149" s="4"/>
      <c r="D149" s="9"/>
      <c r="F149" s="8">
        <f>SUM(F147:F148)</f>
        <v>10900</v>
      </c>
      <c r="G149" s="14"/>
      <c r="H149" s="14"/>
      <c r="I149" s="14"/>
      <c r="J149" s="14"/>
      <c r="K149" s="14"/>
      <c r="L149" s="14"/>
      <c r="M149" s="14"/>
    </row>
    <row r="150" spans="1:13" x14ac:dyDescent="0.25">
      <c r="A150" s="9"/>
      <c r="B150" s="4"/>
      <c r="D150" s="9"/>
      <c r="G150" s="14"/>
      <c r="H150" s="14"/>
      <c r="I150" s="14"/>
      <c r="J150" s="14"/>
      <c r="K150" s="14"/>
      <c r="L150" s="14"/>
      <c r="M150" s="14"/>
    </row>
    <row r="151" spans="1:13" x14ac:dyDescent="0.25">
      <c r="A151" s="9" t="s">
        <v>61</v>
      </c>
      <c r="B151" s="4">
        <v>45871</v>
      </c>
      <c r="C151" s="5">
        <v>76</v>
      </c>
      <c r="D151" s="9" t="s">
        <v>13</v>
      </c>
      <c r="E151" s="10">
        <v>145</v>
      </c>
      <c r="F151" s="10">
        <f t="shared" si="2"/>
        <v>11020</v>
      </c>
      <c r="G151" s="14"/>
      <c r="H151" s="14"/>
      <c r="I151" s="14"/>
      <c r="J151" s="14"/>
      <c r="K151" s="14"/>
      <c r="L151" s="14"/>
      <c r="M151" s="14"/>
    </row>
    <row r="152" spans="1:13" x14ac:dyDescent="0.25">
      <c r="A152" s="9"/>
      <c r="B152" s="4"/>
      <c r="D152" s="9"/>
      <c r="F152" s="8">
        <f>SUM(F151)</f>
        <v>11020</v>
      </c>
      <c r="G152" s="14"/>
      <c r="H152" s="14"/>
      <c r="I152" s="14"/>
      <c r="J152" s="14"/>
      <c r="K152" s="14"/>
      <c r="L152" s="14"/>
      <c r="M152" s="14"/>
    </row>
    <row r="153" spans="1:13" x14ac:dyDescent="0.25">
      <c r="A153" s="9"/>
      <c r="B153" s="4"/>
      <c r="D153" s="9"/>
      <c r="G153" s="14"/>
      <c r="H153" s="14"/>
      <c r="I153" s="14"/>
      <c r="J153" s="14"/>
      <c r="K153" s="14"/>
      <c r="L153" s="14"/>
      <c r="M153" s="14"/>
    </row>
    <row r="154" spans="1:13" x14ac:dyDescent="0.25">
      <c r="A154" s="9" t="s">
        <v>821</v>
      </c>
      <c r="B154" s="4">
        <v>45871</v>
      </c>
      <c r="C154" s="5">
        <v>20</v>
      </c>
      <c r="D154" s="9" t="s">
        <v>12</v>
      </c>
      <c r="E154" s="10">
        <v>135</v>
      </c>
      <c r="F154" s="10">
        <f t="shared" si="2"/>
        <v>2700</v>
      </c>
      <c r="G154" s="14"/>
      <c r="H154" s="14"/>
      <c r="I154" s="14"/>
      <c r="J154" s="14"/>
      <c r="K154" s="14"/>
      <c r="L154" s="14"/>
      <c r="M154" s="14"/>
    </row>
    <row r="155" spans="1:13" x14ac:dyDescent="0.25">
      <c r="A155" s="9"/>
      <c r="B155" s="4"/>
      <c r="C155" s="5">
        <v>10</v>
      </c>
      <c r="D155" s="9" t="s">
        <v>13</v>
      </c>
      <c r="E155" s="10">
        <v>145</v>
      </c>
      <c r="F155" s="10">
        <f t="shared" si="2"/>
        <v>1450</v>
      </c>
      <c r="G155" s="14"/>
      <c r="H155" s="14"/>
      <c r="I155" s="14"/>
      <c r="J155" s="14"/>
      <c r="K155" s="14"/>
      <c r="L155" s="14"/>
      <c r="M155" s="14"/>
    </row>
    <row r="156" spans="1:13" x14ac:dyDescent="0.25">
      <c r="A156" s="9"/>
      <c r="B156" s="4"/>
      <c r="D156" s="9"/>
      <c r="F156" s="8">
        <f>SUM(F154:F155)</f>
        <v>4150</v>
      </c>
      <c r="G156" s="14"/>
      <c r="H156" s="14"/>
      <c r="I156" s="14"/>
      <c r="J156" s="14"/>
      <c r="K156" s="14"/>
      <c r="L156" s="14"/>
      <c r="M156" s="14"/>
    </row>
    <row r="157" spans="1:13" x14ac:dyDescent="0.25">
      <c r="A157" s="9"/>
      <c r="B157" s="4"/>
      <c r="D157" s="9"/>
      <c r="G157" s="14"/>
      <c r="H157" s="14"/>
      <c r="I157" s="14"/>
      <c r="J157" s="14"/>
      <c r="K157" s="14"/>
      <c r="L157" s="14"/>
      <c r="M157" s="14"/>
    </row>
    <row r="158" spans="1:13" x14ac:dyDescent="0.25">
      <c r="A158" s="9" t="s">
        <v>69</v>
      </c>
      <c r="B158" s="4">
        <v>45871</v>
      </c>
      <c r="C158" s="5">
        <v>7</v>
      </c>
      <c r="D158" s="9" t="s">
        <v>8</v>
      </c>
      <c r="E158" s="10">
        <v>160</v>
      </c>
      <c r="F158" s="10">
        <f t="shared" si="2"/>
        <v>1120</v>
      </c>
      <c r="G158" s="14"/>
      <c r="H158" s="14"/>
      <c r="I158" s="14"/>
      <c r="J158" s="14"/>
      <c r="K158" s="14"/>
      <c r="L158" s="14"/>
      <c r="M158" s="14"/>
    </row>
    <row r="159" spans="1:13" x14ac:dyDescent="0.25">
      <c r="A159" s="9"/>
      <c r="B159" s="4"/>
      <c r="C159" s="5">
        <v>10</v>
      </c>
      <c r="D159" s="9" t="s">
        <v>22</v>
      </c>
      <c r="E159" s="10">
        <v>120</v>
      </c>
      <c r="F159" s="10">
        <f t="shared" si="2"/>
        <v>1200</v>
      </c>
      <c r="G159" s="14"/>
      <c r="H159" s="14"/>
      <c r="I159" s="14"/>
      <c r="J159" s="14"/>
      <c r="K159" s="14"/>
      <c r="L159" s="14"/>
      <c r="M159" s="14"/>
    </row>
    <row r="160" spans="1:13" x14ac:dyDescent="0.25">
      <c r="A160" s="9"/>
      <c r="B160" s="4"/>
      <c r="D160" s="9"/>
      <c r="F160" s="8">
        <f>SUM(F158:F159)</f>
        <v>2320</v>
      </c>
      <c r="G160" s="14"/>
      <c r="H160" s="14"/>
      <c r="I160" s="14"/>
      <c r="J160" s="14"/>
      <c r="K160" s="14"/>
      <c r="L160" s="14"/>
      <c r="M160" s="14"/>
    </row>
    <row r="161" spans="1:13" x14ac:dyDescent="0.25">
      <c r="A161" s="9"/>
      <c r="B161" s="4"/>
      <c r="D161" s="9"/>
      <c r="G161" s="14"/>
      <c r="H161" s="14"/>
      <c r="I161" s="14"/>
      <c r="J161" s="14"/>
      <c r="K161" s="14"/>
      <c r="L161" s="14"/>
      <c r="M161" s="14"/>
    </row>
    <row r="162" spans="1:13" x14ac:dyDescent="0.25">
      <c r="A162" s="9" t="s">
        <v>26</v>
      </c>
      <c r="B162" s="4">
        <v>45871</v>
      </c>
      <c r="C162" s="5">
        <v>30</v>
      </c>
      <c r="D162" s="9" t="s">
        <v>14</v>
      </c>
      <c r="E162" s="10">
        <v>135</v>
      </c>
      <c r="F162" s="10">
        <f t="shared" si="2"/>
        <v>4050</v>
      </c>
      <c r="G162" s="14"/>
      <c r="H162" s="14"/>
      <c r="I162" s="14"/>
      <c r="J162" s="14"/>
      <c r="K162" s="14"/>
      <c r="L162" s="14"/>
      <c r="M162" s="14"/>
    </row>
    <row r="163" spans="1:13" x14ac:dyDescent="0.25">
      <c r="A163" s="9"/>
      <c r="B163" s="4"/>
      <c r="D163" s="9"/>
      <c r="F163" s="8">
        <f>SUM(F162)</f>
        <v>4050</v>
      </c>
      <c r="G163" s="14"/>
      <c r="H163" s="14"/>
      <c r="I163" s="14"/>
      <c r="J163" s="14"/>
      <c r="K163" s="14"/>
      <c r="L163" s="14"/>
      <c r="M163" s="14"/>
    </row>
    <row r="164" spans="1:13" x14ac:dyDescent="0.25">
      <c r="A164" s="9"/>
      <c r="B164" s="4"/>
      <c r="D164" s="9"/>
      <c r="G164" s="14"/>
      <c r="H164" s="14"/>
      <c r="I164" s="14"/>
      <c r="J164" s="14"/>
      <c r="K164" s="14"/>
      <c r="L164" s="14"/>
      <c r="M164" s="14"/>
    </row>
    <row r="165" spans="1:13" x14ac:dyDescent="0.25">
      <c r="A165" s="9" t="s">
        <v>88</v>
      </c>
      <c r="B165" s="4">
        <v>45871</v>
      </c>
      <c r="C165" s="5">
        <v>5</v>
      </c>
      <c r="D165" s="9" t="s">
        <v>13</v>
      </c>
      <c r="E165" s="10">
        <v>150</v>
      </c>
      <c r="F165" s="10">
        <f t="shared" si="2"/>
        <v>750</v>
      </c>
      <c r="G165" s="14"/>
      <c r="H165" s="14"/>
      <c r="I165" s="14"/>
      <c r="J165" s="14"/>
      <c r="K165" s="14"/>
      <c r="L165" s="14"/>
      <c r="M165" s="14"/>
    </row>
    <row r="166" spans="1:13" x14ac:dyDescent="0.25">
      <c r="A166" s="9"/>
      <c r="B166" s="4"/>
      <c r="C166" s="5">
        <v>5</v>
      </c>
      <c r="D166" s="9" t="s">
        <v>14</v>
      </c>
      <c r="E166" s="10">
        <v>140</v>
      </c>
      <c r="F166" s="10">
        <f t="shared" si="2"/>
        <v>700</v>
      </c>
      <c r="G166" s="14"/>
      <c r="H166" s="14"/>
      <c r="I166" s="14"/>
      <c r="J166" s="14"/>
      <c r="K166" s="14"/>
      <c r="L166" s="14"/>
      <c r="M166" s="14"/>
    </row>
    <row r="167" spans="1:13" x14ac:dyDescent="0.25">
      <c r="A167" s="9"/>
      <c r="B167" s="4"/>
      <c r="D167" s="9"/>
      <c r="F167" s="8">
        <f>SUM(F165:F166)</f>
        <v>1450</v>
      </c>
      <c r="G167" s="14"/>
      <c r="H167" s="14"/>
      <c r="I167" s="14"/>
      <c r="J167" s="14"/>
      <c r="K167" s="14"/>
      <c r="L167" s="14"/>
      <c r="M167" s="14"/>
    </row>
    <row r="168" spans="1:13" x14ac:dyDescent="0.25">
      <c r="A168" s="9"/>
      <c r="B168" s="4"/>
      <c r="D168" s="9"/>
      <c r="G168" s="14"/>
      <c r="H168" s="14"/>
      <c r="I168" s="14"/>
      <c r="J168" s="14"/>
      <c r="K168" s="14"/>
      <c r="L168" s="14"/>
      <c r="M168" s="14"/>
    </row>
    <row r="169" spans="1:13" x14ac:dyDescent="0.25">
      <c r="A169" s="9" t="s">
        <v>72</v>
      </c>
      <c r="B169" s="4">
        <v>45871</v>
      </c>
      <c r="C169" s="5">
        <v>310</v>
      </c>
      <c r="D169" s="9" t="s">
        <v>13</v>
      </c>
      <c r="E169" s="10">
        <v>140</v>
      </c>
      <c r="F169" s="10">
        <f t="shared" si="2"/>
        <v>43400</v>
      </c>
      <c r="G169" s="14"/>
      <c r="H169" s="14"/>
      <c r="I169" s="14"/>
      <c r="J169" s="14"/>
      <c r="K169" s="14"/>
      <c r="L169" s="14"/>
      <c r="M169" s="14"/>
    </row>
    <row r="170" spans="1:13" x14ac:dyDescent="0.25">
      <c r="A170" s="9"/>
      <c r="B170" s="4"/>
      <c r="C170" s="5">
        <v>140</v>
      </c>
      <c r="D170" s="9" t="s">
        <v>12</v>
      </c>
      <c r="E170" s="10">
        <v>135</v>
      </c>
      <c r="F170" s="10">
        <f t="shared" si="2"/>
        <v>18900</v>
      </c>
      <c r="G170" s="14"/>
      <c r="H170" s="14"/>
      <c r="I170" s="14"/>
      <c r="J170" s="14"/>
      <c r="K170" s="14"/>
      <c r="L170" s="14"/>
      <c r="M170" s="14"/>
    </row>
    <row r="171" spans="1:13" x14ac:dyDescent="0.25">
      <c r="A171" s="9"/>
      <c r="B171" s="4"/>
      <c r="C171" s="5">
        <v>40</v>
      </c>
      <c r="D171" s="9" t="s">
        <v>14</v>
      </c>
      <c r="E171" s="10">
        <v>140</v>
      </c>
      <c r="F171" s="10">
        <f t="shared" si="2"/>
        <v>5600</v>
      </c>
      <c r="G171" s="14"/>
      <c r="H171" s="14"/>
      <c r="I171" s="14"/>
      <c r="J171" s="14"/>
      <c r="K171" s="14"/>
      <c r="L171" s="14"/>
      <c r="M171" s="14"/>
    </row>
    <row r="172" spans="1:13" x14ac:dyDescent="0.25">
      <c r="A172" s="9"/>
      <c r="B172" s="4"/>
      <c r="C172" s="5">
        <v>90</v>
      </c>
      <c r="D172" s="9" t="s">
        <v>11</v>
      </c>
      <c r="E172" s="10">
        <v>135</v>
      </c>
      <c r="F172" s="10">
        <f t="shared" si="2"/>
        <v>12150</v>
      </c>
      <c r="G172" s="14"/>
      <c r="H172" s="14"/>
      <c r="I172" s="14"/>
      <c r="J172" s="14"/>
      <c r="K172" s="14"/>
      <c r="L172" s="14"/>
      <c r="M172" s="14"/>
    </row>
    <row r="173" spans="1:13" x14ac:dyDescent="0.25">
      <c r="A173" s="9"/>
      <c r="B173" s="4"/>
      <c r="D173" s="9"/>
      <c r="F173" s="8">
        <f>SUM(F169:F172)</f>
        <v>80050</v>
      </c>
      <c r="G173" s="14"/>
      <c r="H173" s="14"/>
      <c r="I173" s="14"/>
      <c r="J173" s="14"/>
      <c r="K173" s="14"/>
      <c r="L173" s="14"/>
      <c r="M173" s="14"/>
    </row>
    <row r="174" spans="1:13" x14ac:dyDescent="0.25">
      <c r="A174" s="9"/>
      <c r="B174" s="4"/>
      <c r="D174" s="9"/>
      <c r="G174" s="14"/>
      <c r="H174" s="14"/>
      <c r="I174" s="14"/>
      <c r="J174" s="14"/>
      <c r="K174" s="14"/>
      <c r="L174" s="14"/>
      <c r="M174" s="14"/>
    </row>
    <row r="175" spans="1:13" x14ac:dyDescent="0.25">
      <c r="A175" s="9" t="s">
        <v>65</v>
      </c>
      <c r="B175" s="4">
        <v>45871</v>
      </c>
      <c r="C175" s="5">
        <v>500</v>
      </c>
      <c r="D175" s="9" t="s">
        <v>12</v>
      </c>
      <c r="F175" s="10">
        <f t="shared" si="2"/>
        <v>0</v>
      </c>
      <c r="G175" s="14"/>
      <c r="H175" s="14"/>
      <c r="I175" s="14"/>
      <c r="J175" s="14"/>
      <c r="K175" s="14"/>
      <c r="L175" s="14"/>
      <c r="M175" s="14"/>
    </row>
    <row r="176" spans="1:13" x14ac:dyDescent="0.25">
      <c r="A176" s="9"/>
      <c r="B176" s="4"/>
      <c r="C176" s="5">
        <v>111</v>
      </c>
      <c r="D176" s="9" t="s">
        <v>50</v>
      </c>
      <c r="F176" s="10">
        <f t="shared" si="2"/>
        <v>0</v>
      </c>
      <c r="G176" s="14"/>
      <c r="H176" s="14"/>
      <c r="I176" s="14"/>
      <c r="J176" s="14"/>
      <c r="K176" s="14"/>
      <c r="L176" s="14"/>
      <c r="M176" s="14"/>
    </row>
    <row r="177" spans="1:13" x14ac:dyDescent="0.25">
      <c r="A177" s="9"/>
      <c r="B177" s="4"/>
      <c r="C177" s="5">
        <v>103</v>
      </c>
      <c r="D177" s="9" t="s">
        <v>22</v>
      </c>
      <c r="F177" s="10">
        <f t="shared" si="2"/>
        <v>0</v>
      </c>
      <c r="G177" s="14"/>
      <c r="H177" s="14"/>
      <c r="I177" s="14"/>
      <c r="J177" s="14"/>
      <c r="K177" s="14"/>
      <c r="L177" s="14"/>
      <c r="M177" s="14"/>
    </row>
    <row r="178" spans="1:13" x14ac:dyDescent="0.25">
      <c r="A178" s="9"/>
      <c r="B178" s="4"/>
      <c r="C178" s="5">
        <v>700</v>
      </c>
      <c r="D178" s="9" t="s">
        <v>13</v>
      </c>
      <c r="F178" s="10">
        <f t="shared" si="2"/>
        <v>0</v>
      </c>
      <c r="G178" s="14"/>
      <c r="H178" s="14"/>
      <c r="I178" s="14"/>
      <c r="J178" s="14"/>
      <c r="K178" s="14"/>
      <c r="L178" s="14"/>
      <c r="M178" s="14"/>
    </row>
    <row r="179" spans="1:13" x14ac:dyDescent="0.25">
      <c r="A179" s="9"/>
      <c r="B179" s="4"/>
      <c r="C179" s="5">
        <v>230</v>
      </c>
      <c r="D179" s="9" t="s">
        <v>11</v>
      </c>
      <c r="F179" s="10">
        <f t="shared" si="2"/>
        <v>0</v>
      </c>
      <c r="G179" s="14"/>
      <c r="H179" s="14"/>
      <c r="I179" s="14"/>
      <c r="J179" s="14"/>
      <c r="K179" s="14"/>
      <c r="L179" s="14"/>
      <c r="M179" s="14"/>
    </row>
    <row r="180" spans="1:13" x14ac:dyDescent="0.25">
      <c r="A180" s="9"/>
      <c r="B180" s="4"/>
      <c r="C180" s="5">
        <v>70</v>
      </c>
      <c r="D180" s="9" t="s">
        <v>14</v>
      </c>
      <c r="F180" s="10">
        <f t="shared" si="2"/>
        <v>0</v>
      </c>
      <c r="G180" s="14"/>
      <c r="H180" s="14"/>
      <c r="I180" s="14"/>
      <c r="J180" s="14"/>
      <c r="K180" s="14"/>
      <c r="L180" s="14"/>
      <c r="M180" s="14"/>
    </row>
    <row r="181" spans="1:13" x14ac:dyDescent="0.25">
      <c r="A181" s="9"/>
      <c r="B181" s="4"/>
      <c r="D181" s="9"/>
      <c r="F181" s="8">
        <f t="shared" si="2"/>
        <v>0</v>
      </c>
      <c r="G181" s="14"/>
      <c r="H181" s="14"/>
      <c r="I181" s="14"/>
      <c r="J181" s="14"/>
      <c r="K181" s="14"/>
      <c r="L181" s="14"/>
      <c r="M181" s="14"/>
    </row>
    <row r="182" spans="1:13" x14ac:dyDescent="0.25">
      <c r="A182" s="9"/>
      <c r="B182" s="4"/>
      <c r="D182" s="9"/>
      <c r="G182" s="14"/>
      <c r="H182" s="14"/>
      <c r="I182" s="14"/>
      <c r="J182" s="14"/>
      <c r="K182" s="14"/>
      <c r="L182" s="14"/>
      <c r="M182" s="14"/>
    </row>
    <row r="183" spans="1:13" x14ac:dyDescent="0.25">
      <c r="A183" s="9" t="s">
        <v>29</v>
      </c>
      <c r="B183" s="4">
        <v>45871</v>
      </c>
      <c r="C183" s="5">
        <v>1</v>
      </c>
      <c r="D183" s="9" t="s">
        <v>8</v>
      </c>
      <c r="E183" s="10">
        <v>170</v>
      </c>
      <c r="F183" s="10">
        <f t="shared" si="2"/>
        <v>170</v>
      </c>
      <c r="G183" s="14"/>
      <c r="H183" s="14"/>
      <c r="I183" s="14"/>
      <c r="J183" s="14"/>
      <c r="K183" s="14"/>
      <c r="L183" s="14"/>
      <c r="M183" s="14"/>
    </row>
    <row r="184" spans="1:13" x14ac:dyDescent="0.25">
      <c r="A184" s="9"/>
      <c r="B184" s="4"/>
      <c r="C184" s="5">
        <v>2</v>
      </c>
      <c r="D184" s="9" t="s">
        <v>8</v>
      </c>
      <c r="E184" s="10">
        <v>160</v>
      </c>
      <c r="F184" s="10">
        <f t="shared" si="2"/>
        <v>320</v>
      </c>
      <c r="G184" s="14"/>
      <c r="H184" s="14"/>
      <c r="I184" s="14"/>
      <c r="J184" s="14"/>
      <c r="K184" s="14"/>
      <c r="L184" s="14"/>
      <c r="M184" s="14"/>
    </row>
    <row r="185" spans="1:13" x14ac:dyDescent="0.25">
      <c r="A185" s="9"/>
      <c r="B185" s="4"/>
      <c r="C185" s="5">
        <v>1</v>
      </c>
      <c r="D185" s="9" t="s">
        <v>8</v>
      </c>
      <c r="E185" s="10">
        <v>170</v>
      </c>
      <c r="F185" s="10">
        <f t="shared" si="2"/>
        <v>170</v>
      </c>
      <c r="G185" s="14"/>
      <c r="H185" s="14"/>
      <c r="I185" s="14"/>
      <c r="J185" s="14"/>
      <c r="K185" s="14"/>
      <c r="L185" s="14"/>
      <c r="M185" s="14"/>
    </row>
    <row r="186" spans="1:13" x14ac:dyDescent="0.25">
      <c r="A186" s="9"/>
      <c r="B186" s="4"/>
      <c r="C186" s="5">
        <v>1</v>
      </c>
      <c r="D186" s="9" t="s">
        <v>49</v>
      </c>
      <c r="E186" s="10">
        <v>150</v>
      </c>
      <c r="F186" s="10">
        <f t="shared" si="2"/>
        <v>150</v>
      </c>
      <c r="G186" s="14"/>
      <c r="H186" s="14"/>
      <c r="I186" s="14"/>
      <c r="J186" s="14"/>
      <c r="K186" s="14"/>
      <c r="L186" s="14"/>
      <c r="M186" s="14"/>
    </row>
    <row r="187" spans="1:13" x14ac:dyDescent="0.25">
      <c r="A187" s="9"/>
      <c r="B187" s="4"/>
      <c r="C187" s="5">
        <v>1</v>
      </c>
      <c r="D187" s="9" t="s">
        <v>8</v>
      </c>
      <c r="E187" s="10">
        <v>170</v>
      </c>
      <c r="F187" s="10">
        <f t="shared" si="2"/>
        <v>170</v>
      </c>
      <c r="G187" s="14"/>
      <c r="H187" s="14"/>
      <c r="I187" s="14"/>
      <c r="J187" s="14"/>
      <c r="K187" s="14"/>
      <c r="L187" s="14"/>
      <c r="M187" s="14"/>
    </row>
    <row r="188" spans="1:13" x14ac:dyDescent="0.25">
      <c r="A188" s="9"/>
      <c r="B188" s="4"/>
      <c r="D188" s="9"/>
      <c r="F188" s="8">
        <f>SUM(F183:F187)</f>
        <v>980</v>
      </c>
      <c r="G188" s="14"/>
      <c r="H188" s="14"/>
      <c r="I188" s="14"/>
      <c r="J188" s="14"/>
      <c r="K188" s="14"/>
      <c r="L188" s="14"/>
      <c r="M188" s="14"/>
    </row>
    <row r="189" spans="1:13" x14ac:dyDescent="0.25">
      <c r="A189" s="9"/>
      <c r="B189" s="4"/>
      <c r="D189" s="9"/>
      <c r="G189" s="14"/>
      <c r="H189" s="14"/>
      <c r="I189" s="14"/>
      <c r="J189" s="14"/>
      <c r="K189" s="14"/>
      <c r="L189" s="14"/>
      <c r="M189" s="14"/>
    </row>
    <row r="190" spans="1:13" x14ac:dyDescent="0.25">
      <c r="A190" s="9" t="s">
        <v>7</v>
      </c>
      <c r="B190" s="4">
        <v>45871</v>
      </c>
      <c r="C190" s="5">
        <v>2</v>
      </c>
      <c r="D190" s="9" t="s">
        <v>224</v>
      </c>
      <c r="E190" s="10">
        <v>140</v>
      </c>
      <c r="F190" s="10">
        <f t="shared" si="2"/>
        <v>280</v>
      </c>
      <c r="G190" s="14"/>
      <c r="H190" s="14"/>
      <c r="I190" s="14"/>
      <c r="J190" s="14"/>
      <c r="K190" s="14"/>
      <c r="L190" s="14"/>
      <c r="M190" s="14"/>
    </row>
    <row r="191" spans="1:13" x14ac:dyDescent="0.25">
      <c r="A191" s="9"/>
      <c r="B191" s="4"/>
      <c r="C191" s="5">
        <v>1</v>
      </c>
      <c r="D191" s="9" t="s">
        <v>13</v>
      </c>
      <c r="E191" s="10">
        <v>160</v>
      </c>
      <c r="F191" s="10">
        <f t="shared" si="2"/>
        <v>160</v>
      </c>
      <c r="G191" s="14"/>
      <c r="H191" s="14"/>
      <c r="I191" s="14"/>
      <c r="J191" s="14"/>
      <c r="K191" s="14"/>
      <c r="L191" s="14"/>
      <c r="M191" s="14"/>
    </row>
    <row r="192" spans="1:13" x14ac:dyDescent="0.25">
      <c r="A192" s="9"/>
      <c r="B192" s="4"/>
      <c r="C192" s="5">
        <v>5</v>
      </c>
      <c r="D192" s="9" t="s">
        <v>8</v>
      </c>
      <c r="E192" s="10">
        <v>170</v>
      </c>
      <c r="F192" s="10">
        <f t="shared" si="2"/>
        <v>850</v>
      </c>
      <c r="G192" s="14"/>
      <c r="H192" s="14"/>
      <c r="I192" s="14"/>
      <c r="J192" s="14"/>
      <c r="K192" s="14"/>
      <c r="L192" s="14"/>
      <c r="M192" s="14"/>
    </row>
    <row r="193" spans="1:13" x14ac:dyDescent="0.25">
      <c r="A193" s="9"/>
      <c r="B193" s="4"/>
      <c r="C193" s="11">
        <v>0.5</v>
      </c>
      <c r="D193" s="9" t="s">
        <v>13</v>
      </c>
      <c r="E193" s="10">
        <v>160</v>
      </c>
      <c r="F193" s="10">
        <f t="shared" si="2"/>
        <v>80</v>
      </c>
      <c r="G193" s="14"/>
      <c r="H193" s="14"/>
      <c r="I193" s="14"/>
      <c r="J193" s="14"/>
      <c r="K193" s="14"/>
      <c r="L193" s="14"/>
      <c r="M193" s="14"/>
    </row>
    <row r="194" spans="1:13" x14ac:dyDescent="0.25">
      <c r="A194" s="9"/>
      <c r="B194" s="4"/>
      <c r="D194" s="9"/>
      <c r="F194" s="8">
        <f>SUM(F190:F193)</f>
        <v>1370</v>
      </c>
      <c r="G194" s="14"/>
      <c r="H194" s="14"/>
      <c r="I194" s="14"/>
      <c r="J194" s="14"/>
      <c r="K194" s="14"/>
      <c r="L194" s="14"/>
      <c r="M194" s="14"/>
    </row>
    <row r="195" spans="1:13" x14ac:dyDescent="0.25">
      <c r="A195" s="9"/>
      <c r="B195" s="4"/>
      <c r="D195" s="9"/>
      <c r="G195" s="14"/>
      <c r="H195" s="14"/>
      <c r="I195" s="14"/>
      <c r="J195" s="14"/>
      <c r="K195" s="14"/>
      <c r="L195" s="14"/>
      <c r="M195" s="14"/>
    </row>
    <row r="196" spans="1:13" x14ac:dyDescent="0.25">
      <c r="A196" s="9" t="s">
        <v>103</v>
      </c>
      <c r="B196" s="4">
        <v>45872</v>
      </c>
      <c r="C196" s="5">
        <v>4</v>
      </c>
      <c r="D196" s="9" t="s">
        <v>13</v>
      </c>
      <c r="E196" s="10">
        <v>150</v>
      </c>
      <c r="F196" s="10">
        <f t="shared" ref="F196:F258" si="3">+C196*E196</f>
        <v>600</v>
      </c>
      <c r="G196" s="14"/>
      <c r="H196" s="14"/>
      <c r="I196" s="14"/>
      <c r="J196" s="14"/>
      <c r="K196" s="14"/>
      <c r="L196" s="14"/>
      <c r="M196" s="14"/>
    </row>
    <row r="197" spans="1:13" x14ac:dyDescent="0.25">
      <c r="A197" s="9"/>
      <c r="B197" s="4"/>
      <c r="D197" s="9"/>
      <c r="F197" s="8">
        <f>SUM(F196)</f>
        <v>600</v>
      </c>
      <c r="G197" s="14"/>
      <c r="H197" s="14"/>
      <c r="I197" s="14"/>
      <c r="J197" s="14"/>
      <c r="K197" s="14"/>
      <c r="L197" s="14"/>
      <c r="M197" s="14"/>
    </row>
    <row r="198" spans="1:13" x14ac:dyDescent="0.25">
      <c r="A198" s="9"/>
      <c r="B198" s="4"/>
      <c r="D198" s="9"/>
      <c r="G198" s="14"/>
      <c r="H198" s="14"/>
      <c r="I198" s="14"/>
      <c r="J198" s="14"/>
      <c r="K198" s="14"/>
      <c r="L198" s="14"/>
      <c r="M198" s="14"/>
    </row>
    <row r="199" spans="1:13" x14ac:dyDescent="0.25">
      <c r="A199" s="9" t="s">
        <v>32</v>
      </c>
      <c r="B199" s="4">
        <v>45872</v>
      </c>
      <c r="C199" s="5">
        <v>15</v>
      </c>
      <c r="D199" s="9" t="s">
        <v>13</v>
      </c>
      <c r="E199" s="10">
        <v>140</v>
      </c>
      <c r="F199" s="10">
        <f t="shared" si="3"/>
        <v>2100</v>
      </c>
      <c r="G199" s="14"/>
      <c r="H199" s="14"/>
      <c r="I199" s="14"/>
      <c r="J199" s="14"/>
      <c r="K199" s="14"/>
      <c r="L199" s="14"/>
      <c r="M199" s="14"/>
    </row>
    <row r="200" spans="1:13" x14ac:dyDescent="0.25">
      <c r="A200" s="9"/>
      <c r="B200" s="4"/>
      <c r="D200" s="9"/>
      <c r="F200" s="8">
        <f>SUM(F199)</f>
        <v>2100</v>
      </c>
      <c r="G200" s="14"/>
      <c r="H200" s="14"/>
      <c r="I200" s="14"/>
      <c r="J200" s="14"/>
      <c r="K200" s="14"/>
      <c r="L200" s="14"/>
      <c r="M200" s="14"/>
    </row>
    <row r="201" spans="1:13" x14ac:dyDescent="0.25">
      <c r="A201" s="9"/>
      <c r="B201" s="4"/>
      <c r="D201" s="9"/>
      <c r="G201" s="14"/>
      <c r="H201" s="14"/>
      <c r="I201" s="14"/>
      <c r="J201" s="14"/>
      <c r="K201" s="14"/>
      <c r="L201" s="14"/>
      <c r="M201" s="14"/>
    </row>
    <row r="202" spans="1:13" x14ac:dyDescent="0.25">
      <c r="A202" s="9" t="s">
        <v>29</v>
      </c>
      <c r="B202" s="4">
        <v>45872</v>
      </c>
      <c r="C202" s="5">
        <v>2</v>
      </c>
      <c r="D202" s="9" t="s">
        <v>13</v>
      </c>
      <c r="E202" s="10">
        <v>160</v>
      </c>
      <c r="F202" s="10">
        <f t="shared" si="3"/>
        <v>320</v>
      </c>
      <c r="G202" s="14"/>
      <c r="H202" s="14"/>
      <c r="I202" s="14"/>
      <c r="J202" s="14"/>
      <c r="K202" s="14"/>
      <c r="L202" s="14"/>
      <c r="M202" s="14"/>
    </row>
    <row r="203" spans="1:13" x14ac:dyDescent="0.25">
      <c r="A203" s="9"/>
      <c r="B203" s="4"/>
      <c r="D203" s="9"/>
      <c r="F203" s="8">
        <f>SUM(F202)</f>
        <v>320</v>
      </c>
      <c r="G203" s="14"/>
      <c r="H203" s="14"/>
      <c r="I203" s="14"/>
      <c r="J203" s="14"/>
      <c r="K203" s="14"/>
      <c r="L203" s="14"/>
      <c r="M203" s="14"/>
    </row>
    <row r="204" spans="1:13" x14ac:dyDescent="0.25">
      <c r="A204" s="9"/>
      <c r="B204" s="4"/>
      <c r="D204" s="9"/>
      <c r="G204" s="14"/>
      <c r="H204" s="14"/>
      <c r="I204" s="14"/>
      <c r="J204" s="14"/>
      <c r="K204" s="14"/>
      <c r="L204" s="14"/>
      <c r="M204" s="14"/>
    </row>
    <row r="205" spans="1:13" x14ac:dyDescent="0.25">
      <c r="A205" s="9" t="s">
        <v>69</v>
      </c>
      <c r="B205" s="4">
        <v>45873</v>
      </c>
      <c r="C205" s="5">
        <v>10</v>
      </c>
      <c r="D205" s="9" t="s">
        <v>98</v>
      </c>
      <c r="E205" s="10">
        <v>100</v>
      </c>
      <c r="F205" s="10">
        <f t="shared" si="3"/>
        <v>1000</v>
      </c>
      <c r="G205" s="14"/>
      <c r="H205" s="14"/>
      <c r="I205" s="14"/>
      <c r="J205" s="14"/>
      <c r="K205" s="14"/>
      <c r="L205" s="14"/>
      <c r="M205" s="14"/>
    </row>
    <row r="206" spans="1:13" x14ac:dyDescent="0.25">
      <c r="A206" s="9"/>
      <c r="B206" s="4"/>
      <c r="D206" s="9"/>
      <c r="F206" s="8">
        <f>SUM(F205)</f>
        <v>1000</v>
      </c>
      <c r="G206" s="14"/>
      <c r="H206" s="14"/>
      <c r="I206" s="14"/>
      <c r="J206" s="14"/>
      <c r="K206" s="14"/>
      <c r="L206" s="14"/>
      <c r="M206" s="14"/>
    </row>
    <row r="207" spans="1:13" x14ac:dyDescent="0.25">
      <c r="A207" s="9"/>
      <c r="B207" s="4"/>
      <c r="D207" s="9"/>
      <c r="G207" s="14"/>
      <c r="H207" s="14"/>
      <c r="I207" s="14"/>
      <c r="J207" s="14"/>
      <c r="K207" s="14"/>
      <c r="L207" s="14"/>
      <c r="M207" s="14"/>
    </row>
    <row r="208" spans="1:13" x14ac:dyDescent="0.25">
      <c r="A208" s="9" t="s">
        <v>79</v>
      </c>
      <c r="B208" s="4">
        <v>45873</v>
      </c>
      <c r="C208" s="5">
        <v>20</v>
      </c>
      <c r="D208" s="9" t="s">
        <v>13</v>
      </c>
      <c r="E208" s="10">
        <v>145</v>
      </c>
      <c r="F208" s="10">
        <f t="shared" si="3"/>
        <v>2900</v>
      </c>
      <c r="G208" s="14"/>
      <c r="H208" s="14"/>
      <c r="I208" s="14"/>
      <c r="J208" s="14"/>
      <c r="K208" s="14"/>
      <c r="L208" s="14"/>
      <c r="M208" s="14"/>
    </row>
    <row r="209" spans="1:13" x14ac:dyDescent="0.25">
      <c r="A209" s="9"/>
      <c r="B209" s="4"/>
      <c r="D209" s="9"/>
      <c r="F209" s="8">
        <f>SUM(F208)</f>
        <v>2900</v>
      </c>
      <c r="G209" s="14"/>
      <c r="H209" s="14"/>
      <c r="I209" s="14"/>
      <c r="J209" s="14"/>
      <c r="K209" s="14"/>
      <c r="L209" s="14"/>
      <c r="M209" s="14"/>
    </row>
    <row r="210" spans="1:13" x14ac:dyDescent="0.25">
      <c r="A210" s="9"/>
      <c r="B210" s="4"/>
      <c r="D210" s="9"/>
      <c r="G210" s="14"/>
      <c r="H210" s="14"/>
      <c r="I210" s="14"/>
      <c r="J210" s="14"/>
      <c r="K210" s="14"/>
      <c r="L210" s="14"/>
      <c r="M210" s="14"/>
    </row>
    <row r="211" spans="1:13" x14ac:dyDescent="0.25">
      <c r="A211" s="9" t="s">
        <v>40</v>
      </c>
      <c r="B211" s="4">
        <v>45873</v>
      </c>
      <c r="C211" s="5">
        <v>15</v>
      </c>
      <c r="D211" s="9" t="s">
        <v>121</v>
      </c>
      <c r="E211" s="10">
        <v>145</v>
      </c>
      <c r="F211" s="10">
        <f t="shared" si="3"/>
        <v>2175</v>
      </c>
      <c r="G211" s="14"/>
      <c r="H211" s="14"/>
      <c r="I211" s="14"/>
      <c r="J211" s="14"/>
      <c r="K211" s="14"/>
      <c r="L211" s="14"/>
      <c r="M211" s="14"/>
    </row>
    <row r="212" spans="1:13" x14ac:dyDescent="0.25">
      <c r="A212" s="9"/>
      <c r="B212" s="4"/>
      <c r="C212" s="5">
        <v>15</v>
      </c>
      <c r="D212" s="9" t="s">
        <v>50</v>
      </c>
      <c r="E212" s="10">
        <v>120</v>
      </c>
      <c r="F212" s="10">
        <f t="shared" si="3"/>
        <v>1800</v>
      </c>
      <c r="G212" s="14"/>
      <c r="H212" s="14"/>
      <c r="I212" s="14"/>
      <c r="J212" s="14"/>
      <c r="K212" s="14"/>
      <c r="L212" s="14"/>
      <c r="M212" s="14"/>
    </row>
    <row r="213" spans="1:13" x14ac:dyDescent="0.25">
      <c r="A213" s="9"/>
      <c r="B213" s="4"/>
      <c r="C213" s="5">
        <v>10</v>
      </c>
      <c r="D213" s="9" t="s">
        <v>12</v>
      </c>
      <c r="E213" s="10">
        <v>140</v>
      </c>
      <c r="F213" s="10">
        <f t="shared" si="3"/>
        <v>1400</v>
      </c>
      <c r="G213" s="14"/>
      <c r="H213" s="14"/>
      <c r="I213" s="14"/>
      <c r="J213" s="14"/>
      <c r="K213" s="14"/>
      <c r="L213" s="14"/>
      <c r="M213" s="14"/>
    </row>
    <row r="214" spans="1:13" x14ac:dyDescent="0.25">
      <c r="A214" s="9"/>
      <c r="B214" s="4"/>
      <c r="D214" s="9"/>
      <c r="F214" s="8">
        <f>SUM(F211:F213)</f>
        <v>5375</v>
      </c>
      <c r="G214" s="14"/>
      <c r="H214" s="14"/>
      <c r="I214" s="14"/>
      <c r="J214" s="14"/>
      <c r="K214" s="14"/>
      <c r="L214" s="14"/>
      <c r="M214" s="14"/>
    </row>
    <row r="215" spans="1:13" x14ac:dyDescent="0.25">
      <c r="A215" s="9"/>
      <c r="B215" s="4"/>
      <c r="D215" s="9"/>
      <c r="G215" s="14"/>
      <c r="H215" s="14"/>
      <c r="I215" s="14"/>
      <c r="J215" s="14"/>
      <c r="K215" s="14"/>
      <c r="L215" s="14"/>
      <c r="M215" s="14"/>
    </row>
    <row r="216" spans="1:13" x14ac:dyDescent="0.25">
      <c r="A216" s="9" t="s">
        <v>482</v>
      </c>
      <c r="B216" s="4">
        <v>45873</v>
      </c>
      <c r="C216" s="5">
        <v>10</v>
      </c>
      <c r="D216" s="9" t="s">
        <v>13</v>
      </c>
      <c r="E216" s="10">
        <v>150</v>
      </c>
      <c r="F216" s="10">
        <f t="shared" si="3"/>
        <v>1500</v>
      </c>
      <c r="G216" s="14"/>
      <c r="H216" s="14"/>
      <c r="I216" s="14"/>
      <c r="J216" s="14"/>
      <c r="K216" s="14"/>
      <c r="L216" s="14"/>
      <c r="M216" s="14"/>
    </row>
    <row r="217" spans="1:13" x14ac:dyDescent="0.25">
      <c r="A217" s="9"/>
      <c r="B217" s="4"/>
      <c r="D217" s="9"/>
      <c r="F217" s="8">
        <f>SUM(F216)</f>
        <v>1500</v>
      </c>
      <c r="G217" s="14"/>
      <c r="H217" s="14"/>
      <c r="I217" s="14"/>
      <c r="J217" s="14"/>
      <c r="K217" s="14"/>
      <c r="L217" s="14"/>
      <c r="M217" s="14"/>
    </row>
    <row r="218" spans="1:13" x14ac:dyDescent="0.25">
      <c r="A218" s="9"/>
      <c r="B218" s="4"/>
      <c r="D218" s="9"/>
      <c r="G218" s="14"/>
      <c r="H218" s="14"/>
      <c r="I218" s="14"/>
      <c r="J218" s="14"/>
      <c r="K218" s="14"/>
      <c r="L218" s="14"/>
      <c r="M218" s="14"/>
    </row>
    <row r="219" spans="1:13" x14ac:dyDescent="0.25">
      <c r="A219" s="9" t="s">
        <v>17</v>
      </c>
      <c r="B219" s="4">
        <v>45873</v>
      </c>
      <c r="C219" s="5">
        <v>15</v>
      </c>
      <c r="D219" s="9" t="s">
        <v>13</v>
      </c>
      <c r="E219" s="10">
        <v>150</v>
      </c>
      <c r="F219" s="10">
        <f t="shared" si="3"/>
        <v>2250</v>
      </c>
      <c r="G219" s="14"/>
      <c r="H219" s="14"/>
      <c r="I219" s="14"/>
      <c r="J219" s="14"/>
      <c r="K219" s="14"/>
      <c r="L219" s="14"/>
      <c r="M219" s="14"/>
    </row>
    <row r="220" spans="1:13" x14ac:dyDescent="0.25">
      <c r="A220" s="9"/>
      <c r="B220" s="4"/>
      <c r="D220" s="9"/>
      <c r="F220" s="8">
        <f>SUM(F219)</f>
        <v>2250</v>
      </c>
      <c r="G220" s="14"/>
      <c r="H220" s="14"/>
      <c r="I220" s="14"/>
      <c r="J220" s="14"/>
      <c r="K220" s="14"/>
      <c r="L220" s="14"/>
      <c r="M220" s="14"/>
    </row>
    <row r="221" spans="1:13" x14ac:dyDescent="0.25">
      <c r="A221" s="9"/>
      <c r="B221" s="4"/>
      <c r="D221" s="9"/>
      <c r="G221" s="14"/>
      <c r="H221" s="14"/>
      <c r="I221" s="14"/>
      <c r="J221" s="14"/>
      <c r="K221" s="14"/>
      <c r="L221" s="14"/>
      <c r="M221" s="14"/>
    </row>
    <row r="222" spans="1:13" x14ac:dyDescent="0.25">
      <c r="A222" s="9" t="s">
        <v>20</v>
      </c>
      <c r="B222" s="4">
        <v>45873</v>
      </c>
      <c r="C222" s="5">
        <v>20</v>
      </c>
      <c r="D222" s="9" t="s">
        <v>13</v>
      </c>
      <c r="E222" s="10">
        <v>150</v>
      </c>
      <c r="F222" s="10">
        <f t="shared" si="3"/>
        <v>3000</v>
      </c>
      <c r="G222" s="14"/>
      <c r="H222" s="14"/>
      <c r="I222" s="14"/>
      <c r="J222" s="14"/>
      <c r="K222" s="14"/>
      <c r="L222" s="14"/>
      <c r="M222" s="14"/>
    </row>
    <row r="223" spans="1:13" x14ac:dyDescent="0.25">
      <c r="A223" s="9"/>
      <c r="B223" s="4"/>
      <c r="D223" s="9"/>
      <c r="F223" s="8">
        <f>SUM(F222)</f>
        <v>3000</v>
      </c>
      <c r="G223" s="14"/>
      <c r="H223" s="14"/>
      <c r="I223" s="14"/>
      <c r="J223" s="14"/>
      <c r="K223" s="14"/>
      <c r="L223" s="14"/>
      <c r="M223" s="14"/>
    </row>
    <row r="224" spans="1:13" x14ac:dyDescent="0.25">
      <c r="A224" s="9"/>
      <c r="B224" s="4"/>
      <c r="D224" s="9"/>
      <c r="G224" s="14"/>
      <c r="H224" s="14"/>
      <c r="I224" s="14"/>
      <c r="J224" s="14"/>
      <c r="K224" s="14"/>
      <c r="L224" s="14"/>
      <c r="M224" s="14"/>
    </row>
    <row r="225" spans="1:13" x14ac:dyDescent="0.25">
      <c r="A225" s="9" t="s">
        <v>406</v>
      </c>
      <c r="B225" s="4">
        <v>45873</v>
      </c>
      <c r="C225" s="5">
        <v>10</v>
      </c>
      <c r="D225" s="9" t="s">
        <v>12</v>
      </c>
      <c r="E225" s="10">
        <v>140</v>
      </c>
      <c r="F225" s="10">
        <f t="shared" si="3"/>
        <v>1400</v>
      </c>
      <c r="G225" s="14"/>
      <c r="H225" s="14"/>
      <c r="I225" s="14"/>
      <c r="J225" s="14"/>
      <c r="K225" s="14"/>
      <c r="L225" s="14"/>
      <c r="M225" s="14"/>
    </row>
    <row r="226" spans="1:13" x14ac:dyDescent="0.25">
      <c r="A226" s="9"/>
      <c r="B226" s="4"/>
      <c r="C226" s="5">
        <v>10</v>
      </c>
      <c r="D226" s="9" t="s">
        <v>13</v>
      </c>
      <c r="E226" s="10">
        <v>150</v>
      </c>
      <c r="F226" s="10">
        <f t="shared" si="3"/>
        <v>1500</v>
      </c>
      <c r="G226" s="14"/>
      <c r="H226" s="14"/>
      <c r="I226" s="14"/>
      <c r="J226" s="14"/>
      <c r="K226" s="14"/>
      <c r="L226" s="14"/>
      <c r="M226" s="14"/>
    </row>
    <row r="227" spans="1:13" x14ac:dyDescent="0.25">
      <c r="A227" s="9"/>
      <c r="B227" s="4"/>
      <c r="C227" s="5">
        <v>10</v>
      </c>
      <c r="D227" s="9" t="s">
        <v>14</v>
      </c>
      <c r="E227" s="10">
        <v>145</v>
      </c>
      <c r="F227" s="10">
        <f t="shared" si="3"/>
        <v>1450</v>
      </c>
      <c r="G227" s="14"/>
      <c r="H227" s="14"/>
      <c r="I227" s="14"/>
      <c r="J227" s="14"/>
      <c r="K227" s="14"/>
      <c r="L227" s="14"/>
      <c r="M227" s="14"/>
    </row>
    <row r="228" spans="1:13" x14ac:dyDescent="0.25">
      <c r="A228" s="9"/>
      <c r="B228" s="4"/>
      <c r="D228" s="9"/>
      <c r="F228" s="8">
        <f>SUM(F225:F227)</f>
        <v>4350</v>
      </c>
      <c r="G228" s="14"/>
      <c r="H228" s="14"/>
      <c r="I228" s="14"/>
      <c r="J228" s="14"/>
      <c r="K228" s="14"/>
      <c r="L228" s="14"/>
      <c r="M228" s="14"/>
    </row>
    <row r="229" spans="1:13" x14ac:dyDescent="0.25">
      <c r="A229" s="9"/>
      <c r="B229" s="4"/>
      <c r="D229" s="9"/>
      <c r="G229" s="14"/>
      <c r="H229" s="14"/>
      <c r="I229" s="14"/>
      <c r="J229" s="14"/>
      <c r="K229" s="14"/>
      <c r="L229" s="14"/>
      <c r="M229" s="14"/>
    </row>
    <row r="230" spans="1:13" x14ac:dyDescent="0.25">
      <c r="A230" s="9" t="s">
        <v>825</v>
      </c>
      <c r="B230" s="4">
        <v>45873</v>
      </c>
      <c r="C230" s="5">
        <v>10</v>
      </c>
      <c r="D230" s="9" t="s">
        <v>13</v>
      </c>
      <c r="E230" s="10">
        <v>150</v>
      </c>
      <c r="F230" s="10">
        <f t="shared" si="3"/>
        <v>1500</v>
      </c>
      <c r="G230" s="16"/>
      <c r="H230" s="16"/>
      <c r="I230" s="14"/>
      <c r="J230" s="14"/>
      <c r="K230" s="14"/>
      <c r="L230" s="14"/>
      <c r="M230" s="14"/>
    </row>
    <row r="231" spans="1:13" x14ac:dyDescent="0.25">
      <c r="A231" s="9"/>
      <c r="B231" s="4"/>
      <c r="C231" s="5">
        <v>10</v>
      </c>
      <c r="D231" s="9" t="s">
        <v>14</v>
      </c>
      <c r="E231" s="10">
        <v>145</v>
      </c>
      <c r="F231" s="10">
        <f t="shared" si="3"/>
        <v>1450</v>
      </c>
      <c r="G231" s="16"/>
      <c r="H231" s="16"/>
      <c r="I231" s="14"/>
      <c r="J231" s="14"/>
      <c r="K231" s="14"/>
      <c r="L231" s="14"/>
      <c r="M231" s="14"/>
    </row>
    <row r="232" spans="1:13" ht="15.75" x14ac:dyDescent="0.25">
      <c r="A232" s="9"/>
      <c r="B232" s="4"/>
      <c r="D232" s="9"/>
      <c r="F232" s="8">
        <f>SUM(F230:F231)</f>
        <v>2950</v>
      </c>
      <c r="G232" s="17"/>
      <c r="H232" s="16"/>
      <c r="I232" s="14"/>
      <c r="J232" s="14"/>
      <c r="K232" s="14"/>
      <c r="L232" s="14"/>
      <c r="M232" s="14"/>
    </row>
    <row r="233" spans="1:13" x14ac:dyDescent="0.25">
      <c r="A233" s="9"/>
      <c r="B233" s="4"/>
      <c r="D233" s="9"/>
      <c r="G233" s="15"/>
      <c r="H233" s="14"/>
      <c r="I233" s="14"/>
      <c r="J233" s="14"/>
      <c r="K233" s="14"/>
      <c r="L233" s="14"/>
      <c r="M233" s="14"/>
    </row>
    <row r="234" spans="1:13" x14ac:dyDescent="0.25">
      <c r="A234" s="9" t="s">
        <v>69</v>
      </c>
      <c r="B234" s="4">
        <v>45873</v>
      </c>
      <c r="C234" s="5">
        <v>10</v>
      </c>
      <c r="D234" s="9" t="s">
        <v>8</v>
      </c>
      <c r="E234" s="10">
        <v>160</v>
      </c>
      <c r="F234" s="10">
        <f t="shared" si="3"/>
        <v>1600</v>
      </c>
      <c r="G234" s="9"/>
      <c r="H234" s="9"/>
      <c r="I234" s="9"/>
      <c r="J234" s="9"/>
      <c r="K234" s="9"/>
      <c r="L234" s="9"/>
      <c r="M234" s="9"/>
    </row>
    <row r="235" spans="1:13" x14ac:dyDescent="0.25">
      <c r="A235" s="9"/>
      <c r="B235" s="4"/>
      <c r="D235" s="9"/>
      <c r="F235" s="8">
        <f>SUM(F234)</f>
        <v>1600</v>
      </c>
      <c r="G235" s="9"/>
      <c r="H235" s="9"/>
      <c r="I235" s="9"/>
      <c r="J235" s="9"/>
      <c r="K235" s="9"/>
      <c r="L235" s="9"/>
      <c r="M235" s="9"/>
    </row>
    <row r="236" spans="1:13" x14ac:dyDescent="0.25">
      <c r="A236" s="9"/>
      <c r="B236" s="4"/>
      <c r="D236" s="9"/>
      <c r="G236" s="9"/>
      <c r="H236" s="9"/>
      <c r="I236" s="9"/>
      <c r="J236" s="9"/>
      <c r="K236" s="9"/>
      <c r="L236" s="9"/>
      <c r="M236" s="9"/>
    </row>
    <row r="237" spans="1:13" x14ac:dyDescent="0.25">
      <c r="A237" s="9" t="s">
        <v>44</v>
      </c>
      <c r="B237" s="4">
        <v>45873</v>
      </c>
      <c r="C237" s="5">
        <v>10</v>
      </c>
      <c r="D237" s="9" t="s">
        <v>13</v>
      </c>
      <c r="E237" s="10">
        <v>145</v>
      </c>
      <c r="F237" s="10">
        <f t="shared" si="3"/>
        <v>1450</v>
      </c>
      <c r="G237" s="9"/>
      <c r="H237" s="9"/>
      <c r="I237" s="9"/>
      <c r="J237" s="9"/>
      <c r="K237" s="9"/>
      <c r="L237" s="9"/>
      <c r="M237" s="9"/>
    </row>
    <row r="238" spans="1:13" x14ac:dyDescent="0.25">
      <c r="A238" s="9"/>
      <c r="B238" s="4"/>
      <c r="D238" s="9"/>
      <c r="F238" s="8">
        <f>SUM(F237)</f>
        <v>1450</v>
      </c>
      <c r="G238" s="9"/>
      <c r="H238" s="9"/>
      <c r="I238" s="9"/>
      <c r="J238" s="9"/>
      <c r="K238" s="9"/>
      <c r="L238" s="9"/>
      <c r="M238" s="9"/>
    </row>
    <row r="239" spans="1:13" x14ac:dyDescent="0.25">
      <c r="A239" s="9"/>
      <c r="B239" s="4"/>
      <c r="D239" s="9"/>
      <c r="G239" s="9"/>
      <c r="H239" s="9"/>
      <c r="I239" s="9"/>
      <c r="J239" s="9"/>
      <c r="K239" s="9"/>
      <c r="L239" s="9"/>
      <c r="M239" s="9"/>
    </row>
    <row r="240" spans="1:13" x14ac:dyDescent="0.25">
      <c r="A240" s="9" t="s">
        <v>15</v>
      </c>
      <c r="B240" s="4">
        <v>45873</v>
      </c>
      <c r="C240" s="5">
        <v>30</v>
      </c>
      <c r="D240" s="9" t="s">
        <v>826</v>
      </c>
      <c r="E240" s="10">
        <v>90</v>
      </c>
      <c r="F240" s="10">
        <f t="shared" si="3"/>
        <v>2700</v>
      </c>
      <c r="G240" s="9"/>
      <c r="H240" s="9"/>
      <c r="I240" s="9"/>
      <c r="J240" s="9"/>
      <c r="K240" s="9"/>
      <c r="L240" s="9"/>
      <c r="M240" s="9"/>
    </row>
    <row r="241" spans="1:6" x14ac:dyDescent="0.25">
      <c r="A241" s="9"/>
      <c r="B241" s="4"/>
      <c r="D241" s="9"/>
      <c r="F241" s="8">
        <f>SUM(F240)</f>
        <v>2700</v>
      </c>
    </row>
    <row r="242" spans="1:6" x14ac:dyDescent="0.25">
      <c r="A242" s="9"/>
      <c r="B242" s="4"/>
      <c r="D242" s="9"/>
    </row>
    <row r="243" spans="1:6" x14ac:dyDescent="0.25">
      <c r="A243" s="9" t="s">
        <v>827</v>
      </c>
      <c r="B243" s="4">
        <v>45873</v>
      </c>
      <c r="C243" s="5">
        <v>15</v>
      </c>
      <c r="D243" s="9" t="s">
        <v>98</v>
      </c>
      <c r="E243" s="10">
        <v>100</v>
      </c>
      <c r="F243" s="10">
        <f t="shared" si="3"/>
        <v>1500</v>
      </c>
    </row>
    <row r="244" spans="1:6" x14ac:dyDescent="0.25">
      <c r="A244" s="9"/>
      <c r="B244" s="4"/>
      <c r="D244" s="9"/>
      <c r="F244" s="8">
        <f>SUM(F243)</f>
        <v>1500</v>
      </c>
    </row>
    <row r="245" spans="1:6" x14ac:dyDescent="0.25">
      <c r="A245" s="9"/>
      <c r="B245" s="4"/>
      <c r="D245" s="9"/>
    </row>
    <row r="246" spans="1:6" x14ac:dyDescent="0.25">
      <c r="A246" s="9" t="s">
        <v>18</v>
      </c>
      <c r="B246" s="4">
        <v>45873</v>
      </c>
      <c r="C246" s="5">
        <v>5</v>
      </c>
      <c r="D246" s="9" t="s">
        <v>13</v>
      </c>
      <c r="E246" s="10">
        <v>150</v>
      </c>
      <c r="F246" s="10">
        <f t="shared" si="3"/>
        <v>750</v>
      </c>
    </row>
    <row r="247" spans="1:6" x14ac:dyDescent="0.25">
      <c r="A247" s="9"/>
      <c r="B247" s="4"/>
      <c r="D247" s="9"/>
      <c r="F247" s="8">
        <f>SUM(F246)</f>
        <v>750</v>
      </c>
    </row>
    <row r="248" spans="1:6" x14ac:dyDescent="0.25">
      <c r="A248" s="9"/>
      <c r="B248" s="4"/>
      <c r="D248" s="9"/>
    </row>
    <row r="249" spans="1:6" x14ac:dyDescent="0.25">
      <c r="A249" s="9" t="s">
        <v>43</v>
      </c>
      <c r="B249" s="4">
        <v>45873</v>
      </c>
      <c r="C249" s="5">
        <v>10</v>
      </c>
      <c r="D249" s="9" t="s">
        <v>14</v>
      </c>
      <c r="E249" s="10">
        <v>145</v>
      </c>
      <c r="F249" s="10">
        <f t="shared" si="3"/>
        <v>1450</v>
      </c>
    </row>
    <row r="250" spans="1:6" x14ac:dyDescent="0.25">
      <c r="A250" s="9"/>
      <c r="B250" s="4"/>
      <c r="D250" s="9"/>
      <c r="F250" s="8">
        <f>SUM(F249)</f>
        <v>1450</v>
      </c>
    </row>
    <row r="251" spans="1:6" x14ac:dyDescent="0.25">
      <c r="A251" s="9"/>
      <c r="B251" s="4"/>
      <c r="D251" s="9"/>
    </row>
    <row r="252" spans="1:6" x14ac:dyDescent="0.25">
      <c r="A252" s="9" t="s">
        <v>7</v>
      </c>
      <c r="B252" s="4">
        <v>45873</v>
      </c>
      <c r="C252" s="5">
        <v>10</v>
      </c>
      <c r="D252" s="9" t="s">
        <v>14</v>
      </c>
      <c r="E252" s="10">
        <v>145</v>
      </c>
      <c r="F252" s="10">
        <f t="shared" si="3"/>
        <v>1450</v>
      </c>
    </row>
    <row r="253" spans="1:6" x14ac:dyDescent="0.25">
      <c r="A253" s="9"/>
      <c r="B253" s="4"/>
      <c r="D253" s="9"/>
      <c r="F253" s="8">
        <f>SUM(F252)</f>
        <v>1450</v>
      </c>
    </row>
    <row r="254" spans="1:6" x14ac:dyDescent="0.25">
      <c r="A254" s="9"/>
      <c r="B254" s="4"/>
      <c r="D254" s="9"/>
    </row>
    <row r="255" spans="1:6" x14ac:dyDescent="0.25">
      <c r="A255" s="9" t="s">
        <v>44</v>
      </c>
      <c r="B255" s="4">
        <v>45873</v>
      </c>
      <c r="C255" s="5">
        <v>90</v>
      </c>
      <c r="D255" s="9" t="s">
        <v>14</v>
      </c>
      <c r="E255" s="10">
        <v>140</v>
      </c>
      <c r="F255" s="10">
        <f t="shared" si="3"/>
        <v>12600</v>
      </c>
    </row>
    <row r="256" spans="1:6" x14ac:dyDescent="0.25">
      <c r="A256" s="9"/>
      <c r="B256" s="4"/>
      <c r="D256" s="9"/>
      <c r="F256" s="8">
        <f>SUM(F255)</f>
        <v>12600</v>
      </c>
    </row>
    <row r="257" spans="1:6" x14ac:dyDescent="0.25">
      <c r="A257" s="9"/>
      <c r="B257" s="4"/>
      <c r="D257" s="9"/>
    </row>
    <row r="258" spans="1:6" x14ac:dyDescent="0.25">
      <c r="A258" s="9" t="s">
        <v>383</v>
      </c>
      <c r="B258" s="4">
        <v>45873</v>
      </c>
      <c r="C258" s="5">
        <v>20</v>
      </c>
      <c r="D258" s="9" t="s">
        <v>14</v>
      </c>
      <c r="E258" s="10">
        <v>145</v>
      </c>
      <c r="F258" s="10">
        <f t="shared" si="3"/>
        <v>2900</v>
      </c>
    </row>
    <row r="259" spans="1:6" x14ac:dyDescent="0.25">
      <c r="A259" s="9"/>
      <c r="B259" s="4"/>
      <c r="D259" s="9"/>
      <c r="F259" s="8">
        <f>SUM(F258)</f>
        <v>2900</v>
      </c>
    </row>
    <row r="260" spans="1:6" x14ac:dyDescent="0.25">
      <c r="A260" s="9"/>
      <c r="B260" s="4"/>
      <c r="D260" s="9"/>
    </row>
    <row r="261" spans="1:6" x14ac:dyDescent="0.25">
      <c r="A261" s="9" t="s">
        <v>18</v>
      </c>
      <c r="B261" s="4">
        <v>45873</v>
      </c>
      <c r="C261" s="5">
        <v>20</v>
      </c>
      <c r="D261" s="9" t="s">
        <v>11</v>
      </c>
      <c r="E261" s="10">
        <v>135</v>
      </c>
      <c r="F261" s="10">
        <f t="shared" ref="F261:F325" si="4">+C261*E261</f>
        <v>2700</v>
      </c>
    </row>
    <row r="262" spans="1:6" x14ac:dyDescent="0.25">
      <c r="A262" s="9"/>
      <c r="B262" s="4"/>
      <c r="D262" s="9"/>
      <c r="F262" s="8">
        <f>SUM(F261)</f>
        <v>2700</v>
      </c>
    </row>
    <row r="263" spans="1:6" x14ac:dyDescent="0.25">
      <c r="A263" s="9"/>
      <c r="B263" s="4"/>
      <c r="D263" s="9"/>
    </row>
    <row r="264" spans="1:6" x14ac:dyDescent="0.25">
      <c r="A264" s="9" t="s">
        <v>455</v>
      </c>
      <c r="B264" s="4">
        <v>45873</v>
      </c>
      <c r="C264" s="5">
        <v>100</v>
      </c>
      <c r="D264" s="9" t="s">
        <v>14</v>
      </c>
      <c r="E264" s="10">
        <v>140</v>
      </c>
      <c r="F264" s="10">
        <f t="shared" si="4"/>
        <v>14000</v>
      </c>
    </row>
    <row r="265" spans="1:6" x14ac:dyDescent="0.25">
      <c r="A265" s="9"/>
      <c r="B265" s="4"/>
      <c r="D265" s="9"/>
      <c r="F265" s="8">
        <f>SUM(F264)</f>
        <v>14000</v>
      </c>
    </row>
    <row r="266" spans="1:6" x14ac:dyDescent="0.25">
      <c r="A266" s="9"/>
      <c r="B266" s="4"/>
      <c r="D266" s="9"/>
    </row>
    <row r="267" spans="1:6" x14ac:dyDescent="0.25">
      <c r="A267" s="9" t="s">
        <v>41</v>
      </c>
      <c r="B267" s="4">
        <v>45873</v>
      </c>
      <c r="C267" s="5">
        <v>30</v>
      </c>
      <c r="D267" s="9" t="s">
        <v>14</v>
      </c>
      <c r="E267" s="10">
        <v>135</v>
      </c>
      <c r="F267" s="10">
        <f t="shared" si="4"/>
        <v>4050</v>
      </c>
    </row>
    <row r="268" spans="1:6" x14ac:dyDescent="0.25">
      <c r="A268" s="9"/>
      <c r="B268" s="4"/>
      <c r="D268" s="9"/>
      <c r="F268" s="8">
        <f>SUM(F267)</f>
        <v>4050</v>
      </c>
    </row>
    <row r="269" spans="1:6" x14ac:dyDescent="0.25">
      <c r="A269" s="9"/>
      <c r="B269" s="4"/>
      <c r="D269" s="9"/>
    </row>
    <row r="270" spans="1:6" x14ac:dyDescent="0.25">
      <c r="A270" s="9" t="s">
        <v>231</v>
      </c>
      <c r="B270" s="4">
        <v>45873</v>
      </c>
      <c r="C270" s="5">
        <v>70</v>
      </c>
      <c r="D270" s="9" t="s">
        <v>12</v>
      </c>
      <c r="E270" s="10">
        <v>135</v>
      </c>
      <c r="F270" s="10">
        <f t="shared" si="4"/>
        <v>9450</v>
      </c>
    </row>
    <row r="271" spans="1:6" x14ac:dyDescent="0.25">
      <c r="A271" s="9"/>
      <c r="B271" s="4"/>
      <c r="C271" s="5">
        <v>10</v>
      </c>
      <c r="D271" s="9" t="s">
        <v>14</v>
      </c>
      <c r="E271" s="10">
        <v>145</v>
      </c>
      <c r="F271" s="10">
        <f t="shared" si="4"/>
        <v>1450</v>
      </c>
    </row>
    <row r="272" spans="1:6" x14ac:dyDescent="0.25">
      <c r="A272" s="9"/>
      <c r="B272" s="4"/>
      <c r="D272" s="9"/>
      <c r="F272" s="8">
        <f>SUM(F270:F271)</f>
        <v>10900</v>
      </c>
    </row>
    <row r="273" spans="1:6" x14ac:dyDescent="0.25">
      <c r="A273" s="9"/>
      <c r="B273" s="4"/>
      <c r="D273" s="9"/>
    </row>
    <row r="274" spans="1:6" x14ac:dyDescent="0.25">
      <c r="A274" s="9" t="s">
        <v>145</v>
      </c>
      <c r="B274" s="4">
        <v>45873</v>
      </c>
      <c r="C274" s="5">
        <v>58</v>
      </c>
      <c r="D274" s="9" t="s">
        <v>14</v>
      </c>
      <c r="E274" s="10">
        <v>145</v>
      </c>
      <c r="F274" s="10">
        <f t="shared" si="4"/>
        <v>8410</v>
      </c>
    </row>
    <row r="275" spans="1:6" x14ac:dyDescent="0.25">
      <c r="A275" s="9"/>
      <c r="B275" s="4"/>
      <c r="D275" s="9"/>
      <c r="F275" s="8">
        <f>SUM(F274)</f>
        <v>8410</v>
      </c>
    </row>
    <row r="276" spans="1:6" x14ac:dyDescent="0.25">
      <c r="A276" s="9"/>
      <c r="B276" s="4"/>
      <c r="D276" s="9"/>
    </row>
    <row r="277" spans="1:6" x14ac:dyDescent="0.25">
      <c r="A277" s="9" t="s">
        <v>828</v>
      </c>
      <c r="B277" s="4">
        <v>45873</v>
      </c>
      <c r="C277" s="5">
        <v>1</v>
      </c>
      <c r="D277" s="9" t="s">
        <v>49</v>
      </c>
      <c r="E277" s="10">
        <v>150</v>
      </c>
      <c r="F277" s="10">
        <f t="shared" si="4"/>
        <v>150</v>
      </c>
    </row>
    <row r="278" spans="1:6" x14ac:dyDescent="0.25">
      <c r="A278" s="9"/>
      <c r="B278" s="4"/>
      <c r="D278" s="9"/>
      <c r="F278" s="8">
        <f>SUM(F277)</f>
        <v>150</v>
      </c>
    </row>
    <row r="279" spans="1:6" x14ac:dyDescent="0.25">
      <c r="A279" s="9"/>
      <c r="B279" s="4"/>
      <c r="D279" s="9"/>
    </row>
    <row r="280" spans="1:6" x14ac:dyDescent="0.25">
      <c r="A280" s="9" t="s">
        <v>45</v>
      </c>
      <c r="B280" s="4">
        <v>45873</v>
      </c>
      <c r="C280" s="5">
        <v>1</v>
      </c>
      <c r="D280" s="9" t="s">
        <v>14</v>
      </c>
      <c r="E280" s="10">
        <v>145</v>
      </c>
      <c r="F280" s="10">
        <f t="shared" si="4"/>
        <v>145</v>
      </c>
    </row>
    <row r="281" spans="1:6" x14ac:dyDescent="0.25">
      <c r="A281" s="9"/>
      <c r="B281" s="4"/>
      <c r="D281" s="9"/>
      <c r="F281" s="8">
        <f>SUM(F280)</f>
        <v>145</v>
      </c>
    </row>
    <row r="282" spans="1:6" x14ac:dyDescent="0.25">
      <c r="A282" s="9"/>
      <c r="B282" s="4"/>
      <c r="D282" s="9"/>
    </row>
    <row r="283" spans="1:6" x14ac:dyDescent="0.25">
      <c r="A283" s="9" t="s">
        <v>487</v>
      </c>
      <c r="B283" s="4">
        <v>45873</v>
      </c>
      <c r="C283" s="5">
        <v>5</v>
      </c>
      <c r="D283" s="9" t="s">
        <v>12</v>
      </c>
      <c r="E283" s="10">
        <v>140</v>
      </c>
      <c r="F283" s="10">
        <f t="shared" si="4"/>
        <v>700</v>
      </c>
    </row>
    <row r="284" spans="1:6" x14ac:dyDescent="0.25">
      <c r="A284" s="9"/>
      <c r="B284" s="4"/>
      <c r="D284" s="9"/>
      <c r="F284" s="8">
        <f>SUM(F283)</f>
        <v>700</v>
      </c>
    </row>
    <row r="285" spans="1:6" x14ac:dyDescent="0.25">
      <c r="A285" s="9"/>
      <c r="B285" s="4"/>
      <c r="D285" s="9"/>
    </row>
    <row r="286" spans="1:6" s="9" customFormat="1" x14ac:dyDescent="0.25">
      <c r="A286" s="9" t="s">
        <v>423</v>
      </c>
      <c r="B286" s="4">
        <v>45873</v>
      </c>
      <c r="C286" s="5">
        <v>5</v>
      </c>
      <c r="D286" s="9" t="s">
        <v>13</v>
      </c>
      <c r="E286" s="10">
        <v>150</v>
      </c>
      <c r="F286" s="10">
        <f t="shared" si="4"/>
        <v>750</v>
      </c>
    </row>
    <row r="287" spans="1:6" s="9" customFormat="1" x14ac:dyDescent="0.25">
      <c r="B287" s="4"/>
      <c r="C287" s="5"/>
      <c r="E287" s="10"/>
      <c r="F287" s="8">
        <f>SUM(F286)</f>
        <v>750</v>
      </c>
    </row>
    <row r="288" spans="1:6" s="9" customFormat="1" x14ac:dyDescent="0.25">
      <c r="B288" s="4"/>
      <c r="C288" s="5"/>
      <c r="E288" s="10"/>
      <c r="F288" s="10"/>
    </row>
    <row r="289" spans="1:6" x14ac:dyDescent="0.25">
      <c r="A289" s="9" t="s">
        <v>7</v>
      </c>
      <c r="B289" s="4">
        <v>45873</v>
      </c>
      <c r="C289" s="5">
        <v>5</v>
      </c>
      <c r="D289" s="9" t="s">
        <v>98</v>
      </c>
      <c r="E289" s="10">
        <v>100</v>
      </c>
      <c r="F289" s="10">
        <f t="shared" si="4"/>
        <v>500</v>
      </c>
    </row>
    <row r="290" spans="1:6" x14ac:dyDescent="0.25">
      <c r="A290" s="9"/>
      <c r="B290" s="4"/>
      <c r="D290" s="9"/>
      <c r="F290" s="8">
        <f>SUM(F289)</f>
        <v>500</v>
      </c>
    </row>
    <row r="291" spans="1:6" x14ac:dyDescent="0.25">
      <c r="A291" s="9"/>
      <c r="B291" s="4"/>
      <c r="D291" s="9"/>
    </row>
    <row r="292" spans="1:6" x14ac:dyDescent="0.25">
      <c r="A292" s="9" t="s">
        <v>89</v>
      </c>
      <c r="B292" s="4">
        <v>45873</v>
      </c>
      <c r="C292" s="5">
        <v>30</v>
      </c>
      <c r="D292" s="9" t="s">
        <v>13</v>
      </c>
      <c r="E292" s="10">
        <v>140</v>
      </c>
      <c r="F292" s="10">
        <f t="shared" si="4"/>
        <v>4200</v>
      </c>
    </row>
    <row r="293" spans="1:6" x14ac:dyDescent="0.25">
      <c r="A293" s="9"/>
      <c r="B293" s="4"/>
      <c r="C293" s="5">
        <v>20</v>
      </c>
      <c r="D293" s="9" t="s">
        <v>12</v>
      </c>
      <c r="E293" s="10">
        <v>130</v>
      </c>
      <c r="F293" s="10">
        <f t="shared" si="4"/>
        <v>2600</v>
      </c>
    </row>
    <row r="294" spans="1:6" x14ac:dyDescent="0.25">
      <c r="A294" s="9"/>
      <c r="B294" s="4"/>
      <c r="C294" s="5">
        <v>50</v>
      </c>
      <c r="D294" s="9" t="s">
        <v>22</v>
      </c>
      <c r="E294" s="10">
        <v>120</v>
      </c>
      <c r="F294" s="10">
        <f t="shared" si="4"/>
        <v>6000</v>
      </c>
    </row>
    <row r="295" spans="1:6" x14ac:dyDescent="0.25">
      <c r="A295" s="9"/>
      <c r="B295" s="4"/>
      <c r="D295" s="9"/>
      <c r="F295" s="8">
        <f>SUM(F292:F294)</f>
        <v>12800</v>
      </c>
    </row>
    <row r="296" spans="1:6" s="9" customFormat="1" x14ac:dyDescent="0.25">
      <c r="B296" s="4"/>
      <c r="C296" s="5"/>
      <c r="E296" s="10"/>
      <c r="F296" s="10"/>
    </row>
    <row r="297" spans="1:6" s="9" customFormat="1" x14ac:dyDescent="0.25">
      <c r="A297" s="9" t="s">
        <v>160</v>
      </c>
      <c r="B297" s="4">
        <v>45873</v>
      </c>
      <c r="C297" s="5">
        <v>5</v>
      </c>
      <c r="D297" s="9" t="s">
        <v>12</v>
      </c>
      <c r="E297" s="10">
        <v>140</v>
      </c>
      <c r="F297" s="10">
        <f t="shared" si="4"/>
        <v>700</v>
      </c>
    </row>
    <row r="298" spans="1:6" s="9" customFormat="1" x14ac:dyDescent="0.25">
      <c r="B298" s="4"/>
      <c r="C298" s="5"/>
      <c r="E298" s="10"/>
      <c r="F298" s="8">
        <f>SUM(F297)</f>
        <v>700</v>
      </c>
    </row>
    <row r="299" spans="1:6" s="9" customFormat="1" x14ac:dyDescent="0.25">
      <c r="B299" s="4"/>
      <c r="C299" s="5"/>
      <c r="E299" s="10"/>
      <c r="F299" s="10"/>
    </row>
    <row r="300" spans="1:6" s="9" customFormat="1" x14ac:dyDescent="0.25">
      <c r="A300" s="9" t="s">
        <v>245</v>
      </c>
      <c r="B300" s="4">
        <v>45873</v>
      </c>
      <c r="C300" s="5">
        <v>20</v>
      </c>
      <c r="D300" s="9" t="s">
        <v>14</v>
      </c>
      <c r="E300" s="10">
        <v>135</v>
      </c>
      <c r="F300" s="10">
        <f t="shared" si="4"/>
        <v>2700</v>
      </c>
    </row>
    <row r="301" spans="1:6" s="9" customFormat="1" x14ac:dyDescent="0.25">
      <c r="B301" s="4"/>
      <c r="C301" s="5"/>
      <c r="E301" s="10"/>
      <c r="F301" s="8">
        <f>SUM(F300)</f>
        <v>2700</v>
      </c>
    </row>
    <row r="302" spans="1:6" s="9" customFormat="1" x14ac:dyDescent="0.25">
      <c r="B302" s="4"/>
      <c r="C302" s="5"/>
      <c r="E302" s="10"/>
      <c r="F302" s="10"/>
    </row>
    <row r="303" spans="1:6" s="9" customFormat="1" x14ac:dyDescent="0.25">
      <c r="A303" s="9" t="s">
        <v>112</v>
      </c>
      <c r="B303" s="4">
        <v>45873</v>
      </c>
      <c r="C303" s="5">
        <v>120</v>
      </c>
      <c r="D303" s="9" t="s">
        <v>13</v>
      </c>
      <c r="E303" s="10">
        <v>142</v>
      </c>
      <c r="F303" s="10">
        <f t="shared" si="4"/>
        <v>17040</v>
      </c>
    </row>
    <row r="304" spans="1:6" s="9" customFormat="1" x14ac:dyDescent="0.25">
      <c r="B304" s="4"/>
      <c r="C304" s="5">
        <v>150</v>
      </c>
      <c r="D304" s="9" t="s">
        <v>22</v>
      </c>
      <c r="E304" s="10">
        <v>122</v>
      </c>
      <c r="F304" s="10">
        <f t="shared" si="4"/>
        <v>18300</v>
      </c>
    </row>
    <row r="305" spans="1:6" s="9" customFormat="1" x14ac:dyDescent="0.25">
      <c r="B305" s="4"/>
      <c r="C305" s="5"/>
      <c r="E305" s="10"/>
      <c r="F305" s="8">
        <f>SUM(F303:F304)</f>
        <v>35340</v>
      </c>
    </row>
    <row r="306" spans="1:6" s="9" customFormat="1" x14ac:dyDescent="0.25">
      <c r="B306" s="4"/>
      <c r="C306" s="5"/>
      <c r="E306" s="10"/>
      <c r="F306" s="10"/>
    </row>
    <row r="307" spans="1:6" s="9" customFormat="1" x14ac:dyDescent="0.25">
      <c r="A307" s="9" t="s">
        <v>76</v>
      </c>
      <c r="B307" s="4">
        <v>45873</v>
      </c>
      <c r="C307" s="5">
        <v>350</v>
      </c>
      <c r="D307" s="9" t="s">
        <v>14</v>
      </c>
      <c r="E307" s="10">
        <v>140</v>
      </c>
      <c r="F307" s="10">
        <f t="shared" si="4"/>
        <v>49000</v>
      </c>
    </row>
    <row r="308" spans="1:6" s="9" customFormat="1" x14ac:dyDescent="0.25">
      <c r="B308" s="4"/>
      <c r="C308" s="5">
        <v>100</v>
      </c>
      <c r="D308" s="9" t="s">
        <v>11</v>
      </c>
      <c r="E308" s="10">
        <v>130</v>
      </c>
      <c r="F308" s="10">
        <f t="shared" si="4"/>
        <v>13000</v>
      </c>
    </row>
    <row r="309" spans="1:6" s="9" customFormat="1" x14ac:dyDescent="0.25">
      <c r="B309" s="4"/>
      <c r="C309" s="5"/>
      <c r="E309" s="10"/>
      <c r="F309" s="8">
        <f>SUM(F307:F308)</f>
        <v>62000</v>
      </c>
    </row>
    <row r="310" spans="1:6" s="9" customFormat="1" x14ac:dyDescent="0.25">
      <c r="B310" s="4"/>
      <c r="C310" s="5"/>
      <c r="E310" s="10"/>
      <c r="F310" s="10"/>
    </row>
    <row r="311" spans="1:6" s="9" customFormat="1" x14ac:dyDescent="0.25">
      <c r="A311" s="9" t="s">
        <v>558</v>
      </c>
      <c r="B311" s="4">
        <v>45873</v>
      </c>
      <c r="C311" s="5">
        <v>5</v>
      </c>
      <c r="D311" s="9" t="s">
        <v>13</v>
      </c>
      <c r="E311" s="10">
        <v>150</v>
      </c>
      <c r="F311" s="10">
        <f t="shared" si="4"/>
        <v>750</v>
      </c>
    </row>
    <row r="312" spans="1:6" s="9" customFormat="1" x14ac:dyDescent="0.25">
      <c r="B312" s="4"/>
      <c r="C312" s="5"/>
      <c r="E312" s="10"/>
      <c r="F312" s="8">
        <f>SUM(F311)</f>
        <v>750</v>
      </c>
    </row>
    <row r="313" spans="1:6" s="9" customFormat="1" x14ac:dyDescent="0.25">
      <c r="B313" s="4"/>
      <c r="C313" s="5"/>
      <c r="E313" s="10"/>
      <c r="F313" s="10"/>
    </row>
    <row r="314" spans="1:6" s="9" customFormat="1" x14ac:dyDescent="0.25">
      <c r="A314" s="9" t="s">
        <v>29</v>
      </c>
      <c r="B314" s="4">
        <v>45873</v>
      </c>
      <c r="C314" s="5">
        <v>3</v>
      </c>
      <c r="D314" s="9" t="s">
        <v>13</v>
      </c>
      <c r="E314" s="10">
        <v>160</v>
      </c>
      <c r="F314" s="10">
        <f t="shared" si="4"/>
        <v>480</v>
      </c>
    </row>
    <row r="315" spans="1:6" s="9" customFormat="1" x14ac:dyDescent="0.25">
      <c r="B315" s="4"/>
      <c r="C315" s="5">
        <v>2</v>
      </c>
      <c r="D315" s="9" t="s">
        <v>13</v>
      </c>
      <c r="E315" s="10">
        <v>150</v>
      </c>
      <c r="F315" s="10">
        <f t="shared" si="4"/>
        <v>300</v>
      </c>
    </row>
    <row r="316" spans="1:6" s="9" customFormat="1" x14ac:dyDescent="0.25">
      <c r="B316" s="4"/>
      <c r="C316" s="5">
        <v>2</v>
      </c>
      <c r="D316" s="9" t="s">
        <v>12</v>
      </c>
      <c r="E316" s="10">
        <v>140</v>
      </c>
      <c r="F316" s="10">
        <f t="shared" si="4"/>
        <v>280</v>
      </c>
    </row>
    <row r="317" spans="1:6" s="9" customFormat="1" x14ac:dyDescent="0.25">
      <c r="B317" s="4"/>
      <c r="C317" s="5">
        <v>5</v>
      </c>
      <c r="D317" s="9" t="s">
        <v>98</v>
      </c>
      <c r="E317" s="10">
        <v>100</v>
      </c>
      <c r="F317" s="10">
        <f t="shared" si="4"/>
        <v>500</v>
      </c>
    </row>
    <row r="318" spans="1:6" s="9" customFormat="1" x14ac:dyDescent="0.25">
      <c r="B318" s="4"/>
      <c r="C318" s="5">
        <v>5</v>
      </c>
      <c r="D318" s="9" t="s">
        <v>8</v>
      </c>
      <c r="E318" s="10">
        <v>160</v>
      </c>
      <c r="F318" s="10">
        <f t="shared" si="4"/>
        <v>800</v>
      </c>
    </row>
    <row r="319" spans="1:6" s="9" customFormat="1" x14ac:dyDescent="0.25">
      <c r="B319" s="4"/>
      <c r="C319" s="5"/>
      <c r="E319" s="10"/>
      <c r="F319" s="8">
        <f>SUM(F314:F318)</f>
        <v>2360</v>
      </c>
    </row>
    <row r="320" spans="1:6" s="9" customFormat="1" x14ac:dyDescent="0.25">
      <c r="B320" s="4"/>
      <c r="C320" s="5"/>
      <c r="E320" s="10"/>
      <c r="F320" s="10"/>
    </row>
    <row r="321" spans="1:6" s="9" customFormat="1" x14ac:dyDescent="0.25">
      <c r="A321" s="9" t="s">
        <v>61</v>
      </c>
      <c r="B321" s="4">
        <v>45874</v>
      </c>
      <c r="C321" s="5">
        <v>100</v>
      </c>
      <c r="D321" s="9" t="s">
        <v>13</v>
      </c>
      <c r="E321" s="10">
        <v>145</v>
      </c>
      <c r="F321" s="10">
        <f t="shared" si="4"/>
        <v>14500</v>
      </c>
    </row>
    <row r="322" spans="1:6" s="9" customFormat="1" x14ac:dyDescent="0.25">
      <c r="B322" s="4"/>
      <c r="C322" s="5"/>
      <c r="E322" s="10"/>
      <c r="F322" s="8">
        <f>SUM(F321)</f>
        <v>14500</v>
      </c>
    </row>
    <row r="323" spans="1:6" s="9" customFormat="1" x14ac:dyDescent="0.25">
      <c r="B323" s="4"/>
      <c r="C323" s="5"/>
      <c r="E323" s="10"/>
      <c r="F323" s="10"/>
    </row>
    <row r="324" spans="1:6" s="9" customFormat="1" x14ac:dyDescent="0.25">
      <c r="A324" s="9" t="s">
        <v>151</v>
      </c>
      <c r="B324" s="4">
        <v>45874</v>
      </c>
      <c r="C324" s="5">
        <v>80</v>
      </c>
      <c r="D324" s="9" t="s">
        <v>11</v>
      </c>
      <c r="E324" s="10">
        <v>132</v>
      </c>
      <c r="F324" s="10">
        <f t="shared" si="4"/>
        <v>10560</v>
      </c>
    </row>
    <row r="325" spans="1:6" s="9" customFormat="1" x14ac:dyDescent="0.25">
      <c r="B325" s="4"/>
      <c r="C325" s="5">
        <v>20</v>
      </c>
      <c r="D325" s="9" t="s">
        <v>50</v>
      </c>
      <c r="E325" s="10">
        <v>120</v>
      </c>
      <c r="F325" s="10">
        <f t="shared" si="4"/>
        <v>2400</v>
      </c>
    </row>
    <row r="326" spans="1:6" s="9" customFormat="1" x14ac:dyDescent="0.25">
      <c r="B326" s="4"/>
      <c r="C326" s="5"/>
      <c r="E326" s="10"/>
      <c r="F326" s="8">
        <f>SUM(F324:F325)</f>
        <v>12960</v>
      </c>
    </row>
    <row r="327" spans="1:6" s="9" customFormat="1" x14ac:dyDescent="0.25">
      <c r="B327" s="4"/>
      <c r="C327" s="5"/>
      <c r="E327" s="10"/>
      <c r="F327" s="10"/>
    </row>
    <row r="328" spans="1:6" s="9" customFormat="1" x14ac:dyDescent="0.25">
      <c r="A328" s="9" t="s">
        <v>59</v>
      </c>
      <c r="B328" s="4">
        <v>45874</v>
      </c>
      <c r="C328" s="5">
        <v>20</v>
      </c>
      <c r="D328" s="9" t="s">
        <v>430</v>
      </c>
      <c r="E328" s="10">
        <v>245</v>
      </c>
      <c r="F328" s="10">
        <f t="shared" ref="F328:F390" si="5">+C328*E328</f>
        <v>4900</v>
      </c>
    </row>
    <row r="329" spans="1:6" s="9" customFormat="1" x14ac:dyDescent="0.25">
      <c r="B329" s="4"/>
      <c r="C329" s="5"/>
      <c r="E329" s="10"/>
      <c r="F329" s="8">
        <f>SUM(F328)</f>
        <v>4900</v>
      </c>
    </row>
    <row r="330" spans="1:6" s="9" customFormat="1" x14ac:dyDescent="0.25">
      <c r="B330" s="4"/>
      <c r="C330" s="5"/>
      <c r="E330" s="10"/>
      <c r="F330" s="10"/>
    </row>
    <row r="331" spans="1:6" s="9" customFormat="1" x14ac:dyDescent="0.25">
      <c r="A331" s="9" t="s">
        <v>184</v>
      </c>
      <c r="B331" s="4">
        <v>45874</v>
      </c>
      <c r="C331" s="5">
        <v>7</v>
      </c>
      <c r="D331" s="9" t="s">
        <v>13</v>
      </c>
      <c r="E331" s="10">
        <v>150</v>
      </c>
      <c r="F331" s="10">
        <f t="shared" si="5"/>
        <v>1050</v>
      </c>
    </row>
    <row r="332" spans="1:6" s="9" customFormat="1" x14ac:dyDescent="0.25">
      <c r="B332" s="4"/>
      <c r="C332" s="5"/>
      <c r="E332" s="10"/>
      <c r="F332" s="8">
        <f>SUM(F331)</f>
        <v>1050</v>
      </c>
    </row>
    <row r="333" spans="1:6" s="9" customFormat="1" x14ac:dyDescent="0.25">
      <c r="B333" s="4"/>
      <c r="C333" s="5"/>
      <c r="E333" s="10"/>
      <c r="F333" s="10"/>
    </row>
    <row r="334" spans="1:6" s="9" customFormat="1" x14ac:dyDescent="0.25">
      <c r="A334" s="9" t="s">
        <v>245</v>
      </c>
      <c r="B334" s="4">
        <v>45874</v>
      </c>
      <c r="C334" s="5">
        <v>30</v>
      </c>
      <c r="D334" s="9" t="s">
        <v>14</v>
      </c>
      <c r="E334" s="10">
        <v>140</v>
      </c>
      <c r="F334" s="10">
        <f t="shared" si="5"/>
        <v>4200</v>
      </c>
    </row>
    <row r="335" spans="1:6" s="9" customFormat="1" x14ac:dyDescent="0.25">
      <c r="B335" s="4"/>
      <c r="C335" s="5"/>
      <c r="E335" s="10"/>
      <c r="F335" s="8">
        <f>SUM(F334)</f>
        <v>4200</v>
      </c>
    </row>
    <row r="336" spans="1:6" s="9" customFormat="1" x14ac:dyDescent="0.25">
      <c r="B336" s="4"/>
      <c r="C336" s="5"/>
      <c r="E336" s="10"/>
      <c r="F336" s="10"/>
    </row>
    <row r="337" spans="1:6" s="9" customFormat="1" x14ac:dyDescent="0.25">
      <c r="A337" s="9" t="s">
        <v>26</v>
      </c>
      <c r="B337" s="4">
        <v>45874</v>
      </c>
      <c r="C337" s="5">
        <v>1000</v>
      </c>
      <c r="D337" s="9" t="s">
        <v>13</v>
      </c>
      <c r="E337" s="10">
        <v>143</v>
      </c>
      <c r="F337" s="10">
        <f t="shared" si="5"/>
        <v>143000</v>
      </c>
    </row>
    <row r="338" spans="1:6" s="9" customFormat="1" x14ac:dyDescent="0.25">
      <c r="B338" s="4"/>
      <c r="C338" s="5"/>
      <c r="E338" s="10"/>
      <c r="F338" s="8">
        <f>SUM(F337)</f>
        <v>143000</v>
      </c>
    </row>
    <row r="339" spans="1:6" s="9" customFormat="1" x14ac:dyDescent="0.25">
      <c r="B339" s="4"/>
      <c r="C339" s="5"/>
      <c r="E339" s="10"/>
      <c r="F339" s="10"/>
    </row>
    <row r="340" spans="1:6" s="9" customFormat="1" x14ac:dyDescent="0.25">
      <c r="A340" s="9" t="s">
        <v>136</v>
      </c>
      <c r="B340" s="4">
        <v>45874</v>
      </c>
      <c r="C340" s="5">
        <v>12</v>
      </c>
      <c r="D340" s="9" t="s">
        <v>13</v>
      </c>
      <c r="E340" s="10">
        <v>150</v>
      </c>
      <c r="F340" s="10">
        <f t="shared" si="5"/>
        <v>1800</v>
      </c>
    </row>
    <row r="341" spans="1:6" s="9" customFormat="1" x14ac:dyDescent="0.25">
      <c r="B341" s="4"/>
      <c r="C341" s="5"/>
      <c r="E341" s="10"/>
      <c r="F341" s="8">
        <f>SUM(F340)</f>
        <v>1800</v>
      </c>
    </row>
    <row r="342" spans="1:6" s="9" customFormat="1" x14ac:dyDescent="0.25">
      <c r="B342" s="4"/>
      <c r="C342" s="5"/>
      <c r="E342" s="10"/>
      <c r="F342" s="10"/>
    </row>
    <row r="343" spans="1:6" s="9" customFormat="1" x14ac:dyDescent="0.25">
      <c r="A343" s="9" t="s">
        <v>365</v>
      </c>
      <c r="B343" s="4">
        <v>45874</v>
      </c>
      <c r="C343" s="5">
        <v>10</v>
      </c>
      <c r="D343" s="9" t="s">
        <v>830</v>
      </c>
      <c r="E343" s="10">
        <v>150</v>
      </c>
      <c r="F343" s="10">
        <f t="shared" si="5"/>
        <v>1500</v>
      </c>
    </row>
    <row r="344" spans="1:6" s="9" customFormat="1" x14ac:dyDescent="0.25">
      <c r="B344" s="4"/>
      <c r="C344" s="5"/>
      <c r="E344" s="10"/>
      <c r="F344" s="8">
        <f>SUM(F343)</f>
        <v>1500</v>
      </c>
    </row>
    <row r="345" spans="1:6" s="9" customFormat="1" x14ac:dyDescent="0.25">
      <c r="B345" s="4"/>
      <c r="C345" s="5"/>
      <c r="E345" s="10"/>
      <c r="F345" s="10"/>
    </row>
    <row r="346" spans="1:6" s="9" customFormat="1" x14ac:dyDescent="0.25">
      <c r="A346" s="9" t="s">
        <v>44</v>
      </c>
      <c r="B346" s="4">
        <v>45874</v>
      </c>
      <c r="C346" s="5">
        <v>100</v>
      </c>
      <c r="D346" s="9" t="s">
        <v>13</v>
      </c>
      <c r="E346" s="10">
        <v>145</v>
      </c>
      <c r="F346" s="10">
        <f t="shared" si="5"/>
        <v>14500</v>
      </c>
    </row>
    <row r="347" spans="1:6" s="9" customFormat="1" x14ac:dyDescent="0.25">
      <c r="B347" s="4"/>
      <c r="C347" s="5"/>
      <c r="E347" s="10"/>
      <c r="F347" s="8">
        <f>SUM(F346)</f>
        <v>14500</v>
      </c>
    </row>
    <row r="348" spans="1:6" s="9" customFormat="1" x14ac:dyDescent="0.25">
      <c r="B348" s="4"/>
      <c r="C348" s="5"/>
      <c r="E348" s="10"/>
      <c r="F348" s="10"/>
    </row>
    <row r="349" spans="1:6" s="9" customFormat="1" x14ac:dyDescent="0.25">
      <c r="A349" s="9" t="s">
        <v>76</v>
      </c>
      <c r="B349" s="4">
        <v>45874</v>
      </c>
      <c r="C349" s="5">
        <v>230</v>
      </c>
      <c r="D349" s="9" t="s">
        <v>14</v>
      </c>
      <c r="E349" s="10"/>
      <c r="F349" s="10">
        <f t="shared" si="5"/>
        <v>0</v>
      </c>
    </row>
    <row r="350" spans="1:6" s="9" customFormat="1" x14ac:dyDescent="0.25">
      <c r="B350" s="4"/>
      <c r="C350" s="5">
        <v>100</v>
      </c>
      <c r="D350" s="9" t="s">
        <v>738</v>
      </c>
      <c r="E350" s="10"/>
      <c r="F350" s="10">
        <f t="shared" si="5"/>
        <v>0</v>
      </c>
    </row>
    <row r="351" spans="1:6" s="9" customFormat="1" x14ac:dyDescent="0.25">
      <c r="B351" s="4"/>
      <c r="C351" s="5">
        <v>190</v>
      </c>
      <c r="D351" s="9" t="s">
        <v>11</v>
      </c>
      <c r="E351" s="10"/>
      <c r="F351" s="10">
        <f t="shared" si="5"/>
        <v>0</v>
      </c>
    </row>
    <row r="352" spans="1:6" s="9" customFormat="1" x14ac:dyDescent="0.25">
      <c r="B352" s="4"/>
      <c r="C352" s="5"/>
      <c r="E352" s="10"/>
      <c r="F352" s="8">
        <f>SUM(F349:F351)</f>
        <v>0</v>
      </c>
    </row>
    <row r="353" spans="1:6" s="9" customFormat="1" x14ac:dyDescent="0.25">
      <c r="B353" s="4"/>
      <c r="C353" s="5"/>
      <c r="E353" s="10"/>
      <c r="F353" s="10"/>
    </row>
    <row r="354" spans="1:6" s="9" customFormat="1" x14ac:dyDescent="0.25">
      <c r="A354" s="9" t="s">
        <v>116</v>
      </c>
      <c r="B354" s="4">
        <v>45874</v>
      </c>
      <c r="C354" s="5">
        <v>300</v>
      </c>
      <c r="D354" s="9" t="s">
        <v>475</v>
      </c>
      <c r="E354" s="10"/>
      <c r="F354" s="10">
        <f t="shared" si="5"/>
        <v>0</v>
      </c>
    </row>
    <row r="355" spans="1:6" s="9" customFormat="1" x14ac:dyDescent="0.25">
      <c r="B355" s="4"/>
      <c r="C355" s="5">
        <v>200</v>
      </c>
      <c r="D355" s="9" t="s">
        <v>258</v>
      </c>
      <c r="E355" s="10"/>
      <c r="F355" s="10">
        <f t="shared" si="5"/>
        <v>0</v>
      </c>
    </row>
    <row r="356" spans="1:6" s="9" customFormat="1" x14ac:dyDescent="0.25">
      <c r="B356" s="4"/>
      <c r="C356" s="5">
        <v>137</v>
      </c>
      <c r="D356" s="9" t="s">
        <v>98</v>
      </c>
      <c r="E356" s="10"/>
      <c r="F356" s="10">
        <f t="shared" si="5"/>
        <v>0</v>
      </c>
    </row>
    <row r="357" spans="1:6" s="9" customFormat="1" x14ac:dyDescent="0.25">
      <c r="B357" s="4"/>
      <c r="C357" s="5"/>
      <c r="E357" s="10"/>
      <c r="F357" s="8">
        <f>SUM(F354:F356)</f>
        <v>0</v>
      </c>
    </row>
    <row r="358" spans="1:6" s="9" customFormat="1" x14ac:dyDescent="0.25">
      <c r="B358" s="4"/>
      <c r="C358" s="5"/>
      <c r="E358" s="10"/>
      <c r="F358" s="10"/>
    </row>
    <row r="359" spans="1:6" s="9" customFormat="1" x14ac:dyDescent="0.25">
      <c r="A359" s="9" t="s">
        <v>831</v>
      </c>
      <c r="B359" s="4">
        <v>45874</v>
      </c>
      <c r="C359" s="5">
        <v>3</v>
      </c>
      <c r="D359" s="9" t="s">
        <v>14</v>
      </c>
      <c r="E359" s="10">
        <v>145</v>
      </c>
      <c r="F359" s="10">
        <f t="shared" si="5"/>
        <v>435</v>
      </c>
    </row>
    <row r="360" spans="1:6" s="9" customFormat="1" x14ac:dyDescent="0.25">
      <c r="B360" s="4"/>
      <c r="C360" s="5"/>
      <c r="E360" s="10"/>
      <c r="F360" s="8">
        <f>SUM(F359)</f>
        <v>435</v>
      </c>
    </row>
    <row r="361" spans="1:6" s="9" customFormat="1" x14ac:dyDescent="0.25">
      <c r="B361" s="4"/>
      <c r="C361" s="5"/>
      <c r="E361" s="10"/>
      <c r="F361" s="10"/>
    </row>
    <row r="362" spans="1:6" s="9" customFormat="1" x14ac:dyDescent="0.25">
      <c r="A362" s="9" t="s">
        <v>48</v>
      </c>
      <c r="B362" s="4">
        <v>45874</v>
      </c>
      <c r="C362" s="5">
        <v>12</v>
      </c>
      <c r="D362" s="9" t="s">
        <v>286</v>
      </c>
      <c r="E362" s="10"/>
      <c r="F362" s="10">
        <f t="shared" si="5"/>
        <v>0</v>
      </c>
    </row>
    <row r="363" spans="1:6" s="9" customFormat="1" x14ac:dyDescent="0.25">
      <c r="B363" s="4"/>
      <c r="C363" s="5">
        <v>148</v>
      </c>
      <c r="D363" s="9" t="s">
        <v>475</v>
      </c>
      <c r="E363" s="10"/>
      <c r="F363" s="10">
        <f t="shared" si="5"/>
        <v>0</v>
      </c>
    </row>
    <row r="364" spans="1:6" s="9" customFormat="1" x14ac:dyDescent="0.25">
      <c r="B364" s="4"/>
      <c r="C364" s="5">
        <v>33</v>
      </c>
      <c r="D364" s="9" t="s">
        <v>416</v>
      </c>
      <c r="E364" s="10"/>
      <c r="F364" s="10">
        <f t="shared" si="5"/>
        <v>0</v>
      </c>
    </row>
    <row r="365" spans="1:6" s="9" customFormat="1" x14ac:dyDescent="0.25">
      <c r="B365" s="4"/>
      <c r="C365" s="5">
        <v>200</v>
      </c>
      <c r="D365" s="9" t="s">
        <v>50</v>
      </c>
      <c r="E365" s="10"/>
      <c r="F365" s="10">
        <f t="shared" si="5"/>
        <v>0</v>
      </c>
    </row>
    <row r="366" spans="1:6" s="9" customFormat="1" x14ac:dyDescent="0.25">
      <c r="B366" s="4"/>
      <c r="C366" s="5">
        <v>56</v>
      </c>
      <c r="D366" s="9" t="s">
        <v>22</v>
      </c>
      <c r="E366" s="10"/>
      <c r="F366" s="10">
        <f t="shared" si="5"/>
        <v>0</v>
      </c>
    </row>
    <row r="367" spans="1:6" s="9" customFormat="1" x14ac:dyDescent="0.25">
      <c r="B367" s="4"/>
      <c r="C367" s="5">
        <v>10</v>
      </c>
      <c r="D367" s="9" t="s">
        <v>98</v>
      </c>
      <c r="E367" s="10"/>
      <c r="F367" s="10">
        <f t="shared" si="5"/>
        <v>0</v>
      </c>
    </row>
    <row r="368" spans="1:6" s="9" customFormat="1" x14ac:dyDescent="0.25">
      <c r="B368" s="4"/>
      <c r="C368" s="5"/>
      <c r="E368" s="10"/>
      <c r="F368" s="8">
        <f>SUM(F362:F367)</f>
        <v>0</v>
      </c>
    </row>
    <row r="369" spans="1:6" s="9" customFormat="1" x14ac:dyDescent="0.25">
      <c r="B369" s="4"/>
      <c r="C369" s="5"/>
      <c r="E369" s="10"/>
      <c r="F369" s="10"/>
    </row>
    <row r="370" spans="1:6" s="9" customFormat="1" x14ac:dyDescent="0.25">
      <c r="A370" s="9" t="s">
        <v>211</v>
      </c>
      <c r="B370" s="4">
        <v>45874</v>
      </c>
      <c r="C370" s="5">
        <v>10</v>
      </c>
      <c r="D370" s="9" t="s">
        <v>8</v>
      </c>
      <c r="E370" s="10">
        <v>160</v>
      </c>
      <c r="F370" s="10">
        <f t="shared" si="5"/>
        <v>1600</v>
      </c>
    </row>
    <row r="371" spans="1:6" s="9" customFormat="1" x14ac:dyDescent="0.25">
      <c r="B371" s="4"/>
      <c r="C371" s="5">
        <v>10</v>
      </c>
      <c r="D371" s="9" t="s">
        <v>22</v>
      </c>
      <c r="E371" s="10">
        <v>125</v>
      </c>
      <c r="F371" s="10">
        <f t="shared" si="5"/>
        <v>1250</v>
      </c>
    </row>
    <row r="372" spans="1:6" s="9" customFormat="1" x14ac:dyDescent="0.25">
      <c r="B372" s="4"/>
      <c r="C372" s="5"/>
      <c r="E372" s="10"/>
      <c r="F372" s="8">
        <f>SUM(F370:F371)</f>
        <v>2850</v>
      </c>
    </row>
    <row r="373" spans="1:6" s="9" customFormat="1" x14ac:dyDescent="0.25">
      <c r="B373" s="4"/>
      <c r="C373" s="5"/>
      <c r="E373" s="10"/>
      <c r="F373" s="10"/>
    </row>
    <row r="374" spans="1:6" s="9" customFormat="1" x14ac:dyDescent="0.25">
      <c r="A374" s="9" t="s">
        <v>111</v>
      </c>
      <c r="B374" s="4">
        <v>45874</v>
      </c>
      <c r="C374" s="5">
        <v>30</v>
      </c>
      <c r="D374" s="9" t="s">
        <v>13</v>
      </c>
      <c r="E374" s="10">
        <v>145</v>
      </c>
      <c r="F374" s="10">
        <f t="shared" si="5"/>
        <v>4350</v>
      </c>
    </row>
    <row r="375" spans="1:6" s="9" customFormat="1" x14ac:dyDescent="0.25">
      <c r="B375" s="4"/>
      <c r="C375" s="5"/>
      <c r="E375" s="10"/>
      <c r="F375" s="8">
        <f>SUM(F374)</f>
        <v>4350</v>
      </c>
    </row>
    <row r="376" spans="1:6" s="9" customFormat="1" x14ac:dyDescent="0.25">
      <c r="B376" s="4"/>
      <c r="C376" s="5"/>
      <c r="E376" s="10"/>
      <c r="F376" s="10"/>
    </row>
    <row r="377" spans="1:6" s="9" customFormat="1" x14ac:dyDescent="0.25">
      <c r="A377" s="9" t="s">
        <v>832</v>
      </c>
      <c r="B377" s="4">
        <v>45874</v>
      </c>
      <c r="C377" s="5">
        <v>100</v>
      </c>
      <c r="D377" s="9" t="s">
        <v>13</v>
      </c>
      <c r="E377" s="10">
        <v>145</v>
      </c>
      <c r="F377" s="10">
        <f t="shared" si="5"/>
        <v>14500</v>
      </c>
    </row>
    <row r="378" spans="1:6" s="9" customFormat="1" x14ac:dyDescent="0.25">
      <c r="B378" s="4"/>
      <c r="C378" s="5">
        <v>50</v>
      </c>
      <c r="D378" s="9" t="s">
        <v>12</v>
      </c>
      <c r="E378" s="10">
        <v>135</v>
      </c>
      <c r="F378" s="10">
        <f t="shared" si="5"/>
        <v>6750</v>
      </c>
    </row>
    <row r="379" spans="1:6" s="9" customFormat="1" x14ac:dyDescent="0.25">
      <c r="B379" s="4"/>
      <c r="C379" s="5"/>
      <c r="E379" s="10"/>
      <c r="F379" s="8">
        <f>SUM(F377:F378)</f>
        <v>21250</v>
      </c>
    </row>
    <row r="380" spans="1:6" s="9" customFormat="1" x14ac:dyDescent="0.25">
      <c r="B380" s="4"/>
      <c r="C380" s="5"/>
      <c r="E380" s="10"/>
      <c r="F380" s="10"/>
    </row>
    <row r="381" spans="1:6" s="9" customFormat="1" x14ac:dyDescent="0.25">
      <c r="A381" s="9" t="s">
        <v>29</v>
      </c>
      <c r="B381" s="4">
        <v>45874</v>
      </c>
      <c r="C381" s="5">
        <v>2</v>
      </c>
      <c r="D381" s="9" t="s">
        <v>12</v>
      </c>
      <c r="E381" s="10">
        <v>150</v>
      </c>
      <c r="F381" s="10">
        <f t="shared" si="5"/>
        <v>300</v>
      </c>
    </row>
    <row r="382" spans="1:6" s="9" customFormat="1" x14ac:dyDescent="0.25">
      <c r="B382" s="4"/>
      <c r="C382" s="5">
        <v>3</v>
      </c>
      <c r="D382" s="9" t="s">
        <v>13</v>
      </c>
      <c r="E382" s="10">
        <v>160</v>
      </c>
      <c r="F382" s="10">
        <f t="shared" si="5"/>
        <v>480</v>
      </c>
    </row>
    <row r="383" spans="1:6" s="9" customFormat="1" x14ac:dyDescent="0.25">
      <c r="B383" s="4"/>
      <c r="C383" s="5">
        <v>2</v>
      </c>
      <c r="D383" s="9" t="s">
        <v>12</v>
      </c>
      <c r="E383" s="10">
        <v>140</v>
      </c>
      <c r="F383" s="10">
        <f t="shared" si="5"/>
        <v>280</v>
      </c>
    </row>
    <row r="384" spans="1:6" s="9" customFormat="1" x14ac:dyDescent="0.25">
      <c r="B384" s="4"/>
      <c r="C384" s="5">
        <v>1</v>
      </c>
      <c r="D384" s="9" t="s">
        <v>78</v>
      </c>
      <c r="E384" s="10">
        <v>100</v>
      </c>
      <c r="F384" s="10">
        <f t="shared" si="5"/>
        <v>100</v>
      </c>
    </row>
    <row r="385" spans="1:6" s="9" customFormat="1" x14ac:dyDescent="0.25">
      <c r="B385" s="4"/>
      <c r="C385" s="5">
        <v>1</v>
      </c>
      <c r="D385" s="9" t="s">
        <v>8</v>
      </c>
      <c r="E385" s="10">
        <v>150</v>
      </c>
      <c r="F385" s="10">
        <f t="shared" si="5"/>
        <v>150</v>
      </c>
    </row>
    <row r="386" spans="1:6" s="9" customFormat="1" x14ac:dyDescent="0.25">
      <c r="B386" s="4"/>
      <c r="C386" s="5">
        <v>5</v>
      </c>
      <c r="D386" s="9" t="s">
        <v>356</v>
      </c>
      <c r="E386" s="10">
        <v>125</v>
      </c>
      <c r="F386" s="10">
        <f t="shared" si="5"/>
        <v>625</v>
      </c>
    </row>
    <row r="387" spans="1:6" s="9" customFormat="1" x14ac:dyDescent="0.25">
      <c r="B387" s="4"/>
      <c r="C387" s="5"/>
      <c r="E387" s="10"/>
      <c r="F387" s="8" cm="1">
        <f t="array" ref="F387">SUM(+F381:F386)</f>
        <v>1935</v>
      </c>
    </row>
    <row r="388" spans="1:6" s="9" customFormat="1" x14ac:dyDescent="0.25">
      <c r="B388" s="4"/>
      <c r="C388" s="5"/>
      <c r="E388" s="10"/>
      <c r="F388" s="10"/>
    </row>
    <row r="389" spans="1:6" s="9" customFormat="1" x14ac:dyDescent="0.25">
      <c r="A389" s="9" t="s">
        <v>7</v>
      </c>
      <c r="B389" s="4">
        <v>45874</v>
      </c>
      <c r="C389" s="5">
        <v>5</v>
      </c>
      <c r="D389" s="9" t="s">
        <v>833</v>
      </c>
      <c r="E389" s="10">
        <v>145</v>
      </c>
      <c r="F389" s="10">
        <f t="shared" si="5"/>
        <v>725</v>
      </c>
    </row>
    <row r="390" spans="1:6" s="9" customFormat="1" x14ac:dyDescent="0.25">
      <c r="B390" s="4"/>
      <c r="C390" s="5">
        <v>3</v>
      </c>
      <c r="D390" s="9" t="s">
        <v>8</v>
      </c>
      <c r="E390" s="10">
        <v>170</v>
      </c>
      <c r="F390" s="10">
        <f t="shared" si="5"/>
        <v>510</v>
      </c>
    </row>
    <row r="391" spans="1:6" s="9" customFormat="1" x14ac:dyDescent="0.25">
      <c r="B391" s="4"/>
      <c r="C391" s="5"/>
      <c r="E391" s="10"/>
      <c r="F391" s="8">
        <f>SUM(F389:F390)</f>
        <v>1235</v>
      </c>
    </row>
    <row r="392" spans="1:6" s="9" customFormat="1" x14ac:dyDescent="0.25">
      <c r="B392" s="4"/>
      <c r="C392" s="5"/>
      <c r="E392" s="10"/>
      <c r="F392" s="10"/>
    </row>
    <row r="393" spans="1:6" s="9" customFormat="1" x14ac:dyDescent="0.25">
      <c r="A393" s="9" t="s">
        <v>514</v>
      </c>
      <c r="B393" s="4">
        <v>45875</v>
      </c>
      <c r="C393" s="5">
        <v>7</v>
      </c>
      <c r="D393" s="9" t="s">
        <v>98</v>
      </c>
      <c r="E393" s="10">
        <v>100</v>
      </c>
      <c r="F393" s="10">
        <f t="shared" ref="F393:F452" si="6">+C393*E393</f>
        <v>700</v>
      </c>
    </row>
    <row r="394" spans="1:6" s="9" customFormat="1" x14ac:dyDescent="0.25">
      <c r="B394" s="4"/>
      <c r="C394" s="5">
        <v>8</v>
      </c>
      <c r="D394" s="9" t="s">
        <v>98</v>
      </c>
      <c r="E394" s="10">
        <v>100</v>
      </c>
      <c r="F394" s="10">
        <f t="shared" si="6"/>
        <v>800</v>
      </c>
    </row>
    <row r="395" spans="1:6" s="9" customFormat="1" x14ac:dyDescent="0.25">
      <c r="B395" s="4"/>
      <c r="C395" s="5"/>
      <c r="E395" s="10"/>
      <c r="F395" s="8">
        <f>SUM(F393:F394)</f>
        <v>1500</v>
      </c>
    </row>
    <row r="396" spans="1:6" s="9" customFormat="1" x14ac:dyDescent="0.25">
      <c r="B396" s="4"/>
      <c r="C396" s="5"/>
      <c r="E396" s="10"/>
      <c r="F396" s="10"/>
    </row>
    <row r="397" spans="1:6" s="9" customFormat="1" x14ac:dyDescent="0.25">
      <c r="A397" s="9" t="s">
        <v>15</v>
      </c>
      <c r="B397" s="4">
        <v>45875</v>
      </c>
      <c r="C397" s="5">
        <v>62</v>
      </c>
      <c r="D397" s="9" t="s">
        <v>98</v>
      </c>
      <c r="E397" s="10">
        <v>90</v>
      </c>
      <c r="F397" s="10">
        <f t="shared" si="6"/>
        <v>5580</v>
      </c>
    </row>
    <row r="398" spans="1:6" s="9" customFormat="1" x14ac:dyDescent="0.25">
      <c r="B398" s="4"/>
      <c r="C398" s="5"/>
      <c r="E398" s="10"/>
      <c r="F398" s="8">
        <f>SUM(F397)</f>
        <v>5580</v>
      </c>
    </row>
    <row r="399" spans="1:6" s="9" customFormat="1" x14ac:dyDescent="0.25">
      <c r="B399" s="4"/>
      <c r="C399" s="5"/>
      <c r="E399" s="10"/>
      <c r="F399" s="10"/>
    </row>
    <row r="400" spans="1:6" s="9" customFormat="1" x14ac:dyDescent="0.25">
      <c r="A400" s="9" t="s">
        <v>40</v>
      </c>
      <c r="B400" s="4">
        <v>45875</v>
      </c>
      <c r="C400" s="5">
        <v>15</v>
      </c>
      <c r="D400" s="9" t="s">
        <v>22</v>
      </c>
      <c r="E400" s="10">
        <v>120</v>
      </c>
      <c r="F400" s="10">
        <f t="shared" si="6"/>
        <v>1800</v>
      </c>
    </row>
    <row r="401" spans="1:6" s="9" customFormat="1" x14ac:dyDescent="0.25">
      <c r="B401" s="4"/>
      <c r="C401" s="5">
        <v>3</v>
      </c>
      <c r="D401" s="9" t="s">
        <v>50</v>
      </c>
      <c r="E401" s="10">
        <v>120</v>
      </c>
      <c r="F401" s="10">
        <f t="shared" si="6"/>
        <v>360</v>
      </c>
    </row>
    <row r="402" spans="1:6" s="9" customFormat="1" x14ac:dyDescent="0.25">
      <c r="B402" s="4"/>
      <c r="C402" s="5">
        <v>10</v>
      </c>
      <c r="D402" s="9" t="s">
        <v>14</v>
      </c>
      <c r="E402" s="10">
        <v>145</v>
      </c>
      <c r="F402" s="10">
        <f t="shared" si="6"/>
        <v>1450</v>
      </c>
    </row>
    <row r="403" spans="1:6" s="9" customFormat="1" x14ac:dyDescent="0.25">
      <c r="B403" s="4"/>
      <c r="C403" s="5">
        <v>2</v>
      </c>
      <c r="D403" s="9" t="s">
        <v>8</v>
      </c>
      <c r="E403" s="10">
        <v>160</v>
      </c>
      <c r="F403" s="10">
        <f t="shared" si="6"/>
        <v>320</v>
      </c>
    </row>
    <row r="404" spans="1:6" s="9" customFormat="1" x14ac:dyDescent="0.25">
      <c r="B404" s="4"/>
      <c r="C404" s="5"/>
      <c r="E404" s="10"/>
      <c r="F404" s="8">
        <f>SUM(F400:F403)</f>
        <v>3930</v>
      </c>
    </row>
    <row r="405" spans="1:6" s="9" customFormat="1" x14ac:dyDescent="0.25">
      <c r="B405" s="4"/>
      <c r="C405" s="5"/>
      <c r="E405" s="10"/>
      <c r="F405" s="10"/>
    </row>
    <row r="406" spans="1:6" s="9" customFormat="1" x14ac:dyDescent="0.25">
      <c r="A406" s="9" t="s">
        <v>25</v>
      </c>
      <c r="B406" s="4">
        <v>45875</v>
      </c>
      <c r="C406" s="5">
        <v>50</v>
      </c>
      <c r="D406" s="9" t="s">
        <v>22</v>
      </c>
      <c r="E406" s="10">
        <v>125</v>
      </c>
      <c r="F406" s="10">
        <f t="shared" si="6"/>
        <v>6250</v>
      </c>
    </row>
    <row r="407" spans="1:6" s="9" customFormat="1" x14ac:dyDescent="0.25">
      <c r="B407" s="4"/>
      <c r="C407" s="5"/>
      <c r="E407" s="10"/>
      <c r="F407" s="8">
        <f>SUM(F406)</f>
        <v>6250</v>
      </c>
    </row>
    <row r="408" spans="1:6" s="9" customFormat="1" x14ac:dyDescent="0.25">
      <c r="B408" s="4"/>
      <c r="C408" s="5"/>
      <c r="E408" s="10"/>
      <c r="F408" s="10"/>
    </row>
    <row r="409" spans="1:6" s="9" customFormat="1" x14ac:dyDescent="0.25">
      <c r="A409" s="9" t="s">
        <v>17</v>
      </c>
      <c r="B409" s="4">
        <v>45875</v>
      </c>
      <c r="C409" s="5">
        <v>10</v>
      </c>
      <c r="D409" s="9" t="s">
        <v>13</v>
      </c>
      <c r="E409" s="10">
        <v>150</v>
      </c>
      <c r="F409" s="10">
        <f t="shared" si="6"/>
        <v>1500</v>
      </c>
    </row>
    <row r="410" spans="1:6" s="9" customFormat="1" x14ac:dyDescent="0.25">
      <c r="B410" s="4"/>
      <c r="C410" s="5"/>
      <c r="E410" s="10"/>
      <c r="F410" s="8">
        <f>SUM(F409)</f>
        <v>1500</v>
      </c>
    </row>
    <row r="411" spans="1:6" s="9" customFormat="1" x14ac:dyDescent="0.25">
      <c r="B411" s="4"/>
      <c r="C411" s="5"/>
      <c r="E411" s="10"/>
      <c r="F411" s="10"/>
    </row>
    <row r="412" spans="1:6" s="9" customFormat="1" x14ac:dyDescent="0.25">
      <c r="A412" s="9" t="s">
        <v>20</v>
      </c>
      <c r="B412" s="4">
        <v>45875</v>
      </c>
      <c r="C412" s="5">
        <v>20</v>
      </c>
      <c r="D412" s="9" t="s">
        <v>13</v>
      </c>
      <c r="E412" s="10">
        <v>150</v>
      </c>
      <c r="F412" s="10">
        <f t="shared" si="6"/>
        <v>3000</v>
      </c>
    </row>
    <row r="413" spans="1:6" s="9" customFormat="1" x14ac:dyDescent="0.25">
      <c r="B413" s="4"/>
      <c r="C413" s="5"/>
      <c r="E413" s="10"/>
      <c r="F413" s="8">
        <f>SUM(F412)</f>
        <v>3000</v>
      </c>
    </row>
    <row r="414" spans="1:6" s="9" customFormat="1" x14ac:dyDescent="0.25">
      <c r="B414" s="4"/>
      <c r="C414" s="5"/>
      <c r="E414" s="10"/>
      <c r="F414" s="10"/>
    </row>
    <row r="415" spans="1:6" s="9" customFormat="1" x14ac:dyDescent="0.25">
      <c r="A415" s="9" t="s">
        <v>710</v>
      </c>
      <c r="B415" s="4">
        <v>45875</v>
      </c>
      <c r="C415" s="5">
        <v>15</v>
      </c>
      <c r="D415" s="9" t="s">
        <v>13</v>
      </c>
      <c r="E415" s="10">
        <v>150</v>
      </c>
      <c r="F415" s="10">
        <f t="shared" si="6"/>
        <v>2250</v>
      </c>
    </row>
    <row r="416" spans="1:6" s="9" customFormat="1" x14ac:dyDescent="0.25">
      <c r="B416" s="4"/>
      <c r="C416" s="5">
        <v>5</v>
      </c>
      <c r="D416" s="9" t="s">
        <v>14</v>
      </c>
      <c r="E416" s="10">
        <v>145</v>
      </c>
      <c r="F416" s="10">
        <f t="shared" si="6"/>
        <v>725</v>
      </c>
    </row>
    <row r="417" spans="1:6" s="9" customFormat="1" x14ac:dyDescent="0.25">
      <c r="B417" s="4"/>
      <c r="C417" s="5"/>
      <c r="E417" s="10"/>
      <c r="F417" s="8">
        <f>SUM(F415:F416)</f>
        <v>2975</v>
      </c>
    </row>
    <row r="418" spans="1:6" s="9" customFormat="1" x14ac:dyDescent="0.25">
      <c r="B418" s="4"/>
      <c r="C418" s="5"/>
      <c r="E418" s="10"/>
      <c r="F418" s="10"/>
    </row>
    <row r="419" spans="1:6" s="9" customFormat="1" x14ac:dyDescent="0.25">
      <c r="A419" s="9" t="s">
        <v>37</v>
      </c>
      <c r="B419" s="4">
        <v>45875</v>
      </c>
      <c r="C419" s="5">
        <v>15</v>
      </c>
      <c r="D419" s="9" t="s">
        <v>12</v>
      </c>
      <c r="E419" s="10">
        <v>145</v>
      </c>
      <c r="F419" s="10">
        <f t="shared" si="6"/>
        <v>2175</v>
      </c>
    </row>
    <row r="420" spans="1:6" s="9" customFormat="1" x14ac:dyDescent="0.25">
      <c r="B420" s="4"/>
      <c r="C420" s="5"/>
      <c r="E420" s="10"/>
      <c r="F420" s="8">
        <f>SUM(F419)</f>
        <v>2175</v>
      </c>
    </row>
    <row r="421" spans="1:6" s="9" customFormat="1" x14ac:dyDescent="0.25">
      <c r="B421" s="4"/>
      <c r="C421" s="5"/>
      <c r="E421" s="10"/>
      <c r="F421" s="10"/>
    </row>
    <row r="422" spans="1:6" s="9" customFormat="1" x14ac:dyDescent="0.25">
      <c r="A422" s="9" t="s">
        <v>688</v>
      </c>
      <c r="B422" s="4">
        <v>45875</v>
      </c>
      <c r="C422" s="5">
        <v>4</v>
      </c>
      <c r="D422" s="9" t="s">
        <v>13</v>
      </c>
      <c r="E422" s="10">
        <v>145</v>
      </c>
      <c r="F422" s="10">
        <f t="shared" si="6"/>
        <v>580</v>
      </c>
    </row>
    <row r="423" spans="1:6" s="9" customFormat="1" x14ac:dyDescent="0.25">
      <c r="B423" s="4"/>
      <c r="C423" s="5"/>
      <c r="E423" s="10"/>
      <c r="F423" s="8">
        <f>SUM(F422)</f>
        <v>580</v>
      </c>
    </row>
    <row r="424" spans="1:6" s="9" customFormat="1" x14ac:dyDescent="0.25">
      <c r="B424" s="4"/>
      <c r="C424" s="5"/>
      <c r="E424" s="10"/>
      <c r="F424" s="10"/>
    </row>
    <row r="425" spans="1:6" s="9" customFormat="1" x14ac:dyDescent="0.25">
      <c r="A425" s="9" t="s">
        <v>44</v>
      </c>
      <c r="B425" s="4">
        <v>45875</v>
      </c>
      <c r="C425" s="5">
        <v>50</v>
      </c>
      <c r="D425" s="9" t="s">
        <v>14</v>
      </c>
      <c r="E425" s="10">
        <v>140</v>
      </c>
      <c r="F425" s="10">
        <f t="shared" si="6"/>
        <v>7000</v>
      </c>
    </row>
    <row r="426" spans="1:6" s="9" customFormat="1" x14ac:dyDescent="0.25">
      <c r="B426" s="4"/>
      <c r="C426" s="5"/>
      <c r="E426" s="10"/>
      <c r="F426" s="8">
        <f>SUM(F425)</f>
        <v>7000</v>
      </c>
    </row>
    <row r="427" spans="1:6" s="9" customFormat="1" x14ac:dyDescent="0.25">
      <c r="B427" s="4"/>
      <c r="C427" s="5"/>
      <c r="E427" s="10"/>
      <c r="F427" s="10"/>
    </row>
    <row r="428" spans="1:6" s="9" customFormat="1" x14ac:dyDescent="0.25">
      <c r="A428" s="9" t="s">
        <v>834</v>
      </c>
      <c r="B428" s="4">
        <v>45875</v>
      </c>
      <c r="C428" s="5">
        <v>8</v>
      </c>
      <c r="D428" s="9" t="s">
        <v>173</v>
      </c>
      <c r="E428" s="10">
        <v>145</v>
      </c>
      <c r="F428" s="10">
        <f t="shared" si="6"/>
        <v>1160</v>
      </c>
    </row>
    <row r="429" spans="1:6" s="9" customFormat="1" x14ac:dyDescent="0.25">
      <c r="B429" s="4"/>
      <c r="C429" s="5"/>
      <c r="E429" s="10"/>
      <c r="F429" s="8">
        <f>SUM(F428)</f>
        <v>1160</v>
      </c>
    </row>
    <row r="430" spans="1:6" s="9" customFormat="1" x14ac:dyDescent="0.25">
      <c r="B430" s="4"/>
      <c r="C430" s="5"/>
      <c r="E430" s="10"/>
      <c r="F430" s="10"/>
    </row>
    <row r="431" spans="1:6" s="9" customFormat="1" x14ac:dyDescent="0.25">
      <c r="A431" s="9" t="s">
        <v>41</v>
      </c>
      <c r="B431" s="4">
        <v>45875</v>
      </c>
      <c r="C431" s="5">
        <v>35</v>
      </c>
      <c r="D431" s="9" t="s">
        <v>14</v>
      </c>
      <c r="E431" s="10">
        <v>135</v>
      </c>
      <c r="F431" s="10">
        <f t="shared" si="6"/>
        <v>4725</v>
      </c>
    </row>
    <row r="432" spans="1:6" s="9" customFormat="1" x14ac:dyDescent="0.25">
      <c r="B432" s="4"/>
      <c r="C432" s="5"/>
      <c r="E432" s="10"/>
      <c r="F432" s="8">
        <f>SUM(F431)</f>
        <v>4725</v>
      </c>
    </row>
    <row r="433" spans="1:6" s="9" customFormat="1" x14ac:dyDescent="0.25">
      <c r="B433" s="4"/>
      <c r="C433" s="5"/>
      <c r="E433" s="10"/>
      <c r="F433" s="10"/>
    </row>
    <row r="434" spans="1:6" s="9" customFormat="1" x14ac:dyDescent="0.25">
      <c r="A434" s="9" t="s">
        <v>107</v>
      </c>
      <c r="B434" s="4">
        <v>45875</v>
      </c>
      <c r="C434" s="5">
        <v>48</v>
      </c>
      <c r="D434" s="9" t="s">
        <v>11</v>
      </c>
      <c r="E434" s="10">
        <v>135</v>
      </c>
      <c r="F434" s="10">
        <f t="shared" si="6"/>
        <v>6480</v>
      </c>
    </row>
    <row r="435" spans="1:6" s="9" customFormat="1" x14ac:dyDescent="0.25">
      <c r="B435" s="4"/>
      <c r="C435" s="5"/>
      <c r="E435" s="10"/>
      <c r="F435" s="8">
        <f>SUM(F434)</f>
        <v>6480</v>
      </c>
    </row>
    <row r="436" spans="1:6" s="9" customFormat="1" x14ac:dyDescent="0.25">
      <c r="B436" s="4"/>
      <c r="C436" s="5"/>
      <c r="E436" s="10"/>
      <c r="F436" s="10"/>
    </row>
    <row r="437" spans="1:6" s="9" customFormat="1" x14ac:dyDescent="0.25">
      <c r="A437" s="9" t="s">
        <v>43</v>
      </c>
      <c r="B437" s="4">
        <v>45875</v>
      </c>
      <c r="C437" s="5">
        <v>20</v>
      </c>
      <c r="D437" s="9" t="s">
        <v>49</v>
      </c>
      <c r="E437" s="10">
        <v>150</v>
      </c>
      <c r="F437" s="10">
        <f t="shared" si="6"/>
        <v>3000</v>
      </c>
    </row>
    <row r="438" spans="1:6" s="9" customFormat="1" x14ac:dyDescent="0.25">
      <c r="B438" s="4"/>
      <c r="C438" s="5">
        <v>10</v>
      </c>
      <c r="D438" s="9" t="s">
        <v>14</v>
      </c>
      <c r="E438" s="10">
        <v>145</v>
      </c>
      <c r="F438" s="10">
        <f t="shared" si="6"/>
        <v>1450</v>
      </c>
    </row>
    <row r="439" spans="1:6" s="9" customFormat="1" x14ac:dyDescent="0.25">
      <c r="B439" s="4"/>
      <c r="C439" s="5"/>
      <c r="E439" s="10"/>
      <c r="F439" s="8">
        <f>SUM(F437:F438)</f>
        <v>4450</v>
      </c>
    </row>
    <row r="440" spans="1:6" s="9" customFormat="1" x14ac:dyDescent="0.25">
      <c r="B440" s="4"/>
      <c r="C440" s="5"/>
      <c r="E440" s="10"/>
      <c r="F440" s="10"/>
    </row>
    <row r="441" spans="1:6" s="9" customFormat="1" x14ac:dyDescent="0.25">
      <c r="A441" s="9" t="s">
        <v>253</v>
      </c>
      <c r="B441" s="4">
        <v>45875</v>
      </c>
      <c r="C441" s="5">
        <v>25</v>
      </c>
      <c r="D441" s="9" t="s">
        <v>14</v>
      </c>
      <c r="E441" s="10">
        <v>145</v>
      </c>
      <c r="F441" s="10">
        <f t="shared" si="6"/>
        <v>3625</v>
      </c>
    </row>
    <row r="442" spans="1:6" s="9" customFormat="1" x14ac:dyDescent="0.25">
      <c r="B442" s="4"/>
      <c r="C442" s="5"/>
      <c r="E442" s="10"/>
      <c r="F442" s="8">
        <f>SUM(F441)</f>
        <v>3625</v>
      </c>
    </row>
    <row r="443" spans="1:6" s="9" customFormat="1" x14ac:dyDescent="0.25">
      <c r="B443" s="4"/>
      <c r="C443" s="5"/>
      <c r="E443" s="10"/>
      <c r="F443" s="10"/>
    </row>
    <row r="444" spans="1:6" s="9" customFormat="1" x14ac:dyDescent="0.25">
      <c r="A444" s="9" t="s">
        <v>18</v>
      </c>
      <c r="B444" s="4">
        <v>45875</v>
      </c>
      <c r="C444" s="5">
        <v>10</v>
      </c>
      <c r="D444" s="9" t="s">
        <v>13</v>
      </c>
      <c r="E444" s="10">
        <v>145</v>
      </c>
      <c r="F444" s="10">
        <f t="shared" si="6"/>
        <v>1450</v>
      </c>
    </row>
    <row r="445" spans="1:6" s="9" customFormat="1" x14ac:dyDescent="0.25">
      <c r="B445" s="4"/>
      <c r="C445" s="5">
        <v>20</v>
      </c>
      <c r="D445" s="9" t="s">
        <v>14</v>
      </c>
      <c r="E445" s="10">
        <v>145</v>
      </c>
      <c r="F445" s="10">
        <f t="shared" si="6"/>
        <v>2900</v>
      </c>
    </row>
    <row r="446" spans="1:6" s="9" customFormat="1" x14ac:dyDescent="0.25">
      <c r="B446" s="4"/>
      <c r="C446" s="5">
        <v>12</v>
      </c>
      <c r="D446" s="9" t="s">
        <v>11</v>
      </c>
      <c r="E446" s="10">
        <v>135</v>
      </c>
      <c r="F446" s="10">
        <f t="shared" si="6"/>
        <v>1620</v>
      </c>
    </row>
    <row r="447" spans="1:6" s="9" customFormat="1" x14ac:dyDescent="0.25">
      <c r="B447" s="4"/>
      <c r="C447" s="5"/>
      <c r="E447" s="10"/>
      <c r="F447" s="8">
        <f>SUM(F444:F446)</f>
        <v>5970</v>
      </c>
    </row>
    <row r="448" spans="1:6" s="9" customFormat="1" x14ac:dyDescent="0.25">
      <c r="B448" s="4"/>
      <c r="C448" s="5"/>
      <c r="E448" s="10"/>
      <c r="F448" s="10"/>
    </row>
    <row r="449" spans="1:6" s="9" customFormat="1" x14ac:dyDescent="0.25">
      <c r="A449" s="9" t="s">
        <v>46</v>
      </c>
      <c r="B449" s="4">
        <v>45875</v>
      </c>
      <c r="C449" s="5">
        <v>30</v>
      </c>
      <c r="D449" s="9" t="s">
        <v>14</v>
      </c>
      <c r="E449" s="10">
        <v>145</v>
      </c>
      <c r="F449" s="10">
        <f t="shared" si="6"/>
        <v>4350</v>
      </c>
    </row>
    <row r="450" spans="1:6" s="9" customFormat="1" x14ac:dyDescent="0.25">
      <c r="B450" s="4"/>
      <c r="C450" s="5"/>
      <c r="E450" s="10"/>
      <c r="F450" s="8">
        <f>SUM(F449)</f>
        <v>4350</v>
      </c>
    </row>
    <row r="451" spans="1:6" s="9" customFormat="1" x14ac:dyDescent="0.25">
      <c r="B451" s="4"/>
      <c r="C451" s="5"/>
      <c r="E451" s="10"/>
      <c r="F451" s="10"/>
    </row>
    <row r="452" spans="1:6" s="9" customFormat="1" x14ac:dyDescent="0.25">
      <c r="A452" s="9" t="s">
        <v>145</v>
      </c>
      <c r="B452" s="4">
        <v>45875</v>
      </c>
      <c r="C452" s="5">
        <v>30</v>
      </c>
      <c r="D452" s="9" t="s">
        <v>14</v>
      </c>
      <c r="E452" s="10">
        <v>145</v>
      </c>
      <c r="F452" s="10">
        <f t="shared" si="6"/>
        <v>4350</v>
      </c>
    </row>
    <row r="453" spans="1:6" s="9" customFormat="1" x14ac:dyDescent="0.25">
      <c r="B453" s="4"/>
      <c r="C453" s="5"/>
      <c r="E453" s="10"/>
      <c r="F453" s="8">
        <f>SUM(F452)</f>
        <v>4350</v>
      </c>
    </row>
    <row r="454" spans="1:6" s="9" customFormat="1" x14ac:dyDescent="0.25">
      <c r="B454" s="4"/>
      <c r="C454" s="5"/>
      <c r="E454" s="10"/>
      <c r="F454" s="10"/>
    </row>
    <row r="455" spans="1:6" s="9" customFormat="1" x14ac:dyDescent="0.25">
      <c r="A455" s="9" t="s">
        <v>47</v>
      </c>
      <c r="B455" s="4">
        <v>45875</v>
      </c>
      <c r="C455" s="5">
        <v>44</v>
      </c>
      <c r="D455" s="9" t="s">
        <v>14</v>
      </c>
      <c r="E455" s="10">
        <v>145</v>
      </c>
      <c r="F455" s="10">
        <f t="shared" ref="F455:F516" si="7">+C455*E455</f>
        <v>6380</v>
      </c>
    </row>
    <row r="456" spans="1:6" s="9" customFormat="1" x14ac:dyDescent="0.25">
      <c r="B456" s="4"/>
      <c r="C456" s="5"/>
      <c r="E456" s="10"/>
      <c r="F456" s="8">
        <f>SUM(F455)</f>
        <v>6380</v>
      </c>
    </row>
    <row r="457" spans="1:6" s="9" customFormat="1" x14ac:dyDescent="0.25">
      <c r="B457" s="4"/>
      <c r="C457" s="5"/>
      <c r="E457" s="10"/>
      <c r="F457" s="10"/>
    </row>
    <row r="458" spans="1:6" s="9" customFormat="1" x14ac:dyDescent="0.25">
      <c r="A458" s="9" t="s">
        <v>32</v>
      </c>
      <c r="B458" s="4">
        <v>45875</v>
      </c>
      <c r="C458" s="5">
        <v>30</v>
      </c>
      <c r="D458" s="9" t="s">
        <v>13</v>
      </c>
      <c r="E458" s="10">
        <v>145</v>
      </c>
      <c r="F458" s="10">
        <f t="shared" si="7"/>
        <v>4350</v>
      </c>
    </row>
    <row r="459" spans="1:6" s="9" customFormat="1" x14ac:dyDescent="0.25">
      <c r="B459" s="4"/>
      <c r="C459" s="5"/>
      <c r="E459" s="10"/>
      <c r="F459" s="8">
        <f>SUM(F458)</f>
        <v>4350</v>
      </c>
    </row>
    <row r="460" spans="1:6" s="9" customFormat="1" x14ac:dyDescent="0.25">
      <c r="B460" s="4"/>
      <c r="C460" s="5"/>
      <c r="E460" s="10"/>
      <c r="F460" s="10"/>
    </row>
    <row r="461" spans="1:6" s="9" customFormat="1" x14ac:dyDescent="0.25">
      <c r="A461" s="9" t="s">
        <v>88</v>
      </c>
      <c r="B461" s="4">
        <v>45875</v>
      </c>
      <c r="C461" s="5">
        <v>10</v>
      </c>
      <c r="D461" s="9" t="s">
        <v>14</v>
      </c>
      <c r="E461" s="10">
        <v>140</v>
      </c>
      <c r="F461" s="10">
        <f t="shared" si="7"/>
        <v>1400</v>
      </c>
    </row>
    <row r="462" spans="1:6" s="9" customFormat="1" x14ac:dyDescent="0.25">
      <c r="B462" s="4"/>
      <c r="C462" s="5">
        <v>6</v>
      </c>
      <c r="D462" s="9" t="s">
        <v>13</v>
      </c>
      <c r="E462" s="10">
        <v>150</v>
      </c>
      <c r="F462" s="10">
        <f t="shared" si="7"/>
        <v>900</v>
      </c>
    </row>
    <row r="463" spans="1:6" s="9" customFormat="1" x14ac:dyDescent="0.25">
      <c r="B463" s="4"/>
      <c r="C463" s="5"/>
      <c r="E463" s="10"/>
      <c r="F463" s="8">
        <f>SUM(F461:F462)</f>
        <v>2300</v>
      </c>
    </row>
    <row r="464" spans="1:6" s="9" customFormat="1" x14ac:dyDescent="0.25">
      <c r="B464" s="4"/>
      <c r="C464" s="5"/>
      <c r="E464" s="10"/>
      <c r="F464" s="10"/>
    </row>
    <row r="465" spans="1:6" s="9" customFormat="1" x14ac:dyDescent="0.25">
      <c r="A465" s="9" t="s">
        <v>434</v>
      </c>
      <c r="B465" s="4">
        <v>45875</v>
      </c>
      <c r="C465" s="5">
        <v>6</v>
      </c>
      <c r="D465" s="9" t="s">
        <v>12</v>
      </c>
      <c r="E465" s="10">
        <v>140</v>
      </c>
      <c r="F465" s="10">
        <f t="shared" si="7"/>
        <v>840</v>
      </c>
    </row>
    <row r="466" spans="1:6" s="9" customFormat="1" x14ac:dyDescent="0.25">
      <c r="B466" s="4"/>
      <c r="C466" s="5"/>
      <c r="E466" s="10"/>
      <c r="F466" s="8">
        <f>SUM(F465)</f>
        <v>840</v>
      </c>
    </row>
    <row r="467" spans="1:6" s="9" customFormat="1" x14ac:dyDescent="0.25">
      <c r="B467" s="4"/>
      <c r="C467" s="5"/>
      <c r="E467" s="10"/>
      <c r="F467" s="10"/>
    </row>
    <row r="468" spans="1:6" s="9" customFormat="1" x14ac:dyDescent="0.25">
      <c r="A468" s="9" t="s">
        <v>100</v>
      </c>
      <c r="B468" s="4">
        <v>45875</v>
      </c>
      <c r="C468" s="5">
        <v>10</v>
      </c>
      <c r="D468" s="9" t="s">
        <v>13</v>
      </c>
      <c r="E468" s="10">
        <v>140</v>
      </c>
      <c r="F468" s="10">
        <f t="shared" si="7"/>
        <v>1400</v>
      </c>
    </row>
    <row r="469" spans="1:6" s="9" customFormat="1" x14ac:dyDescent="0.25">
      <c r="B469" s="4"/>
      <c r="C469" s="5"/>
      <c r="E469" s="10"/>
      <c r="F469" s="8">
        <f>SUM(F468)</f>
        <v>1400</v>
      </c>
    </row>
    <row r="470" spans="1:6" s="9" customFormat="1" x14ac:dyDescent="0.25">
      <c r="B470" s="4"/>
      <c r="C470" s="5"/>
      <c r="E470" s="10"/>
      <c r="F470" s="10"/>
    </row>
    <row r="471" spans="1:6" s="9" customFormat="1" x14ac:dyDescent="0.25">
      <c r="A471" s="9" t="s">
        <v>835</v>
      </c>
      <c r="B471" s="4">
        <v>45875</v>
      </c>
      <c r="C471" s="5">
        <v>3</v>
      </c>
      <c r="D471" s="9" t="s">
        <v>13</v>
      </c>
      <c r="E471" s="10">
        <v>150</v>
      </c>
      <c r="F471" s="10">
        <f t="shared" si="7"/>
        <v>450</v>
      </c>
    </row>
    <row r="472" spans="1:6" s="9" customFormat="1" x14ac:dyDescent="0.25">
      <c r="B472" s="4"/>
      <c r="C472" s="5"/>
      <c r="E472" s="10"/>
      <c r="F472" s="8">
        <f>SUM(F471)</f>
        <v>450</v>
      </c>
    </row>
    <row r="473" spans="1:6" s="9" customFormat="1" x14ac:dyDescent="0.25">
      <c r="B473" s="4"/>
      <c r="C473" s="5"/>
      <c r="E473" s="10"/>
      <c r="F473" s="10"/>
    </row>
    <row r="474" spans="1:6" s="9" customFormat="1" x14ac:dyDescent="0.25">
      <c r="A474" s="9" t="s">
        <v>72</v>
      </c>
      <c r="B474" s="4">
        <v>45875</v>
      </c>
      <c r="C474" s="5">
        <v>190</v>
      </c>
      <c r="D474" s="9" t="s">
        <v>13</v>
      </c>
      <c r="E474" s="10">
        <v>140</v>
      </c>
      <c r="F474" s="10">
        <f t="shared" si="7"/>
        <v>26600</v>
      </c>
    </row>
    <row r="475" spans="1:6" s="9" customFormat="1" x14ac:dyDescent="0.25">
      <c r="B475" s="4"/>
      <c r="C475" s="5">
        <v>160</v>
      </c>
      <c r="D475" s="9" t="s">
        <v>12</v>
      </c>
      <c r="E475" s="10">
        <v>135</v>
      </c>
      <c r="F475" s="10">
        <f t="shared" si="7"/>
        <v>21600</v>
      </c>
    </row>
    <row r="476" spans="1:6" s="9" customFormat="1" x14ac:dyDescent="0.25">
      <c r="B476" s="4"/>
      <c r="C476" s="5">
        <v>20</v>
      </c>
      <c r="D476" s="9" t="s">
        <v>14</v>
      </c>
      <c r="E476" s="10">
        <v>140</v>
      </c>
      <c r="F476" s="10">
        <f t="shared" si="7"/>
        <v>2800</v>
      </c>
    </row>
    <row r="477" spans="1:6" s="9" customFormat="1" x14ac:dyDescent="0.25">
      <c r="B477" s="4"/>
      <c r="C477" s="5">
        <v>80</v>
      </c>
      <c r="D477" s="9" t="s">
        <v>11</v>
      </c>
      <c r="E477" s="10">
        <v>135</v>
      </c>
      <c r="F477" s="10">
        <f t="shared" si="7"/>
        <v>10800</v>
      </c>
    </row>
    <row r="478" spans="1:6" s="9" customFormat="1" x14ac:dyDescent="0.25">
      <c r="B478" s="4"/>
      <c r="C478" s="5"/>
      <c r="E478" s="10"/>
      <c r="F478" s="8">
        <f>SUM(F474:F477)</f>
        <v>61800</v>
      </c>
    </row>
    <row r="479" spans="1:6" s="9" customFormat="1" x14ac:dyDescent="0.25">
      <c r="B479" s="4"/>
      <c r="C479" s="5"/>
      <c r="E479" s="10"/>
      <c r="F479" s="10"/>
    </row>
    <row r="480" spans="1:6" s="9" customFormat="1" x14ac:dyDescent="0.25">
      <c r="A480" s="9" t="s">
        <v>65</v>
      </c>
      <c r="B480" s="4">
        <v>45875</v>
      </c>
      <c r="C480" s="22">
        <v>400</v>
      </c>
      <c r="D480" s="9" t="s">
        <v>12</v>
      </c>
      <c r="E480" s="10">
        <v>135</v>
      </c>
      <c r="F480" s="10">
        <f t="shared" si="7"/>
        <v>54000</v>
      </c>
    </row>
    <row r="481" spans="1:6" s="9" customFormat="1" x14ac:dyDescent="0.25">
      <c r="B481" s="4"/>
      <c r="C481" s="5">
        <v>135</v>
      </c>
      <c r="D481" s="9" t="s">
        <v>50</v>
      </c>
      <c r="E481" s="10">
        <v>125</v>
      </c>
      <c r="F481" s="10">
        <f t="shared" si="7"/>
        <v>16875</v>
      </c>
    </row>
    <row r="482" spans="1:6" s="9" customFormat="1" x14ac:dyDescent="0.25">
      <c r="B482" s="4"/>
      <c r="C482" s="5">
        <v>130</v>
      </c>
      <c r="D482" s="9" t="s">
        <v>22</v>
      </c>
      <c r="E482" s="10">
        <v>125</v>
      </c>
      <c r="F482" s="10">
        <f t="shared" si="7"/>
        <v>16250</v>
      </c>
    </row>
    <row r="483" spans="1:6" s="9" customFormat="1" x14ac:dyDescent="0.25">
      <c r="B483" s="4"/>
      <c r="C483" s="5">
        <v>100</v>
      </c>
      <c r="D483" s="9" t="s">
        <v>13</v>
      </c>
      <c r="E483" s="10">
        <v>145</v>
      </c>
      <c r="F483" s="10">
        <f t="shared" si="7"/>
        <v>14500</v>
      </c>
    </row>
    <row r="484" spans="1:6" s="9" customFormat="1" x14ac:dyDescent="0.25">
      <c r="B484" s="4"/>
      <c r="C484" s="5">
        <v>50</v>
      </c>
      <c r="D484" s="9" t="s">
        <v>11</v>
      </c>
      <c r="E484" s="10">
        <v>135</v>
      </c>
      <c r="F484" s="10">
        <f t="shared" si="7"/>
        <v>6750</v>
      </c>
    </row>
    <row r="485" spans="1:6" s="9" customFormat="1" x14ac:dyDescent="0.25">
      <c r="B485" s="4"/>
      <c r="C485" s="5"/>
      <c r="E485" s="10"/>
      <c r="F485" s="8">
        <f>SUM(F480:F484)</f>
        <v>108375</v>
      </c>
    </row>
    <row r="486" spans="1:6" s="9" customFormat="1" x14ac:dyDescent="0.25">
      <c r="B486" s="4"/>
      <c r="C486" s="5"/>
      <c r="E486" s="10"/>
      <c r="F486" s="10"/>
    </row>
    <row r="487" spans="1:6" s="9" customFormat="1" x14ac:dyDescent="0.25">
      <c r="A487" s="9" t="s">
        <v>181</v>
      </c>
      <c r="B487" s="4">
        <v>45875</v>
      </c>
      <c r="C487" s="5">
        <v>200</v>
      </c>
      <c r="D487" s="9" t="s">
        <v>22</v>
      </c>
      <c r="E487" s="10"/>
      <c r="F487" s="10">
        <f t="shared" si="7"/>
        <v>0</v>
      </c>
    </row>
    <row r="488" spans="1:6" s="9" customFormat="1" x14ac:dyDescent="0.25">
      <c r="B488" s="4"/>
      <c r="C488" s="5">
        <v>120</v>
      </c>
      <c r="D488" s="9" t="s">
        <v>13</v>
      </c>
      <c r="E488" s="10"/>
      <c r="F488" s="10">
        <f t="shared" si="7"/>
        <v>0</v>
      </c>
    </row>
    <row r="489" spans="1:6" s="9" customFormat="1" x14ac:dyDescent="0.25">
      <c r="B489" s="4"/>
      <c r="C489" s="5">
        <v>300</v>
      </c>
      <c r="D489" s="9" t="s">
        <v>645</v>
      </c>
      <c r="E489" s="10"/>
      <c r="F489" s="10">
        <f t="shared" si="7"/>
        <v>0</v>
      </c>
    </row>
    <row r="490" spans="1:6" s="9" customFormat="1" x14ac:dyDescent="0.25">
      <c r="B490" s="4"/>
      <c r="C490" s="5"/>
      <c r="E490" s="10"/>
      <c r="F490" s="8">
        <f>SUM(F487:F489)</f>
        <v>0</v>
      </c>
    </row>
    <row r="491" spans="1:6" s="9" customFormat="1" x14ac:dyDescent="0.25">
      <c r="B491" s="4"/>
      <c r="C491" s="5"/>
      <c r="E491" s="10"/>
      <c r="F491" s="10"/>
    </row>
    <row r="492" spans="1:6" s="9" customFormat="1" x14ac:dyDescent="0.25">
      <c r="A492" s="9" t="s">
        <v>29</v>
      </c>
      <c r="B492" s="4">
        <v>45875</v>
      </c>
      <c r="C492" s="5">
        <v>1</v>
      </c>
      <c r="D492" s="9" t="s">
        <v>12</v>
      </c>
      <c r="E492" s="10">
        <v>150</v>
      </c>
      <c r="F492" s="10">
        <f t="shared" si="7"/>
        <v>150</v>
      </c>
    </row>
    <row r="493" spans="1:6" s="9" customFormat="1" x14ac:dyDescent="0.25">
      <c r="B493" s="4"/>
      <c r="C493" s="5">
        <v>3</v>
      </c>
      <c r="D493" s="9" t="s">
        <v>110</v>
      </c>
      <c r="E493" s="10">
        <v>3.3330000000000002</v>
      </c>
      <c r="F493" s="10">
        <f t="shared" si="7"/>
        <v>9.9990000000000006</v>
      </c>
    </row>
    <row r="494" spans="1:6" s="9" customFormat="1" x14ac:dyDescent="0.25">
      <c r="B494" s="4"/>
      <c r="C494" s="5">
        <v>1</v>
      </c>
      <c r="D494" s="9" t="s">
        <v>8</v>
      </c>
      <c r="E494" s="10">
        <v>150</v>
      </c>
      <c r="F494" s="10">
        <f t="shared" si="7"/>
        <v>150</v>
      </c>
    </row>
    <row r="495" spans="1:6" s="9" customFormat="1" x14ac:dyDescent="0.25">
      <c r="B495" s="4"/>
      <c r="C495" s="5">
        <v>2</v>
      </c>
      <c r="D495" s="9" t="s">
        <v>600</v>
      </c>
      <c r="E495" s="10">
        <v>140</v>
      </c>
      <c r="F495" s="10">
        <f t="shared" si="7"/>
        <v>280</v>
      </c>
    </row>
    <row r="496" spans="1:6" s="9" customFormat="1" x14ac:dyDescent="0.25">
      <c r="B496" s="4"/>
      <c r="C496" s="5"/>
      <c r="E496" s="10"/>
      <c r="F496" s="8">
        <f>SUM(F492:F495)</f>
        <v>589.99900000000002</v>
      </c>
    </row>
    <row r="497" spans="1:6" s="9" customFormat="1" x14ac:dyDescent="0.25">
      <c r="B497" s="4"/>
      <c r="C497" s="5"/>
      <c r="E497" s="10"/>
      <c r="F497" s="10"/>
    </row>
    <row r="498" spans="1:6" x14ac:dyDescent="0.25">
      <c r="A498" s="9" t="s">
        <v>7</v>
      </c>
      <c r="B498" s="4">
        <v>45875</v>
      </c>
      <c r="C498" s="5">
        <v>4</v>
      </c>
      <c r="D498" s="9" t="s">
        <v>13</v>
      </c>
      <c r="E498" s="10">
        <v>160</v>
      </c>
      <c r="F498" s="10">
        <f t="shared" si="7"/>
        <v>640</v>
      </c>
    </row>
    <row r="499" spans="1:6" s="9" customFormat="1" x14ac:dyDescent="0.25">
      <c r="B499" s="4"/>
      <c r="C499" s="5">
        <v>2</v>
      </c>
      <c r="D499" s="9" t="s">
        <v>8</v>
      </c>
      <c r="E499" s="10">
        <v>170</v>
      </c>
      <c r="F499" s="10">
        <f t="shared" si="7"/>
        <v>340</v>
      </c>
    </row>
    <row r="500" spans="1:6" s="9" customFormat="1" x14ac:dyDescent="0.25">
      <c r="B500" s="4"/>
      <c r="C500" s="5">
        <v>1</v>
      </c>
      <c r="D500" s="9" t="s">
        <v>836</v>
      </c>
      <c r="E500" s="10">
        <v>150</v>
      </c>
      <c r="F500" s="10">
        <f t="shared" si="7"/>
        <v>150</v>
      </c>
    </row>
    <row r="501" spans="1:6" s="9" customFormat="1" x14ac:dyDescent="0.25">
      <c r="B501" s="4"/>
      <c r="C501" s="5">
        <v>1</v>
      </c>
      <c r="D501" s="9" t="s">
        <v>49</v>
      </c>
      <c r="E501" s="10">
        <v>150</v>
      </c>
      <c r="F501" s="10">
        <f t="shared" si="7"/>
        <v>150</v>
      </c>
    </row>
    <row r="502" spans="1:6" s="9" customFormat="1" x14ac:dyDescent="0.25">
      <c r="B502" s="4"/>
      <c r="C502" s="5"/>
      <c r="E502" s="10"/>
      <c r="F502" s="8">
        <f>SUM(F498:F501)</f>
        <v>1280</v>
      </c>
    </row>
    <row r="503" spans="1:6" s="9" customFormat="1" x14ac:dyDescent="0.25">
      <c r="B503" s="4"/>
      <c r="C503" s="5"/>
      <c r="E503" s="10"/>
      <c r="F503" s="10"/>
    </row>
    <row r="504" spans="1:6" s="9" customFormat="1" x14ac:dyDescent="0.25">
      <c r="A504" s="9" t="s">
        <v>837</v>
      </c>
      <c r="B504" s="4">
        <v>45876</v>
      </c>
      <c r="C504" s="5">
        <v>3</v>
      </c>
      <c r="D504" s="9" t="s">
        <v>13</v>
      </c>
      <c r="E504" s="10">
        <v>150</v>
      </c>
      <c r="F504" s="10">
        <f t="shared" si="7"/>
        <v>450</v>
      </c>
    </row>
    <row r="505" spans="1:6" s="9" customFormat="1" x14ac:dyDescent="0.25">
      <c r="B505" s="4"/>
      <c r="C505" s="5"/>
      <c r="E505" s="10"/>
      <c r="F505" s="8">
        <f>SUM(F504)</f>
        <v>450</v>
      </c>
    </row>
    <row r="506" spans="1:6" s="9" customFormat="1" x14ac:dyDescent="0.25">
      <c r="B506" s="4"/>
      <c r="C506" s="5"/>
      <c r="E506" s="10"/>
      <c r="F506" s="10"/>
    </row>
    <row r="507" spans="1:6" s="9" customFormat="1" x14ac:dyDescent="0.25">
      <c r="A507" s="9" t="s">
        <v>821</v>
      </c>
      <c r="B507" s="4">
        <v>45876</v>
      </c>
      <c r="C507" s="5">
        <v>90</v>
      </c>
      <c r="D507" s="9" t="s">
        <v>12</v>
      </c>
      <c r="E507" s="10">
        <v>135</v>
      </c>
      <c r="F507" s="10">
        <f t="shared" si="7"/>
        <v>12150</v>
      </c>
    </row>
    <row r="508" spans="1:6" s="9" customFormat="1" x14ac:dyDescent="0.25">
      <c r="B508" s="4"/>
      <c r="C508" s="5"/>
      <c r="E508" s="10"/>
      <c r="F508" s="8">
        <f>SUM(F507)</f>
        <v>12150</v>
      </c>
    </row>
    <row r="509" spans="1:6" s="9" customFormat="1" x14ac:dyDescent="0.25">
      <c r="B509" s="4"/>
      <c r="C509" s="5"/>
      <c r="E509" s="10"/>
      <c r="F509" s="10"/>
    </row>
    <row r="510" spans="1:6" s="9" customFormat="1" x14ac:dyDescent="0.25">
      <c r="A510" s="9" t="s">
        <v>66</v>
      </c>
      <c r="B510" s="4">
        <v>45876</v>
      </c>
      <c r="C510" s="5">
        <v>20</v>
      </c>
      <c r="D510" s="9" t="s">
        <v>8</v>
      </c>
      <c r="E510" s="10">
        <v>160</v>
      </c>
      <c r="F510" s="10">
        <f t="shared" si="7"/>
        <v>3200</v>
      </c>
    </row>
    <row r="511" spans="1:6" s="9" customFormat="1" x14ac:dyDescent="0.25">
      <c r="B511" s="4"/>
      <c r="C511" s="5"/>
      <c r="E511" s="10"/>
      <c r="F511" s="8">
        <f>SUM(F510)</f>
        <v>3200</v>
      </c>
    </row>
    <row r="512" spans="1:6" s="9" customFormat="1" x14ac:dyDescent="0.25">
      <c r="B512" s="4"/>
      <c r="C512" s="5"/>
      <c r="E512" s="10"/>
      <c r="F512" s="10"/>
    </row>
    <row r="513" spans="1:6" s="9" customFormat="1" x14ac:dyDescent="0.25">
      <c r="A513" s="9" t="s">
        <v>113</v>
      </c>
      <c r="B513" s="4">
        <v>45876</v>
      </c>
      <c r="C513" s="5">
        <v>20</v>
      </c>
      <c r="D513" s="9" t="s">
        <v>8</v>
      </c>
      <c r="E513" s="10">
        <v>160</v>
      </c>
      <c r="F513" s="10">
        <f t="shared" si="7"/>
        <v>3200</v>
      </c>
    </row>
    <row r="514" spans="1:6" s="9" customFormat="1" x14ac:dyDescent="0.25">
      <c r="B514" s="4"/>
      <c r="C514" s="5"/>
      <c r="E514" s="10"/>
      <c r="F514" s="8">
        <f>SUM(F513)</f>
        <v>3200</v>
      </c>
    </row>
    <row r="515" spans="1:6" s="9" customFormat="1" x14ac:dyDescent="0.25">
      <c r="B515" s="4"/>
      <c r="C515" s="5"/>
      <c r="E515" s="10"/>
      <c r="F515" s="10"/>
    </row>
    <row r="516" spans="1:6" s="9" customFormat="1" x14ac:dyDescent="0.25">
      <c r="A516" s="9" t="s">
        <v>60</v>
      </c>
      <c r="B516" s="4">
        <v>45876</v>
      </c>
      <c r="C516" s="5">
        <v>30</v>
      </c>
      <c r="D516" s="9" t="s">
        <v>13</v>
      </c>
      <c r="E516" s="10">
        <v>150</v>
      </c>
      <c r="F516" s="10">
        <f t="shared" si="7"/>
        <v>4500</v>
      </c>
    </row>
    <row r="517" spans="1:6" s="9" customFormat="1" x14ac:dyDescent="0.25">
      <c r="B517" s="4"/>
      <c r="C517" s="5"/>
      <c r="E517" s="10"/>
      <c r="F517" s="8">
        <f>SUM(F516)</f>
        <v>4500</v>
      </c>
    </row>
    <row r="518" spans="1:6" s="9" customFormat="1" x14ac:dyDescent="0.25">
      <c r="B518" s="4"/>
      <c r="C518" s="5"/>
      <c r="E518" s="10"/>
      <c r="F518" s="10"/>
    </row>
    <row r="519" spans="1:6" s="9" customFormat="1" x14ac:dyDescent="0.25">
      <c r="A519" s="9" t="s">
        <v>800</v>
      </c>
      <c r="B519" s="4">
        <v>45876</v>
      </c>
      <c r="C519" s="5">
        <v>12</v>
      </c>
      <c r="D519" s="9" t="s">
        <v>222</v>
      </c>
      <c r="E519" s="10">
        <v>150</v>
      </c>
      <c r="F519" s="10">
        <f t="shared" ref="F519:F580" si="8">+C519*E519</f>
        <v>1800</v>
      </c>
    </row>
    <row r="520" spans="1:6" s="9" customFormat="1" x14ac:dyDescent="0.25">
      <c r="B520" s="4"/>
      <c r="C520" s="5"/>
      <c r="E520" s="10"/>
      <c r="F520" s="8">
        <f>SUM(F519)</f>
        <v>1800</v>
      </c>
    </row>
    <row r="521" spans="1:6" s="9" customFormat="1" x14ac:dyDescent="0.25">
      <c r="B521" s="4"/>
      <c r="C521" s="5"/>
      <c r="E521" s="10"/>
      <c r="F521" s="10"/>
    </row>
    <row r="522" spans="1:6" s="9" customFormat="1" x14ac:dyDescent="0.25">
      <c r="A522" s="9" t="s">
        <v>62</v>
      </c>
      <c r="B522" s="4">
        <v>45876</v>
      </c>
      <c r="C522" s="5">
        <v>70</v>
      </c>
      <c r="D522" s="9" t="s">
        <v>8</v>
      </c>
      <c r="E522" s="10">
        <v>160</v>
      </c>
      <c r="F522" s="10">
        <f t="shared" si="8"/>
        <v>11200</v>
      </c>
    </row>
    <row r="523" spans="1:6" s="9" customFormat="1" x14ac:dyDescent="0.25">
      <c r="B523" s="4"/>
      <c r="C523" s="5">
        <v>20</v>
      </c>
      <c r="D523" s="9" t="s">
        <v>13</v>
      </c>
      <c r="E523" s="10">
        <v>150</v>
      </c>
      <c r="F523" s="10">
        <f t="shared" si="8"/>
        <v>3000</v>
      </c>
    </row>
    <row r="524" spans="1:6" s="9" customFormat="1" x14ac:dyDescent="0.25">
      <c r="B524" s="4"/>
      <c r="C524" s="5"/>
      <c r="E524" s="10"/>
      <c r="F524" s="8">
        <f>SUM(F522:F523)</f>
        <v>14200</v>
      </c>
    </row>
    <row r="525" spans="1:6" s="9" customFormat="1" x14ac:dyDescent="0.25">
      <c r="B525" s="4"/>
      <c r="C525" s="5"/>
      <c r="E525" s="10"/>
      <c r="F525" s="10"/>
    </row>
    <row r="526" spans="1:6" s="9" customFormat="1" x14ac:dyDescent="0.25">
      <c r="A526" s="9" t="s">
        <v>76</v>
      </c>
      <c r="B526" s="4">
        <v>45876</v>
      </c>
      <c r="C526" s="5">
        <v>50</v>
      </c>
      <c r="D526" s="9" t="s">
        <v>11</v>
      </c>
      <c r="E526" s="10">
        <v>130</v>
      </c>
      <c r="F526" s="10">
        <f t="shared" si="8"/>
        <v>6500</v>
      </c>
    </row>
    <row r="527" spans="1:6" s="9" customFormat="1" x14ac:dyDescent="0.25">
      <c r="B527" s="4"/>
      <c r="C527" s="5">
        <v>50</v>
      </c>
      <c r="D527" s="9" t="s">
        <v>22</v>
      </c>
      <c r="E527" s="10">
        <v>120</v>
      </c>
      <c r="F527" s="10">
        <f t="shared" si="8"/>
        <v>6000</v>
      </c>
    </row>
    <row r="528" spans="1:6" s="9" customFormat="1" x14ac:dyDescent="0.25">
      <c r="B528" s="4"/>
      <c r="C528" s="5">
        <v>100</v>
      </c>
      <c r="D528" s="9" t="s">
        <v>49</v>
      </c>
      <c r="E528" s="10">
        <v>145</v>
      </c>
      <c r="F528" s="10">
        <f t="shared" si="8"/>
        <v>14500</v>
      </c>
    </row>
    <row r="529" spans="1:6" s="9" customFormat="1" x14ac:dyDescent="0.25">
      <c r="B529" s="4"/>
      <c r="C529" s="5">
        <v>200</v>
      </c>
      <c r="D529" s="9" t="s">
        <v>14</v>
      </c>
      <c r="E529" s="10">
        <v>140</v>
      </c>
      <c r="F529" s="10">
        <f t="shared" si="8"/>
        <v>28000</v>
      </c>
    </row>
    <row r="530" spans="1:6" s="9" customFormat="1" x14ac:dyDescent="0.25">
      <c r="B530" s="4"/>
      <c r="C530" s="5"/>
      <c r="E530" s="10"/>
      <c r="F530" s="8">
        <f>SUM(F526:F529)</f>
        <v>55000</v>
      </c>
    </row>
    <row r="531" spans="1:6" s="9" customFormat="1" x14ac:dyDescent="0.25">
      <c r="B531" s="4"/>
      <c r="C531" s="5"/>
      <c r="E531" s="10"/>
      <c r="F531" s="10"/>
    </row>
    <row r="532" spans="1:6" s="9" customFormat="1" x14ac:dyDescent="0.25">
      <c r="A532" s="9" t="s">
        <v>29</v>
      </c>
      <c r="B532" s="4">
        <v>45876</v>
      </c>
      <c r="C532" s="5">
        <v>1</v>
      </c>
      <c r="D532" s="9" t="s">
        <v>170</v>
      </c>
      <c r="E532" s="10">
        <v>100</v>
      </c>
      <c r="F532" s="10">
        <f t="shared" si="8"/>
        <v>100</v>
      </c>
    </row>
    <row r="533" spans="1:6" s="9" customFormat="1" x14ac:dyDescent="0.25">
      <c r="B533" s="4"/>
      <c r="C533" s="11">
        <v>0.5</v>
      </c>
      <c r="D533" s="9" t="s">
        <v>22</v>
      </c>
      <c r="E533" s="10">
        <v>120</v>
      </c>
      <c r="F533" s="10">
        <f t="shared" si="8"/>
        <v>60</v>
      </c>
    </row>
    <row r="534" spans="1:6" s="9" customFormat="1" x14ac:dyDescent="0.25">
      <c r="B534" s="4"/>
      <c r="C534" s="5"/>
      <c r="E534" s="10"/>
      <c r="F534" s="8">
        <f>SUM(F532:F533)</f>
        <v>160</v>
      </c>
    </row>
    <row r="535" spans="1:6" s="9" customFormat="1" x14ac:dyDescent="0.25">
      <c r="B535" s="4"/>
      <c r="C535" s="5"/>
      <c r="E535" s="10"/>
      <c r="F535" s="10"/>
    </row>
    <row r="536" spans="1:6" s="9" customFormat="1" x14ac:dyDescent="0.25">
      <c r="A536" s="9" t="s">
        <v>550</v>
      </c>
      <c r="B536" s="4">
        <v>45877</v>
      </c>
      <c r="C536" s="5">
        <v>10</v>
      </c>
      <c r="D536" s="9" t="s">
        <v>838</v>
      </c>
      <c r="E536" s="10">
        <v>100</v>
      </c>
      <c r="F536" s="10">
        <f t="shared" si="8"/>
        <v>1000</v>
      </c>
    </row>
    <row r="537" spans="1:6" s="9" customFormat="1" x14ac:dyDescent="0.25">
      <c r="B537" s="4"/>
      <c r="C537" s="5"/>
      <c r="E537" s="10"/>
      <c r="F537" s="8">
        <f>SUM(F536)</f>
        <v>1000</v>
      </c>
    </row>
    <row r="538" spans="1:6" s="9" customFormat="1" x14ac:dyDescent="0.25">
      <c r="B538" s="4"/>
      <c r="C538" s="5"/>
      <c r="E538" s="10"/>
      <c r="F538" s="10"/>
    </row>
    <row r="539" spans="1:6" s="9" customFormat="1" x14ac:dyDescent="0.25">
      <c r="A539" s="9" t="s">
        <v>15</v>
      </c>
      <c r="B539" s="4">
        <v>45877</v>
      </c>
      <c r="C539" s="5">
        <v>61</v>
      </c>
      <c r="D539" s="9" t="s">
        <v>98</v>
      </c>
      <c r="E539" s="10">
        <v>90</v>
      </c>
      <c r="F539" s="10">
        <f t="shared" si="8"/>
        <v>5490</v>
      </c>
    </row>
    <row r="540" spans="1:6" s="9" customFormat="1" x14ac:dyDescent="0.25">
      <c r="B540" s="4"/>
      <c r="C540" s="5"/>
      <c r="E540" s="10"/>
      <c r="F540" s="8">
        <f>SUM(F539)</f>
        <v>5490</v>
      </c>
    </row>
    <row r="541" spans="1:6" s="9" customFormat="1" x14ac:dyDescent="0.25">
      <c r="B541" s="4"/>
      <c r="C541" s="5"/>
      <c r="E541" s="10"/>
      <c r="F541" s="10"/>
    </row>
    <row r="542" spans="1:6" s="9" customFormat="1" x14ac:dyDescent="0.25">
      <c r="A542" s="9" t="s">
        <v>442</v>
      </c>
      <c r="B542" s="4">
        <v>45877</v>
      </c>
      <c r="C542" s="5">
        <v>20</v>
      </c>
      <c r="D542" s="9" t="s">
        <v>13</v>
      </c>
      <c r="E542" s="10">
        <v>150</v>
      </c>
      <c r="F542" s="10">
        <f t="shared" si="8"/>
        <v>3000</v>
      </c>
    </row>
    <row r="543" spans="1:6" s="9" customFormat="1" x14ac:dyDescent="0.25">
      <c r="B543" s="4"/>
      <c r="C543" s="5"/>
      <c r="E543" s="10"/>
      <c r="F543" s="8">
        <f>SUM(F542)</f>
        <v>3000</v>
      </c>
    </row>
    <row r="544" spans="1:6" s="9" customFormat="1" x14ac:dyDescent="0.25">
      <c r="B544" s="4"/>
      <c r="C544" s="5"/>
      <c r="E544" s="10"/>
      <c r="F544" s="10"/>
    </row>
    <row r="545" spans="1:6" s="9" customFormat="1" x14ac:dyDescent="0.25">
      <c r="A545" s="9" t="s">
        <v>69</v>
      </c>
      <c r="B545" s="4">
        <v>45877</v>
      </c>
      <c r="C545" s="5">
        <v>10</v>
      </c>
      <c r="D545" s="9" t="s">
        <v>98</v>
      </c>
      <c r="E545" s="10">
        <v>100</v>
      </c>
      <c r="F545" s="10">
        <f t="shared" si="8"/>
        <v>1000</v>
      </c>
    </row>
    <row r="546" spans="1:6" s="9" customFormat="1" x14ac:dyDescent="0.25">
      <c r="B546" s="4"/>
      <c r="C546" s="5"/>
      <c r="E546" s="10"/>
      <c r="F546" s="8">
        <f>SUM(F545)</f>
        <v>1000</v>
      </c>
    </row>
    <row r="547" spans="1:6" s="9" customFormat="1" x14ac:dyDescent="0.25">
      <c r="B547" s="4"/>
      <c r="C547" s="5"/>
      <c r="E547" s="10"/>
      <c r="F547" s="10"/>
    </row>
    <row r="548" spans="1:6" s="9" customFormat="1" x14ac:dyDescent="0.25">
      <c r="A548" s="9" t="s">
        <v>20</v>
      </c>
      <c r="B548" s="4">
        <v>45877</v>
      </c>
      <c r="C548" s="5">
        <v>20</v>
      </c>
      <c r="D548" s="9" t="s">
        <v>13</v>
      </c>
      <c r="E548" s="10">
        <v>150</v>
      </c>
      <c r="F548" s="10">
        <f t="shared" si="8"/>
        <v>3000</v>
      </c>
    </row>
    <row r="549" spans="1:6" s="9" customFormat="1" x14ac:dyDescent="0.25">
      <c r="B549" s="4"/>
      <c r="C549" s="5"/>
      <c r="E549" s="10"/>
      <c r="F549" s="8">
        <f>SUM(F548)</f>
        <v>3000</v>
      </c>
    </row>
    <row r="550" spans="1:6" s="9" customFormat="1" x14ac:dyDescent="0.25">
      <c r="B550" s="4"/>
      <c r="C550" s="5"/>
      <c r="E550" s="10"/>
      <c r="F550" s="10"/>
    </row>
    <row r="551" spans="1:6" s="9" customFormat="1" x14ac:dyDescent="0.25">
      <c r="A551" s="9" t="s">
        <v>427</v>
      </c>
      <c r="B551" s="4">
        <v>45877</v>
      </c>
      <c r="C551" s="5">
        <v>10</v>
      </c>
      <c r="D551" s="9" t="s">
        <v>13</v>
      </c>
      <c r="E551" s="10">
        <v>150</v>
      </c>
      <c r="F551" s="10">
        <f t="shared" si="8"/>
        <v>1500</v>
      </c>
    </row>
    <row r="552" spans="1:6" s="9" customFormat="1" x14ac:dyDescent="0.25">
      <c r="B552" s="4"/>
      <c r="C552" s="5">
        <v>5</v>
      </c>
      <c r="D552" s="9" t="s">
        <v>14</v>
      </c>
      <c r="E552" s="10">
        <v>145</v>
      </c>
      <c r="F552" s="10">
        <f t="shared" si="8"/>
        <v>725</v>
      </c>
    </row>
    <row r="553" spans="1:6" s="9" customFormat="1" x14ac:dyDescent="0.25">
      <c r="B553" s="4"/>
      <c r="C553" s="5"/>
      <c r="E553" s="10"/>
      <c r="F553" s="8">
        <f>SUM(F551:F552)</f>
        <v>2225</v>
      </c>
    </row>
    <row r="554" spans="1:6" s="9" customFormat="1" x14ac:dyDescent="0.25">
      <c r="B554" s="4"/>
      <c r="C554" s="5"/>
      <c r="E554" s="10"/>
      <c r="F554" s="10"/>
    </row>
    <row r="555" spans="1:6" s="9" customFormat="1" x14ac:dyDescent="0.25">
      <c r="A555" s="9" t="s">
        <v>21</v>
      </c>
      <c r="B555" s="4">
        <v>45877</v>
      </c>
      <c r="C555" s="5">
        <v>3</v>
      </c>
      <c r="D555" s="9" t="s">
        <v>12</v>
      </c>
      <c r="E555" s="10">
        <v>140</v>
      </c>
      <c r="F555" s="10">
        <f t="shared" si="8"/>
        <v>420</v>
      </c>
    </row>
    <row r="556" spans="1:6" s="9" customFormat="1" x14ac:dyDescent="0.25">
      <c r="B556" s="4"/>
      <c r="C556" s="5">
        <v>20</v>
      </c>
      <c r="D556" s="9" t="s">
        <v>22</v>
      </c>
      <c r="E556" s="10">
        <v>125</v>
      </c>
      <c r="F556" s="10">
        <f t="shared" si="8"/>
        <v>2500</v>
      </c>
    </row>
    <row r="557" spans="1:6" s="9" customFormat="1" x14ac:dyDescent="0.25">
      <c r="B557" s="4"/>
      <c r="C557" s="5">
        <v>30</v>
      </c>
      <c r="D557" s="9" t="s">
        <v>13</v>
      </c>
      <c r="E557" s="10">
        <v>150</v>
      </c>
      <c r="F557" s="10">
        <f t="shared" si="8"/>
        <v>4500</v>
      </c>
    </row>
    <row r="558" spans="1:6" s="9" customFormat="1" x14ac:dyDescent="0.25">
      <c r="B558" s="4"/>
      <c r="C558" s="5"/>
      <c r="E558" s="10"/>
      <c r="F558" s="8">
        <f>SUM(F555:F557)</f>
        <v>7420</v>
      </c>
    </row>
    <row r="559" spans="1:6" s="9" customFormat="1" x14ac:dyDescent="0.25">
      <c r="B559" s="4"/>
      <c r="C559" s="5"/>
      <c r="E559" s="10"/>
      <c r="F559" s="10"/>
    </row>
    <row r="560" spans="1:6" s="9" customFormat="1" x14ac:dyDescent="0.25">
      <c r="A560" s="9" t="s">
        <v>471</v>
      </c>
      <c r="B560" s="4">
        <v>45877</v>
      </c>
      <c r="C560" s="5">
        <v>20</v>
      </c>
      <c r="D560" s="9" t="s">
        <v>8</v>
      </c>
      <c r="E560" s="10">
        <v>160</v>
      </c>
      <c r="F560" s="10">
        <f t="shared" si="8"/>
        <v>3200</v>
      </c>
    </row>
    <row r="561" spans="1:6" s="9" customFormat="1" x14ac:dyDescent="0.25">
      <c r="B561" s="4"/>
      <c r="C561" s="5">
        <v>10</v>
      </c>
      <c r="D561" s="9" t="s">
        <v>22</v>
      </c>
      <c r="E561" s="10">
        <v>125</v>
      </c>
      <c r="F561" s="10">
        <f t="shared" si="8"/>
        <v>1250</v>
      </c>
    </row>
    <row r="562" spans="1:6" s="9" customFormat="1" x14ac:dyDescent="0.25">
      <c r="B562" s="4"/>
      <c r="C562" s="5"/>
      <c r="E562" s="10"/>
      <c r="F562" s="8">
        <f>SUM(F560:F561)</f>
        <v>4450</v>
      </c>
    </row>
    <row r="563" spans="1:6" s="9" customFormat="1" x14ac:dyDescent="0.25">
      <c r="B563" s="4"/>
      <c r="C563" s="5"/>
      <c r="E563" s="10"/>
      <c r="F563" s="10"/>
    </row>
    <row r="564" spans="1:6" s="9" customFormat="1" x14ac:dyDescent="0.25">
      <c r="A564" s="9" t="s">
        <v>40</v>
      </c>
      <c r="B564" s="4">
        <v>45877</v>
      </c>
      <c r="C564" s="5">
        <v>10</v>
      </c>
      <c r="D564" s="9" t="s">
        <v>22</v>
      </c>
      <c r="E564" s="10">
        <v>120</v>
      </c>
      <c r="F564" s="10">
        <f t="shared" si="8"/>
        <v>1200</v>
      </c>
    </row>
    <row r="565" spans="1:6" s="9" customFormat="1" x14ac:dyDescent="0.25">
      <c r="B565" s="4"/>
      <c r="C565" s="5">
        <v>6</v>
      </c>
      <c r="D565" s="9" t="s">
        <v>50</v>
      </c>
      <c r="E565" s="10">
        <v>120</v>
      </c>
      <c r="F565" s="10">
        <f t="shared" si="8"/>
        <v>720</v>
      </c>
    </row>
    <row r="566" spans="1:6" s="9" customFormat="1" x14ac:dyDescent="0.25">
      <c r="B566" s="4"/>
      <c r="C566" s="5"/>
      <c r="E566" s="10"/>
      <c r="F566" s="8">
        <f>SUM(F564:F565)</f>
        <v>1920</v>
      </c>
    </row>
    <row r="567" spans="1:6" s="9" customFormat="1" x14ac:dyDescent="0.25">
      <c r="B567" s="4"/>
      <c r="C567" s="5"/>
      <c r="E567" s="10"/>
      <c r="F567" s="10"/>
    </row>
    <row r="568" spans="1:6" s="9" customFormat="1" x14ac:dyDescent="0.25">
      <c r="A568" s="9" t="s">
        <v>58</v>
      </c>
      <c r="B568" s="4">
        <v>45877</v>
      </c>
      <c r="C568" s="5">
        <v>8</v>
      </c>
      <c r="D568" s="9" t="s">
        <v>13</v>
      </c>
      <c r="E568" s="10">
        <v>145</v>
      </c>
      <c r="F568" s="10">
        <f t="shared" si="8"/>
        <v>1160</v>
      </c>
    </row>
    <row r="569" spans="1:6" s="9" customFormat="1" x14ac:dyDescent="0.25">
      <c r="B569" s="4"/>
      <c r="C569" s="5"/>
      <c r="E569" s="10"/>
      <c r="F569" s="8">
        <f>SUM(F568)</f>
        <v>1160</v>
      </c>
    </row>
    <row r="570" spans="1:6" s="9" customFormat="1" x14ac:dyDescent="0.25">
      <c r="B570" s="4"/>
      <c r="C570" s="5"/>
      <c r="E570" s="10"/>
      <c r="F570" s="10"/>
    </row>
    <row r="571" spans="1:6" s="9" customFormat="1" x14ac:dyDescent="0.25">
      <c r="A571" s="9" t="s">
        <v>25</v>
      </c>
      <c r="B571" s="4">
        <v>45877</v>
      </c>
      <c r="C571" s="5">
        <v>50</v>
      </c>
      <c r="D571" s="9" t="s">
        <v>22</v>
      </c>
      <c r="E571" s="10">
        <v>125</v>
      </c>
      <c r="F571" s="10">
        <f t="shared" si="8"/>
        <v>6250</v>
      </c>
    </row>
    <row r="572" spans="1:6" s="9" customFormat="1" x14ac:dyDescent="0.25">
      <c r="B572" s="4"/>
      <c r="C572" s="5"/>
      <c r="E572" s="10"/>
      <c r="F572" s="8">
        <f>SUM(F571)</f>
        <v>6250</v>
      </c>
    </row>
    <row r="573" spans="1:6" s="9" customFormat="1" x14ac:dyDescent="0.25">
      <c r="B573" s="4"/>
      <c r="C573" s="5"/>
      <c r="E573" s="10"/>
      <c r="F573" s="10"/>
    </row>
    <row r="574" spans="1:6" s="9" customFormat="1" x14ac:dyDescent="0.25">
      <c r="A574" s="9" t="s">
        <v>780</v>
      </c>
      <c r="B574" s="4">
        <v>45877</v>
      </c>
      <c r="C574" s="5">
        <v>5</v>
      </c>
      <c r="D574" s="9" t="s">
        <v>14</v>
      </c>
      <c r="E574" s="10">
        <v>150</v>
      </c>
      <c r="F574" s="10">
        <f t="shared" si="8"/>
        <v>750</v>
      </c>
    </row>
    <row r="575" spans="1:6" s="9" customFormat="1" x14ac:dyDescent="0.25">
      <c r="B575" s="4"/>
      <c r="C575" s="5"/>
      <c r="E575" s="10"/>
      <c r="F575" s="8">
        <f>SUM(F574)</f>
        <v>750</v>
      </c>
    </row>
    <row r="576" spans="1:6" s="9" customFormat="1" x14ac:dyDescent="0.25">
      <c r="B576" s="4"/>
      <c r="C576" s="5"/>
      <c r="E576" s="10"/>
      <c r="F576" s="10"/>
    </row>
    <row r="577" spans="1:6" s="9" customFormat="1" x14ac:dyDescent="0.25">
      <c r="A577" s="9" t="s">
        <v>18</v>
      </c>
      <c r="B577" s="4">
        <v>45877</v>
      </c>
      <c r="C577" s="5">
        <v>40</v>
      </c>
      <c r="D577" s="9" t="s">
        <v>11</v>
      </c>
      <c r="E577" s="10">
        <v>135</v>
      </c>
      <c r="F577" s="10">
        <f t="shared" si="8"/>
        <v>5400</v>
      </c>
    </row>
    <row r="578" spans="1:6" s="9" customFormat="1" x14ac:dyDescent="0.25">
      <c r="B578" s="4"/>
      <c r="C578" s="5"/>
      <c r="E578" s="10"/>
      <c r="F578" s="8">
        <f>SUM(F577)</f>
        <v>5400</v>
      </c>
    </row>
    <row r="579" spans="1:6" s="9" customFormat="1" x14ac:dyDescent="0.25">
      <c r="B579" s="4"/>
      <c r="C579" s="5"/>
      <c r="E579" s="10"/>
      <c r="F579" s="10"/>
    </row>
    <row r="580" spans="1:6" s="9" customFormat="1" x14ac:dyDescent="0.25">
      <c r="A580" s="9" t="s">
        <v>44</v>
      </c>
      <c r="B580" s="4">
        <v>45877</v>
      </c>
      <c r="C580" s="5">
        <v>50</v>
      </c>
      <c r="D580" s="9" t="s">
        <v>14</v>
      </c>
      <c r="E580" s="10">
        <v>145</v>
      </c>
      <c r="F580" s="10">
        <f t="shared" si="8"/>
        <v>7250</v>
      </c>
    </row>
    <row r="581" spans="1:6" s="9" customFormat="1" x14ac:dyDescent="0.25">
      <c r="B581" s="4"/>
      <c r="C581" s="5"/>
      <c r="E581" s="10"/>
      <c r="F581" s="8">
        <f>SUM(F580)</f>
        <v>7250</v>
      </c>
    </row>
    <row r="582" spans="1:6" s="9" customFormat="1" x14ac:dyDescent="0.25">
      <c r="B582" s="4"/>
      <c r="C582" s="5"/>
      <c r="E582" s="10"/>
      <c r="F582" s="10"/>
    </row>
    <row r="583" spans="1:6" s="9" customFormat="1" x14ac:dyDescent="0.25">
      <c r="A583" s="9" t="s">
        <v>252</v>
      </c>
      <c r="B583" s="4">
        <v>45877</v>
      </c>
      <c r="C583" s="5">
        <v>4</v>
      </c>
      <c r="D583" s="9" t="s">
        <v>14</v>
      </c>
      <c r="E583" s="10">
        <v>150</v>
      </c>
      <c r="F583" s="10">
        <f t="shared" ref="F583:F645" si="9">+C583*E583</f>
        <v>600</v>
      </c>
    </row>
    <row r="584" spans="1:6" s="9" customFormat="1" x14ac:dyDescent="0.25">
      <c r="B584" s="4"/>
      <c r="C584" s="5"/>
      <c r="E584" s="10"/>
      <c r="F584" s="8">
        <f>SUM(F583)</f>
        <v>600</v>
      </c>
    </row>
    <row r="585" spans="1:6" s="9" customFormat="1" x14ac:dyDescent="0.25">
      <c r="B585" s="4"/>
      <c r="C585" s="5"/>
      <c r="E585" s="10"/>
      <c r="F585" s="10"/>
    </row>
    <row r="586" spans="1:6" s="9" customFormat="1" x14ac:dyDescent="0.25">
      <c r="A586" s="9" t="s">
        <v>839</v>
      </c>
      <c r="B586" s="4">
        <v>45877</v>
      </c>
      <c r="C586" s="5">
        <v>7</v>
      </c>
      <c r="D586" s="9" t="s">
        <v>14</v>
      </c>
      <c r="E586" s="10">
        <v>150</v>
      </c>
      <c r="F586" s="10">
        <f t="shared" si="9"/>
        <v>1050</v>
      </c>
    </row>
    <row r="587" spans="1:6" s="9" customFormat="1" x14ac:dyDescent="0.25">
      <c r="B587" s="4"/>
      <c r="C587" s="5"/>
      <c r="E587" s="10"/>
      <c r="F587" s="8">
        <f>SUM(F586)</f>
        <v>1050</v>
      </c>
    </row>
    <row r="588" spans="1:6" s="9" customFormat="1" x14ac:dyDescent="0.25">
      <c r="B588" s="4"/>
      <c r="C588" s="5"/>
      <c r="E588" s="10"/>
      <c r="F588" s="10"/>
    </row>
    <row r="589" spans="1:6" s="9" customFormat="1" x14ac:dyDescent="0.25">
      <c r="A589" s="9" t="s">
        <v>369</v>
      </c>
      <c r="B589" s="4">
        <v>45877</v>
      </c>
      <c r="C589" s="5">
        <v>50</v>
      </c>
      <c r="D589" s="9" t="s">
        <v>8</v>
      </c>
      <c r="E589" s="10">
        <v>150</v>
      </c>
      <c r="F589" s="10">
        <f t="shared" si="9"/>
        <v>7500</v>
      </c>
    </row>
    <row r="590" spans="1:6" s="9" customFormat="1" x14ac:dyDescent="0.25">
      <c r="B590" s="4"/>
      <c r="C590" s="5"/>
      <c r="E590" s="10"/>
      <c r="F590" s="8">
        <f>SUM(F589)</f>
        <v>7500</v>
      </c>
    </row>
    <row r="591" spans="1:6" s="9" customFormat="1" x14ac:dyDescent="0.25">
      <c r="B591" s="4"/>
      <c r="C591" s="5"/>
      <c r="E591" s="10"/>
      <c r="F591" s="10"/>
    </row>
    <row r="592" spans="1:6" s="9" customFormat="1" x14ac:dyDescent="0.25">
      <c r="A592" s="9" t="s">
        <v>383</v>
      </c>
      <c r="B592" s="4">
        <v>45877</v>
      </c>
      <c r="C592" s="5">
        <v>20</v>
      </c>
      <c r="D592" s="9" t="s">
        <v>14</v>
      </c>
      <c r="E592" s="10">
        <v>150</v>
      </c>
      <c r="F592" s="10">
        <f t="shared" si="9"/>
        <v>3000</v>
      </c>
    </row>
    <row r="593" spans="1:6" s="9" customFormat="1" x14ac:dyDescent="0.25">
      <c r="B593" s="4"/>
      <c r="C593" s="5"/>
      <c r="E593" s="10"/>
      <c r="F593" s="8">
        <f>SUM(F592)</f>
        <v>3000</v>
      </c>
    </row>
    <row r="594" spans="1:6" s="9" customFormat="1" x14ac:dyDescent="0.25">
      <c r="B594" s="4"/>
      <c r="C594" s="5"/>
      <c r="E594" s="10"/>
      <c r="F594" s="10"/>
    </row>
    <row r="595" spans="1:6" s="9" customFormat="1" x14ac:dyDescent="0.25">
      <c r="A595" s="9" t="s">
        <v>106</v>
      </c>
      <c r="B595" s="4">
        <v>45877</v>
      </c>
      <c r="C595" s="5">
        <v>80</v>
      </c>
      <c r="D595" s="9" t="s">
        <v>12</v>
      </c>
      <c r="E595" s="10">
        <v>140</v>
      </c>
      <c r="F595" s="10">
        <f t="shared" si="9"/>
        <v>11200</v>
      </c>
    </row>
    <row r="596" spans="1:6" s="9" customFormat="1" x14ac:dyDescent="0.25">
      <c r="B596" s="4"/>
      <c r="C596" s="5"/>
      <c r="E596" s="10"/>
      <c r="F596" s="8">
        <f>SUM(F595)</f>
        <v>11200</v>
      </c>
    </row>
    <row r="597" spans="1:6" s="9" customFormat="1" x14ac:dyDescent="0.25">
      <c r="B597" s="4"/>
      <c r="C597" s="5"/>
      <c r="E597" s="10"/>
      <c r="F597" s="10"/>
    </row>
    <row r="598" spans="1:6" s="9" customFormat="1" x14ac:dyDescent="0.25">
      <c r="A598" s="9" t="s">
        <v>41</v>
      </c>
      <c r="B598" s="4">
        <v>45877</v>
      </c>
      <c r="C598" s="5">
        <v>30</v>
      </c>
      <c r="D598" s="9" t="s">
        <v>14</v>
      </c>
      <c r="E598" s="10">
        <v>140</v>
      </c>
      <c r="F598" s="10">
        <f t="shared" si="9"/>
        <v>4200</v>
      </c>
    </row>
    <row r="599" spans="1:6" s="9" customFormat="1" x14ac:dyDescent="0.25">
      <c r="B599" s="4"/>
      <c r="C599" s="5"/>
      <c r="E599" s="10"/>
      <c r="F599" s="8">
        <f>SUM(F598)</f>
        <v>4200</v>
      </c>
    </row>
    <row r="600" spans="1:6" s="9" customFormat="1" x14ac:dyDescent="0.25">
      <c r="B600" s="4"/>
      <c r="C600" s="5"/>
      <c r="E600" s="10"/>
      <c r="F600" s="10"/>
    </row>
    <row r="601" spans="1:6" s="9" customFormat="1" x14ac:dyDescent="0.25">
      <c r="A601" s="9" t="s">
        <v>840</v>
      </c>
      <c r="B601" s="4">
        <v>45877</v>
      </c>
      <c r="C601" s="5">
        <v>4</v>
      </c>
      <c r="D601" s="9" t="s">
        <v>8</v>
      </c>
      <c r="E601" s="10">
        <v>145</v>
      </c>
      <c r="F601" s="10">
        <f t="shared" si="9"/>
        <v>580</v>
      </c>
    </row>
    <row r="602" spans="1:6" s="9" customFormat="1" x14ac:dyDescent="0.25">
      <c r="B602" s="4"/>
      <c r="C602" s="5"/>
      <c r="E602" s="10"/>
      <c r="F602" s="8">
        <f>SUM(F601)</f>
        <v>580</v>
      </c>
    </row>
    <row r="603" spans="1:6" s="9" customFormat="1" x14ac:dyDescent="0.25">
      <c r="B603" s="4"/>
      <c r="C603" s="5"/>
      <c r="E603" s="10"/>
      <c r="F603" s="10"/>
    </row>
    <row r="604" spans="1:6" s="9" customFormat="1" x14ac:dyDescent="0.25">
      <c r="A604" s="9" t="s">
        <v>47</v>
      </c>
      <c r="B604" s="4">
        <v>45877</v>
      </c>
      <c r="C604" s="5">
        <v>50</v>
      </c>
      <c r="D604" s="9" t="s">
        <v>14</v>
      </c>
      <c r="E604" s="10">
        <v>150</v>
      </c>
      <c r="F604" s="10">
        <f t="shared" si="9"/>
        <v>7500</v>
      </c>
    </row>
    <row r="605" spans="1:6" s="9" customFormat="1" x14ac:dyDescent="0.25">
      <c r="B605" s="4"/>
      <c r="C605" s="5"/>
      <c r="E605" s="10"/>
      <c r="F605" s="8">
        <f>SUM(F604)</f>
        <v>7500</v>
      </c>
    </row>
    <row r="606" spans="1:6" s="9" customFormat="1" x14ac:dyDescent="0.25">
      <c r="B606" s="4"/>
      <c r="C606" s="5"/>
      <c r="E606" s="10"/>
      <c r="F606" s="10"/>
    </row>
    <row r="607" spans="1:6" s="9" customFormat="1" x14ac:dyDescent="0.25">
      <c r="A607" s="9" t="s">
        <v>487</v>
      </c>
      <c r="B607" s="4">
        <v>45877</v>
      </c>
      <c r="C607" s="5">
        <v>7</v>
      </c>
      <c r="D607" s="9" t="s">
        <v>12</v>
      </c>
      <c r="E607" s="10">
        <v>140</v>
      </c>
      <c r="F607" s="10">
        <f t="shared" si="9"/>
        <v>980</v>
      </c>
    </row>
    <row r="608" spans="1:6" s="9" customFormat="1" x14ac:dyDescent="0.25">
      <c r="B608" s="4"/>
      <c r="C608" s="5"/>
      <c r="E608" s="10"/>
      <c r="F608" s="8">
        <f>SUM(F607)</f>
        <v>980</v>
      </c>
    </row>
    <row r="609" spans="1:6" s="9" customFormat="1" x14ac:dyDescent="0.25">
      <c r="B609" s="4"/>
      <c r="C609" s="5"/>
      <c r="E609" s="10"/>
      <c r="F609" s="10"/>
    </row>
    <row r="610" spans="1:6" s="9" customFormat="1" x14ac:dyDescent="0.25">
      <c r="A610" s="9" t="s">
        <v>245</v>
      </c>
      <c r="B610" s="4">
        <v>45877</v>
      </c>
      <c r="C610" s="5">
        <v>30</v>
      </c>
      <c r="D610" s="9" t="s">
        <v>14</v>
      </c>
      <c r="E610" s="10">
        <v>140</v>
      </c>
      <c r="F610" s="10">
        <f t="shared" si="9"/>
        <v>4200</v>
      </c>
    </row>
    <row r="611" spans="1:6" s="9" customFormat="1" x14ac:dyDescent="0.25">
      <c r="B611" s="4"/>
      <c r="C611" s="5"/>
      <c r="E611" s="10"/>
      <c r="F611" s="8">
        <f>SUM(F610)</f>
        <v>4200</v>
      </c>
    </row>
    <row r="612" spans="1:6" s="9" customFormat="1" x14ac:dyDescent="0.25">
      <c r="B612" s="4"/>
      <c r="C612" s="5"/>
      <c r="E612" s="10"/>
      <c r="F612" s="10"/>
    </row>
    <row r="613" spans="1:6" s="9" customFormat="1" x14ac:dyDescent="0.25">
      <c r="A613" s="9" t="s">
        <v>538</v>
      </c>
      <c r="B613" s="4">
        <v>45877</v>
      </c>
      <c r="C613" s="5">
        <v>90</v>
      </c>
      <c r="D613" s="9" t="s">
        <v>22</v>
      </c>
      <c r="E613" s="10">
        <v>122</v>
      </c>
      <c r="F613" s="10">
        <f t="shared" si="9"/>
        <v>10980</v>
      </c>
    </row>
    <row r="614" spans="1:6" s="9" customFormat="1" x14ac:dyDescent="0.25">
      <c r="B614" s="4"/>
      <c r="C614" s="5">
        <v>20</v>
      </c>
      <c r="D614" s="9" t="s">
        <v>11</v>
      </c>
      <c r="E614" s="10">
        <v>132</v>
      </c>
      <c r="F614" s="10">
        <f t="shared" si="9"/>
        <v>2640</v>
      </c>
    </row>
    <row r="615" spans="1:6" s="9" customFormat="1" x14ac:dyDescent="0.25">
      <c r="B615" s="4"/>
      <c r="C615" s="5">
        <v>10</v>
      </c>
      <c r="D615" s="9" t="s">
        <v>841</v>
      </c>
      <c r="E615" s="10">
        <v>142</v>
      </c>
      <c r="F615" s="10">
        <f t="shared" si="9"/>
        <v>1420</v>
      </c>
    </row>
    <row r="616" spans="1:6" s="9" customFormat="1" x14ac:dyDescent="0.25">
      <c r="B616" s="4"/>
      <c r="C616" s="5"/>
      <c r="E616" s="10"/>
      <c r="F616" s="8">
        <f>SUM(F613:F615)</f>
        <v>15040</v>
      </c>
    </row>
    <row r="617" spans="1:6" s="9" customFormat="1" x14ac:dyDescent="0.25">
      <c r="B617" s="4"/>
      <c r="C617" s="5"/>
      <c r="E617" s="10"/>
      <c r="F617" s="10"/>
    </row>
    <row r="618" spans="1:6" s="9" customFormat="1" x14ac:dyDescent="0.25">
      <c r="A618" s="9" t="s">
        <v>842</v>
      </c>
      <c r="B618" s="4">
        <v>45877</v>
      </c>
      <c r="C618" s="5">
        <v>8</v>
      </c>
      <c r="D618" s="9" t="s">
        <v>8</v>
      </c>
      <c r="E618" s="10">
        <v>160</v>
      </c>
      <c r="F618" s="10">
        <f t="shared" si="9"/>
        <v>1280</v>
      </c>
    </row>
    <row r="619" spans="1:6" s="9" customFormat="1" x14ac:dyDescent="0.25">
      <c r="B619" s="4"/>
      <c r="C619" s="5"/>
      <c r="E619" s="10"/>
      <c r="F619" s="8">
        <f>SUM(F618)</f>
        <v>1280</v>
      </c>
    </row>
    <row r="620" spans="1:6" s="9" customFormat="1" x14ac:dyDescent="0.25">
      <c r="B620" s="4"/>
      <c r="C620" s="5"/>
      <c r="E620" s="10"/>
      <c r="F620" s="10"/>
    </row>
    <row r="621" spans="1:6" s="9" customFormat="1" x14ac:dyDescent="0.25">
      <c r="A621" s="9" t="s">
        <v>7</v>
      </c>
      <c r="B621" s="4">
        <v>45877</v>
      </c>
      <c r="C621" s="5">
        <v>1</v>
      </c>
      <c r="D621" s="9" t="s">
        <v>8</v>
      </c>
      <c r="E621" s="10">
        <v>170</v>
      </c>
      <c r="F621" s="10">
        <f t="shared" si="9"/>
        <v>170</v>
      </c>
    </row>
    <row r="622" spans="1:6" s="9" customFormat="1" x14ac:dyDescent="0.25">
      <c r="B622" s="4"/>
      <c r="C622" s="5">
        <v>1</v>
      </c>
      <c r="D622" s="9" t="s">
        <v>13</v>
      </c>
      <c r="E622" s="10">
        <v>160</v>
      </c>
      <c r="F622" s="10">
        <f t="shared" si="9"/>
        <v>160</v>
      </c>
    </row>
    <row r="623" spans="1:6" s="9" customFormat="1" x14ac:dyDescent="0.25">
      <c r="B623" s="4"/>
      <c r="C623" s="5"/>
      <c r="E623" s="10"/>
      <c r="F623" s="8">
        <f>SUM(F621:F622)</f>
        <v>330</v>
      </c>
    </row>
    <row r="624" spans="1:6" s="9" customFormat="1" x14ac:dyDescent="0.25">
      <c r="B624" s="4"/>
      <c r="C624" s="5"/>
      <c r="E624" s="10"/>
      <c r="F624" s="10"/>
    </row>
    <row r="625" spans="1:6" s="9" customFormat="1" x14ac:dyDescent="0.25">
      <c r="A625" s="9" t="s">
        <v>95</v>
      </c>
      <c r="B625" s="4">
        <v>45878</v>
      </c>
      <c r="C625" s="5">
        <v>10</v>
      </c>
      <c r="D625" s="9" t="s">
        <v>13</v>
      </c>
      <c r="E625" s="10">
        <v>150</v>
      </c>
      <c r="F625" s="10">
        <f t="shared" si="9"/>
        <v>1500</v>
      </c>
    </row>
    <row r="626" spans="1:6" s="9" customFormat="1" x14ac:dyDescent="0.25">
      <c r="B626" s="4"/>
      <c r="C626" s="5"/>
      <c r="E626" s="10"/>
      <c r="F626" s="8">
        <f>SUM(F625)</f>
        <v>1500</v>
      </c>
    </row>
    <row r="627" spans="1:6" s="9" customFormat="1" x14ac:dyDescent="0.25">
      <c r="B627" s="4"/>
      <c r="C627" s="5"/>
      <c r="E627" s="10"/>
      <c r="F627" s="10"/>
    </row>
    <row r="628" spans="1:6" s="9" customFormat="1" x14ac:dyDescent="0.25">
      <c r="A628" s="9" t="s">
        <v>18</v>
      </c>
      <c r="B628" s="4">
        <v>45878</v>
      </c>
      <c r="C628" s="5">
        <v>5</v>
      </c>
      <c r="D628" s="9" t="s">
        <v>13</v>
      </c>
      <c r="E628" s="10">
        <v>150</v>
      </c>
      <c r="F628" s="10">
        <f t="shared" si="9"/>
        <v>750</v>
      </c>
    </row>
    <row r="629" spans="1:6" s="9" customFormat="1" x14ac:dyDescent="0.25">
      <c r="B629" s="4"/>
      <c r="C629" s="5"/>
      <c r="E629" s="10"/>
      <c r="F629" s="8">
        <f>SUM(F628)</f>
        <v>750</v>
      </c>
    </row>
    <row r="630" spans="1:6" s="9" customFormat="1" x14ac:dyDescent="0.25">
      <c r="B630" s="4"/>
      <c r="C630" s="5"/>
      <c r="E630" s="10"/>
      <c r="F630" s="10"/>
    </row>
    <row r="631" spans="1:6" s="9" customFormat="1" x14ac:dyDescent="0.25">
      <c r="A631" s="9" t="s">
        <v>21</v>
      </c>
      <c r="B631" s="4">
        <v>45878</v>
      </c>
      <c r="C631" s="5">
        <v>10</v>
      </c>
      <c r="D631" s="9" t="s">
        <v>14</v>
      </c>
      <c r="E631" s="10">
        <v>145</v>
      </c>
      <c r="F631" s="10">
        <f t="shared" si="9"/>
        <v>1450</v>
      </c>
    </row>
    <row r="632" spans="1:6" s="9" customFormat="1" x14ac:dyDescent="0.25">
      <c r="B632" s="4"/>
      <c r="C632" s="5">
        <v>10</v>
      </c>
      <c r="D632" s="9" t="s">
        <v>12</v>
      </c>
      <c r="E632" s="10">
        <v>140</v>
      </c>
      <c r="F632" s="10">
        <f t="shared" si="9"/>
        <v>1400</v>
      </c>
    </row>
    <row r="633" spans="1:6" s="9" customFormat="1" x14ac:dyDescent="0.25">
      <c r="B633" s="4"/>
      <c r="C633" s="5"/>
      <c r="E633" s="10"/>
      <c r="F633" s="8">
        <f>SUM(F631:F632)</f>
        <v>2850</v>
      </c>
    </row>
    <row r="634" spans="1:6" s="9" customFormat="1" x14ac:dyDescent="0.25">
      <c r="B634" s="4"/>
      <c r="C634" s="5"/>
      <c r="E634" s="10"/>
      <c r="F634" s="10"/>
    </row>
    <row r="635" spans="1:6" s="9" customFormat="1" x14ac:dyDescent="0.25">
      <c r="A635" s="9" t="s">
        <v>57</v>
      </c>
      <c r="B635" s="4">
        <v>45878</v>
      </c>
      <c r="C635" s="5">
        <v>10</v>
      </c>
      <c r="D635" s="9" t="s">
        <v>13</v>
      </c>
      <c r="E635" s="10">
        <v>150</v>
      </c>
      <c r="F635" s="10">
        <f t="shared" si="9"/>
        <v>1500</v>
      </c>
    </row>
    <row r="636" spans="1:6" s="9" customFormat="1" x14ac:dyDescent="0.25">
      <c r="B636" s="4"/>
      <c r="C636" s="5">
        <v>5</v>
      </c>
      <c r="D636" s="9" t="s">
        <v>14</v>
      </c>
      <c r="E636" s="10">
        <v>145</v>
      </c>
      <c r="F636" s="10">
        <f t="shared" si="9"/>
        <v>725</v>
      </c>
    </row>
    <row r="637" spans="1:6" s="9" customFormat="1" x14ac:dyDescent="0.25">
      <c r="B637" s="4"/>
      <c r="C637" s="5"/>
      <c r="E637" s="10"/>
      <c r="F637" s="8">
        <f>SUM(F635:F636)</f>
        <v>2225</v>
      </c>
    </row>
    <row r="638" spans="1:6" s="9" customFormat="1" x14ac:dyDescent="0.25">
      <c r="B638" s="4"/>
      <c r="C638" s="5"/>
      <c r="E638" s="10"/>
      <c r="F638" s="10"/>
    </row>
    <row r="639" spans="1:6" s="9" customFormat="1" x14ac:dyDescent="0.25">
      <c r="A639" s="9" t="s">
        <v>40</v>
      </c>
      <c r="B639" s="4">
        <v>45878</v>
      </c>
      <c r="C639" s="5">
        <v>10</v>
      </c>
      <c r="D639" s="9" t="s">
        <v>843</v>
      </c>
      <c r="E639" s="10">
        <v>145</v>
      </c>
      <c r="F639" s="10">
        <f t="shared" si="9"/>
        <v>1450</v>
      </c>
    </row>
    <row r="640" spans="1:6" s="9" customFormat="1" x14ac:dyDescent="0.25">
      <c r="B640" s="4"/>
      <c r="C640" s="5"/>
      <c r="E640" s="10"/>
      <c r="F640" s="8">
        <f>SUM(F639)</f>
        <v>1450</v>
      </c>
    </row>
    <row r="641" spans="1:6" s="9" customFormat="1" x14ac:dyDescent="0.25">
      <c r="B641" s="4"/>
      <c r="C641" s="5"/>
      <c r="E641" s="10"/>
      <c r="F641" s="10"/>
    </row>
    <row r="642" spans="1:6" s="9" customFormat="1" x14ac:dyDescent="0.25">
      <c r="A642" s="9" t="s">
        <v>391</v>
      </c>
      <c r="B642" s="4">
        <v>45878</v>
      </c>
      <c r="C642" s="5">
        <v>10</v>
      </c>
      <c r="D642" s="9" t="s">
        <v>13</v>
      </c>
      <c r="E642" s="10">
        <v>145</v>
      </c>
      <c r="F642" s="10">
        <f t="shared" si="9"/>
        <v>1450</v>
      </c>
    </row>
    <row r="643" spans="1:6" s="9" customFormat="1" x14ac:dyDescent="0.25">
      <c r="B643" s="4"/>
      <c r="C643" s="5"/>
      <c r="E643" s="10"/>
      <c r="F643" s="8">
        <f>SUM(F642)</f>
        <v>1450</v>
      </c>
    </row>
    <row r="644" spans="1:6" s="9" customFormat="1" x14ac:dyDescent="0.25">
      <c r="B644" s="4"/>
      <c r="C644" s="5"/>
      <c r="E644" s="10"/>
      <c r="F644" s="10"/>
    </row>
    <row r="645" spans="1:6" s="9" customFormat="1" x14ac:dyDescent="0.25">
      <c r="A645" s="9" t="s">
        <v>391</v>
      </c>
      <c r="B645" s="4">
        <v>45878</v>
      </c>
      <c r="C645" s="5">
        <v>20</v>
      </c>
      <c r="D645" s="9" t="s">
        <v>8</v>
      </c>
      <c r="E645" s="10">
        <v>155</v>
      </c>
      <c r="F645" s="10">
        <f t="shared" si="9"/>
        <v>3100</v>
      </c>
    </row>
    <row r="646" spans="1:6" s="9" customFormat="1" x14ac:dyDescent="0.25">
      <c r="B646" s="4"/>
      <c r="C646" s="5"/>
      <c r="E646" s="10"/>
      <c r="F646" s="8">
        <f>SUM(F645)</f>
        <v>3100</v>
      </c>
    </row>
    <row r="647" spans="1:6" s="9" customFormat="1" x14ac:dyDescent="0.25">
      <c r="B647" s="4"/>
      <c r="C647" s="5"/>
      <c r="E647" s="10"/>
      <c r="F647" s="10"/>
    </row>
    <row r="648" spans="1:6" s="9" customFormat="1" x14ac:dyDescent="0.25">
      <c r="A648" s="9" t="s">
        <v>191</v>
      </c>
      <c r="B648" s="4">
        <v>45878</v>
      </c>
      <c r="C648" s="5">
        <v>250</v>
      </c>
      <c r="D648" s="9" t="s">
        <v>14</v>
      </c>
      <c r="E648" s="10">
        <v>140</v>
      </c>
      <c r="F648" s="10">
        <f t="shared" ref="F648:F708" si="10">+C648*E648</f>
        <v>35000</v>
      </c>
    </row>
    <row r="649" spans="1:6" s="9" customFormat="1" x14ac:dyDescent="0.25">
      <c r="B649" s="4"/>
      <c r="C649" s="5"/>
      <c r="E649" s="10"/>
      <c r="F649" s="8">
        <f>SUM(F648)</f>
        <v>35000</v>
      </c>
    </row>
    <row r="650" spans="1:6" s="9" customFormat="1" x14ac:dyDescent="0.25">
      <c r="B650" s="4"/>
      <c r="C650" s="5"/>
      <c r="E650" s="10"/>
      <c r="F650" s="10"/>
    </row>
    <row r="651" spans="1:6" s="9" customFormat="1" x14ac:dyDescent="0.25">
      <c r="A651" s="9" t="s">
        <v>72</v>
      </c>
      <c r="B651" s="4">
        <v>45878</v>
      </c>
      <c r="C651" s="5">
        <v>220</v>
      </c>
      <c r="D651" s="9" t="s">
        <v>13</v>
      </c>
      <c r="E651" s="10">
        <v>140</v>
      </c>
      <c r="F651" s="10">
        <f t="shared" si="10"/>
        <v>30800</v>
      </c>
    </row>
    <row r="652" spans="1:6" s="9" customFormat="1" x14ac:dyDescent="0.25">
      <c r="B652" s="4"/>
      <c r="C652" s="5">
        <v>180</v>
      </c>
      <c r="D652" s="9" t="s">
        <v>12</v>
      </c>
      <c r="E652" s="10">
        <v>135</v>
      </c>
      <c r="F652" s="10">
        <f t="shared" si="10"/>
        <v>24300</v>
      </c>
    </row>
    <row r="653" spans="1:6" s="9" customFormat="1" x14ac:dyDescent="0.25">
      <c r="B653" s="4"/>
      <c r="C653" s="5">
        <v>20</v>
      </c>
      <c r="D653" s="9" t="s">
        <v>14</v>
      </c>
      <c r="E653" s="10">
        <v>140</v>
      </c>
      <c r="F653" s="10">
        <f t="shared" si="10"/>
        <v>2800</v>
      </c>
    </row>
    <row r="654" spans="1:6" s="9" customFormat="1" x14ac:dyDescent="0.25">
      <c r="B654" s="4"/>
      <c r="C654" s="5">
        <v>100</v>
      </c>
      <c r="D654" s="9" t="s">
        <v>11</v>
      </c>
      <c r="E654" s="10">
        <v>135</v>
      </c>
      <c r="F654" s="10">
        <f t="shared" si="10"/>
        <v>13500</v>
      </c>
    </row>
    <row r="655" spans="1:6" s="9" customFormat="1" x14ac:dyDescent="0.25">
      <c r="B655" s="4"/>
      <c r="C655" s="5"/>
      <c r="E655" s="10"/>
      <c r="F655" s="8">
        <f>SUM(F651:F654)</f>
        <v>71400</v>
      </c>
    </row>
    <row r="656" spans="1:6" s="9" customFormat="1" x14ac:dyDescent="0.25">
      <c r="B656" s="4"/>
      <c r="C656" s="5"/>
      <c r="E656" s="10"/>
      <c r="F656" s="10"/>
    </row>
    <row r="657" spans="1:6" s="9" customFormat="1" x14ac:dyDescent="0.25">
      <c r="A657" s="9" t="s">
        <v>245</v>
      </c>
      <c r="B657" s="4">
        <v>45878</v>
      </c>
      <c r="C657" s="5">
        <v>20</v>
      </c>
      <c r="D657" s="9" t="s">
        <v>14</v>
      </c>
      <c r="E657" s="10">
        <v>140</v>
      </c>
      <c r="F657" s="10">
        <f t="shared" si="10"/>
        <v>2800</v>
      </c>
    </row>
    <row r="658" spans="1:6" s="9" customFormat="1" x14ac:dyDescent="0.25">
      <c r="B658" s="4"/>
      <c r="C658" s="5"/>
      <c r="E658" s="10"/>
      <c r="F658" s="8">
        <f>SUM(F657)</f>
        <v>2800</v>
      </c>
    </row>
    <row r="659" spans="1:6" s="9" customFormat="1" x14ac:dyDescent="0.25">
      <c r="B659" s="4"/>
      <c r="C659" s="5"/>
      <c r="E659" s="10"/>
      <c r="F659" s="10"/>
    </row>
    <row r="660" spans="1:6" s="9" customFormat="1" x14ac:dyDescent="0.25">
      <c r="A660" s="9" t="s">
        <v>117</v>
      </c>
      <c r="B660" s="4">
        <v>45878</v>
      </c>
      <c r="C660" s="5">
        <v>5</v>
      </c>
      <c r="D660" s="9" t="s">
        <v>13</v>
      </c>
      <c r="E660" s="10">
        <v>150</v>
      </c>
      <c r="F660" s="10">
        <f t="shared" si="10"/>
        <v>750</v>
      </c>
    </row>
    <row r="661" spans="1:6" s="9" customFormat="1" x14ac:dyDescent="0.25">
      <c r="B661" s="4"/>
      <c r="C661" s="5"/>
      <c r="E661" s="10"/>
      <c r="F661" s="8">
        <f>SUM(F660)</f>
        <v>750</v>
      </c>
    </row>
    <row r="662" spans="1:6" s="9" customFormat="1" x14ac:dyDescent="0.25">
      <c r="B662" s="4"/>
      <c r="C662" s="5"/>
      <c r="E662" s="10"/>
      <c r="F662" s="10"/>
    </row>
    <row r="663" spans="1:6" s="9" customFormat="1" x14ac:dyDescent="0.25">
      <c r="A663" s="9" t="s">
        <v>661</v>
      </c>
      <c r="B663" s="4">
        <v>45878</v>
      </c>
      <c r="C663" s="5">
        <v>6</v>
      </c>
      <c r="D663" s="9" t="s">
        <v>13</v>
      </c>
      <c r="E663" s="10">
        <v>150</v>
      </c>
      <c r="F663" s="10">
        <f t="shared" si="10"/>
        <v>900</v>
      </c>
    </row>
    <row r="664" spans="1:6" s="9" customFormat="1" x14ac:dyDescent="0.25">
      <c r="B664" s="4"/>
      <c r="C664" s="5"/>
      <c r="E664" s="10"/>
      <c r="F664" s="8">
        <f>SUM(F663)</f>
        <v>900</v>
      </c>
    </row>
    <row r="665" spans="1:6" s="9" customFormat="1" x14ac:dyDescent="0.25">
      <c r="B665" s="4"/>
      <c r="C665" s="5"/>
      <c r="E665" s="10"/>
      <c r="F665" s="10"/>
    </row>
    <row r="666" spans="1:6" s="9" customFormat="1" x14ac:dyDescent="0.25">
      <c r="A666" s="9" t="s">
        <v>65</v>
      </c>
      <c r="B666" s="4">
        <v>45878</v>
      </c>
      <c r="C666" s="5">
        <v>304</v>
      </c>
      <c r="D666" s="9" t="s">
        <v>12</v>
      </c>
      <c r="E666" s="10">
        <v>140</v>
      </c>
      <c r="F666" s="10">
        <f t="shared" si="10"/>
        <v>42560</v>
      </c>
    </row>
    <row r="667" spans="1:6" s="9" customFormat="1" x14ac:dyDescent="0.25">
      <c r="B667" s="4"/>
      <c r="C667" s="5">
        <v>100</v>
      </c>
      <c r="D667" s="9" t="s">
        <v>50</v>
      </c>
      <c r="E667" s="10">
        <v>130</v>
      </c>
      <c r="F667" s="10">
        <f t="shared" si="10"/>
        <v>13000</v>
      </c>
    </row>
    <row r="668" spans="1:6" s="9" customFormat="1" x14ac:dyDescent="0.25">
      <c r="B668" s="4"/>
      <c r="C668" s="5">
        <v>100</v>
      </c>
      <c r="D668" s="9" t="s">
        <v>11</v>
      </c>
      <c r="E668" s="10">
        <v>140</v>
      </c>
      <c r="F668" s="10">
        <f t="shared" si="10"/>
        <v>14000</v>
      </c>
    </row>
    <row r="669" spans="1:6" s="9" customFormat="1" x14ac:dyDescent="0.25">
      <c r="B669" s="4"/>
      <c r="C669" s="5">
        <v>400</v>
      </c>
      <c r="D669" s="9" t="s">
        <v>13</v>
      </c>
      <c r="E669" s="10">
        <v>150</v>
      </c>
      <c r="F669" s="10">
        <f t="shared" si="10"/>
        <v>60000</v>
      </c>
    </row>
    <row r="670" spans="1:6" s="9" customFormat="1" x14ac:dyDescent="0.25">
      <c r="B670" s="4"/>
      <c r="C670" s="5">
        <v>300</v>
      </c>
      <c r="D670" s="9" t="s">
        <v>14</v>
      </c>
      <c r="E670" s="10">
        <v>150</v>
      </c>
      <c r="F670" s="10">
        <f t="shared" si="10"/>
        <v>45000</v>
      </c>
    </row>
    <row r="671" spans="1:6" s="9" customFormat="1" x14ac:dyDescent="0.25">
      <c r="B671" s="4"/>
      <c r="C671" s="5">
        <v>70</v>
      </c>
      <c r="D671" s="9" t="s">
        <v>844</v>
      </c>
      <c r="E671" s="10">
        <v>130</v>
      </c>
      <c r="F671" s="10">
        <f t="shared" si="10"/>
        <v>9100</v>
      </c>
    </row>
    <row r="672" spans="1:6" s="9" customFormat="1" x14ac:dyDescent="0.25">
      <c r="B672" s="4"/>
      <c r="C672" s="5"/>
      <c r="E672" s="10"/>
      <c r="F672" s="8">
        <f>SUM(F666:F671)</f>
        <v>183660</v>
      </c>
    </row>
    <row r="673" spans="1:6" s="9" customFormat="1" x14ac:dyDescent="0.25">
      <c r="B673" s="4"/>
      <c r="C673" s="5"/>
      <c r="E673" s="10"/>
      <c r="F673" s="10"/>
    </row>
    <row r="674" spans="1:6" s="9" customFormat="1" x14ac:dyDescent="0.25">
      <c r="A674" s="9" t="s">
        <v>7</v>
      </c>
      <c r="B674" s="4">
        <v>45878</v>
      </c>
      <c r="C674" s="5">
        <v>2</v>
      </c>
      <c r="D674" s="9" t="s">
        <v>13</v>
      </c>
      <c r="E674" s="10">
        <v>140</v>
      </c>
      <c r="F674" s="10">
        <f t="shared" si="10"/>
        <v>280</v>
      </c>
    </row>
    <row r="675" spans="1:6" s="9" customFormat="1" x14ac:dyDescent="0.25">
      <c r="B675" s="4"/>
      <c r="C675" s="5">
        <v>1</v>
      </c>
      <c r="D675" s="9" t="s">
        <v>8</v>
      </c>
      <c r="E675" s="10">
        <v>150</v>
      </c>
      <c r="F675" s="10">
        <f t="shared" si="10"/>
        <v>150</v>
      </c>
    </row>
    <row r="676" spans="1:6" s="9" customFormat="1" x14ac:dyDescent="0.25">
      <c r="B676" s="4"/>
      <c r="C676" s="5"/>
      <c r="E676" s="10"/>
      <c r="F676" s="8">
        <f>SUM(F674:F675)</f>
        <v>430</v>
      </c>
    </row>
    <row r="677" spans="1:6" s="9" customFormat="1" x14ac:dyDescent="0.25">
      <c r="B677" s="4"/>
      <c r="C677" s="5"/>
      <c r="E677" s="10"/>
      <c r="F677" s="10"/>
    </row>
    <row r="678" spans="1:6" s="9" customFormat="1" x14ac:dyDescent="0.25">
      <c r="A678" s="9" t="s">
        <v>29</v>
      </c>
      <c r="B678" s="4">
        <v>45878</v>
      </c>
      <c r="C678" s="5">
        <v>1</v>
      </c>
      <c r="D678" s="9" t="s">
        <v>845</v>
      </c>
      <c r="E678" s="10">
        <v>170</v>
      </c>
      <c r="F678" s="10">
        <f t="shared" si="10"/>
        <v>170</v>
      </c>
    </row>
    <row r="679" spans="1:6" s="9" customFormat="1" x14ac:dyDescent="0.25">
      <c r="B679" s="4"/>
      <c r="C679" s="5">
        <v>1</v>
      </c>
      <c r="D679" s="9" t="s">
        <v>846</v>
      </c>
      <c r="E679" s="10">
        <v>0</v>
      </c>
      <c r="F679" s="10">
        <f t="shared" si="10"/>
        <v>0</v>
      </c>
    </row>
    <row r="680" spans="1:6" s="9" customFormat="1" x14ac:dyDescent="0.25">
      <c r="B680" s="4"/>
      <c r="C680" s="5"/>
      <c r="E680" s="10"/>
      <c r="F680" s="8">
        <f>SUM(F678:F679)</f>
        <v>170</v>
      </c>
    </row>
    <row r="681" spans="1:6" s="9" customFormat="1" x14ac:dyDescent="0.25">
      <c r="B681" s="4"/>
      <c r="C681" s="5"/>
      <c r="E681" s="10"/>
      <c r="F681" s="10"/>
    </row>
    <row r="682" spans="1:6" s="9" customFormat="1" x14ac:dyDescent="0.25">
      <c r="A682" s="9" t="s">
        <v>181</v>
      </c>
      <c r="B682" s="4">
        <v>45879</v>
      </c>
      <c r="C682" s="5">
        <v>1</v>
      </c>
      <c r="D682" s="9" t="s">
        <v>12</v>
      </c>
      <c r="E682" s="10">
        <v>150</v>
      </c>
      <c r="F682" s="10">
        <f t="shared" si="10"/>
        <v>150</v>
      </c>
    </row>
    <row r="683" spans="1:6" s="9" customFormat="1" x14ac:dyDescent="0.25">
      <c r="B683" s="4"/>
      <c r="C683" s="5">
        <v>1</v>
      </c>
      <c r="D683" s="9" t="s">
        <v>847</v>
      </c>
      <c r="E683" s="10">
        <v>140</v>
      </c>
      <c r="F683" s="10">
        <f t="shared" si="10"/>
        <v>140</v>
      </c>
    </row>
    <row r="684" spans="1:6" s="9" customFormat="1" x14ac:dyDescent="0.25">
      <c r="B684" s="4"/>
      <c r="C684" s="11">
        <v>0.5</v>
      </c>
      <c r="D684" s="9" t="s">
        <v>13</v>
      </c>
      <c r="E684" s="10">
        <v>160</v>
      </c>
      <c r="F684" s="10">
        <f t="shared" si="10"/>
        <v>80</v>
      </c>
    </row>
    <row r="685" spans="1:6" s="9" customFormat="1" x14ac:dyDescent="0.25">
      <c r="B685" s="4"/>
      <c r="C685" s="5"/>
      <c r="E685" s="10"/>
      <c r="F685" s="8">
        <f>SUM(F682:F684)</f>
        <v>370</v>
      </c>
    </row>
    <row r="686" spans="1:6" s="9" customFormat="1" x14ac:dyDescent="0.25">
      <c r="B686" s="4"/>
      <c r="C686" s="5"/>
      <c r="E686" s="10"/>
      <c r="F686" s="10"/>
    </row>
    <row r="687" spans="1:6" s="9" customFormat="1" x14ac:dyDescent="0.25">
      <c r="A687" s="9" t="s">
        <v>58</v>
      </c>
      <c r="B687" s="4">
        <v>45880</v>
      </c>
      <c r="C687" s="5">
        <v>5</v>
      </c>
      <c r="D687" s="9" t="s">
        <v>848</v>
      </c>
      <c r="E687" s="10">
        <v>150</v>
      </c>
      <c r="F687" s="10">
        <f t="shared" si="10"/>
        <v>750</v>
      </c>
    </row>
    <row r="688" spans="1:6" s="9" customFormat="1" x14ac:dyDescent="0.25">
      <c r="B688" s="4"/>
      <c r="C688" s="5"/>
      <c r="E688" s="10"/>
      <c r="F688" s="8">
        <f>SUM(F687)</f>
        <v>750</v>
      </c>
    </row>
    <row r="689" spans="1:6" s="9" customFormat="1" x14ac:dyDescent="0.25">
      <c r="B689" s="4"/>
      <c r="C689" s="5"/>
      <c r="E689" s="10"/>
      <c r="F689" s="10"/>
    </row>
    <row r="690" spans="1:6" s="9" customFormat="1" x14ac:dyDescent="0.25">
      <c r="A690" s="9" t="s">
        <v>550</v>
      </c>
      <c r="B690" s="4">
        <v>45880</v>
      </c>
      <c r="C690" s="5">
        <v>15</v>
      </c>
      <c r="D690" s="9" t="s">
        <v>98</v>
      </c>
      <c r="E690" s="10">
        <v>100</v>
      </c>
      <c r="F690" s="10">
        <f t="shared" si="10"/>
        <v>1500</v>
      </c>
    </row>
    <row r="691" spans="1:6" s="9" customFormat="1" x14ac:dyDescent="0.25">
      <c r="B691" s="4"/>
      <c r="C691" s="5"/>
      <c r="E691" s="10"/>
      <c r="F691" s="8">
        <f>SUM(F690)</f>
        <v>1500</v>
      </c>
    </row>
    <row r="692" spans="1:6" s="9" customFormat="1" x14ac:dyDescent="0.25">
      <c r="B692" s="4"/>
      <c r="C692" s="5"/>
      <c r="E692" s="10"/>
      <c r="F692" s="10"/>
    </row>
    <row r="693" spans="1:6" s="9" customFormat="1" x14ac:dyDescent="0.25">
      <c r="A693" s="9" t="s">
        <v>15</v>
      </c>
      <c r="B693" s="4">
        <v>45880</v>
      </c>
      <c r="C693" s="5">
        <v>56</v>
      </c>
      <c r="D693" s="9" t="s">
        <v>98</v>
      </c>
      <c r="E693" s="10">
        <v>90</v>
      </c>
      <c r="F693" s="10">
        <f t="shared" si="10"/>
        <v>5040</v>
      </c>
    </row>
    <row r="694" spans="1:6" s="9" customFormat="1" x14ac:dyDescent="0.25">
      <c r="B694" s="4"/>
      <c r="C694" s="5"/>
      <c r="E694" s="10"/>
      <c r="F694" s="8">
        <f>SUM(F693)</f>
        <v>5040</v>
      </c>
    </row>
    <row r="695" spans="1:6" s="9" customFormat="1" x14ac:dyDescent="0.25">
      <c r="B695" s="4"/>
      <c r="C695" s="5"/>
      <c r="E695" s="10"/>
      <c r="F695" s="10"/>
    </row>
    <row r="696" spans="1:6" s="9" customFormat="1" x14ac:dyDescent="0.25">
      <c r="A696" s="9" t="s">
        <v>79</v>
      </c>
      <c r="B696" s="4">
        <v>45880</v>
      </c>
      <c r="C696" s="5">
        <v>18</v>
      </c>
      <c r="D696" s="9" t="s">
        <v>13</v>
      </c>
      <c r="E696" s="10">
        <v>150</v>
      </c>
      <c r="F696" s="10">
        <f t="shared" si="10"/>
        <v>2700</v>
      </c>
    </row>
    <row r="697" spans="1:6" s="9" customFormat="1" x14ac:dyDescent="0.25">
      <c r="B697" s="4"/>
      <c r="C697" s="5"/>
      <c r="E697" s="10"/>
      <c r="F697" s="8">
        <f>SUM(F696)</f>
        <v>2700</v>
      </c>
    </row>
    <row r="698" spans="1:6" s="9" customFormat="1" x14ac:dyDescent="0.25">
      <c r="B698" s="4"/>
      <c r="C698" s="5"/>
      <c r="E698" s="10"/>
      <c r="F698" s="10"/>
    </row>
    <row r="699" spans="1:6" s="9" customFormat="1" x14ac:dyDescent="0.25">
      <c r="A699" s="9" t="s">
        <v>37</v>
      </c>
      <c r="B699" s="4">
        <v>45880</v>
      </c>
      <c r="C699" s="5">
        <v>15</v>
      </c>
      <c r="D699" s="9" t="s">
        <v>12</v>
      </c>
      <c r="E699" s="10">
        <v>145</v>
      </c>
      <c r="F699" s="10">
        <f t="shared" si="10"/>
        <v>2175</v>
      </c>
    </row>
    <row r="700" spans="1:6" s="9" customFormat="1" x14ac:dyDescent="0.25">
      <c r="B700" s="4"/>
      <c r="C700" s="5"/>
      <c r="E700" s="10"/>
      <c r="F700" s="8">
        <f>SUM(F699)</f>
        <v>2175</v>
      </c>
    </row>
    <row r="701" spans="1:6" s="9" customFormat="1" x14ac:dyDescent="0.25">
      <c r="B701" s="4"/>
      <c r="C701" s="5"/>
      <c r="E701" s="10"/>
      <c r="F701" s="10"/>
    </row>
    <row r="702" spans="1:6" s="9" customFormat="1" x14ac:dyDescent="0.25">
      <c r="A702" s="9" t="s">
        <v>20</v>
      </c>
      <c r="B702" s="4">
        <v>45880</v>
      </c>
      <c r="C702" s="5">
        <v>10</v>
      </c>
      <c r="D702" s="9" t="s">
        <v>13</v>
      </c>
      <c r="E702" s="10">
        <v>155</v>
      </c>
      <c r="F702" s="10">
        <f t="shared" si="10"/>
        <v>1550</v>
      </c>
    </row>
    <row r="703" spans="1:6" s="9" customFormat="1" x14ac:dyDescent="0.25">
      <c r="B703" s="4"/>
      <c r="C703" s="5"/>
      <c r="E703" s="10"/>
      <c r="F703" s="8">
        <f>SUM(F702)</f>
        <v>1550</v>
      </c>
    </row>
    <row r="704" spans="1:6" s="9" customFormat="1" x14ac:dyDescent="0.25">
      <c r="B704" s="4"/>
      <c r="C704" s="5"/>
      <c r="E704" s="10"/>
      <c r="F704" s="10"/>
    </row>
    <row r="705" spans="1:6" s="9" customFormat="1" x14ac:dyDescent="0.25">
      <c r="A705" s="9" t="s">
        <v>673</v>
      </c>
      <c r="B705" s="4">
        <v>45880</v>
      </c>
      <c r="C705" s="5">
        <v>20</v>
      </c>
      <c r="D705" s="9" t="s">
        <v>12</v>
      </c>
      <c r="E705" s="10">
        <v>145</v>
      </c>
      <c r="F705" s="10">
        <f t="shared" si="10"/>
        <v>2900</v>
      </c>
    </row>
    <row r="706" spans="1:6" s="9" customFormat="1" x14ac:dyDescent="0.25">
      <c r="B706" s="4"/>
      <c r="C706" s="5">
        <v>10</v>
      </c>
      <c r="D706" s="9" t="s">
        <v>14</v>
      </c>
      <c r="E706" s="10">
        <v>150</v>
      </c>
      <c r="F706" s="10">
        <f t="shared" si="10"/>
        <v>1500</v>
      </c>
    </row>
    <row r="707" spans="1:6" s="9" customFormat="1" x14ac:dyDescent="0.25">
      <c r="B707" s="4"/>
      <c r="C707" s="5">
        <v>7</v>
      </c>
      <c r="D707" s="9" t="s">
        <v>50</v>
      </c>
      <c r="E707" s="10">
        <v>125</v>
      </c>
      <c r="F707" s="10">
        <f t="shared" si="10"/>
        <v>875</v>
      </c>
    </row>
    <row r="708" spans="1:6" s="9" customFormat="1" x14ac:dyDescent="0.25">
      <c r="B708" s="4"/>
      <c r="C708" s="5">
        <v>6</v>
      </c>
      <c r="D708" s="9" t="s">
        <v>395</v>
      </c>
      <c r="E708" s="10">
        <v>160</v>
      </c>
      <c r="F708" s="10">
        <f t="shared" si="10"/>
        <v>960</v>
      </c>
    </row>
    <row r="709" spans="1:6" s="9" customFormat="1" x14ac:dyDescent="0.25">
      <c r="B709" s="4"/>
      <c r="C709" s="5"/>
      <c r="E709" s="10"/>
      <c r="F709" s="8">
        <f>SUM(F705:F708)</f>
        <v>6235</v>
      </c>
    </row>
    <row r="710" spans="1:6" s="9" customFormat="1" x14ac:dyDescent="0.25">
      <c r="B710" s="4"/>
      <c r="C710" s="5"/>
      <c r="E710" s="10"/>
      <c r="F710" s="10"/>
    </row>
    <row r="711" spans="1:6" s="9" customFormat="1" x14ac:dyDescent="0.25">
      <c r="A711" s="9" t="s">
        <v>40</v>
      </c>
      <c r="B711" s="4">
        <v>45880</v>
      </c>
      <c r="C711" s="5">
        <v>20</v>
      </c>
      <c r="D711" s="9" t="s">
        <v>22</v>
      </c>
      <c r="E711" s="10">
        <v>125</v>
      </c>
      <c r="F711" s="10">
        <f t="shared" ref="F711:F772" si="11">+C711*E711</f>
        <v>2500</v>
      </c>
    </row>
    <row r="712" spans="1:6" s="9" customFormat="1" x14ac:dyDescent="0.25">
      <c r="B712" s="4"/>
      <c r="C712" s="5">
        <v>25</v>
      </c>
      <c r="D712" s="9" t="s">
        <v>13</v>
      </c>
      <c r="E712" s="10">
        <v>150</v>
      </c>
      <c r="F712" s="10">
        <f t="shared" si="11"/>
        <v>3750</v>
      </c>
    </row>
    <row r="713" spans="1:6" s="9" customFormat="1" x14ac:dyDescent="0.25">
      <c r="B713" s="4"/>
      <c r="C713" s="5">
        <v>25</v>
      </c>
      <c r="D713" s="9" t="s">
        <v>12</v>
      </c>
      <c r="E713" s="10">
        <v>140</v>
      </c>
      <c r="F713" s="10">
        <f t="shared" si="11"/>
        <v>3500</v>
      </c>
    </row>
    <row r="714" spans="1:6" s="9" customFormat="1" x14ac:dyDescent="0.25">
      <c r="B714" s="4"/>
      <c r="C714" s="5">
        <v>15</v>
      </c>
      <c r="D714" s="9" t="s">
        <v>14</v>
      </c>
      <c r="E714" s="10">
        <v>145</v>
      </c>
      <c r="F714" s="10">
        <f t="shared" si="11"/>
        <v>2175</v>
      </c>
    </row>
    <row r="715" spans="1:6" s="9" customFormat="1" x14ac:dyDescent="0.25">
      <c r="B715" s="4"/>
      <c r="C715" s="5"/>
      <c r="E715" s="10"/>
      <c r="F715" s="8">
        <f>SUM(F711:F714)</f>
        <v>11925</v>
      </c>
    </row>
    <row r="716" spans="1:6" s="9" customFormat="1" x14ac:dyDescent="0.25">
      <c r="B716" s="4"/>
      <c r="C716" s="5"/>
      <c r="E716" s="10"/>
      <c r="F716" s="10"/>
    </row>
    <row r="717" spans="1:6" s="9" customFormat="1" x14ac:dyDescent="0.25">
      <c r="A717" s="9" t="s">
        <v>849</v>
      </c>
      <c r="B717" s="4">
        <v>45887</v>
      </c>
      <c r="C717" s="5">
        <v>100</v>
      </c>
      <c r="D717" s="9" t="s">
        <v>850</v>
      </c>
      <c r="E717" s="10">
        <v>128</v>
      </c>
      <c r="F717" s="10">
        <f t="shared" si="11"/>
        <v>12800</v>
      </c>
    </row>
    <row r="718" spans="1:6" s="9" customFormat="1" x14ac:dyDescent="0.25">
      <c r="B718" s="4"/>
      <c r="C718" s="5"/>
      <c r="E718" s="10"/>
      <c r="F718" s="8">
        <f>SUM(F717)</f>
        <v>12800</v>
      </c>
    </row>
    <row r="719" spans="1:6" s="9" customFormat="1" x14ac:dyDescent="0.25">
      <c r="B719" s="4"/>
      <c r="C719" s="5"/>
      <c r="E719" s="10"/>
      <c r="F719" s="10"/>
    </row>
    <row r="720" spans="1:6" s="9" customFormat="1" x14ac:dyDescent="0.25">
      <c r="A720" s="9" t="s">
        <v>851</v>
      </c>
      <c r="B720" s="4">
        <v>45880</v>
      </c>
      <c r="C720" s="5">
        <v>2</v>
      </c>
      <c r="D720" s="9" t="s">
        <v>13</v>
      </c>
      <c r="E720" s="10">
        <v>150</v>
      </c>
      <c r="F720" s="10">
        <f t="shared" si="11"/>
        <v>300</v>
      </c>
    </row>
    <row r="721" spans="1:6" s="9" customFormat="1" x14ac:dyDescent="0.25">
      <c r="B721" s="4"/>
      <c r="C721" s="5"/>
      <c r="E721" s="10"/>
      <c r="F721" s="8">
        <f>SUM(F720)</f>
        <v>300</v>
      </c>
    </row>
    <row r="722" spans="1:6" s="9" customFormat="1" x14ac:dyDescent="0.25">
      <c r="B722" s="4"/>
      <c r="C722" s="5"/>
      <c r="E722" s="10"/>
      <c r="F722" s="10"/>
    </row>
    <row r="723" spans="1:6" s="9" customFormat="1" x14ac:dyDescent="0.25">
      <c r="A723" s="9" t="s">
        <v>44</v>
      </c>
      <c r="B723" s="4">
        <v>45880</v>
      </c>
      <c r="C723" s="5">
        <v>50</v>
      </c>
      <c r="D723" s="9" t="s">
        <v>14</v>
      </c>
      <c r="E723" s="10">
        <v>145</v>
      </c>
      <c r="F723" s="10">
        <f t="shared" si="11"/>
        <v>7250</v>
      </c>
    </row>
    <row r="724" spans="1:6" s="9" customFormat="1" x14ac:dyDescent="0.25">
      <c r="B724" s="4"/>
      <c r="C724" s="5"/>
      <c r="E724" s="10"/>
      <c r="F724" s="8">
        <f>SUM(F723)</f>
        <v>7250</v>
      </c>
    </row>
    <row r="725" spans="1:6" s="9" customFormat="1" x14ac:dyDescent="0.25">
      <c r="B725" s="4"/>
      <c r="C725" s="5"/>
      <c r="E725" s="10"/>
      <c r="F725" s="10"/>
    </row>
    <row r="726" spans="1:6" s="9" customFormat="1" x14ac:dyDescent="0.25">
      <c r="A726" s="9" t="s">
        <v>41</v>
      </c>
      <c r="B726" s="4">
        <v>45880</v>
      </c>
      <c r="C726" s="5">
        <v>45</v>
      </c>
      <c r="D726" s="9" t="s">
        <v>13</v>
      </c>
      <c r="E726" s="10">
        <v>140</v>
      </c>
      <c r="F726" s="10">
        <f t="shared" si="11"/>
        <v>6300</v>
      </c>
    </row>
    <row r="727" spans="1:6" s="9" customFormat="1" x14ac:dyDescent="0.25">
      <c r="B727" s="4"/>
      <c r="C727" s="5"/>
      <c r="E727" s="10"/>
      <c r="F727" s="8">
        <f>SUM(F726)</f>
        <v>6300</v>
      </c>
    </row>
    <row r="728" spans="1:6" s="9" customFormat="1" x14ac:dyDescent="0.25">
      <c r="B728" s="4"/>
      <c r="C728" s="5"/>
      <c r="E728" s="10"/>
      <c r="F728" s="10"/>
    </row>
    <row r="729" spans="1:6" s="9" customFormat="1" x14ac:dyDescent="0.25">
      <c r="A729" s="9" t="s">
        <v>43</v>
      </c>
      <c r="B729" s="4">
        <v>45880</v>
      </c>
      <c r="C729" s="5">
        <v>20</v>
      </c>
      <c r="D729" s="9" t="s">
        <v>49</v>
      </c>
      <c r="E729" s="10">
        <v>155</v>
      </c>
      <c r="F729" s="10">
        <f t="shared" si="11"/>
        <v>3100</v>
      </c>
    </row>
    <row r="730" spans="1:6" s="9" customFormat="1" x14ac:dyDescent="0.25">
      <c r="B730" s="4"/>
      <c r="C730" s="5"/>
      <c r="E730" s="10"/>
      <c r="F730" s="8">
        <f>SUM(F729)</f>
        <v>3100</v>
      </c>
    </row>
    <row r="731" spans="1:6" s="9" customFormat="1" x14ac:dyDescent="0.25">
      <c r="B731" s="4"/>
      <c r="C731" s="5"/>
      <c r="E731" s="10"/>
      <c r="F731" s="10"/>
    </row>
    <row r="732" spans="1:6" s="9" customFormat="1" x14ac:dyDescent="0.25">
      <c r="A732" s="9" t="s">
        <v>18</v>
      </c>
      <c r="B732" s="4">
        <v>45880</v>
      </c>
      <c r="C732" s="5">
        <v>10</v>
      </c>
      <c r="D732" s="9" t="s">
        <v>713</v>
      </c>
      <c r="E732" s="10">
        <v>150</v>
      </c>
      <c r="F732" s="10">
        <f t="shared" si="11"/>
        <v>1500</v>
      </c>
    </row>
    <row r="733" spans="1:6" s="9" customFormat="1" x14ac:dyDescent="0.25">
      <c r="B733" s="4"/>
      <c r="C733" s="5"/>
      <c r="E733" s="10"/>
      <c r="F733" s="8">
        <f>SUM(F732)</f>
        <v>1500</v>
      </c>
    </row>
    <row r="734" spans="1:6" s="9" customFormat="1" x14ac:dyDescent="0.25">
      <c r="B734" s="4"/>
      <c r="C734" s="5"/>
      <c r="E734" s="10"/>
      <c r="F734" s="10"/>
    </row>
    <row r="735" spans="1:6" s="9" customFormat="1" x14ac:dyDescent="0.25">
      <c r="A735" s="9" t="s">
        <v>273</v>
      </c>
      <c r="B735" s="4">
        <v>45880</v>
      </c>
      <c r="C735" s="5">
        <v>15</v>
      </c>
      <c r="D735" s="9" t="s">
        <v>14</v>
      </c>
      <c r="E735" s="10">
        <v>150</v>
      </c>
      <c r="F735" s="10">
        <f t="shared" si="11"/>
        <v>2250</v>
      </c>
    </row>
    <row r="736" spans="1:6" s="9" customFormat="1" x14ac:dyDescent="0.25">
      <c r="B736" s="4"/>
      <c r="C736" s="5"/>
      <c r="E736" s="10"/>
      <c r="F736" s="8">
        <f>SUM(F735)</f>
        <v>2250</v>
      </c>
    </row>
    <row r="737" spans="1:6" s="9" customFormat="1" x14ac:dyDescent="0.25">
      <c r="B737" s="4"/>
      <c r="C737" s="5"/>
      <c r="E737" s="10"/>
      <c r="F737" s="10"/>
    </row>
    <row r="738" spans="1:6" s="9" customFormat="1" x14ac:dyDescent="0.25">
      <c r="A738" s="9" t="s">
        <v>138</v>
      </c>
      <c r="B738" s="4">
        <v>45880</v>
      </c>
      <c r="C738" s="5">
        <v>20</v>
      </c>
      <c r="D738" s="9" t="s">
        <v>14</v>
      </c>
      <c r="E738" s="10">
        <v>150</v>
      </c>
      <c r="F738" s="10">
        <f t="shared" si="11"/>
        <v>3000</v>
      </c>
    </row>
    <row r="739" spans="1:6" s="9" customFormat="1" x14ac:dyDescent="0.25">
      <c r="B739" s="4"/>
      <c r="C739" s="5"/>
      <c r="E739" s="10"/>
      <c r="F739" s="8">
        <f>SUM(F738)</f>
        <v>3000</v>
      </c>
    </row>
    <row r="740" spans="1:6" s="9" customFormat="1" x14ac:dyDescent="0.25">
      <c r="B740" s="4"/>
      <c r="C740" s="5"/>
      <c r="E740" s="10"/>
      <c r="F740" s="10"/>
    </row>
    <row r="741" spans="1:6" s="9" customFormat="1" x14ac:dyDescent="0.25">
      <c r="A741" s="9" t="s">
        <v>47</v>
      </c>
      <c r="B741" s="4">
        <v>45880</v>
      </c>
      <c r="C741" s="5">
        <v>20</v>
      </c>
      <c r="D741" s="9" t="s">
        <v>22</v>
      </c>
      <c r="E741" s="10">
        <v>130</v>
      </c>
      <c r="F741" s="10">
        <f t="shared" si="11"/>
        <v>2600</v>
      </c>
    </row>
    <row r="742" spans="1:6" s="9" customFormat="1" x14ac:dyDescent="0.25">
      <c r="B742" s="4"/>
      <c r="C742" s="5"/>
      <c r="E742" s="10"/>
      <c r="F742" s="8">
        <f>SUM(F741)</f>
        <v>2600</v>
      </c>
    </row>
    <row r="743" spans="1:6" s="9" customFormat="1" x14ac:dyDescent="0.25">
      <c r="B743" s="4"/>
      <c r="C743" s="5"/>
      <c r="E743" s="10"/>
      <c r="F743" s="10"/>
    </row>
    <row r="744" spans="1:6" s="9" customFormat="1" x14ac:dyDescent="0.25">
      <c r="A744" s="9" t="s">
        <v>45</v>
      </c>
      <c r="B744" s="4">
        <v>45880</v>
      </c>
      <c r="C744" s="5">
        <v>2</v>
      </c>
      <c r="D744" s="9" t="s">
        <v>14</v>
      </c>
      <c r="E744" s="10">
        <v>150</v>
      </c>
      <c r="F744" s="10">
        <f t="shared" si="11"/>
        <v>300</v>
      </c>
    </row>
    <row r="745" spans="1:6" s="9" customFormat="1" x14ac:dyDescent="0.25">
      <c r="B745" s="4"/>
      <c r="C745" s="5"/>
      <c r="E745" s="10"/>
      <c r="F745" s="8">
        <f>SUM(F744)</f>
        <v>300</v>
      </c>
    </row>
    <row r="746" spans="1:6" s="9" customFormat="1" x14ac:dyDescent="0.25">
      <c r="B746" s="4"/>
      <c r="C746" s="5"/>
      <c r="E746" s="10"/>
      <c r="F746" s="10"/>
    </row>
    <row r="747" spans="1:6" s="9" customFormat="1" x14ac:dyDescent="0.25">
      <c r="A747" s="9" t="s">
        <v>231</v>
      </c>
      <c r="B747" s="4">
        <v>45880</v>
      </c>
      <c r="C747" s="5">
        <v>17</v>
      </c>
      <c r="D747" s="9" t="s">
        <v>852</v>
      </c>
      <c r="E747" s="10">
        <v>140</v>
      </c>
      <c r="F747" s="10">
        <f t="shared" si="11"/>
        <v>2380</v>
      </c>
    </row>
    <row r="748" spans="1:6" s="9" customFormat="1" x14ac:dyDescent="0.25">
      <c r="B748" s="4"/>
      <c r="C748" s="5"/>
      <c r="E748" s="10"/>
      <c r="F748" s="8">
        <f>SUM(F747)</f>
        <v>2380</v>
      </c>
    </row>
    <row r="749" spans="1:6" s="9" customFormat="1" x14ac:dyDescent="0.25">
      <c r="B749" s="4"/>
      <c r="C749" s="5"/>
      <c r="E749" s="10"/>
      <c r="F749" s="10"/>
    </row>
    <row r="750" spans="1:6" s="9" customFormat="1" x14ac:dyDescent="0.25">
      <c r="A750" s="9" t="s">
        <v>89</v>
      </c>
      <c r="B750" s="4">
        <v>45880</v>
      </c>
      <c r="C750" s="5">
        <v>80</v>
      </c>
      <c r="D750" s="9" t="s">
        <v>12</v>
      </c>
      <c r="E750" s="10">
        <v>135</v>
      </c>
      <c r="F750" s="10">
        <f t="shared" si="11"/>
        <v>10800</v>
      </c>
    </row>
    <row r="751" spans="1:6" s="9" customFormat="1" x14ac:dyDescent="0.25">
      <c r="B751" s="4"/>
      <c r="C751" s="5">
        <v>20</v>
      </c>
      <c r="D751" s="9" t="s">
        <v>22</v>
      </c>
      <c r="E751" s="10">
        <v>125</v>
      </c>
      <c r="F751" s="10">
        <f t="shared" si="11"/>
        <v>2500</v>
      </c>
    </row>
    <row r="752" spans="1:6" s="9" customFormat="1" x14ac:dyDescent="0.25">
      <c r="B752" s="4"/>
      <c r="C752" s="5"/>
      <c r="E752" s="10"/>
      <c r="F752" s="8">
        <f>SUM(F750:F751)</f>
        <v>13300</v>
      </c>
    </row>
    <row r="753" spans="1:6" s="9" customFormat="1" x14ac:dyDescent="0.25">
      <c r="B753" s="4"/>
      <c r="C753" s="5"/>
      <c r="E753" s="10"/>
      <c r="F753" s="10"/>
    </row>
    <row r="754" spans="1:6" s="9" customFormat="1" x14ac:dyDescent="0.25">
      <c r="A754" s="9" t="s">
        <v>853</v>
      </c>
      <c r="B754" s="4">
        <v>45880</v>
      </c>
      <c r="C754" s="5">
        <v>3</v>
      </c>
      <c r="D754" s="9" t="s">
        <v>854</v>
      </c>
      <c r="E754" s="10">
        <v>150</v>
      </c>
      <c r="F754" s="10">
        <f t="shared" si="11"/>
        <v>450</v>
      </c>
    </row>
    <row r="755" spans="1:6" s="9" customFormat="1" x14ac:dyDescent="0.25">
      <c r="B755" s="4"/>
      <c r="C755" s="5"/>
      <c r="E755" s="10"/>
      <c r="F755" s="8">
        <f>SUM(F754)</f>
        <v>450</v>
      </c>
    </row>
    <row r="756" spans="1:6" s="9" customFormat="1" x14ac:dyDescent="0.25">
      <c r="B756" s="4"/>
      <c r="C756" s="5"/>
      <c r="E756" s="10"/>
      <c r="F756" s="10"/>
    </row>
    <row r="757" spans="1:6" s="9" customFormat="1" x14ac:dyDescent="0.25">
      <c r="A757" s="9" t="s">
        <v>184</v>
      </c>
      <c r="B757" s="4">
        <v>45880</v>
      </c>
      <c r="C757" s="5">
        <v>7</v>
      </c>
      <c r="D757" s="9" t="s">
        <v>13</v>
      </c>
      <c r="E757" s="10">
        <v>155</v>
      </c>
      <c r="F757" s="10">
        <f t="shared" si="11"/>
        <v>1085</v>
      </c>
    </row>
    <row r="758" spans="1:6" s="9" customFormat="1" x14ac:dyDescent="0.25">
      <c r="B758" s="4"/>
      <c r="C758" s="5"/>
      <c r="E758" s="10"/>
      <c r="F758" s="8">
        <f>SUM(F757)</f>
        <v>1085</v>
      </c>
    </row>
    <row r="759" spans="1:6" s="9" customFormat="1" x14ac:dyDescent="0.25">
      <c r="B759" s="4"/>
      <c r="C759" s="5"/>
      <c r="E759" s="10"/>
      <c r="F759" s="10"/>
    </row>
    <row r="760" spans="1:6" s="9" customFormat="1" x14ac:dyDescent="0.25">
      <c r="A760" s="9" t="s">
        <v>88</v>
      </c>
      <c r="B760" s="4">
        <v>45880</v>
      </c>
      <c r="C760" s="5">
        <v>13</v>
      </c>
      <c r="D760" s="9" t="s">
        <v>14</v>
      </c>
      <c r="E760" s="10">
        <v>145</v>
      </c>
      <c r="F760" s="10">
        <f t="shared" si="11"/>
        <v>1885</v>
      </c>
    </row>
    <row r="761" spans="1:6" s="9" customFormat="1" x14ac:dyDescent="0.25">
      <c r="B761" s="4"/>
      <c r="C761" s="5"/>
      <c r="E761" s="10"/>
      <c r="F761" s="8">
        <f>SUM(F760)</f>
        <v>1885</v>
      </c>
    </row>
    <row r="762" spans="1:6" s="9" customFormat="1" x14ac:dyDescent="0.25">
      <c r="B762" s="4"/>
      <c r="C762" s="5"/>
      <c r="E762" s="10"/>
      <c r="F762" s="10"/>
    </row>
    <row r="763" spans="1:6" s="9" customFormat="1" x14ac:dyDescent="0.25">
      <c r="A763" s="9" t="s">
        <v>160</v>
      </c>
      <c r="B763" s="4">
        <v>45880</v>
      </c>
      <c r="C763" s="5">
        <v>5</v>
      </c>
      <c r="D763" s="9" t="s">
        <v>12</v>
      </c>
      <c r="E763" s="10">
        <v>145</v>
      </c>
      <c r="F763" s="10">
        <f t="shared" si="11"/>
        <v>725</v>
      </c>
    </row>
    <row r="764" spans="1:6" s="9" customFormat="1" x14ac:dyDescent="0.25">
      <c r="B764" s="4"/>
      <c r="C764" s="5"/>
      <c r="E764" s="10"/>
      <c r="F764" s="8">
        <f>SUM(F763)</f>
        <v>725</v>
      </c>
    </row>
    <row r="765" spans="1:6" s="9" customFormat="1" x14ac:dyDescent="0.25">
      <c r="B765" s="4"/>
      <c r="C765" s="5"/>
      <c r="E765" s="10"/>
      <c r="F765" s="10"/>
    </row>
    <row r="766" spans="1:6" s="9" customFormat="1" x14ac:dyDescent="0.25">
      <c r="A766" s="9" t="s">
        <v>855</v>
      </c>
      <c r="B766" s="4">
        <v>45880</v>
      </c>
      <c r="C766" s="5">
        <v>10</v>
      </c>
      <c r="D766" s="9" t="s">
        <v>8</v>
      </c>
      <c r="E766" s="10">
        <v>165</v>
      </c>
      <c r="F766" s="10">
        <f t="shared" si="11"/>
        <v>1650</v>
      </c>
    </row>
    <row r="767" spans="1:6" s="9" customFormat="1" x14ac:dyDescent="0.25">
      <c r="B767" s="4"/>
      <c r="C767" s="5"/>
      <c r="E767" s="10"/>
      <c r="F767" s="8">
        <f>SUM(F766)</f>
        <v>1650</v>
      </c>
    </row>
    <row r="768" spans="1:6" s="9" customFormat="1" x14ac:dyDescent="0.25">
      <c r="B768" s="4"/>
      <c r="C768" s="5"/>
      <c r="E768" s="10"/>
      <c r="F768" s="10"/>
    </row>
    <row r="769" spans="1:6" s="9" customFormat="1" x14ac:dyDescent="0.25">
      <c r="A769" s="9" t="s">
        <v>856</v>
      </c>
      <c r="B769" s="4">
        <v>45880</v>
      </c>
      <c r="C769" s="5">
        <v>5</v>
      </c>
      <c r="D769" s="9" t="s">
        <v>98</v>
      </c>
      <c r="E769" s="10">
        <v>100</v>
      </c>
      <c r="F769" s="10">
        <f t="shared" si="11"/>
        <v>500</v>
      </c>
    </row>
    <row r="770" spans="1:6" s="9" customFormat="1" x14ac:dyDescent="0.25">
      <c r="B770" s="4"/>
      <c r="C770" s="5"/>
      <c r="E770" s="10"/>
      <c r="F770" s="8">
        <f>SUM(F769)</f>
        <v>500</v>
      </c>
    </row>
    <row r="771" spans="1:6" s="9" customFormat="1" x14ac:dyDescent="0.25">
      <c r="B771" s="4"/>
      <c r="C771" s="5"/>
      <c r="E771" s="10"/>
      <c r="F771" s="10"/>
    </row>
    <row r="772" spans="1:6" s="9" customFormat="1" x14ac:dyDescent="0.25">
      <c r="A772" s="9" t="s">
        <v>61</v>
      </c>
      <c r="B772" s="4">
        <v>45880</v>
      </c>
      <c r="C772" s="5">
        <v>50</v>
      </c>
      <c r="D772" s="9" t="s">
        <v>13</v>
      </c>
      <c r="E772" s="10">
        <v>150</v>
      </c>
      <c r="F772" s="10">
        <f t="shared" si="11"/>
        <v>7500</v>
      </c>
    </row>
    <row r="773" spans="1:6" s="9" customFormat="1" x14ac:dyDescent="0.25">
      <c r="B773" s="4"/>
      <c r="C773" s="5"/>
      <c r="E773" s="10"/>
      <c r="F773" s="8">
        <f>SUM(F772)</f>
        <v>7500</v>
      </c>
    </row>
    <row r="774" spans="1:6" s="9" customFormat="1" x14ac:dyDescent="0.25">
      <c r="B774" s="4"/>
      <c r="C774" s="5"/>
      <c r="E774" s="10"/>
      <c r="F774" s="10"/>
    </row>
    <row r="775" spans="1:6" s="9" customFormat="1" x14ac:dyDescent="0.25">
      <c r="A775" s="9" t="s">
        <v>127</v>
      </c>
      <c r="B775" s="4">
        <v>45880</v>
      </c>
      <c r="C775" s="5">
        <v>135</v>
      </c>
      <c r="D775" s="9" t="s">
        <v>13</v>
      </c>
      <c r="E775" s="10">
        <v>145</v>
      </c>
      <c r="F775" s="10">
        <f t="shared" ref="F775:F838" si="12">+C775*E775</f>
        <v>19575</v>
      </c>
    </row>
    <row r="776" spans="1:6" s="9" customFormat="1" x14ac:dyDescent="0.25">
      <c r="B776" s="4"/>
      <c r="C776" s="5"/>
      <c r="E776" s="10"/>
      <c r="F776" s="8">
        <f>SUM(F775)</f>
        <v>19575</v>
      </c>
    </row>
    <row r="777" spans="1:6" s="9" customFormat="1" x14ac:dyDescent="0.25">
      <c r="B777" s="4"/>
      <c r="C777" s="5"/>
      <c r="E777" s="10"/>
      <c r="F777" s="10"/>
    </row>
    <row r="778" spans="1:6" s="9" customFormat="1" x14ac:dyDescent="0.25">
      <c r="A778" s="9" t="s">
        <v>29</v>
      </c>
      <c r="B778" s="4">
        <v>45880</v>
      </c>
      <c r="C778" s="5">
        <v>1</v>
      </c>
      <c r="D778" s="9" t="s">
        <v>13</v>
      </c>
      <c r="E778" s="10">
        <v>160</v>
      </c>
      <c r="F778" s="10">
        <f t="shared" si="12"/>
        <v>160</v>
      </c>
    </row>
    <row r="779" spans="1:6" s="9" customFormat="1" x14ac:dyDescent="0.25">
      <c r="B779" s="4"/>
      <c r="C779" s="5">
        <v>2</v>
      </c>
      <c r="D779" s="9" t="s">
        <v>645</v>
      </c>
      <c r="E779" s="10">
        <v>150</v>
      </c>
      <c r="F779" s="10">
        <f t="shared" si="12"/>
        <v>300</v>
      </c>
    </row>
    <row r="780" spans="1:6" s="9" customFormat="1" x14ac:dyDescent="0.25">
      <c r="B780" s="4"/>
      <c r="C780" s="5">
        <v>1</v>
      </c>
      <c r="D780" s="9" t="s">
        <v>13</v>
      </c>
      <c r="E780" s="10">
        <v>140</v>
      </c>
      <c r="F780" s="10">
        <f t="shared" si="12"/>
        <v>140</v>
      </c>
    </row>
    <row r="781" spans="1:6" s="9" customFormat="1" x14ac:dyDescent="0.25">
      <c r="B781" s="4"/>
      <c r="C781" s="5"/>
      <c r="E781" s="10"/>
      <c r="F781" s="8">
        <f>SUM(F778:F780)</f>
        <v>600</v>
      </c>
    </row>
    <row r="782" spans="1:6" s="9" customFormat="1" x14ac:dyDescent="0.25">
      <c r="B782" s="4"/>
      <c r="C782" s="5"/>
      <c r="E782" s="10"/>
      <c r="F782" s="10"/>
    </row>
    <row r="783" spans="1:6" s="9" customFormat="1" x14ac:dyDescent="0.25">
      <c r="A783" s="9" t="s">
        <v>7</v>
      </c>
      <c r="B783" s="4">
        <v>45880</v>
      </c>
      <c r="C783" s="5">
        <v>1</v>
      </c>
      <c r="D783" s="9" t="s">
        <v>8</v>
      </c>
      <c r="E783" s="10">
        <v>170</v>
      </c>
      <c r="F783" s="10">
        <f t="shared" si="12"/>
        <v>170</v>
      </c>
    </row>
    <row r="784" spans="1:6" s="9" customFormat="1" x14ac:dyDescent="0.25">
      <c r="B784" s="4"/>
      <c r="C784" s="5">
        <v>1</v>
      </c>
      <c r="D784" s="9" t="s">
        <v>8</v>
      </c>
      <c r="E784" s="10">
        <v>170</v>
      </c>
      <c r="F784" s="10">
        <f t="shared" si="12"/>
        <v>170</v>
      </c>
    </row>
    <row r="785" spans="1:6" s="9" customFormat="1" x14ac:dyDescent="0.25">
      <c r="B785" s="4"/>
      <c r="C785" s="5">
        <v>1</v>
      </c>
      <c r="D785" s="9" t="s">
        <v>12</v>
      </c>
      <c r="E785" s="10">
        <v>150</v>
      </c>
      <c r="F785" s="10">
        <f t="shared" si="12"/>
        <v>150</v>
      </c>
    </row>
    <row r="786" spans="1:6" s="9" customFormat="1" x14ac:dyDescent="0.25">
      <c r="B786" s="4"/>
      <c r="C786" s="5"/>
      <c r="E786" s="10"/>
      <c r="F786" s="8">
        <f>SUM(F783:F785)</f>
        <v>490</v>
      </c>
    </row>
    <row r="787" spans="1:6" s="9" customFormat="1" x14ac:dyDescent="0.25">
      <c r="B787" s="4"/>
      <c r="C787" s="5"/>
      <c r="E787" s="10"/>
      <c r="F787" s="10"/>
    </row>
    <row r="788" spans="1:6" s="9" customFormat="1" x14ac:dyDescent="0.25">
      <c r="A788" s="9" t="s">
        <v>48</v>
      </c>
      <c r="B788" s="4">
        <v>45881</v>
      </c>
      <c r="C788" s="5">
        <v>200</v>
      </c>
      <c r="D788" s="9" t="s">
        <v>475</v>
      </c>
      <c r="E788" s="10"/>
      <c r="F788" s="10">
        <f t="shared" si="12"/>
        <v>0</v>
      </c>
    </row>
    <row r="789" spans="1:6" s="9" customFormat="1" x14ac:dyDescent="0.25">
      <c r="B789" s="4"/>
      <c r="C789" s="5">
        <v>200</v>
      </c>
      <c r="D789" s="9" t="s">
        <v>416</v>
      </c>
      <c r="E789" s="10"/>
      <c r="F789" s="10">
        <f t="shared" si="12"/>
        <v>0</v>
      </c>
    </row>
    <row r="790" spans="1:6" s="9" customFormat="1" x14ac:dyDescent="0.25">
      <c r="B790" s="4"/>
      <c r="C790" s="5"/>
      <c r="E790" s="10"/>
      <c r="F790" s="8">
        <f t="shared" si="12"/>
        <v>0</v>
      </c>
    </row>
    <row r="791" spans="1:6" s="9" customFormat="1" x14ac:dyDescent="0.25">
      <c r="B791" s="4"/>
      <c r="C791" s="5"/>
      <c r="E791" s="10"/>
      <c r="F791" s="10"/>
    </row>
    <row r="792" spans="1:6" s="9" customFormat="1" x14ac:dyDescent="0.25">
      <c r="A792" s="9" t="s">
        <v>112</v>
      </c>
      <c r="B792" s="4">
        <v>45881</v>
      </c>
      <c r="C792" s="5">
        <v>70</v>
      </c>
      <c r="D792" s="9" t="s">
        <v>14</v>
      </c>
      <c r="E792" s="10">
        <v>145</v>
      </c>
      <c r="F792" s="10">
        <f t="shared" si="12"/>
        <v>10150</v>
      </c>
    </row>
    <row r="793" spans="1:6" s="9" customFormat="1" x14ac:dyDescent="0.25">
      <c r="B793" s="4"/>
      <c r="C793" s="5"/>
      <c r="E793" s="10"/>
      <c r="F793" s="8">
        <f>SUM(F792)</f>
        <v>10150</v>
      </c>
    </row>
    <row r="794" spans="1:6" s="9" customFormat="1" x14ac:dyDescent="0.25">
      <c r="B794" s="4"/>
      <c r="C794" s="5"/>
      <c r="E794" s="10"/>
      <c r="F794" s="10"/>
    </row>
    <row r="795" spans="1:6" s="9" customFormat="1" x14ac:dyDescent="0.25">
      <c r="A795" s="9" t="s">
        <v>832</v>
      </c>
      <c r="B795" s="4">
        <v>45881</v>
      </c>
      <c r="C795" s="5">
        <v>60</v>
      </c>
      <c r="D795" s="9" t="s">
        <v>13</v>
      </c>
      <c r="E795" s="10">
        <v>150</v>
      </c>
      <c r="F795" s="10">
        <f t="shared" si="12"/>
        <v>9000</v>
      </c>
    </row>
    <row r="796" spans="1:6" s="9" customFormat="1" x14ac:dyDescent="0.25">
      <c r="B796" s="4"/>
      <c r="C796" s="5"/>
      <c r="E796" s="10"/>
      <c r="F796" s="8">
        <f>SUM(F795)</f>
        <v>9000</v>
      </c>
    </row>
    <row r="797" spans="1:6" s="9" customFormat="1" x14ac:dyDescent="0.25">
      <c r="B797" s="4"/>
      <c r="C797" s="5"/>
      <c r="E797" s="10"/>
      <c r="F797" s="10"/>
    </row>
    <row r="798" spans="1:6" s="9" customFormat="1" x14ac:dyDescent="0.25">
      <c r="A798" s="9" t="s">
        <v>111</v>
      </c>
      <c r="B798" s="4">
        <v>45881</v>
      </c>
      <c r="C798" s="5">
        <v>30</v>
      </c>
      <c r="D798" s="9" t="s">
        <v>13</v>
      </c>
      <c r="E798" s="10">
        <v>150</v>
      </c>
      <c r="F798" s="10">
        <f t="shared" si="12"/>
        <v>4500</v>
      </c>
    </row>
    <row r="799" spans="1:6" s="9" customFormat="1" x14ac:dyDescent="0.25">
      <c r="B799" s="4"/>
      <c r="C799" s="5"/>
      <c r="E799" s="10"/>
      <c r="F799" s="8">
        <f>SUM(F798)</f>
        <v>4500</v>
      </c>
    </row>
    <row r="800" spans="1:6" s="9" customFormat="1" x14ac:dyDescent="0.25">
      <c r="B800" s="4"/>
      <c r="C800" s="5"/>
      <c r="E800" s="10"/>
      <c r="F800" s="10"/>
    </row>
    <row r="801" spans="1:6" s="9" customFormat="1" x14ac:dyDescent="0.25">
      <c r="A801" s="9" t="s">
        <v>59</v>
      </c>
      <c r="B801" s="4">
        <v>45881</v>
      </c>
      <c r="C801" s="5">
        <v>150</v>
      </c>
      <c r="D801" s="9" t="s">
        <v>13</v>
      </c>
      <c r="E801" s="10">
        <v>145</v>
      </c>
      <c r="F801" s="10">
        <f t="shared" si="12"/>
        <v>21750</v>
      </c>
    </row>
    <row r="802" spans="1:6" s="9" customFormat="1" x14ac:dyDescent="0.25">
      <c r="B802" s="4"/>
      <c r="C802" s="5">
        <v>5</v>
      </c>
      <c r="D802" s="9" t="s">
        <v>13</v>
      </c>
      <c r="E802" s="10">
        <v>150</v>
      </c>
      <c r="F802" s="10">
        <f t="shared" si="12"/>
        <v>750</v>
      </c>
    </row>
    <row r="803" spans="1:6" s="9" customFormat="1" x14ac:dyDescent="0.25">
      <c r="B803" s="4"/>
      <c r="C803" s="5"/>
      <c r="E803" s="10"/>
      <c r="F803" s="8">
        <f>SUM(F801:F802)</f>
        <v>22500</v>
      </c>
    </row>
    <row r="804" spans="1:6" s="9" customFormat="1" x14ac:dyDescent="0.25">
      <c r="B804" s="4"/>
      <c r="C804" s="5"/>
      <c r="E804" s="10"/>
      <c r="F804" s="10"/>
    </row>
    <row r="805" spans="1:6" s="9" customFormat="1" x14ac:dyDescent="0.25">
      <c r="A805" s="9" t="s">
        <v>103</v>
      </c>
      <c r="B805" s="4">
        <v>45881</v>
      </c>
      <c r="C805" s="5">
        <v>4</v>
      </c>
      <c r="D805" s="9" t="s">
        <v>13</v>
      </c>
      <c r="E805" s="10">
        <v>145</v>
      </c>
      <c r="F805" s="10">
        <f t="shared" si="12"/>
        <v>580</v>
      </c>
    </row>
    <row r="806" spans="1:6" s="9" customFormat="1" x14ac:dyDescent="0.25">
      <c r="B806" s="4"/>
      <c r="C806" s="5"/>
      <c r="E806" s="10"/>
      <c r="F806" s="8">
        <f>SUM(F805)</f>
        <v>580</v>
      </c>
    </row>
    <row r="807" spans="1:6" s="9" customFormat="1" x14ac:dyDescent="0.25">
      <c r="B807" s="4"/>
      <c r="C807" s="5"/>
      <c r="E807" s="10"/>
      <c r="F807" s="10"/>
    </row>
    <row r="808" spans="1:6" s="9" customFormat="1" x14ac:dyDescent="0.25">
      <c r="A808" s="9" t="s">
        <v>7</v>
      </c>
      <c r="B808" s="4">
        <v>45881</v>
      </c>
      <c r="C808" s="5">
        <v>4</v>
      </c>
      <c r="D808" s="9" t="s">
        <v>13</v>
      </c>
      <c r="E808" s="10">
        <v>155</v>
      </c>
      <c r="F808" s="10">
        <f t="shared" si="12"/>
        <v>620</v>
      </c>
    </row>
    <row r="809" spans="1:6" s="9" customFormat="1" x14ac:dyDescent="0.25">
      <c r="B809" s="4"/>
      <c r="C809" s="5"/>
      <c r="E809" s="10"/>
      <c r="F809" s="8">
        <f>SUM(F808)</f>
        <v>620</v>
      </c>
    </row>
    <row r="810" spans="1:6" s="9" customFormat="1" x14ac:dyDescent="0.25">
      <c r="B810" s="4"/>
      <c r="C810" s="5"/>
      <c r="E810" s="10"/>
      <c r="F810" s="10"/>
    </row>
    <row r="811" spans="1:6" s="9" customFormat="1" x14ac:dyDescent="0.25">
      <c r="A811" s="9" t="s">
        <v>586</v>
      </c>
      <c r="B811" s="4">
        <v>45881</v>
      </c>
      <c r="C811" s="5">
        <v>5</v>
      </c>
      <c r="D811" s="9" t="s">
        <v>12</v>
      </c>
      <c r="E811" s="10">
        <v>140</v>
      </c>
      <c r="F811" s="10">
        <f t="shared" si="12"/>
        <v>700</v>
      </c>
    </row>
    <row r="812" spans="1:6" s="9" customFormat="1" x14ac:dyDescent="0.25">
      <c r="B812" s="4"/>
      <c r="C812" s="5"/>
      <c r="E812" s="10"/>
      <c r="F812" s="8">
        <f>SUM(F811)</f>
        <v>700</v>
      </c>
    </row>
    <row r="813" spans="1:6" s="9" customFormat="1" x14ac:dyDescent="0.25">
      <c r="B813" s="4"/>
      <c r="C813" s="5"/>
      <c r="E813" s="10"/>
      <c r="F813" s="10"/>
    </row>
    <row r="814" spans="1:6" s="9" customFormat="1" x14ac:dyDescent="0.25">
      <c r="A814" s="9" t="s">
        <v>391</v>
      </c>
      <c r="B814" s="4">
        <v>45881</v>
      </c>
      <c r="C814" s="5">
        <v>10</v>
      </c>
      <c r="D814" s="9" t="s">
        <v>13</v>
      </c>
      <c r="E814" s="10">
        <v>150</v>
      </c>
      <c r="F814" s="10">
        <f t="shared" si="12"/>
        <v>1500</v>
      </c>
    </row>
    <row r="815" spans="1:6" s="9" customFormat="1" x14ac:dyDescent="0.25">
      <c r="B815" s="4"/>
      <c r="C815" s="5"/>
      <c r="E815" s="10"/>
      <c r="F815" s="8">
        <f>SUM(F814)</f>
        <v>1500</v>
      </c>
    </row>
    <row r="816" spans="1:6" s="9" customFormat="1" x14ac:dyDescent="0.25">
      <c r="B816" s="4"/>
      <c r="C816" s="5"/>
      <c r="E816" s="10"/>
      <c r="F816" s="10"/>
    </row>
    <row r="817" spans="1:6" s="9" customFormat="1" x14ac:dyDescent="0.25">
      <c r="A817" s="9" t="s">
        <v>391</v>
      </c>
      <c r="B817" s="4">
        <v>45881</v>
      </c>
      <c r="C817" s="5">
        <v>20</v>
      </c>
      <c r="D817" s="9" t="s">
        <v>13</v>
      </c>
      <c r="E817" s="10">
        <v>150</v>
      </c>
      <c r="F817" s="10">
        <f t="shared" si="12"/>
        <v>3000</v>
      </c>
    </row>
    <row r="818" spans="1:6" s="9" customFormat="1" x14ac:dyDescent="0.25">
      <c r="B818" s="4"/>
      <c r="C818" s="5"/>
      <c r="E818" s="10"/>
      <c r="F818" s="8">
        <f>SUM(F817)</f>
        <v>3000</v>
      </c>
    </row>
    <row r="819" spans="1:6" s="9" customFormat="1" x14ac:dyDescent="0.25">
      <c r="B819" s="4"/>
      <c r="C819" s="5"/>
      <c r="E819" s="10"/>
      <c r="F819" s="10"/>
    </row>
    <row r="820" spans="1:6" s="9" customFormat="1" x14ac:dyDescent="0.25">
      <c r="A820" s="9" t="s">
        <v>44</v>
      </c>
      <c r="B820" s="4">
        <v>45881</v>
      </c>
      <c r="C820" s="5">
        <v>80</v>
      </c>
      <c r="D820" s="9" t="s">
        <v>13</v>
      </c>
      <c r="E820" s="10">
        <v>145</v>
      </c>
      <c r="F820" s="10">
        <f t="shared" si="12"/>
        <v>11600</v>
      </c>
    </row>
    <row r="821" spans="1:6" s="9" customFormat="1" x14ac:dyDescent="0.25">
      <c r="B821" s="4"/>
      <c r="C821" s="5"/>
      <c r="E821" s="10"/>
      <c r="F821" s="8">
        <f>SUM(F820)</f>
        <v>11600</v>
      </c>
    </row>
    <row r="822" spans="1:6" s="9" customFormat="1" x14ac:dyDescent="0.25">
      <c r="B822" s="4"/>
      <c r="C822" s="5"/>
      <c r="E822" s="10"/>
      <c r="F822" s="10"/>
    </row>
    <row r="823" spans="1:6" s="9" customFormat="1" x14ac:dyDescent="0.25">
      <c r="A823" s="9" t="s">
        <v>69</v>
      </c>
      <c r="B823" s="4">
        <v>45881</v>
      </c>
      <c r="C823" s="5">
        <v>10</v>
      </c>
      <c r="D823" s="9" t="s">
        <v>8</v>
      </c>
      <c r="E823" s="10">
        <v>160</v>
      </c>
      <c r="F823" s="10">
        <f t="shared" si="12"/>
        <v>1600</v>
      </c>
    </row>
    <row r="824" spans="1:6" s="9" customFormat="1" x14ac:dyDescent="0.25">
      <c r="B824" s="4"/>
      <c r="C824" s="5">
        <v>4</v>
      </c>
      <c r="D824" s="9" t="s">
        <v>13</v>
      </c>
      <c r="E824" s="10">
        <v>155</v>
      </c>
      <c r="F824" s="10">
        <f t="shared" si="12"/>
        <v>620</v>
      </c>
    </row>
    <row r="825" spans="1:6" s="9" customFormat="1" x14ac:dyDescent="0.25">
      <c r="B825" s="4"/>
      <c r="C825" s="5"/>
      <c r="E825" s="10"/>
      <c r="F825" s="8">
        <f>SUM(F823:F824)</f>
        <v>2220</v>
      </c>
    </row>
    <row r="826" spans="1:6" s="9" customFormat="1" x14ac:dyDescent="0.25">
      <c r="B826" s="4"/>
      <c r="C826" s="5"/>
      <c r="E826" s="10"/>
      <c r="F826" s="10"/>
    </row>
    <row r="827" spans="1:6" s="9" customFormat="1" x14ac:dyDescent="0.25">
      <c r="A827" s="9" t="s">
        <v>259</v>
      </c>
      <c r="B827" s="4">
        <v>45881</v>
      </c>
      <c r="C827" s="5">
        <v>100</v>
      </c>
      <c r="D827" s="9" t="s">
        <v>475</v>
      </c>
      <c r="E827" s="10"/>
      <c r="F827" s="10">
        <f t="shared" si="12"/>
        <v>0</v>
      </c>
    </row>
    <row r="828" spans="1:6" s="9" customFormat="1" x14ac:dyDescent="0.25">
      <c r="B828" s="4"/>
      <c r="C828" s="5">
        <v>100</v>
      </c>
      <c r="D828" s="9" t="s">
        <v>416</v>
      </c>
      <c r="E828" s="10"/>
      <c r="F828" s="10">
        <f t="shared" si="12"/>
        <v>0</v>
      </c>
    </row>
    <row r="829" spans="1:6" s="9" customFormat="1" x14ac:dyDescent="0.25">
      <c r="B829" s="4"/>
      <c r="C829" s="5"/>
      <c r="E829" s="10"/>
      <c r="F829" s="8">
        <f>SUM(F827:F828)</f>
        <v>0</v>
      </c>
    </row>
    <row r="830" spans="1:6" s="9" customFormat="1" x14ac:dyDescent="0.25">
      <c r="B830" s="4"/>
      <c r="C830" s="5"/>
      <c r="E830" s="10"/>
      <c r="F830" s="10"/>
    </row>
    <row r="831" spans="1:6" s="9" customFormat="1" x14ac:dyDescent="0.25">
      <c r="A831" s="9" t="s">
        <v>48</v>
      </c>
      <c r="B831" s="4">
        <v>45881</v>
      </c>
      <c r="C831" s="5">
        <v>19</v>
      </c>
      <c r="D831" s="9" t="s">
        <v>857</v>
      </c>
      <c r="E831" s="10"/>
      <c r="F831" s="10">
        <f t="shared" si="12"/>
        <v>0</v>
      </c>
    </row>
    <row r="832" spans="1:6" s="9" customFormat="1" x14ac:dyDescent="0.25">
      <c r="B832" s="4"/>
      <c r="C832" s="5">
        <v>130</v>
      </c>
      <c r="D832" s="9" t="s">
        <v>476</v>
      </c>
      <c r="E832" s="10"/>
      <c r="F832" s="10">
        <f t="shared" si="12"/>
        <v>0</v>
      </c>
    </row>
    <row r="833" spans="1:6" s="9" customFormat="1" x14ac:dyDescent="0.25">
      <c r="B833" s="4"/>
      <c r="C833" s="5">
        <v>38</v>
      </c>
      <c r="D833" s="9" t="s">
        <v>258</v>
      </c>
      <c r="E833" s="10"/>
      <c r="F833" s="10">
        <f t="shared" si="12"/>
        <v>0</v>
      </c>
    </row>
    <row r="834" spans="1:6" s="9" customFormat="1" x14ac:dyDescent="0.25">
      <c r="B834" s="4"/>
      <c r="C834" s="5">
        <v>171</v>
      </c>
      <c r="D834" s="9" t="s">
        <v>50</v>
      </c>
      <c r="E834" s="10"/>
      <c r="F834" s="10">
        <f t="shared" si="12"/>
        <v>0</v>
      </c>
    </row>
    <row r="835" spans="1:6" s="9" customFormat="1" x14ac:dyDescent="0.25">
      <c r="B835" s="4"/>
      <c r="C835" s="5">
        <v>50</v>
      </c>
      <c r="D835" s="9" t="s">
        <v>22</v>
      </c>
      <c r="E835" s="10"/>
      <c r="F835" s="10">
        <f t="shared" si="12"/>
        <v>0</v>
      </c>
    </row>
    <row r="836" spans="1:6" s="9" customFormat="1" x14ac:dyDescent="0.25">
      <c r="B836" s="4"/>
      <c r="C836" s="5"/>
      <c r="E836" s="10"/>
      <c r="F836" s="8">
        <f>SUM(F831:F835)</f>
        <v>0</v>
      </c>
    </row>
    <row r="837" spans="1:6" s="9" customFormat="1" x14ac:dyDescent="0.25">
      <c r="B837" s="4"/>
      <c r="C837" s="5"/>
      <c r="E837" s="10"/>
      <c r="F837" s="10"/>
    </row>
    <row r="838" spans="1:6" s="9" customFormat="1" x14ac:dyDescent="0.25">
      <c r="A838" s="9" t="s">
        <v>245</v>
      </c>
      <c r="B838" s="4">
        <v>45881</v>
      </c>
      <c r="C838" s="5">
        <v>5</v>
      </c>
      <c r="D838" s="9" t="s">
        <v>13</v>
      </c>
      <c r="E838" s="10">
        <v>150</v>
      </c>
      <c r="F838" s="10">
        <f t="shared" si="12"/>
        <v>750</v>
      </c>
    </row>
    <row r="839" spans="1:6" s="9" customFormat="1" x14ac:dyDescent="0.25">
      <c r="B839" s="4"/>
      <c r="C839" s="5"/>
      <c r="E839" s="10"/>
      <c r="F839" s="8">
        <f>SUM(F838)</f>
        <v>750</v>
      </c>
    </row>
    <row r="840" spans="1:6" s="9" customFormat="1" x14ac:dyDescent="0.25">
      <c r="B840" s="4"/>
      <c r="C840" s="5"/>
      <c r="E840" s="10"/>
      <c r="F840" s="10"/>
    </row>
    <row r="841" spans="1:6" s="9" customFormat="1" x14ac:dyDescent="0.25">
      <c r="A841" s="9" t="s">
        <v>29</v>
      </c>
      <c r="B841" s="4">
        <v>45881</v>
      </c>
      <c r="C841" s="5">
        <v>1</v>
      </c>
      <c r="D841" s="9" t="s">
        <v>13</v>
      </c>
      <c r="E841" s="10">
        <v>160</v>
      </c>
      <c r="F841" s="10">
        <f t="shared" ref="F841:F901" si="13">+C841*E841</f>
        <v>160</v>
      </c>
    </row>
    <row r="842" spans="1:6" s="9" customFormat="1" x14ac:dyDescent="0.25">
      <c r="B842" s="4"/>
      <c r="C842" s="5">
        <v>6</v>
      </c>
      <c r="D842" s="9" t="s">
        <v>110</v>
      </c>
      <c r="E842" s="10">
        <v>3.3333333000000001</v>
      </c>
      <c r="F842" s="10">
        <f t="shared" si="13"/>
        <v>19.999999800000001</v>
      </c>
    </row>
    <row r="843" spans="1:6" s="9" customFormat="1" x14ac:dyDescent="0.25">
      <c r="B843" s="4"/>
      <c r="C843" s="5">
        <v>1</v>
      </c>
      <c r="D843" s="9" t="s">
        <v>13</v>
      </c>
      <c r="E843" s="10">
        <v>160</v>
      </c>
      <c r="F843" s="10">
        <f t="shared" si="13"/>
        <v>160</v>
      </c>
    </row>
    <row r="844" spans="1:6" s="9" customFormat="1" x14ac:dyDescent="0.25">
      <c r="B844" s="4"/>
      <c r="C844" s="5"/>
      <c r="E844" s="10"/>
      <c r="F844" s="8">
        <f>SUM(F841:F843)</f>
        <v>339.99999980000001</v>
      </c>
    </row>
    <row r="845" spans="1:6" s="9" customFormat="1" x14ac:dyDescent="0.25">
      <c r="B845" s="4"/>
      <c r="C845" s="5"/>
      <c r="E845" s="10"/>
      <c r="F845" s="10"/>
    </row>
    <row r="846" spans="1:6" s="9" customFormat="1" x14ac:dyDescent="0.25">
      <c r="A846" s="9" t="s">
        <v>7</v>
      </c>
      <c r="B846" s="4">
        <v>45881</v>
      </c>
      <c r="C846" s="5">
        <v>10</v>
      </c>
      <c r="D846" s="9" t="s">
        <v>858</v>
      </c>
      <c r="E846" s="10">
        <v>150</v>
      </c>
      <c r="F846" s="10">
        <f t="shared" si="13"/>
        <v>1500</v>
      </c>
    </row>
    <row r="847" spans="1:6" s="9" customFormat="1" x14ac:dyDescent="0.25">
      <c r="B847" s="4"/>
      <c r="C847" s="5"/>
      <c r="E847" s="10"/>
      <c r="F847" s="8">
        <f>SUM(F846)</f>
        <v>1500</v>
      </c>
    </row>
    <row r="848" spans="1:6" s="9" customFormat="1" x14ac:dyDescent="0.25">
      <c r="B848" s="4"/>
      <c r="C848" s="5"/>
      <c r="E848" s="10"/>
      <c r="F848" s="10"/>
    </row>
    <row r="849" spans="1:6" s="9" customFormat="1" x14ac:dyDescent="0.25">
      <c r="A849" s="9" t="s">
        <v>514</v>
      </c>
      <c r="B849" s="4">
        <v>45882</v>
      </c>
      <c r="C849" s="5">
        <v>15</v>
      </c>
      <c r="D849" s="9" t="s">
        <v>98</v>
      </c>
      <c r="E849" s="10">
        <v>100</v>
      </c>
      <c r="F849" s="10">
        <f t="shared" si="13"/>
        <v>1500</v>
      </c>
    </row>
    <row r="850" spans="1:6" s="9" customFormat="1" x14ac:dyDescent="0.25">
      <c r="B850" s="4"/>
      <c r="C850" s="5"/>
      <c r="E850" s="10"/>
      <c r="F850" s="8">
        <f>SUM(F849)</f>
        <v>1500</v>
      </c>
    </row>
    <row r="851" spans="1:6" s="9" customFormat="1" x14ac:dyDescent="0.25">
      <c r="B851" s="4"/>
      <c r="C851" s="5"/>
      <c r="E851" s="10"/>
      <c r="F851" s="10"/>
    </row>
    <row r="852" spans="1:6" s="9" customFormat="1" x14ac:dyDescent="0.25">
      <c r="A852" s="9" t="s">
        <v>15</v>
      </c>
      <c r="B852" s="4">
        <v>45882</v>
      </c>
      <c r="C852" s="5">
        <v>60</v>
      </c>
      <c r="D852" s="9" t="s">
        <v>98</v>
      </c>
      <c r="E852" s="10">
        <v>90</v>
      </c>
      <c r="F852" s="10">
        <f t="shared" si="13"/>
        <v>5400</v>
      </c>
    </row>
    <row r="853" spans="1:6" s="9" customFormat="1" x14ac:dyDescent="0.25">
      <c r="B853" s="4"/>
      <c r="C853" s="5"/>
      <c r="E853" s="10"/>
      <c r="F853" s="8">
        <f>SUM(F852)</f>
        <v>5400</v>
      </c>
    </row>
    <row r="854" spans="1:6" s="9" customFormat="1" x14ac:dyDescent="0.25">
      <c r="B854" s="4"/>
      <c r="C854" s="5"/>
      <c r="E854" s="10"/>
      <c r="F854" s="10"/>
    </row>
    <row r="855" spans="1:6" s="9" customFormat="1" x14ac:dyDescent="0.25">
      <c r="A855" s="9" t="s">
        <v>58</v>
      </c>
      <c r="B855" s="4">
        <v>45882</v>
      </c>
      <c r="C855" s="5">
        <v>9</v>
      </c>
      <c r="D855" s="9" t="s">
        <v>13</v>
      </c>
      <c r="E855" s="10">
        <v>150</v>
      </c>
      <c r="F855" s="10">
        <f t="shared" si="13"/>
        <v>1350</v>
      </c>
    </row>
    <row r="856" spans="1:6" s="9" customFormat="1" x14ac:dyDescent="0.25">
      <c r="B856" s="4"/>
      <c r="C856" s="5"/>
      <c r="E856" s="10"/>
      <c r="F856" s="8">
        <f>SUM(F855)</f>
        <v>1350</v>
      </c>
    </row>
    <row r="857" spans="1:6" s="9" customFormat="1" x14ac:dyDescent="0.25">
      <c r="B857" s="4"/>
      <c r="C857" s="5"/>
      <c r="E857" s="10"/>
      <c r="F857" s="10"/>
    </row>
    <row r="858" spans="1:6" s="9" customFormat="1" x14ac:dyDescent="0.25">
      <c r="A858" s="9" t="s">
        <v>406</v>
      </c>
      <c r="B858" s="4">
        <v>45882</v>
      </c>
      <c r="C858" s="5">
        <v>9</v>
      </c>
      <c r="D858" s="9" t="s">
        <v>8</v>
      </c>
      <c r="E858" s="10">
        <v>165</v>
      </c>
      <c r="F858" s="10">
        <f t="shared" si="13"/>
        <v>1485</v>
      </c>
    </row>
    <row r="859" spans="1:6" s="9" customFormat="1" x14ac:dyDescent="0.25">
      <c r="B859" s="4"/>
      <c r="C859" s="5"/>
      <c r="E859" s="10"/>
      <c r="F859" s="8">
        <f>SUM(F858)</f>
        <v>1485</v>
      </c>
    </row>
    <row r="860" spans="1:6" s="9" customFormat="1" x14ac:dyDescent="0.25">
      <c r="B860" s="4"/>
      <c r="C860" s="5"/>
      <c r="E860" s="10"/>
      <c r="F860" s="10"/>
    </row>
    <row r="861" spans="1:6" s="9" customFormat="1" x14ac:dyDescent="0.25">
      <c r="A861" s="9" t="s">
        <v>57</v>
      </c>
      <c r="B861" s="4">
        <v>45882</v>
      </c>
      <c r="C861" s="5">
        <v>10</v>
      </c>
      <c r="D861" s="9" t="s">
        <v>13</v>
      </c>
      <c r="E861" s="10">
        <v>155</v>
      </c>
      <c r="F861" s="10">
        <f t="shared" si="13"/>
        <v>1550</v>
      </c>
    </row>
    <row r="862" spans="1:6" s="9" customFormat="1" x14ac:dyDescent="0.25">
      <c r="B862" s="4"/>
      <c r="C862" s="5"/>
      <c r="E862" s="10"/>
      <c r="F862" s="8">
        <f>SUM(F861)</f>
        <v>1550</v>
      </c>
    </row>
    <row r="863" spans="1:6" s="9" customFormat="1" x14ac:dyDescent="0.25">
      <c r="B863" s="4"/>
      <c r="C863" s="5"/>
      <c r="E863" s="10"/>
      <c r="F863" s="10"/>
    </row>
    <row r="864" spans="1:6" s="9" customFormat="1" x14ac:dyDescent="0.25">
      <c r="A864" s="9" t="s">
        <v>21</v>
      </c>
      <c r="B864" s="4">
        <v>45882</v>
      </c>
      <c r="C864" s="5">
        <v>20</v>
      </c>
      <c r="D864" s="9" t="s">
        <v>12</v>
      </c>
      <c r="E864" s="10">
        <v>145</v>
      </c>
      <c r="F864" s="10">
        <f t="shared" si="13"/>
        <v>2900</v>
      </c>
    </row>
    <row r="865" spans="1:6" s="9" customFormat="1" x14ac:dyDescent="0.25">
      <c r="B865" s="4"/>
      <c r="C865" s="5"/>
      <c r="E865" s="10"/>
      <c r="F865" s="8">
        <f>SUM(F864)</f>
        <v>2900</v>
      </c>
    </row>
    <row r="866" spans="1:6" s="9" customFormat="1" x14ac:dyDescent="0.25">
      <c r="B866" s="4"/>
      <c r="C866" s="5"/>
      <c r="E866" s="10"/>
      <c r="F866" s="10"/>
    </row>
    <row r="867" spans="1:6" s="9" customFormat="1" x14ac:dyDescent="0.25">
      <c r="A867" s="9" t="s">
        <v>17</v>
      </c>
      <c r="B867" s="4">
        <v>45882</v>
      </c>
      <c r="C867" s="5">
        <v>30</v>
      </c>
      <c r="D867" s="9" t="s">
        <v>13</v>
      </c>
      <c r="E867" s="10">
        <v>155</v>
      </c>
      <c r="F867" s="10">
        <f t="shared" si="13"/>
        <v>4650</v>
      </c>
    </row>
    <row r="868" spans="1:6" s="9" customFormat="1" x14ac:dyDescent="0.25">
      <c r="B868" s="4"/>
      <c r="C868" s="5"/>
      <c r="E868" s="10"/>
      <c r="F868" s="8">
        <f>SUM(F867)</f>
        <v>4650</v>
      </c>
    </row>
    <row r="869" spans="1:6" s="9" customFormat="1" x14ac:dyDescent="0.25">
      <c r="B869" s="4"/>
      <c r="C869" s="5"/>
      <c r="E869" s="10"/>
      <c r="F869" s="10"/>
    </row>
    <row r="870" spans="1:6" s="9" customFormat="1" x14ac:dyDescent="0.25">
      <c r="A870" s="9" t="s">
        <v>20</v>
      </c>
      <c r="B870" s="4">
        <v>45882</v>
      </c>
      <c r="C870" s="5">
        <v>20</v>
      </c>
      <c r="D870" s="9" t="s">
        <v>13</v>
      </c>
      <c r="E870" s="10">
        <v>155</v>
      </c>
      <c r="F870" s="10">
        <f t="shared" si="13"/>
        <v>3100</v>
      </c>
    </row>
    <row r="871" spans="1:6" s="9" customFormat="1" x14ac:dyDescent="0.25">
      <c r="B871" s="4"/>
      <c r="C871" s="5"/>
      <c r="E871" s="10"/>
      <c r="F871" s="8">
        <f>SUM(F870)</f>
        <v>3100</v>
      </c>
    </row>
    <row r="872" spans="1:6" s="9" customFormat="1" x14ac:dyDescent="0.25">
      <c r="B872" s="4"/>
      <c r="C872" s="5"/>
      <c r="E872" s="10"/>
      <c r="F872" s="10"/>
    </row>
    <row r="873" spans="1:6" s="9" customFormat="1" x14ac:dyDescent="0.25">
      <c r="A873" s="9" t="s">
        <v>40</v>
      </c>
      <c r="B873" s="4">
        <v>45882</v>
      </c>
      <c r="C873" s="5">
        <v>10</v>
      </c>
      <c r="D873" s="9" t="s">
        <v>50</v>
      </c>
      <c r="E873" s="10">
        <v>125</v>
      </c>
      <c r="F873" s="10">
        <f t="shared" si="13"/>
        <v>1250</v>
      </c>
    </row>
    <row r="874" spans="1:6" s="9" customFormat="1" x14ac:dyDescent="0.25">
      <c r="B874" s="4"/>
      <c r="C874" s="5"/>
      <c r="E874" s="10"/>
      <c r="F874" s="8">
        <f>SUM(F873)</f>
        <v>1250</v>
      </c>
    </row>
    <row r="875" spans="1:6" s="9" customFormat="1" x14ac:dyDescent="0.25">
      <c r="B875" s="4"/>
      <c r="C875" s="5"/>
      <c r="E875" s="10"/>
      <c r="F875" s="10"/>
    </row>
    <row r="876" spans="1:6" s="9" customFormat="1" x14ac:dyDescent="0.25">
      <c r="A876" s="9" t="s">
        <v>18</v>
      </c>
      <c r="B876" s="4">
        <v>45882</v>
      </c>
      <c r="C876" s="5">
        <v>7</v>
      </c>
      <c r="D876" s="9" t="s">
        <v>13</v>
      </c>
      <c r="E876" s="10">
        <v>155</v>
      </c>
      <c r="F876" s="10">
        <f t="shared" si="13"/>
        <v>1085</v>
      </c>
    </row>
    <row r="877" spans="1:6" s="9" customFormat="1" x14ac:dyDescent="0.25">
      <c r="B877" s="4"/>
      <c r="C877" s="5"/>
      <c r="E877" s="10"/>
      <c r="F877" s="8">
        <f>SUM(F876)</f>
        <v>1085</v>
      </c>
    </row>
    <row r="878" spans="1:6" s="9" customFormat="1" x14ac:dyDescent="0.25">
      <c r="B878" s="4"/>
      <c r="C878" s="5"/>
      <c r="E878" s="10"/>
      <c r="F878" s="10"/>
    </row>
    <row r="879" spans="1:6" s="9" customFormat="1" x14ac:dyDescent="0.25">
      <c r="A879" s="9" t="s">
        <v>591</v>
      </c>
      <c r="B879" s="4">
        <v>45882</v>
      </c>
      <c r="C879" s="5">
        <v>4</v>
      </c>
      <c r="D879" s="9" t="s">
        <v>13</v>
      </c>
      <c r="E879" s="10">
        <v>150</v>
      </c>
      <c r="F879" s="10">
        <f t="shared" si="13"/>
        <v>600</v>
      </c>
    </row>
    <row r="880" spans="1:6" s="9" customFormat="1" x14ac:dyDescent="0.25">
      <c r="B880" s="4"/>
      <c r="C880" s="5"/>
      <c r="E880" s="10"/>
      <c r="F880" s="8">
        <f>SUM(F879)</f>
        <v>600</v>
      </c>
    </row>
    <row r="881" spans="1:6" s="9" customFormat="1" x14ac:dyDescent="0.25">
      <c r="B881" s="4"/>
      <c r="C881" s="5"/>
      <c r="E881" s="10"/>
      <c r="F881" s="10"/>
    </row>
    <row r="882" spans="1:6" s="9" customFormat="1" x14ac:dyDescent="0.25">
      <c r="A882" s="9" t="s">
        <v>44</v>
      </c>
      <c r="B882" s="4">
        <v>45882</v>
      </c>
      <c r="C882" s="5">
        <v>10</v>
      </c>
      <c r="D882" s="9" t="s">
        <v>13</v>
      </c>
      <c r="E882" s="10">
        <v>150</v>
      </c>
      <c r="F882" s="10">
        <f t="shared" si="13"/>
        <v>1500</v>
      </c>
    </row>
    <row r="883" spans="1:6" s="9" customFormat="1" x14ac:dyDescent="0.25">
      <c r="B883" s="4"/>
      <c r="C883" s="5"/>
      <c r="E883" s="10"/>
      <c r="F883" s="8">
        <f>SUM(F882)</f>
        <v>1500</v>
      </c>
    </row>
    <row r="884" spans="1:6" s="9" customFormat="1" x14ac:dyDescent="0.25">
      <c r="B884" s="4"/>
      <c r="C884" s="5"/>
      <c r="E884" s="10"/>
      <c r="F884" s="10"/>
    </row>
    <row r="885" spans="1:6" s="9" customFormat="1" x14ac:dyDescent="0.25">
      <c r="A885" s="9" t="s">
        <v>41</v>
      </c>
      <c r="B885" s="4">
        <v>45882</v>
      </c>
      <c r="C885" s="5">
        <v>35</v>
      </c>
      <c r="D885" s="9" t="s">
        <v>14</v>
      </c>
      <c r="E885" s="10">
        <v>140</v>
      </c>
      <c r="F885" s="10">
        <f t="shared" si="13"/>
        <v>4900</v>
      </c>
    </row>
    <row r="886" spans="1:6" s="9" customFormat="1" x14ac:dyDescent="0.25">
      <c r="B886" s="4"/>
      <c r="C886" s="5"/>
      <c r="E886" s="10"/>
      <c r="F886" s="8">
        <f>SUM(F885)</f>
        <v>4900</v>
      </c>
    </row>
    <row r="887" spans="1:6" s="9" customFormat="1" x14ac:dyDescent="0.25">
      <c r="B887" s="4"/>
      <c r="C887" s="5"/>
      <c r="E887" s="10"/>
      <c r="F887" s="10"/>
    </row>
    <row r="888" spans="1:6" s="9" customFormat="1" x14ac:dyDescent="0.25">
      <c r="A888" s="9" t="s">
        <v>43</v>
      </c>
      <c r="B888" s="4">
        <v>45882</v>
      </c>
      <c r="C888" s="5">
        <v>10</v>
      </c>
      <c r="D888" s="9" t="s">
        <v>13</v>
      </c>
      <c r="E888" s="10">
        <v>150</v>
      </c>
      <c r="F888" s="10">
        <f t="shared" si="13"/>
        <v>1500</v>
      </c>
    </row>
    <row r="889" spans="1:6" s="9" customFormat="1" x14ac:dyDescent="0.25">
      <c r="B889" s="4"/>
      <c r="C889" s="5">
        <v>40</v>
      </c>
      <c r="D889" s="9" t="s">
        <v>49</v>
      </c>
      <c r="E889" s="10">
        <v>155</v>
      </c>
      <c r="F889" s="10">
        <f t="shared" si="13"/>
        <v>6200</v>
      </c>
    </row>
    <row r="890" spans="1:6" s="9" customFormat="1" x14ac:dyDescent="0.25">
      <c r="B890" s="4"/>
      <c r="C890" s="5"/>
      <c r="E890" s="10"/>
      <c r="F890" s="8">
        <f>SUM(F888:F889)</f>
        <v>7700</v>
      </c>
    </row>
    <row r="891" spans="1:6" s="9" customFormat="1" x14ac:dyDescent="0.25">
      <c r="B891" s="4"/>
      <c r="C891" s="5"/>
      <c r="E891" s="10"/>
      <c r="F891" s="10"/>
    </row>
    <row r="892" spans="1:6" s="9" customFormat="1" x14ac:dyDescent="0.25">
      <c r="A892" s="9" t="s">
        <v>44</v>
      </c>
      <c r="B892" s="4">
        <v>45882</v>
      </c>
      <c r="C892" s="5">
        <v>40</v>
      </c>
      <c r="D892" s="9" t="s">
        <v>14</v>
      </c>
      <c r="E892" s="10">
        <v>145</v>
      </c>
      <c r="F892" s="10">
        <f t="shared" si="13"/>
        <v>5800</v>
      </c>
    </row>
    <row r="893" spans="1:6" s="9" customFormat="1" x14ac:dyDescent="0.25">
      <c r="B893" s="4"/>
      <c r="C893" s="5"/>
      <c r="E893" s="10"/>
      <c r="F893" s="8">
        <f>SUM(F892)</f>
        <v>5800</v>
      </c>
    </row>
    <row r="894" spans="1:6" s="9" customFormat="1" x14ac:dyDescent="0.25">
      <c r="B894" s="4"/>
      <c r="C894" s="5"/>
      <c r="E894" s="10"/>
      <c r="F894" s="10"/>
    </row>
    <row r="895" spans="1:6" s="9" customFormat="1" x14ac:dyDescent="0.25">
      <c r="A895" s="9" t="s">
        <v>107</v>
      </c>
      <c r="B895" s="4">
        <v>45882</v>
      </c>
      <c r="C895" s="5">
        <v>48</v>
      </c>
      <c r="D895" s="9" t="s">
        <v>11</v>
      </c>
      <c r="E895" s="10">
        <v>140</v>
      </c>
      <c r="F895" s="10">
        <f t="shared" si="13"/>
        <v>6720</v>
      </c>
    </row>
    <row r="896" spans="1:6" s="9" customFormat="1" x14ac:dyDescent="0.25">
      <c r="B896" s="4"/>
      <c r="C896" s="5"/>
      <c r="E896" s="10"/>
      <c r="F896" s="8">
        <f>SUM(F895)</f>
        <v>6720</v>
      </c>
    </row>
    <row r="897" spans="1:6" s="9" customFormat="1" x14ac:dyDescent="0.25">
      <c r="B897" s="4"/>
      <c r="C897" s="5"/>
      <c r="E897" s="10"/>
      <c r="F897" s="10"/>
    </row>
    <row r="898" spans="1:6" s="9" customFormat="1" x14ac:dyDescent="0.25">
      <c r="A898" s="9" t="s">
        <v>273</v>
      </c>
      <c r="B898" s="4">
        <v>45882</v>
      </c>
      <c r="C898" s="5">
        <v>10</v>
      </c>
      <c r="D898" s="9" t="s">
        <v>14</v>
      </c>
      <c r="E898" s="10">
        <v>150</v>
      </c>
      <c r="F898" s="10">
        <f t="shared" si="13"/>
        <v>1500</v>
      </c>
    </row>
    <row r="899" spans="1:6" s="9" customFormat="1" x14ac:dyDescent="0.25">
      <c r="B899" s="4"/>
      <c r="C899" s="5"/>
      <c r="E899" s="10"/>
      <c r="F899" s="8">
        <f>SUM(F898)</f>
        <v>1500</v>
      </c>
    </row>
    <row r="900" spans="1:6" s="9" customFormat="1" x14ac:dyDescent="0.25">
      <c r="B900" s="4"/>
      <c r="C900" s="5"/>
      <c r="E900" s="10"/>
      <c r="F900" s="10"/>
    </row>
    <row r="901" spans="1:6" s="9" customFormat="1" x14ac:dyDescent="0.25">
      <c r="A901" s="9" t="s">
        <v>46</v>
      </c>
      <c r="B901" s="4">
        <v>45882</v>
      </c>
      <c r="C901" s="5">
        <v>10</v>
      </c>
      <c r="D901" s="9" t="s">
        <v>14</v>
      </c>
      <c r="E901" s="10">
        <v>150</v>
      </c>
      <c r="F901" s="10">
        <f t="shared" si="13"/>
        <v>1500</v>
      </c>
    </row>
    <row r="902" spans="1:6" s="9" customFormat="1" x14ac:dyDescent="0.25">
      <c r="B902" s="4"/>
      <c r="C902" s="5"/>
      <c r="E902" s="10"/>
      <c r="F902" s="8">
        <f>SUM(F901)</f>
        <v>1500</v>
      </c>
    </row>
    <row r="903" spans="1:6" s="9" customFormat="1" x14ac:dyDescent="0.25">
      <c r="B903" s="4"/>
      <c r="C903" s="5"/>
      <c r="E903" s="10"/>
      <c r="F903" s="10"/>
    </row>
    <row r="904" spans="1:6" s="9" customFormat="1" x14ac:dyDescent="0.25">
      <c r="A904" s="9" t="s">
        <v>145</v>
      </c>
      <c r="B904" s="4">
        <v>45882</v>
      </c>
      <c r="C904" s="5">
        <v>40</v>
      </c>
      <c r="D904" s="9" t="s">
        <v>14</v>
      </c>
      <c r="E904" s="10">
        <v>150</v>
      </c>
      <c r="F904" s="10">
        <f t="shared" ref="F904:F966" si="14">+C904*E904</f>
        <v>6000</v>
      </c>
    </row>
    <row r="905" spans="1:6" s="9" customFormat="1" x14ac:dyDescent="0.25">
      <c r="B905" s="4"/>
      <c r="C905" s="5"/>
      <c r="E905" s="10"/>
      <c r="F905" s="8">
        <f>SUM(F904)</f>
        <v>6000</v>
      </c>
    </row>
    <row r="906" spans="1:6" s="9" customFormat="1" x14ac:dyDescent="0.25">
      <c r="B906" s="4"/>
      <c r="C906" s="5"/>
      <c r="E906" s="10"/>
      <c r="F906" s="10"/>
    </row>
    <row r="907" spans="1:6" s="9" customFormat="1" x14ac:dyDescent="0.25">
      <c r="A907" s="9" t="s">
        <v>45</v>
      </c>
      <c r="B907" s="4">
        <v>45882</v>
      </c>
      <c r="C907" s="5">
        <v>5</v>
      </c>
      <c r="D907" s="9" t="s">
        <v>14</v>
      </c>
      <c r="E907" s="10">
        <v>150</v>
      </c>
      <c r="F907" s="10">
        <f t="shared" si="14"/>
        <v>750</v>
      </c>
    </row>
    <row r="908" spans="1:6" s="9" customFormat="1" x14ac:dyDescent="0.25">
      <c r="B908" s="4"/>
      <c r="C908" s="5"/>
      <c r="E908" s="10"/>
      <c r="F908" s="8">
        <f>SUM(F907)</f>
        <v>750</v>
      </c>
    </row>
    <row r="909" spans="1:6" s="9" customFormat="1" x14ac:dyDescent="0.25">
      <c r="B909" s="4"/>
      <c r="C909" s="5"/>
      <c r="E909" s="10"/>
      <c r="F909" s="10"/>
    </row>
    <row r="910" spans="1:6" s="9" customFormat="1" x14ac:dyDescent="0.25">
      <c r="A910" s="9" t="s">
        <v>32</v>
      </c>
      <c r="B910" s="4">
        <v>45882</v>
      </c>
      <c r="C910" s="5">
        <v>10</v>
      </c>
      <c r="D910" s="9" t="s">
        <v>13</v>
      </c>
      <c r="E910" s="10">
        <v>150</v>
      </c>
      <c r="F910" s="10">
        <f t="shared" si="14"/>
        <v>1500</v>
      </c>
    </row>
    <row r="911" spans="1:6" s="9" customFormat="1" x14ac:dyDescent="0.25">
      <c r="B911" s="4"/>
      <c r="C911" s="5"/>
      <c r="E911" s="10"/>
      <c r="F911" s="8">
        <f>SUM(F910)</f>
        <v>1500</v>
      </c>
    </row>
    <row r="912" spans="1:6" s="9" customFormat="1" x14ac:dyDescent="0.25">
      <c r="B912" s="4"/>
      <c r="C912" s="5"/>
      <c r="E912" s="10"/>
      <c r="F912" s="10"/>
    </row>
    <row r="913" spans="1:6" s="9" customFormat="1" x14ac:dyDescent="0.25">
      <c r="A913" s="9" t="s">
        <v>239</v>
      </c>
      <c r="B913" s="4">
        <v>45882</v>
      </c>
      <c r="C913" s="5">
        <v>250</v>
      </c>
      <c r="D913" s="9" t="s">
        <v>13</v>
      </c>
      <c r="E913" s="10">
        <v>145</v>
      </c>
      <c r="F913" s="10">
        <f t="shared" si="14"/>
        <v>36250</v>
      </c>
    </row>
    <row r="914" spans="1:6" s="9" customFormat="1" x14ac:dyDescent="0.25">
      <c r="B914" s="4"/>
      <c r="C914" s="5">
        <v>100</v>
      </c>
      <c r="D914" s="9" t="s">
        <v>12</v>
      </c>
      <c r="E914" s="10">
        <v>140</v>
      </c>
      <c r="F914" s="10">
        <f t="shared" si="14"/>
        <v>14000</v>
      </c>
    </row>
    <row r="915" spans="1:6" s="9" customFormat="1" x14ac:dyDescent="0.25">
      <c r="B915" s="4"/>
      <c r="C915" s="5">
        <v>20</v>
      </c>
      <c r="D915" s="9" t="s">
        <v>14</v>
      </c>
      <c r="E915" s="10">
        <v>140</v>
      </c>
      <c r="F915" s="10">
        <f t="shared" si="14"/>
        <v>2800</v>
      </c>
    </row>
    <row r="916" spans="1:6" s="9" customFormat="1" x14ac:dyDescent="0.25">
      <c r="B916" s="4"/>
      <c r="C916" s="5">
        <v>80</v>
      </c>
      <c r="D916" s="9" t="s">
        <v>11</v>
      </c>
      <c r="E916" s="10">
        <v>135</v>
      </c>
      <c r="F916" s="10">
        <f t="shared" si="14"/>
        <v>10800</v>
      </c>
    </row>
    <row r="917" spans="1:6" s="9" customFormat="1" x14ac:dyDescent="0.25">
      <c r="B917" s="4"/>
      <c r="C917" s="5"/>
      <c r="E917" s="10"/>
      <c r="F917" s="8">
        <f>SUM(F913:F916)</f>
        <v>63850</v>
      </c>
    </row>
    <row r="918" spans="1:6" s="9" customFormat="1" x14ac:dyDescent="0.25">
      <c r="B918" s="4"/>
      <c r="C918" s="5"/>
      <c r="E918" s="10"/>
      <c r="F918" s="10"/>
    </row>
    <row r="919" spans="1:6" s="9" customFormat="1" x14ac:dyDescent="0.25">
      <c r="A919" s="4" t="s">
        <v>76</v>
      </c>
      <c r="B919" s="4">
        <v>45882</v>
      </c>
      <c r="C919" s="5">
        <v>50</v>
      </c>
      <c r="D919" s="9" t="s">
        <v>12</v>
      </c>
      <c r="E919" s="10">
        <v>135</v>
      </c>
      <c r="F919" s="10">
        <f t="shared" si="14"/>
        <v>6750</v>
      </c>
    </row>
    <row r="920" spans="1:6" s="9" customFormat="1" x14ac:dyDescent="0.25">
      <c r="B920" s="4"/>
      <c r="C920" s="5">
        <v>50</v>
      </c>
      <c r="D920" s="9" t="s">
        <v>50</v>
      </c>
      <c r="E920" s="10">
        <v>105</v>
      </c>
      <c r="F920" s="10">
        <f t="shared" si="14"/>
        <v>5250</v>
      </c>
    </row>
    <row r="921" spans="1:6" s="9" customFormat="1" x14ac:dyDescent="0.25">
      <c r="B921" s="4"/>
      <c r="C921" s="5">
        <v>70</v>
      </c>
      <c r="D921" s="9" t="s">
        <v>11</v>
      </c>
      <c r="E921" s="10">
        <v>130</v>
      </c>
      <c r="F921" s="10">
        <f t="shared" si="14"/>
        <v>9100</v>
      </c>
    </row>
    <row r="922" spans="1:6" s="9" customFormat="1" x14ac:dyDescent="0.25">
      <c r="B922" s="4"/>
      <c r="C922" s="5">
        <v>20</v>
      </c>
      <c r="D922" s="9" t="s">
        <v>13</v>
      </c>
      <c r="E922" s="10">
        <v>140</v>
      </c>
      <c r="F922" s="10">
        <f t="shared" si="14"/>
        <v>2800</v>
      </c>
    </row>
    <row r="923" spans="1:6" s="9" customFormat="1" x14ac:dyDescent="0.25">
      <c r="B923" s="4"/>
      <c r="C923" s="5">
        <v>40</v>
      </c>
      <c r="D923" s="9" t="s">
        <v>14</v>
      </c>
      <c r="E923" s="10">
        <v>135</v>
      </c>
      <c r="F923" s="10">
        <f t="shared" si="14"/>
        <v>5400</v>
      </c>
    </row>
    <row r="924" spans="1:6" s="9" customFormat="1" x14ac:dyDescent="0.25">
      <c r="B924" s="4"/>
      <c r="C924" s="5">
        <v>40</v>
      </c>
      <c r="D924" s="9" t="s">
        <v>14</v>
      </c>
      <c r="E924" s="10">
        <v>140</v>
      </c>
      <c r="F924" s="10">
        <f t="shared" si="14"/>
        <v>5600</v>
      </c>
    </row>
    <row r="925" spans="1:6" s="9" customFormat="1" x14ac:dyDescent="0.25">
      <c r="B925" s="4"/>
      <c r="C925" s="5"/>
      <c r="E925" s="10"/>
      <c r="F925" s="8">
        <f>SUM(F919:F924)</f>
        <v>34900</v>
      </c>
    </row>
    <row r="926" spans="1:6" s="9" customFormat="1" x14ac:dyDescent="0.25">
      <c r="B926" s="4"/>
      <c r="C926" s="5"/>
      <c r="E926" s="10"/>
      <c r="F926" s="10"/>
    </row>
    <row r="927" spans="1:6" s="9" customFormat="1" x14ac:dyDescent="0.25">
      <c r="A927" s="9" t="s">
        <v>29</v>
      </c>
      <c r="B927" s="4">
        <v>45882</v>
      </c>
      <c r="C927" s="5">
        <v>1</v>
      </c>
      <c r="D927" s="9" t="s">
        <v>12</v>
      </c>
      <c r="E927" s="10">
        <v>150</v>
      </c>
      <c r="F927" s="10">
        <f t="shared" si="14"/>
        <v>150</v>
      </c>
    </row>
    <row r="928" spans="1:6" s="9" customFormat="1" x14ac:dyDescent="0.25">
      <c r="B928" s="4"/>
      <c r="C928" s="5">
        <v>1</v>
      </c>
      <c r="D928" s="9" t="s">
        <v>449</v>
      </c>
      <c r="E928" s="10">
        <v>150</v>
      </c>
      <c r="F928" s="10">
        <f t="shared" si="14"/>
        <v>150</v>
      </c>
    </row>
    <row r="929" spans="1:6" s="9" customFormat="1" x14ac:dyDescent="0.25">
      <c r="B929" s="4"/>
      <c r="C929" s="5"/>
      <c r="E929" s="10"/>
      <c r="F929" s="8">
        <f>SUM(F927:F928)</f>
        <v>300</v>
      </c>
    </row>
    <row r="930" spans="1:6" s="9" customFormat="1" x14ac:dyDescent="0.25">
      <c r="B930" s="4"/>
      <c r="C930" s="5"/>
      <c r="E930" s="10"/>
      <c r="F930" s="10"/>
    </row>
    <row r="931" spans="1:6" s="9" customFormat="1" x14ac:dyDescent="0.25">
      <c r="A931" s="9" t="s">
        <v>7</v>
      </c>
      <c r="B931" s="4">
        <v>45882</v>
      </c>
      <c r="C931" s="5">
        <v>2</v>
      </c>
      <c r="D931" s="9" t="s">
        <v>12</v>
      </c>
      <c r="E931" s="10">
        <v>15</v>
      </c>
      <c r="F931" s="10">
        <f t="shared" si="14"/>
        <v>30</v>
      </c>
    </row>
    <row r="932" spans="1:6" s="9" customFormat="1" x14ac:dyDescent="0.25">
      <c r="B932" s="4"/>
      <c r="C932" s="5">
        <v>1</v>
      </c>
      <c r="D932" s="9" t="s">
        <v>13</v>
      </c>
      <c r="E932" s="10">
        <v>160</v>
      </c>
      <c r="F932" s="10">
        <f t="shared" si="14"/>
        <v>160</v>
      </c>
    </row>
    <row r="933" spans="1:6" s="9" customFormat="1" x14ac:dyDescent="0.25">
      <c r="B933" s="4"/>
      <c r="C933" s="5">
        <v>1</v>
      </c>
      <c r="D933" s="9" t="s">
        <v>8</v>
      </c>
      <c r="E933" s="10">
        <v>170</v>
      </c>
      <c r="F933" s="10">
        <f t="shared" si="14"/>
        <v>170</v>
      </c>
    </row>
    <row r="934" spans="1:6" s="9" customFormat="1" x14ac:dyDescent="0.25">
      <c r="B934" s="4"/>
      <c r="C934" s="5"/>
      <c r="E934" s="10"/>
      <c r="F934" s="8">
        <f>SUM(F931:F933)</f>
        <v>360</v>
      </c>
    </row>
    <row r="935" spans="1:6" s="9" customFormat="1" x14ac:dyDescent="0.25">
      <c r="B935" s="4"/>
      <c r="C935" s="5"/>
      <c r="E935" s="10"/>
      <c r="F935" s="10"/>
    </row>
    <row r="936" spans="1:6" s="9" customFormat="1" x14ac:dyDescent="0.25">
      <c r="A936" s="9" t="s">
        <v>174</v>
      </c>
      <c r="B936" s="4">
        <v>45883</v>
      </c>
      <c r="C936" s="5">
        <v>100</v>
      </c>
      <c r="D936" s="9" t="s">
        <v>12</v>
      </c>
      <c r="E936" s="10">
        <v>140</v>
      </c>
      <c r="F936" s="10">
        <f t="shared" si="14"/>
        <v>14000</v>
      </c>
    </row>
    <row r="937" spans="1:6" s="9" customFormat="1" x14ac:dyDescent="0.25">
      <c r="B937" s="4"/>
      <c r="C937" s="5">
        <v>30</v>
      </c>
      <c r="D937" s="9" t="s">
        <v>22</v>
      </c>
      <c r="E937" s="10">
        <v>120</v>
      </c>
      <c r="F937" s="10">
        <f t="shared" si="14"/>
        <v>3600</v>
      </c>
    </row>
    <row r="938" spans="1:6" s="9" customFormat="1" x14ac:dyDescent="0.25">
      <c r="B938" s="4"/>
      <c r="C938" s="5"/>
      <c r="E938" s="10"/>
      <c r="F938" s="8">
        <f>SUM(F936:F937)</f>
        <v>17600</v>
      </c>
    </row>
    <row r="939" spans="1:6" s="9" customFormat="1" x14ac:dyDescent="0.25">
      <c r="B939" s="4"/>
      <c r="C939" s="5"/>
      <c r="E939" s="10"/>
      <c r="F939" s="10"/>
    </row>
    <row r="940" spans="1:6" s="9" customFormat="1" x14ac:dyDescent="0.25">
      <c r="A940" s="9" t="s">
        <v>859</v>
      </c>
      <c r="B940" s="4">
        <v>45883</v>
      </c>
      <c r="C940" s="5">
        <v>60</v>
      </c>
      <c r="D940" s="9" t="s">
        <v>22</v>
      </c>
      <c r="E940" s="10">
        <v>130</v>
      </c>
      <c r="F940" s="10">
        <f t="shared" si="14"/>
        <v>7800</v>
      </c>
    </row>
    <row r="941" spans="1:6" s="9" customFormat="1" x14ac:dyDescent="0.25">
      <c r="B941" s="4"/>
      <c r="C941" s="5">
        <v>90</v>
      </c>
      <c r="D941" s="9" t="s">
        <v>12</v>
      </c>
      <c r="E941" s="10">
        <v>140</v>
      </c>
      <c r="F941" s="10">
        <f t="shared" si="14"/>
        <v>12600</v>
      </c>
    </row>
    <row r="942" spans="1:6" s="9" customFormat="1" x14ac:dyDescent="0.25">
      <c r="B942" s="4"/>
      <c r="C942" s="5">
        <v>80</v>
      </c>
      <c r="D942" s="9" t="s">
        <v>11</v>
      </c>
      <c r="E942" s="10">
        <v>140</v>
      </c>
      <c r="F942" s="10">
        <f t="shared" si="14"/>
        <v>11200</v>
      </c>
    </row>
    <row r="943" spans="1:6" s="9" customFormat="1" x14ac:dyDescent="0.25">
      <c r="B943" s="4"/>
      <c r="C943" s="5">
        <v>20</v>
      </c>
      <c r="D943" s="9" t="s">
        <v>50</v>
      </c>
      <c r="E943" s="10">
        <v>120</v>
      </c>
      <c r="F943" s="10">
        <f t="shared" si="14"/>
        <v>2400</v>
      </c>
    </row>
    <row r="944" spans="1:6" s="9" customFormat="1" x14ac:dyDescent="0.25">
      <c r="B944" s="4"/>
      <c r="C944" s="5">
        <v>100</v>
      </c>
      <c r="D944" s="9" t="s">
        <v>98</v>
      </c>
      <c r="E944" s="10">
        <v>110</v>
      </c>
      <c r="F944" s="10">
        <f t="shared" si="14"/>
        <v>11000</v>
      </c>
    </row>
    <row r="945" spans="1:6" s="9" customFormat="1" x14ac:dyDescent="0.25">
      <c r="B945" s="4"/>
      <c r="C945" s="5"/>
      <c r="E945" s="10"/>
      <c r="F945" s="8">
        <f>SUM(F940:F944)</f>
        <v>45000</v>
      </c>
    </row>
    <row r="946" spans="1:6" s="9" customFormat="1" x14ac:dyDescent="0.25">
      <c r="B946" s="4"/>
      <c r="C946" s="5"/>
      <c r="E946" s="10"/>
      <c r="F946" s="10"/>
    </row>
    <row r="947" spans="1:6" s="9" customFormat="1" x14ac:dyDescent="0.25">
      <c r="A947" s="9" t="s">
        <v>860</v>
      </c>
      <c r="B947" s="4">
        <v>45883</v>
      </c>
      <c r="C947" s="5">
        <v>5</v>
      </c>
      <c r="D947" s="9" t="s">
        <v>8</v>
      </c>
      <c r="E947" s="10">
        <v>170</v>
      </c>
      <c r="F947" s="10">
        <f t="shared" si="14"/>
        <v>850</v>
      </c>
    </row>
    <row r="948" spans="1:6" s="9" customFormat="1" x14ac:dyDescent="0.25">
      <c r="B948" s="4"/>
      <c r="C948" s="5"/>
      <c r="E948" s="10"/>
      <c r="F948" s="8">
        <f>SUM(F947)</f>
        <v>850</v>
      </c>
    </row>
    <row r="949" spans="1:6" s="9" customFormat="1" x14ac:dyDescent="0.25">
      <c r="B949" s="4"/>
      <c r="C949" s="5"/>
      <c r="E949" s="10"/>
      <c r="F949" s="10"/>
    </row>
    <row r="950" spans="1:6" s="9" customFormat="1" x14ac:dyDescent="0.25">
      <c r="A950" s="9" t="s">
        <v>61</v>
      </c>
      <c r="B950" s="4">
        <v>45883</v>
      </c>
      <c r="C950" s="5">
        <v>40</v>
      </c>
      <c r="D950" s="9" t="s">
        <v>13</v>
      </c>
      <c r="E950" s="10">
        <v>150</v>
      </c>
      <c r="F950" s="10">
        <f t="shared" si="14"/>
        <v>6000</v>
      </c>
    </row>
    <row r="951" spans="1:6" s="9" customFormat="1" x14ac:dyDescent="0.25">
      <c r="B951" s="4"/>
      <c r="C951" s="5"/>
      <c r="E951" s="10"/>
      <c r="F951" s="8">
        <f>SUM(F950)</f>
        <v>6000</v>
      </c>
    </row>
    <row r="952" spans="1:6" s="9" customFormat="1" x14ac:dyDescent="0.25">
      <c r="B952" s="4"/>
      <c r="C952" s="5"/>
      <c r="E952" s="10"/>
      <c r="F952" s="10"/>
    </row>
    <row r="953" spans="1:6" s="9" customFormat="1" x14ac:dyDescent="0.25">
      <c r="A953" s="9" t="s">
        <v>60</v>
      </c>
      <c r="B953" s="4">
        <v>45883</v>
      </c>
      <c r="C953" s="5">
        <v>30</v>
      </c>
      <c r="D953" s="9" t="s">
        <v>13</v>
      </c>
      <c r="E953" s="10">
        <v>150</v>
      </c>
      <c r="F953" s="10">
        <f t="shared" si="14"/>
        <v>4500</v>
      </c>
    </row>
    <row r="954" spans="1:6" s="9" customFormat="1" x14ac:dyDescent="0.25">
      <c r="B954" s="4"/>
      <c r="C954" s="5"/>
      <c r="E954" s="10"/>
      <c r="F954" s="8">
        <f>SUM(F953)</f>
        <v>4500</v>
      </c>
    </row>
    <row r="955" spans="1:6" s="9" customFormat="1" x14ac:dyDescent="0.25">
      <c r="B955" s="4"/>
      <c r="C955" s="5"/>
      <c r="E955" s="10"/>
      <c r="F955" s="10"/>
    </row>
    <row r="956" spans="1:6" s="9" customFormat="1" x14ac:dyDescent="0.25">
      <c r="A956" s="9" t="s">
        <v>117</v>
      </c>
      <c r="B956" s="4">
        <v>45883</v>
      </c>
      <c r="C956" s="5">
        <v>5</v>
      </c>
      <c r="D956" s="9" t="s">
        <v>13</v>
      </c>
      <c r="E956" s="10">
        <v>155</v>
      </c>
      <c r="F956" s="10">
        <f t="shared" si="14"/>
        <v>775</v>
      </c>
    </row>
    <row r="957" spans="1:6" s="9" customFormat="1" x14ac:dyDescent="0.25">
      <c r="B957" s="4"/>
      <c r="C957" s="5"/>
      <c r="E957" s="10"/>
      <c r="F957" s="8">
        <f>SUM(F956)</f>
        <v>775</v>
      </c>
    </row>
    <row r="958" spans="1:6" s="9" customFormat="1" x14ac:dyDescent="0.25">
      <c r="B958" s="4"/>
      <c r="C958" s="5"/>
      <c r="E958" s="10"/>
      <c r="F958" s="10"/>
    </row>
    <row r="959" spans="1:6" s="9" customFormat="1" x14ac:dyDescent="0.25">
      <c r="A959" s="9" t="s">
        <v>95</v>
      </c>
      <c r="B959" s="4">
        <v>45883</v>
      </c>
      <c r="C959" s="5">
        <v>20</v>
      </c>
      <c r="D959" s="9" t="s">
        <v>13</v>
      </c>
      <c r="E959" s="10">
        <v>155</v>
      </c>
      <c r="F959" s="10">
        <f t="shared" si="14"/>
        <v>3100</v>
      </c>
    </row>
    <row r="960" spans="1:6" s="9" customFormat="1" x14ac:dyDescent="0.25">
      <c r="B960" s="4"/>
      <c r="C960" s="5"/>
      <c r="E960" s="10"/>
      <c r="F960" s="8">
        <f>SUM(F959)</f>
        <v>3100</v>
      </c>
    </row>
    <row r="961" spans="1:6" s="9" customFormat="1" x14ac:dyDescent="0.25">
      <c r="B961" s="4"/>
      <c r="C961" s="5"/>
      <c r="E961" s="10"/>
      <c r="F961" s="10" t="s">
        <v>587</v>
      </c>
    </row>
    <row r="962" spans="1:6" s="9" customFormat="1" x14ac:dyDescent="0.25">
      <c r="A962" s="9" t="s">
        <v>861</v>
      </c>
      <c r="B962" s="4">
        <v>45883</v>
      </c>
      <c r="C962" s="5">
        <v>5</v>
      </c>
      <c r="D962" s="9" t="s">
        <v>13</v>
      </c>
      <c r="E962" s="10">
        <v>155</v>
      </c>
      <c r="F962" s="10">
        <f t="shared" si="14"/>
        <v>775</v>
      </c>
    </row>
    <row r="963" spans="1:6" s="9" customFormat="1" x14ac:dyDescent="0.25">
      <c r="B963" s="4"/>
      <c r="C963" s="5"/>
      <c r="E963" s="10"/>
      <c r="F963" s="8">
        <f>SUM(F962)</f>
        <v>775</v>
      </c>
    </row>
    <row r="964" spans="1:6" s="9" customFormat="1" x14ac:dyDescent="0.25">
      <c r="B964" s="4"/>
      <c r="C964" s="5"/>
      <c r="E964" s="10"/>
      <c r="F964" s="10"/>
    </row>
    <row r="965" spans="1:6" s="9" customFormat="1" x14ac:dyDescent="0.25">
      <c r="A965" s="9" t="s">
        <v>29</v>
      </c>
      <c r="B965" s="4">
        <v>45883</v>
      </c>
      <c r="C965" s="5">
        <v>1</v>
      </c>
      <c r="D965" s="9" t="s">
        <v>98</v>
      </c>
      <c r="E965" s="10">
        <v>100</v>
      </c>
      <c r="F965" s="10">
        <f t="shared" si="14"/>
        <v>100</v>
      </c>
    </row>
    <row r="966" spans="1:6" s="9" customFormat="1" x14ac:dyDescent="0.25">
      <c r="B966" s="4"/>
      <c r="C966" s="5">
        <v>1</v>
      </c>
      <c r="D966" s="9" t="s">
        <v>8</v>
      </c>
      <c r="E966" s="10">
        <v>160</v>
      </c>
      <c r="F966" s="10">
        <f t="shared" si="14"/>
        <v>160</v>
      </c>
    </row>
    <row r="967" spans="1:6" s="9" customFormat="1" x14ac:dyDescent="0.25">
      <c r="B967" s="4"/>
      <c r="C967" s="5"/>
      <c r="E967" s="10"/>
      <c r="F967" s="8">
        <f>SUM(F965:F966)</f>
        <v>260</v>
      </c>
    </row>
    <row r="968" spans="1:6" s="9" customFormat="1" x14ac:dyDescent="0.25">
      <c r="B968" s="4"/>
      <c r="C968" s="5"/>
      <c r="E968" s="10"/>
      <c r="F968" s="10"/>
    </row>
    <row r="969" spans="1:6" s="9" customFormat="1" x14ac:dyDescent="0.25">
      <c r="A969" s="9" t="s">
        <v>7</v>
      </c>
      <c r="B969" s="4">
        <v>45883</v>
      </c>
      <c r="C969" s="5">
        <v>1</v>
      </c>
      <c r="D969" s="9" t="s">
        <v>8</v>
      </c>
      <c r="E969" s="10">
        <v>170</v>
      </c>
      <c r="F969" s="10">
        <f t="shared" ref="F969:F1028" si="15">+C969*E969</f>
        <v>170</v>
      </c>
    </row>
    <row r="970" spans="1:6" s="9" customFormat="1" x14ac:dyDescent="0.25">
      <c r="B970" s="4"/>
      <c r="C970" s="5">
        <v>1</v>
      </c>
      <c r="D970" s="9" t="s">
        <v>483</v>
      </c>
      <c r="E970" s="10">
        <v>160</v>
      </c>
      <c r="F970" s="10">
        <f t="shared" si="15"/>
        <v>160</v>
      </c>
    </row>
    <row r="971" spans="1:6" s="9" customFormat="1" x14ac:dyDescent="0.25">
      <c r="B971" s="4"/>
      <c r="C971" s="5">
        <v>1</v>
      </c>
      <c r="D971" s="9" t="s">
        <v>862</v>
      </c>
      <c r="E971" s="10">
        <v>150</v>
      </c>
      <c r="F971" s="10">
        <f t="shared" si="15"/>
        <v>150</v>
      </c>
    </row>
    <row r="972" spans="1:6" s="9" customFormat="1" x14ac:dyDescent="0.25">
      <c r="B972" s="4"/>
      <c r="C972" s="5">
        <v>1</v>
      </c>
      <c r="D972" s="9" t="s">
        <v>13</v>
      </c>
      <c r="E972" s="10">
        <v>160</v>
      </c>
      <c r="F972" s="10">
        <f t="shared" si="15"/>
        <v>160</v>
      </c>
    </row>
    <row r="973" spans="1:6" s="9" customFormat="1" x14ac:dyDescent="0.25">
      <c r="B973" s="4"/>
      <c r="C973" s="5">
        <v>1</v>
      </c>
      <c r="D973" s="9" t="s">
        <v>640</v>
      </c>
      <c r="E973" s="10">
        <v>150</v>
      </c>
      <c r="F973" s="10">
        <f t="shared" si="15"/>
        <v>150</v>
      </c>
    </row>
    <row r="974" spans="1:6" s="9" customFormat="1" x14ac:dyDescent="0.25">
      <c r="B974" s="4"/>
      <c r="C974" s="5"/>
      <c r="E974" s="10"/>
      <c r="F974" s="8">
        <f>SUM(F969:F973)</f>
        <v>790</v>
      </c>
    </row>
    <row r="975" spans="1:6" s="9" customFormat="1" x14ac:dyDescent="0.25">
      <c r="B975" s="4"/>
      <c r="C975" s="5"/>
      <c r="E975" s="10"/>
      <c r="F975" s="10"/>
    </row>
    <row r="976" spans="1:6" s="9" customFormat="1" x14ac:dyDescent="0.25">
      <c r="A976" s="9" t="s">
        <v>514</v>
      </c>
      <c r="B976" s="4">
        <v>45884</v>
      </c>
      <c r="C976" s="5">
        <v>15</v>
      </c>
      <c r="D976" s="9" t="s">
        <v>715</v>
      </c>
      <c r="E976" s="10">
        <v>105</v>
      </c>
      <c r="F976" s="10">
        <f t="shared" si="15"/>
        <v>1575</v>
      </c>
    </row>
    <row r="977" spans="1:6" s="9" customFormat="1" x14ac:dyDescent="0.25">
      <c r="B977" s="4"/>
      <c r="C977" s="5"/>
      <c r="E977" s="10"/>
      <c r="F977" s="8">
        <f>SUM(F976)</f>
        <v>1575</v>
      </c>
    </row>
    <row r="978" spans="1:6" s="9" customFormat="1" x14ac:dyDescent="0.25">
      <c r="B978" s="4"/>
      <c r="C978" s="5"/>
      <c r="E978" s="10"/>
      <c r="F978" s="10"/>
    </row>
    <row r="979" spans="1:6" s="9" customFormat="1" x14ac:dyDescent="0.25">
      <c r="A979" s="9" t="s">
        <v>44</v>
      </c>
      <c r="B979" s="4">
        <v>45884</v>
      </c>
      <c r="C979" s="5">
        <v>100</v>
      </c>
      <c r="D979" s="9" t="s">
        <v>13</v>
      </c>
      <c r="E979" s="10">
        <v>145</v>
      </c>
      <c r="F979" s="10">
        <f t="shared" si="15"/>
        <v>14500</v>
      </c>
    </row>
    <row r="980" spans="1:6" s="9" customFormat="1" x14ac:dyDescent="0.25">
      <c r="B980" s="4"/>
      <c r="C980" s="5"/>
      <c r="E980" s="10"/>
      <c r="F980" s="8">
        <f>SUM(F979)</f>
        <v>14500</v>
      </c>
    </row>
    <row r="981" spans="1:6" s="9" customFormat="1" x14ac:dyDescent="0.25">
      <c r="B981" s="4"/>
      <c r="C981" s="5"/>
      <c r="E981" s="10"/>
      <c r="F981" s="10"/>
    </row>
    <row r="982" spans="1:6" s="9" customFormat="1" x14ac:dyDescent="0.25">
      <c r="A982" s="9" t="s">
        <v>18</v>
      </c>
      <c r="B982" s="4">
        <v>45884</v>
      </c>
      <c r="C982" s="5">
        <v>13</v>
      </c>
      <c r="D982" s="9" t="s">
        <v>13</v>
      </c>
      <c r="E982" s="10">
        <v>155</v>
      </c>
      <c r="F982" s="10">
        <f t="shared" si="15"/>
        <v>2015</v>
      </c>
    </row>
    <row r="983" spans="1:6" s="9" customFormat="1" x14ac:dyDescent="0.25">
      <c r="B983" s="4"/>
      <c r="C983" s="5"/>
      <c r="E983" s="10"/>
      <c r="F983" s="8">
        <f>SUM(F982)</f>
        <v>2015</v>
      </c>
    </row>
    <row r="984" spans="1:6" s="9" customFormat="1" x14ac:dyDescent="0.25">
      <c r="B984" s="4"/>
      <c r="C984" s="5"/>
      <c r="E984" s="10"/>
      <c r="F984" s="10"/>
    </row>
    <row r="985" spans="1:6" s="9" customFormat="1" x14ac:dyDescent="0.25">
      <c r="A985" s="9" t="s">
        <v>40</v>
      </c>
      <c r="B985" s="4">
        <v>45884</v>
      </c>
      <c r="C985" s="5">
        <v>20</v>
      </c>
      <c r="D985" s="9" t="s">
        <v>22</v>
      </c>
      <c r="E985" s="10">
        <v>130</v>
      </c>
      <c r="F985" s="10">
        <f t="shared" si="15"/>
        <v>2600</v>
      </c>
    </row>
    <row r="986" spans="1:6" s="9" customFormat="1" x14ac:dyDescent="0.25">
      <c r="B986" s="4"/>
      <c r="C986" s="5"/>
      <c r="E986" s="10"/>
      <c r="F986" s="8">
        <f>SUM(F985)</f>
        <v>2600</v>
      </c>
    </row>
    <row r="987" spans="1:6" s="9" customFormat="1" x14ac:dyDescent="0.25">
      <c r="B987" s="4"/>
      <c r="C987" s="5"/>
      <c r="E987" s="10"/>
      <c r="F987" s="10"/>
    </row>
    <row r="988" spans="1:6" s="9" customFormat="1" x14ac:dyDescent="0.25">
      <c r="A988" s="9" t="s">
        <v>20</v>
      </c>
      <c r="B988" s="4">
        <v>45884</v>
      </c>
      <c r="C988" s="5">
        <v>29</v>
      </c>
      <c r="D988" s="9" t="s">
        <v>13</v>
      </c>
      <c r="E988" s="10">
        <v>155</v>
      </c>
      <c r="F988" s="10">
        <f t="shared" si="15"/>
        <v>4495</v>
      </c>
    </row>
    <row r="989" spans="1:6" s="9" customFormat="1" x14ac:dyDescent="0.25">
      <c r="B989" s="4"/>
      <c r="C989" s="5"/>
      <c r="E989" s="10"/>
      <c r="F989" s="8">
        <f>SUM(F988)</f>
        <v>4495</v>
      </c>
    </row>
    <row r="990" spans="1:6" s="9" customFormat="1" x14ac:dyDescent="0.25">
      <c r="B990" s="4"/>
      <c r="C990" s="5"/>
      <c r="E990" s="10"/>
      <c r="F990" s="10"/>
    </row>
    <row r="991" spans="1:6" s="9" customFormat="1" x14ac:dyDescent="0.25">
      <c r="A991" s="9" t="s">
        <v>57</v>
      </c>
      <c r="B991" s="4">
        <v>45884</v>
      </c>
      <c r="C991" s="5">
        <v>10</v>
      </c>
      <c r="D991" s="9" t="s">
        <v>13</v>
      </c>
      <c r="E991" s="10">
        <v>155</v>
      </c>
      <c r="F991" s="10">
        <f t="shared" si="15"/>
        <v>1550</v>
      </c>
    </row>
    <row r="992" spans="1:6" s="9" customFormat="1" x14ac:dyDescent="0.25">
      <c r="B992" s="4"/>
      <c r="C992" s="5">
        <v>10</v>
      </c>
      <c r="D992" s="9" t="s">
        <v>14</v>
      </c>
      <c r="E992" s="10">
        <v>150</v>
      </c>
      <c r="F992" s="10">
        <f t="shared" si="15"/>
        <v>1500</v>
      </c>
    </row>
    <row r="993" spans="1:6" s="9" customFormat="1" x14ac:dyDescent="0.25">
      <c r="B993" s="4"/>
      <c r="C993" s="5"/>
      <c r="E993" s="10"/>
      <c r="F993" s="8">
        <f>SUM(F991:F992)</f>
        <v>3050</v>
      </c>
    </row>
    <row r="994" spans="1:6" s="9" customFormat="1" x14ac:dyDescent="0.25">
      <c r="B994" s="4"/>
      <c r="C994" s="5"/>
      <c r="E994" s="10"/>
      <c r="F994" s="10"/>
    </row>
    <row r="995" spans="1:6" s="9" customFormat="1" x14ac:dyDescent="0.25">
      <c r="A995" s="9" t="s">
        <v>406</v>
      </c>
      <c r="B995" s="4">
        <v>45884</v>
      </c>
      <c r="C995" s="5">
        <v>10</v>
      </c>
      <c r="D995" s="9" t="s">
        <v>8</v>
      </c>
      <c r="E995" s="10">
        <v>165</v>
      </c>
      <c r="F995" s="10">
        <f t="shared" si="15"/>
        <v>1650</v>
      </c>
    </row>
    <row r="996" spans="1:6" s="9" customFormat="1" x14ac:dyDescent="0.25">
      <c r="B996" s="4"/>
      <c r="C996" s="5"/>
      <c r="E996" s="10"/>
      <c r="F996" s="8">
        <f>SUM(F995)</f>
        <v>1650</v>
      </c>
    </row>
    <row r="997" spans="1:6" s="9" customFormat="1" x14ac:dyDescent="0.25">
      <c r="B997" s="4"/>
      <c r="C997" s="5"/>
      <c r="E997" s="10"/>
      <c r="F997" s="10"/>
    </row>
    <row r="998" spans="1:6" s="9" customFormat="1" x14ac:dyDescent="0.25">
      <c r="A998" s="9" t="s">
        <v>427</v>
      </c>
      <c r="B998" s="4">
        <v>45884</v>
      </c>
      <c r="C998" s="5">
        <v>10</v>
      </c>
      <c r="D998" s="9" t="s">
        <v>13</v>
      </c>
      <c r="E998" s="10">
        <v>155</v>
      </c>
      <c r="F998" s="10">
        <f t="shared" si="15"/>
        <v>1550</v>
      </c>
    </row>
    <row r="999" spans="1:6" s="9" customFormat="1" x14ac:dyDescent="0.25">
      <c r="B999" s="4"/>
      <c r="C999" s="5"/>
      <c r="E999" s="10"/>
      <c r="F999" s="8">
        <f>SUM(F998)</f>
        <v>1550</v>
      </c>
    </row>
    <row r="1000" spans="1:6" s="9" customFormat="1" x14ac:dyDescent="0.25">
      <c r="B1000" s="4"/>
      <c r="C1000" s="5"/>
      <c r="E1000" s="10"/>
      <c r="F1000" s="10"/>
    </row>
    <row r="1001" spans="1:6" s="9" customFormat="1" x14ac:dyDescent="0.25">
      <c r="A1001" s="9" t="s">
        <v>591</v>
      </c>
      <c r="B1001" s="4">
        <v>45884</v>
      </c>
      <c r="C1001" s="5">
        <v>7</v>
      </c>
      <c r="D1001" s="9" t="s">
        <v>13</v>
      </c>
      <c r="E1001" s="10">
        <v>150</v>
      </c>
      <c r="F1001" s="10">
        <f t="shared" si="15"/>
        <v>1050</v>
      </c>
    </row>
    <row r="1002" spans="1:6" s="9" customFormat="1" x14ac:dyDescent="0.25">
      <c r="B1002" s="4"/>
      <c r="C1002" s="5"/>
      <c r="E1002" s="10"/>
      <c r="F1002" s="8">
        <f>SUM(F1001)</f>
        <v>1050</v>
      </c>
    </row>
    <row r="1003" spans="1:6" s="9" customFormat="1" x14ac:dyDescent="0.25">
      <c r="B1003" s="4"/>
      <c r="C1003" s="5"/>
      <c r="E1003" s="10"/>
      <c r="F1003" s="10"/>
    </row>
    <row r="1004" spans="1:6" s="9" customFormat="1" x14ac:dyDescent="0.25">
      <c r="A1004" s="9" t="s">
        <v>15</v>
      </c>
      <c r="B1004" s="4">
        <v>45884</v>
      </c>
      <c r="C1004" s="5">
        <v>44</v>
      </c>
      <c r="D1004" s="9" t="s">
        <v>98</v>
      </c>
      <c r="E1004" s="10">
        <v>100</v>
      </c>
      <c r="F1004" s="10">
        <f t="shared" si="15"/>
        <v>4400</v>
      </c>
    </row>
    <row r="1005" spans="1:6" s="9" customFormat="1" x14ac:dyDescent="0.25">
      <c r="B1005" s="4"/>
      <c r="C1005" s="5"/>
      <c r="E1005" s="10"/>
      <c r="F1005" s="8">
        <f>SUM(F1004)</f>
        <v>4400</v>
      </c>
    </row>
    <row r="1006" spans="1:6" s="9" customFormat="1" x14ac:dyDescent="0.25">
      <c r="B1006" s="4"/>
      <c r="C1006" s="5"/>
      <c r="E1006" s="10"/>
      <c r="F1006" s="10"/>
    </row>
    <row r="1007" spans="1:6" s="9" customFormat="1" x14ac:dyDescent="0.25">
      <c r="A1007" s="9" t="s">
        <v>106</v>
      </c>
      <c r="B1007" s="4">
        <v>45884</v>
      </c>
      <c r="C1007" s="5">
        <v>40</v>
      </c>
      <c r="D1007" s="9" t="s">
        <v>12</v>
      </c>
      <c r="E1007" s="10">
        <v>140</v>
      </c>
      <c r="F1007" s="10">
        <f t="shared" si="15"/>
        <v>5600</v>
      </c>
    </row>
    <row r="1008" spans="1:6" s="9" customFormat="1" x14ac:dyDescent="0.25">
      <c r="B1008" s="4"/>
      <c r="C1008" s="5"/>
      <c r="E1008" s="10"/>
      <c r="F1008" s="8">
        <f>SUM(F1007)</f>
        <v>5600</v>
      </c>
    </row>
    <row r="1009" spans="1:6" s="9" customFormat="1" x14ac:dyDescent="0.25">
      <c r="B1009" s="4"/>
      <c r="C1009" s="5"/>
      <c r="E1009" s="10"/>
      <c r="F1009" s="10"/>
    </row>
    <row r="1010" spans="1:6" s="9" customFormat="1" x14ac:dyDescent="0.25">
      <c r="A1010" s="9" t="s">
        <v>41</v>
      </c>
      <c r="B1010" s="4">
        <v>45884</v>
      </c>
      <c r="C1010" s="5">
        <v>35</v>
      </c>
      <c r="D1010" s="9" t="s">
        <v>14</v>
      </c>
      <c r="E1010" s="10">
        <v>140</v>
      </c>
      <c r="F1010" s="10">
        <f t="shared" si="15"/>
        <v>4900</v>
      </c>
    </row>
    <row r="1011" spans="1:6" s="9" customFormat="1" x14ac:dyDescent="0.25">
      <c r="B1011" s="4"/>
      <c r="C1011" s="5"/>
      <c r="E1011" s="10"/>
      <c r="F1011" s="8">
        <f>SUM(F1010)</f>
        <v>4900</v>
      </c>
    </row>
    <row r="1012" spans="1:6" s="9" customFormat="1" x14ac:dyDescent="0.25">
      <c r="B1012" s="4"/>
      <c r="C1012" s="5"/>
      <c r="E1012" s="10"/>
      <c r="F1012" s="10"/>
    </row>
    <row r="1013" spans="1:6" s="9" customFormat="1" x14ac:dyDescent="0.25">
      <c r="A1013" s="9" t="s">
        <v>368</v>
      </c>
      <c r="B1013" s="4">
        <v>45884</v>
      </c>
      <c r="C1013" s="5">
        <v>10</v>
      </c>
      <c r="D1013" s="9" t="s">
        <v>14</v>
      </c>
      <c r="E1013" s="10">
        <v>150</v>
      </c>
      <c r="F1013" s="10">
        <f t="shared" si="15"/>
        <v>1500</v>
      </c>
    </row>
    <row r="1014" spans="1:6" s="9" customFormat="1" x14ac:dyDescent="0.25">
      <c r="B1014" s="4"/>
      <c r="C1014" s="5"/>
      <c r="E1014" s="10"/>
      <c r="F1014" s="8">
        <f>SUM(F1013)</f>
        <v>1500</v>
      </c>
    </row>
    <row r="1015" spans="1:6" s="9" customFormat="1" x14ac:dyDescent="0.25">
      <c r="B1015" s="4"/>
      <c r="C1015" s="5"/>
      <c r="E1015" s="10"/>
      <c r="F1015" s="10"/>
    </row>
    <row r="1016" spans="1:6" s="9" customFormat="1" x14ac:dyDescent="0.25">
      <c r="A1016" s="9" t="s">
        <v>18</v>
      </c>
      <c r="B1016" s="4">
        <v>45884</v>
      </c>
      <c r="C1016" s="5">
        <v>20</v>
      </c>
      <c r="D1016" s="9" t="s">
        <v>11</v>
      </c>
      <c r="E1016" s="10">
        <v>140</v>
      </c>
      <c r="F1016" s="10">
        <f t="shared" si="15"/>
        <v>2800</v>
      </c>
    </row>
    <row r="1017" spans="1:6" s="9" customFormat="1" x14ac:dyDescent="0.25">
      <c r="B1017" s="4"/>
      <c r="C1017" s="5"/>
      <c r="E1017" s="10"/>
      <c r="F1017" s="8">
        <f>SUM(F1016)</f>
        <v>2800</v>
      </c>
    </row>
    <row r="1018" spans="1:6" s="9" customFormat="1" x14ac:dyDescent="0.25">
      <c r="B1018" s="4"/>
      <c r="C1018" s="5"/>
      <c r="E1018" s="10"/>
      <c r="F1018" s="10"/>
    </row>
    <row r="1019" spans="1:6" s="9" customFormat="1" x14ac:dyDescent="0.25">
      <c r="A1019" s="9" t="s">
        <v>43</v>
      </c>
      <c r="B1019" s="4">
        <v>45884</v>
      </c>
      <c r="C1019" s="5">
        <v>40</v>
      </c>
      <c r="D1019" s="9" t="s">
        <v>49</v>
      </c>
      <c r="E1019" s="10">
        <v>155</v>
      </c>
      <c r="F1019" s="10">
        <f t="shared" si="15"/>
        <v>6200</v>
      </c>
    </row>
    <row r="1020" spans="1:6" s="9" customFormat="1" x14ac:dyDescent="0.25">
      <c r="B1020" s="4"/>
      <c r="C1020" s="5"/>
      <c r="E1020" s="10"/>
      <c r="F1020" s="8">
        <f>SUM(F1019)</f>
        <v>6200</v>
      </c>
    </row>
    <row r="1021" spans="1:6" s="9" customFormat="1" x14ac:dyDescent="0.25">
      <c r="B1021" s="4"/>
      <c r="C1021" s="5"/>
      <c r="E1021" s="10"/>
      <c r="F1021" s="10"/>
    </row>
    <row r="1022" spans="1:6" s="9" customFormat="1" x14ac:dyDescent="0.25">
      <c r="A1022" s="9" t="s">
        <v>7</v>
      </c>
      <c r="B1022" s="4">
        <v>45884</v>
      </c>
      <c r="C1022" s="5">
        <v>1</v>
      </c>
      <c r="D1022" s="9" t="s">
        <v>14</v>
      </c>
      <c r="E1022" s="10">
        <v>150</v>
      </c>
      <c r="F1022" s="10">
        <f t="shared" si="15"/>
        <v>150</v>
      </c>
    </row>
    <row r="1023" spans="1:6" s="9" customFormat="1" x14ac:dyDescent="0.25">
      <c r="B1023" s="4"/>
      <c r="C1023" s="5"/>
      <c r="E1023" s="10"/>
      <c r="F1023" s="8">
        <f>SUM(F1022)</f>
        <v>150</v>
      </c>
    </row>
    <row r="1024" spans="1:6" s="9" customFormat="1" x14ac:dyDescent="0.25">
      <c r="B1024" s="4"/>
      <c r="C1024" s="5"/>
      <c r="E1024" s="10"/>
      <c r="F1024" s="10"/>
    </row>
    <row r="1025" spans="1:6" s="9" customFormat="1" x14ac:dyDescent="0.25">
      <c r="A1025" s="9" t="s">
        <v>47</v>
      </c>
      <c r="B1025" s="4">
        <v>45884</v>
      </c>
      <c r="C1025" s="5">
        <v>30</v>
      </c>
      <c r="D1025" s="9" t="s">
        <v>14</v>
      </c>
      <c r="E1025" s="10">
        <v>150</v>
      </c>
      <c r="F1025" s="10">
        <f t="shared" si="15"/>
        <v>4500</v>
      </c>
    </row>
    <row r="1026" spans="1:6" s="9" customFormat="1" x14ac:dyDescent="0.25">
      <c r="B1026" s="4"/>
      <c r="C1026" s="5"/>
      <c r="E1026" s="10"/>
      <c r="F1026" s="8">
        <f>SUM(F1025)</f>
        <v>4500</v>
      </c>
    </row>
    <row r="1027" spans="1:6" s="9" customFormat="1" x14ac:dyDescent="0.25">
      <c r="B1027" s="4"/>
      <c r="C1027" s="5"/>
      <c r="E1027" s="10"/>
      <c r="F1027" s="10"/>
    </row>
    <row r="1028" spans="1:6" s="9" customFormat="1" x14ac:dyDescent="0.25">
      <c r="A1028" s="9" t="s">
        <v>383</v>
      </c>
      <c r="B1028" s="4">
        <v>45884</v>
      </c>
      <c r="C1028" s="5">
        <v>10</v>
      </c>
      <c r="D1028" s="9" t="s">
        <v>863</v>
      </c>
      <c r="E1028" s="10">
        <v>150</v>
      </c>
      <c r="F1028" s="10">
        <f t="shared" si="15"/>
        <v>1500</v>
      </c>
    </row>
    <row r="1029" spans="1:6" s="9" customFormat="1" x14ac:dyDescent="0.25">
      <c r="B1029" s="4"/>
      <c r="C1029" s="5"/>
      <c r="E1029" s="10"/>
      <c r="F1029" s="8">
        <f>SUM(F1028)</f>
        <v>1500</v>
      </c>
    </row>
    <row r="1030" spans="1:6" s="9" customFormat="1" x14ac:dyDescent="0.25">
      <c r="B1030" s="4"/>
      <c r="C1030" s="5"/>
      <c r="E1030" s="10"/>
      <c r="F1030" s="10"/>
    </row>
    <row r="1031" spans="1:6" s="9" customFormat="1" x14ac:dyDescent="0.25">
      <c r="A1031" s="9" t="s">
        <v>112</v>
      </c>
      <c r="B1031" s="4">
        <v>45884</v>
      </c>
      <c r="C1031" s="5">
        <v>60</v>
      </c>
      <c r="D1031" s="9" t="s">
        <v>22</v>
      </c>
      <c r="E1031" s="10">
        <v>128</v>
      </c>
      <c r="F1031" s="10">
        <f t="shared" ref="F1031:F1094" si="16">+C1031*E1031</f>
        <v>7680</v>
      </c>
    </row>
    <row r="1032" spans="1:6" s="9" customFormat="1" x14ac:dyDescent="0.25">
      <c r="B1032" s="4"/>
      <c r="C1032" s="5">
        <v>50</v>
      </c>
      <c r="D1032" s="9" t="s">
        <v>13</v>
      </c>
      <c r="E1032" s="10">
        <v>150</v>
      </c>
      <c r="F1032" s="10">
        <f t="shared" si="16"/>
        <v>7500</v>
      </c>
    </row>
    <row r="1033" spans="1:6" s="9" customFormat="1" x14ac:dyDescent="0.25">
      <c r="B1033" s="4"/>
      <c r="C1033" s="5">
        <v>70</v>
      </c>
      <c r="D1033" s="9" t="s">
        <v>11</v>
      </c>
      <c r="E1033" s="10">
        <v>135</v>
      </c>
      <c r="F1033" s="10">
        <f t="shared" si="16"/>
        <v>9450</v>
      </c>
    </row>
    <row r="1034" spans="1:6" s="9" customFormat="1" x14ac:dyDescent="0.25">
      <c r="B1034" s="4"/>
      <c r="C1034" s="5"/>
      <c r="E1034" s="10"/>
      <c r="F1034" s="8">
        <f>SUM(F1031:F1033)</f>
        <v>24630</v>
      </c>
    </row>
    <row r="1035" spans="1:6" s="9" customFormat="1" x14ac:dyDescent="0.25">
      <c r="B1035" s="4"/>
      <c r="C1035" s="5"/>
      <c r="E1035" s="10"/>
      <c r="F1035" s="10"/>
    </row>
    <row r="1036" spans="1:6" s="9" customFormat="1" x14ac:dyDescent="0.25">
      <c r="A1036" s="9" t="s">
        <v>114</v>
      </c>
      <c r="B1036" s="4">
        <v>45884</v>
      </c>
      <c r="C1036" s="5">
        <v>4</v>
      </c>
      <c r="D1036" s="9" t="s">
        <v>864</v>
      </c>
      <c r="E1036" s="10">
        <v>150</v>
      </c>
      <c r="F1036" s="10">
        <f t="shared" si="16"/>
        <v>600</v>
      </c>
    </row>
    <row r="1037" spans="1:6" s="9" customFormat="1" x14ac:dyDescent="0.25">
      <c r="B1037" s="4"/>
      <c r="C1037" s="5"/>
      <c r="E1037" s="10"/>
      <c r="F1037" s="8">
        <f>SUM(F1036)</f>
        <v>600</v>
      </c>
    </row>
    <row r="1038" spans="1:6" s="9" customFormat="1" x14ac:dyDescent="0.25">
      <c r="B1038" s="4"/>
      <c r="C1038" s="5"/>
      <c r="E1038" s="10"/>
      <c r="F1038" s="10"/>
    </row>
    <row r="1039" spans="1:6" s="9" customFormat="1" x14ac:dyDescent="0.25">
      <c r="A1039" s="9" t="s">
        <v>865</v>
      </c>
      <c r="B1039" s="4">
        <v>45884</v>
      </c>
      <c r="C1039" s="5">
        <v>1</v>
      </c>
      <c r="D1039" s="9" t="s">
        <v>49</v>
      </c>
      <c r="E1039" s="10">
        <v>160</v>
      </c>
      <c r="F1039" s="10">
        <f t="shared" si="16"/>
        <v>160</v>
      </c>
    </row>
    <row r="1040" spans="1:6" s="9" customFormat="1" x14ac:dyDescent="0.25">
      <c r="B1040" s="4"/>
      <c r="C1040" s="5"/>
      <c r="E1040" s="10"/>
      <c r="F1040" s="27">
        <f>SUM(F1039)</f>
        <v>160</v>
      </c>
    </row>
    <row r="1041" spans="1:6" s="9" customFormat="1" x14ac:dyDescent="0.25">
      <c r="B1041" s="4"/>
      <c r="C1041" s="5"/>
      <c r="E1041" s="10"/>
      <c r="F1041" s="10"/>
    </row>
    <row r="1042" spans="1:6" s="9" customFormat="1" x14ac:dyDescent="0.25">
      <c r="A1042" s="9" t="s">
        <v>610</v>
      </c>
      <c r="B1042" s="4">
        <v>45884</v>
      </c>
      <c r="C1042" s="5">
        <v>5</v>
      </c>
      <c r="D1042" s="9" t="s">
        <v>13</v>
      </c>
      <c r="E1042" s="10">
        <v>155</v>
      </c>
      <c r="F1042" s="10">
        <f t="shared" si="16"/>
        <v>775</v>
      </c>
    </row>
    <row r="1043" spans="1:6" s="9" customFormat="1" x14ac:dyDescent="0.25">
      <c r="B1043" s="4"/>
      <c r="C1043" s="5">
        <v>5</v>
      </c>
      <c r="D1043" s="9" t="s">
        <v>14</v>
      </c>
      <c r="E1043" s="10">
        <v>145</v>
      </c>
      <c r="F1043" s="10">
        <f t="shared" si="16"/>
        <v>725</v>
      </c>
    </row>
    <row r="1044" spans="1:6" s="9" customFormat="1" x14ac:dyDescent="0.25">
      <c r="B1044" s="4"/>
      <c r="C1044" s="5"/>
      <c r="E1044" s="10"/>
      <c r="F1044" s="8">
        <f>SUM(F1042:F1043)</f>
        <v>1500</v>
      </c>
    </row>
    <row r="1045" spans="1:6" s="9" customFormat="1" x14ac:dyDescent="0.25">
      <c r="B1045" s="4"/>
      <c r="C1045" s="5"/>
      <c r="E1045" s="10"/>
      <c r="F1045" s="10"/>
    </row>
    <row r="1046" spans="1:6" s="9" customFormat="1" x14ac:dyDescent="0.25">
      <c r="A1046" s="9" t="s">
        <v>29</v>
      </c>
      <c r="B1046" s="4">
        <v>45884</v>
      </c>
      <c r="C1046" s="5">
        <v>1</v>
      </c>
      <c r="D1046" s="9" t="s">
        <v>49</v>
      </c>
      <c r="E1046" s="10">
        <v>170</v>
      </c>
      <c r="F1046" s="10">
        <f t="shared" si="16"/>
        <v>170</v>
      </c>
    </row>
    <row r="1047" spans="1:6" s="9" customFormat="1" x14ac:dyDescent="0.25">
      <c r="B1047" s="4"/>
      <c r="C1047" s="5">
        <v>1</v>
      </c>
      <c r="D1047" s="9" t="s">
        <v>154</v>
      </c>
      <c r="E1047" s="10">
        <v>150</v>
      </c>
      <c r="F1047" s="10">
        <f t="shared" si="16"/>
        <v>150</v>
      </c>
    </row>
    <row r="1048" spans="1:6" s="9" customFormat="1" x14ac:dyDescent="0.25">
      <c r="B1048" s="4"/>
      <c r="C1048" s="5">
        <v>1</v>
      </c>
      <c r="D1048" s="9" t="s">
        <v>225</v>
      </c>
      <c r="E1048" s="10">
        <v>150</v>
      </c>
      <c r="F1048" s="10">
        <f t="shared" si="16"/>
        <v>150</v>
      </c>
    </row>
    <row r="1049" spans="1:6" s="9" customFormat="1" x14ac:dyDescent="0.25">
      <c r="B1049" s="4"/>
      <c r="C1049" s="5">
        <v>2</v>
      </c>
      <c r="D1049" s="9" t="s">
        <v>12</v>
      </c>
      <c r="E1049" s="10">
        <v>140</v>
      </c>
      <c r="F1049" s="10">
        <f t="shared" si="16"/>
        <v>280</v>
      </c>
    </row>
    <row r="1050" spans="1:6" s="9" customFormat="1" x14ac:dyDescent="0.25">
      <c r="B1050" s="4"/>
      <c r="C1050" s="5"/>
      <c r="E1050" s="10"/>
      <c r="F1050" s="8">
        <f>SUM(F1046:F1049)</f>
        <v>750</v>
      </c>
    </row>
    <row r="1051" spans="1:6" s="9" customFormat="1" x14ac:dyDescent="0.25">
      <c r="B1051" s="4"/>
      <c r="C1051" s="5"/>
      <c r="E1051" s="10"/>
      <c r="F1051" s="10"/>
    </row>
    <row r="1052" spans="1:6" s="9" customFormat="1" x14ac:dyDescent="0.25">
      <c r="A1052" s="9" t="s">
        <v>7</v>
      </c>
      <c r="B1052" s="4">
        <v>45884</v>
      </c>
      <c r="C1052" s="5">
        <v>1</v>
      </c>
      <c r="D1052" s="9" t="s">
        <v>8</v>
      </c>
      <c r="E1052" s="10">
        <v>160</v>
      </c>
      <c r="F1052" s="10">
        <f t="shared" si="16"/>
        <v>160</v>
      </c>
    </row>
    <row r="1053" spans="1:6" s="9" customFormat="1" x14ac:dyDescent="0.25">
      <c r="B1053" s="4"/>
      <c r="C1053" s="5"/>
      <c r="E1053" s="10"/>
      <c r="F1053" s="8">
        <f>SUM(F1052)</f>
        <v>160</v>
      </c>
    </row>
    <row r="1054" spans="1:6" s="9" customFormat="1" x14ac:dyDescent="0.25">
      <c r="B1054" s="4"/>
      <c r="C1054" s="5"/>
      <c r="E1054" s="10"/>
      <c r="F1054" s="10"/>
    </row>
    <row r="1055" spans="1:6" s="9" customFormat="1" x14ac:dyDescent="0.25">
      <c r="A1055" s="9" t="s">
        <v>140</v>
      </c>
      <c r="B1055" s="4">
        <v>45885</v>
      </c>
      <c r="C1055" s="5">
        <v>120</v>
      </c>
      <c r="D1055" s="9" t="s">
        <v>8</v>
      </c>
      <c r="E1055" s="10">
        <v>160</v>
      </c>
      <c r="F1055" s="10">
        <f t="shared" si="16"/>
        <v>19200</v>
      </c>
    </row>
    <row r="1056" spans="1:6" s="9" customFormat="1" x14ac:dyDescent="0.25">
      <c r="B1056" s="4"/>
      <c r="C1056" s="5">
        <v>180</v>
      </c>
      <c r="D1056" s="9" t="s">
        <v>13</v>
      </c>
      <c r="E1056" s="10">
        <v>155</v>
      </c>
      <c r="F1056" s="10">
        <f t="shared" si="16"/>
        <v>27900</v>
      </c>
    </row>
    <row r="1057" spans="1:6" s="9" customFormat="1" x14ac:dyDescent="0.25">
      <c r="B1057" s="4"/>
      <c r="C1057" s="5">
        <v>50</v>
      </c>
      <c r="D1057" s="9" t="s">
        <v>866</v>
      </c>
      <c r="E1057" s="10">
        <v>145</v>
      </c>
      <c r="F1057" s="10">
        <f t="shared" si="16"/>
        <v>7250</v>
      </c>
    </row>
    <row r="1058" spans="1:6" s="9" customFormat="1" x14ac:dyDescent="0.25">
      <c r="B1058" s="4"/>
      <c r="C1058" s="5">
        <v>50</v>
      </c>
      <c r="D1058" s="9" t="s">
        <v>121</v>
      </c>
      <c r="E1058" s="10">
        <v>150</v>
      </c>
      <c r="F1058" s="10">
        <f t="shared" si="16"/>
        <v>7500</v>
      </c>
    </row>
    <row r="1059" spans="1:6" s="9" customFormat="1" x14ac:dyDescent="0.25">
      <c r="B1059" s="4"/>
      <c r="C1059" s="5"/>
      <c r="E1059" s="10"/>
      <c r="F1059" s="8">
        <f>SUM(F1055:F1058)</f>
        <v>61850</v>
      </c>
    </row>
    <row r="1060" spans="1:6" s="9" customFormat="1" x14ac:dyDescent="0.25">
      <c r="B1060" s="4"/>
      <c r="C1060" s="5"/>
      <c r="E1060" s="10"/>
      <c r="F1060" s="10"/>
    </row>
    <row r="1061" spans="1:6" s="9" customFormat="1" x14ac:dyDescent="0.25">
      <c r="A1061" s="9" t="s">
        <v>15</v>
      </c>
      <c r="B1061" s="4">
        <v>45885</v>
      </c>
      <c r="C1061" s="5">
        <v>30</v>
      </c>
      <c r="D1061" s="9" t="s">
        <v>98</v>
      </c>
      <c r="E1061" s="10">
        <v>110</v>
      </c>
      <c r="F1061" s="10">
        <f t="shared" si="16"/>
        <v>3300</v>
      </c>
    </row>
    <row r="1062" spans="1:6" s="9" customFormat="1" x14ac:dyDescent="0.25">
      <c r="B1062" s="4"/>
      <c r="C1062" s="5"/>
      <c r="E1062" s="10"/>
      <c r="F1062" s="8">
        <f>SUM(F1061)</f>
        <v>3300</v>
      </c>
    </row>
    <row r="1063" spans="1:6" s="9" customFormat="1" x14ac:dyDescent="0.25">
      <c r="B1063" s="4"/>
      <c r="C1063" s="5"/>
      <c r="E1063" s="10"/>
      <c r="F1063" s="10"/>
    </row>
    <row r="1064" spans="1:6" s="9" customFormat="1" x14ac:dyDescent="0.25">
      <c r="A1064" s="9" t="s">
        <v>59</v>
      </c>
      <c r="B1064" s="4">
        <v>45885</v>
      </c>
      <c r="C1064" s="5">
        <v>20</v>
      </c>
      <c r="D1064" s="9" t="s">
        <v>13</v>
      </c>
      <c r="E1064" s="10">
        <v>155</v>
      </c>
      <c r="F1064" s="10">
        <f t="shared" si="16"/>
        <v>3100</v>
      </c>
    </row>
    <row r="1065" spans="1:6" s="9" customFormat="1" x14ac:dyDescent="0.25">
      <c r="B1065" s="4"/>
      <c r="C1065" s="5"/>
      <c r="E1065" s="10"/>
      <c r="F1065" s="8">
        <f>SUM(F1064)</f>
        <v>3100</v>
      </c>
    </row>
    <row r="1066" spans="1:6" s="9" customFormat="1" x14ac:dyDescent="0.25">
      <c r="B1066" s="4"/>
      <c r="C1066" s="5"/>
      <c r="E1066" s="10"/>
      <c r="F1066" s="10"/>
    </row>
    <row r="1067" spans="1:6" s="9" customFormat="1" x14ac:dyDescent="0.25">
      <c r="A1067" s="9" t="s">
        <v>68</v>
      </c>
      <c r="B1067" s="4">
        <v>45885</v>
      </c>
      <c r="C1067" s="5">
        <v>4</v>
      </c>
      <c r="D1067" s="9" t="s">
        <v>13</v>
      </c>
      <c r="E1067" s="10">
        <v>155</v>
      </c>
      <c r="F1067" s="10">
        <f t="shared" si="16"/>
        <v>620</v>
      </c>
    </row>
    <row r="1068" spans="1:6" s="9" customFormat="1" x14ac:dyDescent="0.25">
      <c r="B1068" s="4"/>
      <c r="C1068" s="5"/>
      <c r="E1068" s="10"/>
      <c r="F1068" s="8">
        <f>SUM(F1067)</f>
        <v>620</v>
      </c>
    </row>
    <row r="1069" spans="1:6" s="9" customFormat="1" x14ac:dyDescent="0.25">
      <c r="B1069" s="4"/>
      <c r="C1069" s="5"/>
      <c r="E1069" s="10"/>
      <c r="F1069" s="10"/>
    </row>
    <row r="1070" spans="1:6" s="9" customFormat="1" x14ac:dyDescent="0.25">
      <c r="A1070" s="9" t="s">
        <v>810</v>
      </c>
      <c r="B1070" s="4">
        <v>45885</v>
      </c>
      <c r="C1070" s="5">
        <v>2</v>
      </c>
      <c r="D1070" s="9" t="s">
        <v>13</v>
      </c>
      <c r="E1070" s="10">
        <v>1450</v>
      </c>
      <c r="F1070" s="10">
        <f t="shared" si="16"/>
        <v>2900</v>
      </c>
    </row>
    <row r="1071" spans="1:6" s="9" customFormat="1" x14ac:dyDescent="0.25">
      <c r="B1071" s="4"/>
      <c r="C1071" s="5"/>
      <c r="E1071" s="10"/>
      <c r="F1071" s="8">
        <f>SUM(F1070)</f>
        <v>2900</v>
      </c>
    </row>
    <row r="1072" spans="1:6" s="9" customFormat="1" x14ac:dyDescent="0.25">
      <c r="B1072" s="4"/>
      <c r="C1072" s="5"/>
      <c r="E1072" s="10"/>
      <c r="F1072" s="10"/>
    </row>
    <row r="1073" spans="1:6" s="9" customFormat="1" x14ac:dyDescent="0.25">
      <c r="A1073" s="9" t="s">
        <v>87</v>
      </c>
      <c r="B1073" s="4">
        <v>45885</v>
      </c>
      <c r="C1073" s="5">
        <v>2</v>
      </c>
      <c r="D1073" s="9" t="s">
        <v>13</v>
      </c>
      <c r="E1073" s="10">
        <v>150</v>
      </c>
      <c r="F1073" s="10">
        <f t="shared" si="16"/>
        <v>300</v>
      </c>
    </row>
    <row r="1074" spans="1:6" s="9" customFormat="1" x14ac:dyDescent="0.25">
      <c r="B1074" s="4"/>
      <c r="C1074" s="5">
        <v>2</v>
      </c>
      <c r="D1074" s="9" t="s">
        <v>852</v>
      </c>
      <c r="E1074" s="10">
        <v>145</v>
      </c>
      <c r="F1074" s="10">
        <f t="shared" si="16"/>
        <v>290</v>
      </c>
    </row>
    <row r="1075" spans="1:6" s="9" customFormat="1" x14ac:dyDescent="0.25">
      <c r="B1075" s="4"/>
      <c r="C1075" s="5"/>
      <c r="E1075" s="10"/>
      <c r="F1075" s="8">
        <f>SUM(F1073:F1074)</f>
        <v>590</v>
      </c>
    </row>
    <row r="1076" spans="1:6" s="9" customFormat="1" x14ac:dyDescent="0.25">
      <c r="B1076" s="4"/>
      <c r="C1076" s="5"/>
      <c r="E1076" s="10"/>
      <c r="F1076" s="10"/>
    </row>
    <row r="1077" spans="1:6" s="9" customFormat="1" x14ac:dyDescent="0.25">
      <c r="A1077" s="9" t="s">
        <v>66</v>
      </c>
      <c r="B1077" s="4">
        <v>45885</v>
      </c>
      <c r="C1077" s="5">
        <v>10</v>
      </c>
      <c r="D1077" s="9" t="s">
        <v>519</v>
      </c>
      <c r="E1077" s="10">
        <v>160</v>
      </c>
      <c r="F1077" s="10">
        <f t="shared" si="16"/>
        <v>1600</v>
      </c>
    </row>
    <row r="1078" spans="1:6" s="9" customFormat="1" x14ac:dyDescent="0.25">
      <c r="B1078" s="4"/>
      <c r="C1078" s="5"/>
      <c r="E1078" s="10"/>
      <c r="F1078" s="8">
        <f>SUM(F1077)</f>
        <v>1600</v>
      </c>
    </row>
    <row r="1079" spans="1:6" s="9" customFormat="1" x14ac:dyDescent="0.25">
      <c r="B1079" s="4"/>
      <c r="C1079" s="5"/>
      <c r="E1079" s="10"/>
      <c r="F1079" s="10"/>
    </row>
    <row r="1080" spans="1:6" s="9" customFormat="1" x14ac:dyDescent="0.25">
      <c r="A1080" s="9" t="s">
        <v>113</v>
      </c>
      <c r="B1080" s="4">
        <v>45885</v>
      </c>
      <c r="C1080" s="5">
        <v>14</v>
      </c>
      <c r="D1080" s="9" t="s">
        <v>867</v>
      </c>
      <c r="E1080" s="10">
        <v>160</v>
      </c>
      <c r="F1080" s="10">
        <f t="shared" si="16"/>
        <v>2240</v>
      </c>
    </row>
    <row r="1081" spans="1:6" s="9" customFormat="1" x14ac:dyDescent="0.25">
      <c r="B1081" s="4"/>
      <c r="C1081" s="5"/>
      <c r="E1081" s="10"/>
      <c r="F1081" s="8">
        <f>SUM(F1080)</f>
        <v>2240</v>
      </c>
    </row>
    <row r="1082" spans="1:6" s="9" customFormat="1" x14ac:dyDescent="0.25">
      <c r="B1082" s="4"/>
      <c r="C1082" s="5"/>
      <c r="E1082" s="10"/>
      <c r="F1082" s="10"/>
    </row>
    <row r="1083" spans="1:6" s="9" customFormat="1" x14ac:dyDescent="0.25">
      <c r="A1083" s="9" t="s">
        <v>586</v>
      </c>
      <c r="B1083" s="4">
        <v>45885</v>
      </c>
      <c r="C1083" s="5">
        <v>6</v>
      </c>
      <c r="D1083" s="9" t="s">
        <v>12</v>
      </c>
      <c r="E1083" s="10">
        <v>145</v>
      </c>
      <c r="F1083" s="10">
        <f t="shared" si="16"/>
        <v>870</v>
      </c>
    </row>
    <row r="1084" spans="1:6" s="9" customFormat="1" x14ac:dyDescent="0.25">
      <c r="B1084" s="4"/>
      <c r="C1084" s="5"/>
      <c r="E1084" s="10"/>
      <c r="F1084" s="8">
        <f>SUM(F1083)</f>
        <v>870</v>
      </c>
    </row>
    <row r="1085" spans="1:6" s="9" customFormat="1" x14ac:dyDescent="0.25">
      <c r="B1085" s="4"/>
      <c r="C1085" s="5"/>
      <c r="E1085" s="10"/>
      <c r="F1085" s="10"/>
    </row>
    <row r="1086" spans="1:6" s="9" customFormat="1" x14ac:dyDescent="0.25">
      <c r="A1086" s="9" t="s">
        <v>391</v>
      </c>
      <c r="B1086" s="4">
        <v>45885</v>
      </c>
      <c r="C1086" s="5">
        <v>40</v>
      </c>
      <c r="D1086" s="9" t="s">
        <v>12</v>
      </c>
      <c r="E1086" s="10">
        <v>140</v>
      </c>
      <c r="F1086" s="10">
        <f t="shared" si="16"/>
        <v>5600</v>
      </c>
    </row>
    <row r="1087" spans="1:6" s="9" customFormat="1" x14ac:dyDescent="0.25">
      <c r="B1087" s="4"/>
      <c r="C1087" s="5"/>
      <c r="E1087" s="10"/>
      <c r="F1087" s="8">
        <f>SUM(F1086)</f>
        <v>5600</v>
      </c>
    </row>
    <row r="1088" spans="1:6" s="9" customFormat="1" x14ac:dyDescent="0.25">
      <c r="B1088" s="4"/>
      <c r="C1088" s="5"/>
      <c r="E1088" s="10"/>
      <c r="F1088" s="10"/>
    </row>
    <row r="1089" spans="1:6" s="9" customFormat="1" x14ac:dyDescent="0.25">
      <c r="A1089" s="9" t="s">
        <v>245</v>
      </c>
      <c r="B1089" s="4">
        <v>45885</v>
      </c>
      <c r="C1089" s="5">
        <v>20</v>
      </c>
      <c r="D1089" s="9" t="s">
        <v>14</v>
      </c>
      <c r="E1089" s="10">
        <v>145</v>
      </c>
      <c r="F1089" s="10">
        <f t="shared" si="16"/>
        <v>2900</v>
      </c>
    </row>
    <row r="1090" spans="1:6" s="9" customFormat="1" x14ac:dyDescent="0.25">
      <c r="B1090" s="4"/>
      <c r="C1090" s="5"/>
      <c r="E1090" s="10"/>
      <c r="F1090" s="8">
        <f>SUM(F1089)</f>
        <v>2900</v>
      </c>
    </row>
    <row r="1091" spans="1:6" s="9" customFormat="1" x14ac:dyDescent="0.25">
      <c r="B1091" s="4"/>
      <c r="C1091" s="5"/>
      <c r="E1091" s="10"/>
      <c r="F1091" s="10"/>
    </row>
    <row r="1092" spans="1:6" s="9" customFormat="1" x14ac:dyDescent="0.25">
      <c r="A1092" s="9" t="s">
        <v>72</v>
      </c>
      <c r="B1092" s="4">
        <v>45885</v>
      </c>
      <c r="C1092" s="5">
        <v>115</v>
      </c>
      <c r="D1092" s="9" t="s">
        <v>13</v>
      </c>
      <c r="E1092" s="10">
        <v>145</v>
      </c>
      <c r="F1092" s="10">
        <f t="shared" si="16"/>
        <v>16675</v>
      </c>
    </row>
    <row r="1093" spans="1:6" s="9" customFormat="1" x14ac:dyDescent="0.25">
      <c r="B1093" s="4"/>
      <c r="C1093" s="5">
        <v>196</v>
      </c>
      <c r="D1093" s="9" t="s">
        <v>12</v>
      </c>
      <c r="E1093" s="10">
        <v>140</v>
      </c>
      <c r="F1093" s="10">
        <f t="shared" si="16"/>
        <v>27440</v>
      </c>
    </row>
    <row r="1094" spans="1:6" s="9" customFormat="1" x14ac:dyDescent="0.25">
      <c r="B1094" s="4"/>
      <c r="C1094" s="5">
        <v>90</v>
      </c>
      <c r="D1094" s="9" t="s">
        <v>14</v>
      </c>
      <c r="E1094" s="10">
        <v>140</v>
      </c>
      <c r="F1094" s="10">
        <f t="shared" si="16"/>
        <v>12600</v>
      </c>
    </row>
    <row r="1095" spans="1:6" s="9" customFormat="1" x14ac:dyDescent="0.25">
      <c r="B1095" s="4"/>
      <c r="C1095" s="5">
        <v>77</v>
      </c>
      <c r="D1095" s="9" t="s">
        <v>11</v>
      </c>
      <c r="E1095" s="10">
        <v>135</v>
      </c>
      <c r="F1095" s="10">
        <f t="shared" ref="F1095:F1156" si="17">+C1095*E1095</f>
        <v>10395</v>
      </c>
    </row>
    <row r="1096" spans="1:6" s="9" customFormat="1" x14ac:dyDescent="0.25">
      <c r="B1096" s="4"/>
      <c r="C1096" s="5"/>
      <c r="E1096" s="10"/>
      <c r="F1096" s="8">
        <f>SUM(F1092:F1095)</f>
        <v>67110</v>
      </c>
    </row>
    <row r="1097" spans="1:6" s="9" customFormat="1" x14ac:dyDescent="0.25">
      <c r="B1097" s="4"/>
      <c r="C1097" s="5"/>
      <c r="E1097" s="10"/>
      <c r="F1097" s="10"/>
    </row>
    <row r="1098" spans="1:6" s="9" customFormat="1" x14ac:dyDescent="0.25">
      <c r="A1098" s="9" t="s">
        <v>319</v>
      </c>
      <c r="B1098" s="4">
        <v>45885</v>
      </c>
      <c r="C1098" s="5">
        <v>10</v>
      </c>
      <c r="D1098" s="9" t="s">
        <v>13</v>
      </c>
      <c r="E1098" s="10">
        <v>160</v>
      </c>
      <c r="F1098" s="10">
        <f t="shared" si="17"/>
        <v>1600</v>
      </c>
    </row>
    <row r="1099" spans="1:6" s="9" customFormat="1" x14ac:dyDescent="0.25">
      <c r="B1099" s="4"/>
      <c r="C1099" s="5"/>
      <c r="E1099" s="10"/>
      <c r="F1099" s="8">
        <f>SUM(F1098)</f>
        <v>1600</v>
      </c>
    </row>
    <row r="1100" spans="1:6" s="9" customFormat="1" x14ac:dyDescent="0.25">
      <c r="B1100" s="4"/>
      <c r="C1100" s="5"/>
      <c r="E1100" s="10"/>
      <c r="F1100" s="10"/>
    </row>
    <row r="1101" spans="1:6" s="9" customFormat="1" x14ac:dyDescent="0.25">
      <c r="A1101" s="9" t="s">
        <v>65</v>
      </c>
      <c r="B1101" s="4">
        <v>45885</v>
      </c>
      <c r="C1101" s="5">
        <v>360</v>
      </c>
      <c r="D1101" s="9" t="s">
        <v>12</v>
      </c>
      <c r="E1101" s="10">
        <v>140</v>
      </c>
      <c r="F1101" s="10">
        <f t="shared" si="17"/>
        <v>50400</v>
      </c>
    </row>
    <row r="1102" spans="1:6" s="9" customFormat="1" x14ac:dyDescent="0.25">
      <c r="B1102" s="4"/>
      <c r="C1102" s="5">
        <v>200</v>
      </c>
      <c r="D1102" s="9" t="s">
        <v>14</v>
      </c>
      <c r="E1102" s="10">
        <v>150</v>
      </c>
      <c r="F1102" s="10">
        <f t="shared" si="17"/>
        <v>30000</v>
      </c>
    </row>
    <row r="1103" spans="1:6" s="9" customFormat="1" x14ac:dyDescent="0.25">
      <c r="B1103" s="4"/>
      <c r="C1103" s="5">
        <v>350</v>
      </c>
      <c r="D1103" s="9" t="s">
        <v>13</v>
      </c>
      <c r="E1103" s="10">
        <v>150</v>
      </c>
      <c r="F1103" s="10">
        <f t="shared" si="17"/>
        <v>52500</v>
      </c>
    </row>
    <row r="1104" spans="1:6" s="9" customFormat="1" x14ac:dyDescent="0.25">
      <c r="B1104" s="4"/>
      <c r="C1104" s="5">
        <v>100</v>
      </c>
      <c r="D1104" s="9" t="s">
        <v>11</v>
      </c>
      <c r="E1104" s="10">
        <v>140</v>
      </c>
      <c r="F1104" s="10">
        <f t="shared" si="17"/>
        <v>14000</v>
      </c>
    </row>
    <row r="1105" spans="1:6" s="9" customFormat="1" x14ac:dyDescent="0.25">
      <c r="B1105" s="4"/>
      <c r="C1105" s="5">
        <v>100</v>
      </c>
      <c r="D1105" s="9" t="s">
        <v>22</v>
      </c>
      <c r="E1105" s="10">
        <v>130</v>
      </c>
      <c r="F1105" s="10">
        <f t="shared" si="17"/>
        <v>13000</v>
      </c>
    </row>
    <row r="1106" spans="1:6" s="9" customFormat="1" x14ac:dyDescent="0.25">
      <c r="B1106" s="4"/>
      <c r="C1106" s="5">
        <v>24</v>
      </c>
      <c r="D1106" s="9" t="s">
        <v>799</v>
      </c>
      <c r="E1106" s="10">
        <v>130</v>
      </c>
      <c r="F1106" s="10">
        <f t="shared" si="17"/>
        <v>3120</v>
      </c>
    </row>
    <row r="1107" spans="1:6" s="9" customFormat="1" x14ac:dyDescent="0.25">
      <c r="B1107" s="4"/>
      <c r="C1107" s="5"/>
      <c r="E1107" s="10"/>
      <c r="F1107" s="8">
        <f>SUM(F1101:F1106)</f>
        <v>163020</v>
      </c>
    </row>
    <row r="1108" spans="1:6" s="9" customFormat="1" x14ac:dyDescent="0.25">
      <c r="B1108" s="4"/>
      <c r="C1108" s="5"/>
      <c r="E1108" s="10"/>
      <c r="F1108" s="10"/>
    </row>
    <row r="1109" spans="1:6" s="9" customFormat="1" x14ac:dyDescent="0.25">
      <c r="A1109" s="9" t="s">
        <v>868</v>
      </c>
      <c r="B1109" s="4">
        <v>45885</v>
      </c>
      <c r="C1109" s="5">
        <v>60</v>
      </c>
      <c r="D1109" s="9" t="s">
        <v>547</v>
      </c>
      <c r="E1109" s="10">
        <v>130</v>
      </c>
      <c r="F1109" s="10">
        <f t="shared" si="17"/>
        <v>7800</v>
      </c>
    </row>
    <row r="1110" spans="1:6" s="9" customFormat="1" x14ac:dyDescent="0.25">
      <c r="B1110" s="4"/>
      <c r="C1110" s="5">
        <v>37</v>
      </c>
      <c r="D1110" s="9" t="s">
        <v>22</v>
      </c>
      <c r="E1110" s="10">
        <v>130</v>
      </c>
      <c r="F1110" s="10">
        <f t="shared" si="17"/>
        <v>4810</v>
      </c>
    </row>
    <row r="1111" spans="1:6" s="9" customFormat="1" x14ac:dyDescent="0.25">
      <c r="B1111" s="4"/>
      <c r="C1111" s="5">
        <v>50</v>
      </c>
      <c r="D1111" s="9" t="s">
        <v>13</v>
      </c>
      <c r="E1111" s="10">
        <v>150</v>
      </c>
      <c r="F1111" s="10">
        <f t="shared" si="17"/>
        <v>7500</v>
      </c>
    </row>
    <row r="1112" spans="1:6" s="9" customFormat="1" x14ac:dyDescent="0.25">
      <c r="B1112" s="4"/>
      <c r="C1112" s="5">
        <v>10</v>
      </c>
      <c r="D1112" s="9" t="s">
        <v>166</v>
      </c>
      <c r="E1112" s="10">
        <v>130</v>
      </c>
      <c r="F1112" s="10">
        <f t="shared" si="17"/>
        <v>1300</v>
      </c>
    </row>
    <row r="1113" spans="1:6" s="9" customFormat="1" x14ac:dyDescent="0.25">
      <c r="B1113" s="4"/>
      <c r="C1113" s="5"/>
      <c r="E1113" s="10"/>
      <c r="F1113" s="8">
        <f>SUM(F1109:F1112)</f>
        <v>21410</v>
      </c>
    </row>
    <row r="1114" spans="1:6" s="9" customFormat="1" x14ac:dyDescent="0.25">
      <c r="B1114" s="4"/>
      <c r="C1114" s="5"/>
      <c r="E1114" s="10"/>
      <c r="F1114" s="10"/>
    </row>
    <row r="1115" spans="1:6" s="9" customFormat="1" x14ac:dyDescent="0.25">
      <c r="A1115" s="9" t="s">
        <v>29</v>
      </c>
      <c r="B1115" s="4">
        <v>45885</v>
      </c>
      <c r="C1115" s="5">
        <v>8</v>
      </c>
      <c r="D1115" s="9" t="s">
        <v>12</v>
      </c>
      <c r="E1115" s="10">
        <v>150</v>
      </c>
      <c r="F1115" s="10">
        <f t="shared" si="17"/>
        <v>1200</v>
      </c>
    </row>
    <row r="1116" spans="1:6" s="9" customFormat="1" x14ac:dyDescent="0.25">
      <c r="B1116" s="4"/>
      <c r="C1116" s="5">
        <v>1</v>
      </c>
      <c r="D1116" s="9" t="s">
        <v>8</v>
      </c>
      <c r="E1116" s="10">
        <v>160</v>
      </c>
      <c r="F1116" s="10">
        <f t="shared" si="17"/>
        <v>160</v>
      </c>
    </row>
    <row r="1117" spans="1:6" s="9" customFormat="1" x14ac:dyDescent="0.25">
      <c r="B1117" s="4"/>
      <c r="C1117" s="5">
        <v>2</v>
      </c>
      <c r="D1117" s="9" t="s">
        <v>13</v>
      </c>
      <c r="E1117" s="10">
        <v>150</v>
      </c>
      <c r="F1117" s="10">
        <f t="shared" si="17"/>
        <v>300</v>
      </c>
    </row>
    <row r="1118" spans="1:6" s="9" customFormat="1" x14ac:dyDescent="0.25">
      <c r="B1118" s="4"/>
      <c r="C1118" s="5">
        <v>2</v>
      </c>
      <c r="D1118" s="9" t="s">
        <v>8</v>
      </c>
      <c r="E1118" s="10">
        <v>160</v>
      </c>
      <c r="F1118" s="10">
        <f t="shared" si="17"/>
        <v>320</v>
      </c>
    </row>
    <row r="1119" spans="1:6" s="9" customFormat="1" x14ac:dyDescent="0.25">
      <c r="B1119" s="4"/>
      <c r="C1119" s="5"/>
      <c r="E1119" s="10"/>
      <c r="F1119" s="8">
        <f>SUM(F1115:F1118)</f>
        <v>1980</v>
      </c>
    </row>
    <row r="1120" spans="1:6" s="9" customFormat="1" x14ac:dyDescent="0.25">
      <c r="B1120" s="4"/>
      <c r="C1120" s="5"/>
      <c r="E1120" s="10"/>
      <c r="F1120" s="10"/>
    </row>
    <row r="1121" spans="1:6" s="9" customFormat="1" x14ac:dyDescent="0.25">
      <c r="A1121" s="9" t="s">
        <v>76</v>
      </c>
      <c r="B1121" s="4">
        <v>45886</v>
      </c>
      <c r="C1121" s="5">
        <v>81</v>
      </c>
      <c r="D1121" s="9" t="s">
        <v>416</v>
      </c>
      <c r="E1121" s="10"/>
      <c r="F1121" s="10">
        <f t="shared" si="17"/>
        <v>0</v>
      </c>
    </row>
    <row r="1122" spans="1:6" s="9" customFormat="1" x14ac:dyDescent="0.25">
      <c r="B1122" s="4"/>
      <c r="C1122" s="5">
        <v>49</v>
      </c>
      <c r="D1122" s="9" t="s">
        <v>797</v>
      </c>
      <c r="E1122" s="10"/>
      <c r="F1122" s="10">
        <f t="shared" si="17"/>
        <v>0</v>
      </c>
    </row>
    <row r="1123" spans="1:6" s="9" customFormat="1" x14ac:dyDescent="0.25">
      <c r="B1123" s="4"/>
      <c r="C1123" s="5">
        <v>86</v>
      </c>
      <c r="D1123" s="9" t="s">
        <v>869</v>
      </c>
      <c r="E1123" s="10"/>
      <c r="F1123" s="10">
        <f t="shared" si="17"/>
        <v>0</v>
      </c>
    </row>
    <row r="1124" spans="1:6" s="9" customFormat="1" x14ac:dyDescent="0.25">
      <c r="B1124" s="4"/>
      <c r="C1124" s="5">
        <v>5</v>
      </c>
      <c r="D1124" s="9" t="s">
        <v>519</v>
      </c>
      <c r="E1124" s="10"/>
      <c r="F1124" s="10">
        <f t="shared" si="17"/>
        <v>0</v>
      </c>
    </row>
    <row r="1125" spans="1:6" s="9" customFormat="1" x14ac:dyDescent="0.25">
      <c r="B1125" s="4"/>
      <c r="C1125" s="5"/>
      <c r="E1125" s="10"/>
      <c r="F1125" s="8">
        <f>SUM(F1121:F1124)</f>
        <v>0</v>
      </c>
    </row>
    <row r="1126" spans="1:6" s="9" customFormat="1" x14ac:dyDescent="0.25">
      <c r="B1126" s="4"/>
      <c r="C1126" s="5"/>
      <c r="E1126" s="10"/>
      <c r="F1126" s="10"/>
    </row>
    <row r="1127" spans="1:6" s="9" customFormat="1" x14ac:dyDescent="0.25">
      <c r="A1127" s="9" t="s">
        <v>29</v>
      </c>
      <c r="B1127" s="4">
        <v>45886</v>
      </c>
      <c r="C1127" s="5">
        <v>3</v>
      </c>
      <c r="D1127" s="9" t="s">
        <v>13</v>
      </c>
      <c r="E1127" s="10">
        <v>160</v>
      </c>
      <c r="F1127" s="10">
        <f t="shared" si="17"/>
        <v>480</v>
      </c>
    </row>
    <row r="1128" spans="1:6" s="9" customFormat="1" x14ac:dyDescent="0.25">
      <c r="B1128" s="4"/>
      <c r="C1128" s="5">
        <v>1</v>
      </c>
      <c r="D1128" s="9" t="s">
        <v>13</v>
      </c>
      <c r="E1128" s="10">
        <v>160</v>
      </c>
      <c r="F1128" s="10">
        <f t="shared" si="17"/>
        <v>160</v>
      </c>
    </row>
    <row r="1129" spans="1:6" s="9" customFormat="1" x14ac:dyDescent="0.25">
      <c r="B1129" s="4"/>
      <c r="C1129" s="5"/>
      <c r="E1129" s="10"/>
      <c r="F1129" s="8">
        <f>SUM(F1127:F1128)</f>
        <v>640</v>
      </c>
    </row>
    <row r="1130" spans="1:6" s="9" customFormat="1" x14ac:dyDescent="0.25">
      <c r="B1130" s="4"/>
      <c r="C1130" s="5"/>
      <c r="E1130" s="10"/>
      <c r="F1130" s="10"/>
    </row>
    <row r="1131" spans="1:6" s="9" customFormat="1" x14ac:dyDescent="0.25">
      <c r="A1131" s="9" t="s">
        <v>181</v>
      </c>
      <c r="B1131" s="4">
        <v>45886</v>
      </c>
      <c r="C1131" s="5">
        <v>1</v>
      </c>
      <c r="D1131" s="9" t="s">
        <v>13</v>
      </c>
      <c r="E1131" s="10">
        <v>160</v>
      </c>
      <c r="F1131" s="10">
        <f t="shared" si="17"/>
        <v>160</v>
      </c>
    </row>
    <row r="1132" spans="1:6" s="9" customFormat="1" x14ac:dyDescent="0.25">
      <c r="B1132" s="4"/>
      <c r="C1132" s="5">
        <v>1</v>
      </c>
      <c r="D1132" s="9" t="s">
        <v>13</v>
      </c>
      <c r="E1132" s="10">
        <v>160</v>
      </c>
      <c r="F1132" s="10">
        <f t="shared" si="17"/>
        <v>160</v>
      </c>
    </row>
    <row r="1133" spans="1:6" s="9" customFormat="1" x14ac:dyDescent="0.25">
      <c r="B1133" s="4"/>
      <c r="C1133" s="5">
        <v>1</v>
      </c>
      <c r="D1133" s="9" t="s">
        <v>13</v>
      </c>
      <c r="E1133" s="10">
        <v>160</v>
      </c>
      <c r="F1133" s="10">
        <f t="shared" si="17"/>
        <v>160</v>
      </c>
    </row>
    <row r="1134" spans="1:6" s="9" customFormat="1" x14ac:dyDescent="0.25">
      <c r="B1134" s="4"/>
      <c r="C1134" s="5"/>
      <c r="E1134" s="10"/>
      <c r="F1134" s="8">
        <f>SUM(F1131:F1133)</f>
        <v>480</v>
      </c>
    </row>
    <row r="1135" spans="1:6" s="9" customFormat="1" x14ac:dyDescent="0.25">
      <c r="B1135" s="4"/>
      <c r="C1135" s="5"/>
      <c r="E1135" s="10"/>
      <c r="F1135" s="10"/>
    </row>
    <row r="1136" spans="1:6" s="9" customFormat="1" x14ac:dyDescent="0.25">
      <c r="A1136" s="9" t="s">
        <v>15</v>
      </c>
      <c r="B1136" s="4">
        <v>45887</v>
      </c>
      <c r="C1136" s="5">
        <v>64</v>
      </c>
      <c r="D1136" s="9" t="s">
        <v>98</v>
      </c>
      <c r="E1136" s="10">
        <v>110</v>
      </c>
      <c r="F1136" s="10">
        <f t="shared" si="17"/>
        <v>7040</v>
      </c>
    </row>
    <row r="1137" spans="1:6" s="9" customFormat="1" x14ac:dyDescent="0.25">
      <c r="B1137" s="4"/>
      <c r="C1137" s="5"/>
      <c r="E1137" s="10"/>
      <c r="F1137" s="8">
        <f>SUM(F1136)</f>
        <v>7040</v>
      </c>
    </row>
    <row r="1138" spans="1:6" s="9" customFormat="1" x14ac:dyDescent="0.25">
      <c r="B1138" s="4"/>
      <c r="C1138" s="5"/>
      <c r="E1138" s="10"/>
      <c r="F1138" s="10"/>
    </row>
    <row r="1139" spans="1:6" s="9" customFormat="1" x14ac:dyDescent="0.25">
      <c r="A1139" s="9" t="s">
        <v>61</v>
      </c>
      <c r="B1139" s="4">
        <v>45887</v>
      </c>
      <c r="C1139" s="5">
        <v>40</v>
      </c>
      <c r="D1139" s="9" t="s">
        <v>13</v>
      </c>
      <c r="E1139" s="10">
        <v>155</v>
      </c>
      <c r="F1139" s="10">
        <f t="shared" si="17"/>
        <v>6200</v>
      </c>
    </row>
    <row r="1140" spans="1:6" s="9" customFormat="1" x14ac:dyDescent="0.25">
      <c r="B1140" s="4"/>
      <c r="C1140" s="5"/>
      <c r="E1140" s="10"/>
      <c r="F1140" s="8">
        <f>SUM(F1139)</f>
        <v>6200</v>
      </c>
    </row>
    <row r="1141" spans="1:6" s="9" customFormat="1" x14ac:dyDescent="0.25">
      <c r="B1141" s="4"/>
      <c r="C1141" s="5"/>
      <c r="E1141" s="10"/>
      <c r="F1141" s="10"/>
    </row>
    <row r="1142" spans="1:6" s="9" customFormat="1" x14ac:dyDescent="0.25">
      <c r="A1142" s="9" t="s">
        <v>780</v>
      </c>
      <c r="B1142" s="4">
        <v>45887</v>
      </c>
      <c r="C1142" s="5">
        <v>7</v>
      </c>
      <c r="D1142" s="9" t="s">
        <v>14</v>
      </c>
      <c r="E1142" s="10">
        <v>140</v>
      </c>
      <c r="F1142" s="10">
        <f t="shared" si="17"/>
        <v>980</v>
      </c>
    </row>
    <row r="1143" spans="1:6" s="9" customFormat="1" x14ac:dyDescent="0.25">
      <c r="B1143" s="4"/>
      <c r="C1143" s="5"/>
      <c r="E1143" s="10"/>
      <c r="F1143" s="8">
        <f>SUM(F1142)</f>
        <v>980</v>
      </c>
    </row>
    <row r="1144" spans="1:6" s="9" customFormat="1" x14ac:dyDescent="0.25">
      <c r="B1144" s="4"/>
      <c r="C1144" s="5"/>
      <c r="E1144" s="10"/>
      <c r="F1144" s="10"/>
    </row>
    <row r="1145" spans="1:6" s="9" customFormat="1" x14ac:dyDescent="0.25">
      <c r="A1145" s="9" t="s">
        <v>43</v>
      </c>
      <c r="B1145" s="4">
        <v>45887</v>
      </c>
      <c r="C1145" s="5">
        <v>28</v>
      </c>
      <c r="D1145" s="9" t="s">
        <v>14</v>
      </c>
      <c r="E1145" s="10">
        <v>150</v>
      </c>
      <c r="F1145" s="10">
        <f t="shared" si="17"/>
        <v>4200</v>
      </c>
    </row>
    <row r="1146" spans="1:6" s="9" customFormat="1" x14ac:dyDescent="0.25">
      <c r="B1146" s="4"/>
      <c r="C1146" s="5"/>
      <c r="E1146" s="10"/>
      <c r="F1146" s="8">
        <f>SUM(F1145)</f>
        <v>4200</v>
      </c>
    </row>
    <row r="1147" spans="1:6" s="9" customFormat="1" x14ac:dyDescent="0.25">
      <c r="B1147" s="4"/>
      <c r="C1147" s="5"/>
      <c r="E1147" s="10"/>
      <c r="F1147" s="10"/>
    </row>
    <row r="1148" spans="1:6" s="9" customFormat="1" x14ac:dyDescent="0.25">
      <c r="A1148" s="9" t="s">
        <v>44</v>
      </c>
      <c r="B1148" s="4">
        <v>45887</v>
      </c>
      <c r="C1148" s="5">
        <v>60</v>
      </c>
      <c r="D1148" s="9" t="s">
        <v>14</v>
      </c>
      <c r="E1148" s="10">
        <v>145</v>
      </c>
      <c r="F1148" s="10">
        <f t="shared" si="17"/>
        <v>8700</v>
      </c>
    </row>
    <row r="1149" spans="1:6" s="9" customFormat="1" x14ac:dyDescent="0.25">
      <c r="B1149" s="4"/>
      <c r="C1149" s="5"/>
      <c r="E1149" s="10"/>
      <c r="F1149" s="8">
        <f>SUM(F1148)</f>
        <v>8700</v>
      </c>
    </row>
    <row r="1150" spans="1:6" s="9" customFormat="1" x14ac:dyDescent="0.25">
      <c r="B1150" s="4"/>
      <c r="C1150" s="5"/>
      <c r="E1150" s="10"/>
      <c r="F1150" s="10"/>
    </row>
    <row r="1151" spans="1:6" s="9" customFormat="1" x14ac:dyDescent="0.25">
      <c r="A1151" s="9" t="s">
        <v>18</v>
      </c>
      <c r="B1151" s="4">
        <v>45887</v>
      </c>
      <c r="C1151" s="5">
        <v>6</v>
      </c>
      <c r="D1151" s="9" t="s">
        <v>13</v>
      </c>
      <c r="E1151" s="10">
        <v>150</v>
      </c>
      <c r="F1151" s="10">
        <f t="shared" si="17"/>
        <v>900</v>
      </c>
    </row>
    <row r="1152" spans="1:6" s="9" customFormat="1" x14ac:dyDescent="0.25">
      <c r="B1152" s="4"/>
      <c r="C1152" s="5">
        <v>11</v>
      </c>
      <c r="D1152" s="9" t="s">
        <v>14</v>
      </c>
      <c r="E1152" s="10">
        <v>150</v>
      </c>
      <c r="F1152" s="10">
        <f t="shared" si="17"/>
        <v>1650</v>
      </c>
    </row>
    <row r="1153" spans="1:6" s="9" customFormat="1" x14ac:dyDescent="0.25">
      <c r="B1153" s="4"/>
      <c r="C1153" s="5">
        <v>20</v>
      </c>
      <c r="D1153" s="9" t="s">
        <v>285</v>
      </c>
      <c r="E1153" s="10">
        <v>140</v>
      </c>
      <c r="F1153" s="10">
        <f t="shared" si="17"/>
        <v>2800</v>
      </c>
    </row>
    <row r="1154" spans="1:6" s="9" customFormat="1" x14ac:dyDescent="0.25">
      <c r="B1154" s="4"/>
      <c r="C1154" s="5"/>
      <c r="E1154" s="10"/>
      <c r="F1154" s="8">
        <f>SUM(F1151:F1153)</f>
        <v>5350</v>
      </c>
    </row>
    <row r="1155" spans="1:6" s="9" customFormat="1" x14ac:dyDescent="0.25">
      <c r="B1155" s="4"/>
      <c r="C1155" s="5"/>
      <c r="E1155" s="10"/>
      <c r="F1155" s="10"/>
    </row>
    <row r="1156" spans="1:6" s="9" customFormat="1" x14ac:dyDescent="0.25">
      <c r="A1156" s="9" t="s">
        <v>41</v>
      </c>
      <c r="B1156" s="4">
        <v>45887</v>
      </c>
      <c r="C1156" s="5">
        <v>35</v>
      </c>
      <c r="D1156" s="9" t="s">
        <v>14</v>
      </c>
      <c r="E1156" s="10">
        <v>140</v>
      </c>
      <c r="F1156" s="10">
        <f t="shared" si="17"/>
        <v>4900</v>
      </c>
    </row>
    <row r="1157" spans="1:6" s="9" customFormat="1" x14ac:dyDescent="0.25">
      <c r="B1157" s="4"/>
      <c r="C1157" s="5"/>
      <c r="E1157" s="10"/>
      <c r="F1157" s="8">
        <f>SUM(F1156)</f>
        <v>4900</v>
      </c>
    </row>
    <row r="1158" spans="1:6" s="9" customFormat="1" x14ac:dyDescent="0.25">
      <c r="B1158" s="4"/>
      <c r="C1158" s="5"/>
      <c r="E1158" s="10"/>
      <c r="F1158" s="10"/>
    </row>
    <row r="1159" spans="1:6" s="9" customFormat="1" x14ac:dyDescent="0.25">
      <c r="A1159" s="9" t="s">
        <v>46</v>
      </c>
      <c r="B1159" s="4">
        <v>45887</v>
      </c>
      <c r="C1159" s="5">
        <v>10</v>
      </c>
      <c r="D1159" s="9" t="s">
        <v>14</v>
      </c>
      <c r="E1159" s="10">
        <v>150</v>
      </c>
      <c r="F1159" s="10">
        <f t="shared" ref="F1159:F1225" si="18">+C1159*E1159</f>
        <v>1500</v>
      </c>
    </row>
    <row r="1160" spans="1:6" s="9" customFormat="1" x14ac:dyDescent="0.25">
      <c r="B1160" s="4"/>
      <c r="C1160" s="5">
        <v>15</v>
      </c>
      <c r="D1160" s="9" t="s">
        <v>11</v>
      </c>
      <c r="E1160" s="10">
        <v>140</v>
      </c>
      <c r="F1160" s="10">
        <f t="shared" si="18"/>
        <v>2100</v>
      </c>
    </row>
    <row r="1161" spans="1:6" s="9" customFormat="1" x14ac:dyDescent="0.25">
      <c r="B1161" s="4"/>
      <c r="C1161" s="5"/>
      <c r="E1161" s="10"/>
      <c r="F1161" s="8">
        <f>SUM(F1159:F1160)</f>
        <v>3600</v>
      </c>
    </row>
    <row r="1162" spans="1:6" s="9" customFormat="1" x14ac:dyDescent="0.25">
      <c r="B1162" s="4"/>
      <c r="C1162" s="5"/>
      <c r="E1162" s="10"/>
      <c r="F1162" s="10"/>
    </row>
    <row r="1163" spans="1:6" s="9" customFormat="1" x14ac:dyDescent="0.25">
      <c r="A1163" s="9" t="s">
        <v>48</v>
      </c>
      <c r="B1163" s="4">
        <v>45887</v>
      </c>
      <c r="C1163" s="5">
        <v>350</v>
      </c>
      <c r="D1163" s="9" t="s">
        <v>14</v>
      </c>
      <c r="E1163" s="10"/>
      <c r="F1163" s="10">
        <f t="shared" si="18"/>
        <v>0</v>
      </c>
    </row>
    <row r="1164" spans="1:6" s="9" customFormat="1" x14ac:dyDescent="0.25">
      <c r="B1164" s="4"/>
      <c r="C1164" s="5">
        <v>250</v>
      </c>
      <c r="D1164" s="9" t="s">
        <v>712</v>
      </c>
      <c r="E1164" s="10"/>
      <c r="F1164" s="10">
        <f t="shared" si="18"/>
        <v>0</v>
      </c>
    </row>
    <row r="1165" spans="1:6" s="9" customFormat="1" x14ac:dyDescent="0.25">
      <c r="B1165" s="4"/>
      <c r="C1165" s="5"/>
      <c r="E1165" s="10"/>
      <c r="F1165" s="8">
        <f>SUM(F1163:F1164)</f>
        <v>0</v>
      </c>
    </row>
    <row r="1166" spans="1:6" s="9" customFormat="1" x14ac:dyDescent="0.25">
      <c r="B1166" s="4"/>
      <c r="C1166" s="5"/>
      <c r="E1166" s="10"/>
      <c r="F1166" s="10"/>
    </row>
    <row r="1167" spans="1:6" s="9" customFormat="1" x14ac:dyDescent="0.25">
      <c r="A1167" s="9" t="s">
        <v>89</v>
      </c>
      <c r="B1167" s="4">
        <v>45887</v>
      </c>
      <c r="C1167" s="5">
        <v>30</v>
      </c>
      <c r="D1167" s="9" t="s">
        <v>12</v>
      </c>
      <c r="E1167" s="10">
        <v>140</v>
      </c>
      <c r="F1167" s="10">
        <f t="shared" si="18"/>
        <v>4200</v>
      </c>
    </row>
    <row r="1168" spans="1:6" s="9" customFormat="1" x14ac:dyDescent="0.25">
      <c r="B1168" s="4"/>
      <c r="C1168" s="5">
        <v>60</v>
      </c>
      <c r="D1168" s="9" t="s">
        <v>22</v>
      </c>
      <c r="E1168" s="10">
        <v>130</v>
      </c>
      <c r="F1168" s="10">
        <f t="shared" si="18"/>
        <v>7800</v>
      </c>
    </row>
    <row r="1169" spans="1:6" s="9" customFormat="1" x14ac:dyDescent="0.25">
      <c r="B1169" s="4"/>
      <c r="C1169" s="5">
        <v>10</v>
      </c>
      <c r="D1169" s="9" t="s">
        <v>13</v>
      </c>
      <c r="E1169" s="10">
        <v>145</v>
      </c>
      <c r="F1169" s="10">
        <f t="shared" si="18"/>
        <v>1450</v>
      </c>
    </row>
    <row r="1170" spans="1:6" s="9" customFormat="1" x14ac:dyDescent="0.25">
      <c r="B1170" s="4"/>
      <c r="C1170" s="5"/>
      <c r="E1170" s="10"/>
      <c r="F1170" s="8">
        <f>SUM(F1167:F1169)</f>
        <v>13450</v>
      </c>
    </row>
    <row r="1171" spans="1:6" s="9" customFormat="1" x14ac:dyDescent="0.25">
      <c r="B1171" s="4"/>
      <c r="C1171" s="5"/>
      <c r="E1171" s="10"/>
      <c r="F1171" s="10"/>
    </row>
    <row r="1172" spans="1:6" s="9" customFormat="1" x14ac:dyDescent="0.25">
      <c r="A1172" s="9" t="s">
        <v>184</v>
      </c>
      <c r="B1172" s="4">
        <v>45887</v>
      </c>
      <c r="C1172" s="5">
        <v>7</v>
      </c>
      <c r="D1172" s="9" t="s">
        <v>13</v>
      </c>
      <c r="E1172" s="10">
        <v>155</v>
      </c>
      <c r="F1172" s="10">
        <f t="shared" si="18"/>
        <v>1085</v>
      </c>
    </row>
    <row r="1173" spans="1:6" s="9" customFormat="1" x14ac:dyDescent="0.25">
      <c r="B1173" s="4"/>
      <c r="C1173" s="5"/>
      <c r="E1173" s="10"/>
      <c r="F1173" s="8">
        <f>SUM(F1172)</f>
        <v>1085</v>
      </c>
    </row>
    <row r="1174" spans="1:6" s="9" customFormat="1" x14ac:dyDescent="0.25">
      <c r="B1174" s="4"/>
      <c r="C1174" s="5"/>
      <c r="E1174" s="10"/>
      <c r="F1174" s="10"/>
    </row>
    <row r="1175" spans="1:6" s="9" customFormat="1" x14ac:dyDescent="0.25">
      <c r="A1175" s="9" t="s">
        <v>100</v>
      </c>
      <c r="B1175" s="4">
        <v>45887</v>
      </c>
      <c r="C1175" s="5">
        <v>10</v>
      </c>
      <c r="D1175" s="9" t="s">
        <v>13</v>
      </c>
      <c r="E1175" s="10">
        <v>140</v>
      </c>
      <c r="F1175" s="10">
        <f t="shared" si="18"/>
        <v>1400</v>
      </c>
    </row>
    <row r="1176" spans="1:6" s="9" customFormat="1" x14ac:dyDescent="0.25">
      <c r="B1176" s="4"/>
      <c r="C1176" s="5"/>
      <c r="E1176" s="10"/>
      <c r="F1176" s="8">
        <f>SUM(F1175)</f>
        <v>1400</v>
      </c>
    </row>
    <row r="1177" spans="1:6" s="9" customFormat="1" x14ac:dyDescent="0.25">
      <c r="B1177" s="4"/>
      <c r="C1177" s="5"/>
      <c r="E1177" s="10"/>
      <c r="F1177" s="10"/>
    </row>
    <row r="1178" spans="1:6" s="9" customFormat="1" x14ac:dyDescent="0.25">
      <c r="A1178" s="9" t="s">
        <v>610</v>
      </c>
      <c r="B1178" s="4">
        <v>45887</v>
      </c>
      <c r="C1178" s="5">
        <v>10</v>
      </c>
      <c r="D1178" s="9" t="s">
        <v>14</v>
      </c>
      <c r="E1178" s="10">
        <v>145</v>
      </c>
      <c r="F1178" s="10">
        <f t="shared" si="18"/>
        <v>1450</v>
      </c>
    </row>
    <row r="1179" spans="1:6" s="9" customFormat="1" x14ac:dyDescent="0.25">
      <c r="B1179" s="4"/>
      <c r="C1179" s="5"/>
      <c r="E1179" s="10"/>
      <c r="F1179" s="8">
        <f>SUM(F1178)</f>
        <v>1450</v>
      </c>
    </row>
    <row r="1180" spans="1:6" s="9" customFormat="1" x14ac:dyDescent="0.25">
      <c r="B1180" s="4"/>
      <c r="C1180" s="5"/>
      <c r="E1180" s="10"/>
      <c r="F1180" s="10"/>
    </row>
    <row r="1181" spans="1:6" s="9" customFormat="1" x14ac:dyDescent="0.25">
      <c r="A1181" s="9" t="s">
        <v>103</v>
      </c>
      <c r="B1181" s="4">
        <v>45887</v>
      </c>
      <c r="C1181" s="5">
        <v>4</v>
      </c>
      <c r="D1181" s="9" t="s">
        <v>870</v>
      </c>
      <c r="E1181" s="10">
        <v>155</v>
      </c>
      <c r="F1181" s="10">
        <f t="shared" si="18"/>
        <v>620</v>
      </c>
    </row>
    <row r="1182" spans="1:6" s="9" customFormat="1" x14ac:dyDescent="0.25">
      <c r="B1182" s="4"/>
      <c r="C1182" s="5"/>
      <c r="E1182" s="10"/>
      <c r="F1182" s="8">
        <f>SUM(F1181)</f>
        <v>620</v>
      </c>
    </row>
    <row r="1183" spans="1:6" s="9" customFormat="1" x14ac:dyDescent="0.25">
      <c r="B1183" s="4"/>
      <c r="C1183" s="5"/>
      <c r="E1183" s="10"/>
      <c r="F1183" s="10"/>
    </row>
    <row r="1184" spans="1:6" s="9" customFormat="1" x14ac:dyDescent="0.25">
      <c r="A1184" s="9" t="s">
        <v>871</v>
      </c>
      <c r="B1184" s="4">
        <v>45887</v>
      </c>
      <c r="C1184" s="5">
        <v>10</v>
      </c>
      <c r="D1184" s="9" t="s">
        <v>13</v>
      </c>
      <c r="E1184" s="10">
        <v>145</v>
      </c>
      <c r="F1184" s="10">
        <f>+C1184*E1184</f>
        <v>1450</v>
      </c>
    </row>
    <row r="1185" spans="1:6" s="9" customFormat="1" x14ac:dyDescent="0.25">
      <c r="B1185" s="4"/>
      <c r="C1185" s="5">
        <v>10</v>
      </c>
      <c r="D1185" s="9" t="s">
        <v>872</v>
      </c>
      <c r="E1185" s="10">
        <v>140</v>
      </c>
      <c r="F1185" s="10">
        <f>+C1185*E1185</f>
        <v>1400</v>
      </c>
    </row>
    <row r="1186" spans="1:6" s="9" customFormat="1" x14ac:dyDescent="0.25">
      <c r="B1186" s="4"/>
      <c r="C1186" s="5"/>
      <c r="E1186" s="10"/>
      <c r="F1186" s="8">
        <f>SUM(F1184:F1185)</f>
        <v>2850</v>
      </c>
    </row>
    <row r="1187" spans="1:6" s="9" customFormat="1" x14ac:dyDescent="0.25">
      <c r="B1187" s="4"/>
      <c r="C1187" s="5"/>
      <c r="E1187" s="10"/>
      <c r="F1187" s="10"/>
    </row>
    <row r="1188" spans="1:6" s="9" customFormat="1" x14ac:dyDescent="0.25">
      <c r="A1188" s="9" t="s">
        <v>101</v>
      </c>
      <c r="B1188" s="4">
        <v>45887</v>
      </c>
      <c r="C1188" s="5">
        <v>2</v>
      </c>
      <c r="D1188" s="9" t="s">
        <v>12</v>
      </c>
      <c r="E1188" s="10">
        <v>140</v>
      </c>
      <c r="F1188" s="10">
        <f t="shared" si="18"/>
        <v>280</v>
      </c>
    </row>
    <row r="1189" spans="1:6" s="9" customFormat="1" x14ac:dyDescent="0.25">
      <c r="B1189" s="4"/>
      <c r="C1189" s="5"/>
      <c r="E1189" s="10"/>
      <c r="F1189" s="8">
        <f>SUM(F1188)</f>
        <v>280</v>
      </c>
    </row>
    <row r="1190" spans="1:6" s="9" customFormat="1" x14ac:dyDescent="0.25">
      <c r="B1190" s="4"/>
      <c r="C1190" s="5"/>
      <c r="E1190" s="10"/>
      <c r="F1190" s="10"/>
    </row>
    <row r="1191" spans="1:6" s="9" customFormat="1" x14ac:dyDescent="0.25">
      <c r="A1191" s="9" t="s">
        <v>7</v>
      </c>
      <c r="B1191" s="4">
        <v>45887</v>
      </c>
      <c r="C1191" s="5">
        <v>4</v>
      </c>
      <c r="D1191" s="9" t="s">
        <v>8</v>
      </c>
      <c r="E1191" s="10">
        <v>170</v>
      </c>
      <c r="F1191" s="10">
        <f t="shared" si="18"/>
        <v>680</v>
      </c>
    </row>
    <row r="1192" spans="1:6" s="9" customFormat="1" x14ac:dyDescent="0.25">
      <c r="B1192" s="4"/>
      <c r="C1192" s="5">
        <v>1</v>
      </c>
      <c r="D1192" s="9" t="s">
        <v>13</v>
      </c>
      <c r="E1192" s="10">
        <v>160</v>
      </c>
      <c r="F1192" s="10">
        <f t="shared" si="18"/>
        <v>160</v>
      </c>
    </row>
    <row r="1193" spans="1:6" s="9" customFormat="1" x14ac:dyDescent="0.25">
      <c r="B1193" s="4"/>
      <c r="C1193" s="11">
        <v>2.5</v>
      </c>
      <c r="D1193" s="9" t="s">
        <v>12</v>
      </c>
      <c r="E1193" s="10">
        <v>150</v>
      </c>
      <c r="F1193" s="10">
        <f t="shared" si="18"/>
        <v>375</v>
      </c>
    </row>
    <row r="1194" spans="1:6" s="9" customFormat="1" x14ac:dyDescent="0.25">
      <c r="B1194" s="4"/>
      <c r="C1194" s="5"/>
      <c r="E1194" s="10"/>
      <c r="F1194" s="8">
        <f>SUM(F1191:F1193)</f>
        <v>1215</v>
      </c>
    </row>
    <row r="1195" spans="1:6" s="9" customFormat="1" x14ac:dyDescent="0.25">
      <c r="B1195" s="4"/>
      <c r="C1195" s="5"/>
      <c r="E1195" s="10"/>
      <c r="F1195" s="10"/>
    </row>
    <row r="1196" spans="1:6" s="9" customFormat="1" x14ac:dyDescent="0.25">
      <c r="A1196" s="9" t="s">
        <v>60</v>
      </c>
      <c r="B1196" s="4">
        <v>45888</v>
      </c>
      <c r="C1196" s="5">
        <v>30</v>
      </c>
      <c r="D1196" s="9" t="s">
        <v>13</v>
      </c>
      <c r="E1196" s="10">
        <v>155</v>
      </c>
      <c r="F1196" s="10">
        <f t="shared" si="18"/>
        <v>4650</v>
      </c>
    </row>
    <row r="1197" spans="1:6" s="9" customFormat="1" x14ac:dyDescent="0.25">
      <c r="B1197" s="4"/>
      <c r="C1197" s="5"/>
      <c r="E1197" s="10"/>
      <c r="F1197" s="8">
        <f>SUM(F1196)</f>
        <v>4650</v>
      </c>
    </row>
    <row r="1198" spans="1:6" s="9" customFormat="1" x14ac:dyDescent="0.25">
      <c r="B1198" s="4"/>
      <c r="C1198" s="5"/>
      <c r="E1198" s="10"/>
      <c r="F1198" s="10"/>
    </row>
    <row r="1199" spans="1:6" s="9" customFormat="1" x14ac:dyDescent="0.25">
      <c r="A1199" s="9" t="s">
        <v>62</v>
      </c>
      <c r="B1199" s="4">
        <v>45888</v>
      </c>
      <c r="C1199" s="5">
        <v>60</v>
      </c>
      <c r="D1199" s="9" t="s">
        <v>8</v>
      </c>
      <c r="E1199" s="10">
        <v>160</v>
      </c>
      <c r="F1199" s="10">
        <f t="shared" si="18"/>
        <v>9600</v>
      </c>
    </row>
    <row r="1200" spans="1:6" s="9" customFormat="1" x14ac:dyDescent="0.25">
      <c r="B1200" s="4"/>
      <c r="C1200" s="5"/>
      <c r="E1200" s="10"/>
      <c r="F1200" s="8">
        <f>SUM(F1199)</f>
        <v>9600</v>
      </c>
    </row>
    <row r="1201" spans="1:6" s="9" customFormat="1" x14ac:dyDescent="0.25">
      <c r="B1201" s="4"/>
      <c r="C1201" s="5"/>
      <c r="E1201" s="10"/>
      <c r="F1201" s="10"/>
    </row>
    <row r="1202" spans="1:6" s="9" customFormat="1" x14ac:dyDescent="0.25">
      <c r="A1202" s="9" t="s">
        <v>151</v>
      </c>
      <c r="B1202" s="4">
        <v>45888</v>
      </c>
      <c r="C1202" s="5">
        <v>80</v>
      </c>
      <c r="D1202" s="9" t="s">
        <v>22</v>
      </c>
      <c r="E1202" s="10">
        <v>128</v>
      </c>
      <c r="F1202" s="10">
        <f t="shared" si="18"/>
        <v>10240</v>
      </c>
    </row>
    <row r="1203" spans="1:6" s="9" customFormat="1" x14ac:dyDescent="0.25">
      <c r="B1203" s="4"/>
      <c r="C1203" s="5"/>
      <c r="E1203" s="10"/>
      <c r="F1203" s="8">
        <f>SUM(F1202)</f>
        <v>10240</v>
      </c>
    </row>
    <row r="1204" spans="1:6" s="9" customFormat="1" x14ac:dyDescent="0.25">
      <c r="B1204" s="4"/>
      <c r="C1204" s="5"/>
      <c r="E1204" s="10"/>
      <c r="F1204" s="10"/>
    </row>
    <row r="1205" spans="1:6" s="9" customFormat="1" x14ac:dyDescent="0.25">
      <c r="A1205" s="9" t="s">
        <v>306</v>
      </c>
      <c r="B1205" s="4">
        <v>45888</v>
      </c>
      <c r="C1205" s="5">
        <v>5</v>
      </c>
      <c r="D1205" s="9" t="s">
        <v>13</v>
      </c>
      <c r="E1205" s="10">
        <v>155</v>
      </c>
      <c r="F1205" s="10">
        <f t="shared" si="18"/>
        <v>775</v>
      </c>
    </row>
    <row r="1206" spans="1:6" s="9" customFormat="1" x14ac:dyDescent="0.25">
      <c r="B1206" s="4"/>
      <c r="C1206" s="5"/>
      <c r="E1206" s="10"/>
      <c r="F1206" s="8">
        <f>SUM(F1205)</f>
        <v>775</v>
      </c>
    </row>
    <row r="1207" spans="1:6" s="9" customFormat="1" x14ac:dyDescent="0.25">
      <c r="B1207" s="4"/>
      <c r="C1207" s="5"/>
      <c r="E1207" s="10"/>
      <c r="F1207" s="10"/>
    </row>
    <row r="1208" spans="1:6" s="9" customFormat="1" x14ac:dyDescent="0.25">
      <c r="A1208" s="9" t="s">
        <v>216</v>
      </c>
      <c r="B1208" s="4" t="s">
        <v>873</v>
      </c>
      <c r="C1208" s="5">
        <v>162</v>
      </c>
      <c r="D1208" s="9" t="s">
        <v>14</v>
      </c>
      <c r="E1208" s="10"/>
      <c r="F1208" s="10">
        <f t="shared" si="18"/>
        <v>0</v>
      </c>
    </row>
    <row r="1209" spans="1:6" s="9" customFormat="1" x14ac:dyDescent="0.25">
      <c r="B1209" s="4"/>
      <c r="C1209" s="5">
        <v>50</v>
      </c>
      <c r="D1209" s="9" t="s">
        <v>11</v>
      </c>
      <c r="E1209" s="10"/>
      <c r="F1209" s="10">
        <f t="shared" si="18"/>
        <v>0</v>
      </c>
    </row>
    <row r="1210" spans="1:6" s="9" customFormat="1" x14ac:dyDescent="0.25">
      <c r="B1210" s="4"/>
      <c r="C1210" s="5">
        <v>50</v>
      </c>
      <c r="D1210" s="9" t="s">
        <v>22</v>
      </c>
      <c r="E1210" s="10"/>
      <c r="F1210" s="10">
        <f t="shared" si="18"/>
        <v>0</v>
      </c>
    </row>
    <row r="1211" spans="1:6" s="9" customFormat="1" x14ac:dyDescent="0.25">
      <c r="B1211" s="4"/>
      <c r="C1211" s="5">
        <v>10</v>
      </c>
      <c r="D1211" s="9" t="s">
        <v>874</v>
      </c>
      <c r="E1211" s="10"/>
      <c r="F1211" s="10">
        <f t="shared" si="18"/>
        <v>0</v>
      </c>
    </row>
    <row r="1212" spans="1:6" s="9" customFormat="1" x14ac:dyDescent="0.25">
      <c r="B1212" s="4"/>
      <c r="C1212" s="5">
        <v>126</v>
      </c>
      <c r="D1212" s="9" t="s">
        <v>50</v>
      </c>
      <c r="E1212" s="10"/>
      <c r="F1212" s="10">
        <f t="shared" si="18"/>
        <v>0</v>
      </c>
    </row>
    <row r="1213" spans="1:6" s="9" customFormat="1" x14ac:dyDescent="0.25">
      <c r="B1213" s="4"/>
      <c r="C1213" s="5">
        <v>31</v>
      </c>
      <c r="D1213" s="9" t="s">
        <v>875</v>
      </c>
      <c r="E1213" s="10"/>
      <c r="F1213" s="10">
        <f t="shared" si="18"/>
        <v>0</v>
      </c>
    </row>
    <row r="1214" spans="1:6" s="9" customFormat="1" x14ac:dyDescent="0.25">
      <c r="B1214" s="4"/>
      <c r="C1214" s="5"/>
      <c r="E1214" s="10"/>
      <c r="F1214" s="8">
        <f>SUM(F1208:F1213)</f>
        <v>0</v>
      </c>
    </row>
    <row r="1215" spans="1:6" s="9" customFormat="1" x14ac:dyDescent="0.25">
      <c r="B1215" s="4"/>
      <c r="C1215" s="5"/>
      <c r="E1215" s="10"/>
      <c r="F1215" s="10"/>
    </row>
    <row r="1216" spans="1:6" s="9" customFormat="1" x14ac:dyDescent="0.25">
      <c r="A1216" s="9" t="s">
        <v>7</v>
      </c>
      <c r="B1216" s="4">
        <v>45888</v>
      </c>
      <c r="C1216" s="5">
        <v>2</v>
      </c>
      <c r="D1216" s="9" t="s">
        <v>8</v>
      </c>
      <c r="E1216" s="10">
        <v>170</v>
      </c>
      <c r="F1216" s="10">
        <f t="shared" si="18"/>
        <v>340</v>
      </c>
    </row>
    <row r="1217" spans="1:7" s="9" customFormat="1" x14ac:dyDescent="0.25">
      <c r="B1217" s="4"/>
      <c r="C1217" s="5">
        <v>1</v>
      </c>
      <c r="D1217" s="9" t="s">
        <v>13</v>
      </c>
      <c r="E1217" s="10">
        <v>160</v>
      </c>
      <c r="F1217" s="10">
        <f t="shared" si="18"/>
        <v>160</v>
      </c>
    </row>
    <row r="1218" spans="1:7" s="9" customFormat="1" x14ac:dyDescent="0.25">
      <c r="B1218" s="4"/>
      <c r="C1218" s="5">
        <v>2</v>
      </c>
      <c r="D1218" s="9" t="s">
        <v>13</v>
      </c>
      <c r="E1218" s="10">
        <v>160</v>
      </c>
      <c r="F1218" s="10">
        <f t="shared" si="18"/>
        <v>320</v>
      </c>
    </row>
    <row r="1219" spans="1:7" s="9" customFormat="1" x14ac:dyDescent="0.25">
      <c r="B1219" s="4"/>
      <c r="C1219" s="5">
        <v>14</v>
      </c>
      <c r="D1219" s="9" t="s">
        <v>161</v>
      </c>
      <c r="E1219" s="10">
        <v>140</v>
      </c>
      <c r="F1219" s="10">
        <f t="shared" si="18"/>
        <v>1960</v>
      </c>
    </row>
    <row r="1220" spans="1:7" s="9" customFormat="1" x14ac:dyDescent="0.25">
      <c r="B1220" s="4"/>
      <c r="C1220" s="5"/>
      <c r="E1220" s="10"/>
      <c r="F1220" s="8">
        <f>SUM(F1216:F1219)</f>
        <v>2780</v>
      </c>
    </row>
    <row r="1221" spans="1:7" s="9" customFormat="1" x14ac:dyDescent="0.25">
      <c r="B1221" s="4"/>
      <c r="C1221" s="5"/>
      <c r="E1221" s="10"/>
      <c r="F1221" s="10"/>
    </row>
    <row r="1222" spans="1:7" s="9" customFormat="1" x14ac:dyDescent="0.25">
      <c r="A1222" s="9" t="s">
        <v>69</v>
      </c>
      <c r="B1222" s="4">
        <v>45889</v>
      </c>
      <c r="C1222" s="5">
        <v>15</v>
      </c>
      <c r="D1222" s="9" t="s">
        <v>13</v>
      </c>
      <c r="E1222" s="10">
        <v>155</v>
      </c>
      <c r="F1222" s="10">
        <f t="shared" si="18"/>
        <v>2325</v>
      </c>
    </row>
    <row r="1223" spans="1:7" s="9" customFormat="1" x14ac:dyDescent="0.25">
      <c r="B1223" s="4"/>
      <c r="C1223" s="5"/>
      <c r="E1223" s="10"/>
      <c r="F1223" s="8">
        <f>SUM(F1222)</f>
        <v>2325</v>
      </c>
    </row>
    <row r="1224" spans="1:7" s="9" customFormat="1" x14ac:dyDescent="0.25">
      <c r="B1224" s="4"/>
      <c r="C1224" s="5"/>
      <c r="E1224" s="10"/>
      <c r="F1224" s="10"/>
    </row>
    <row r="1225" spans="1:7" s="9" customFormat="1" x14ac:dyDescent="0.25">
      <c r="A1225" s="9" t="s">
        <v>724</v>
      </c>
      <c r="B1225" s="4">
        <v>45889</v>
      </c>
      <c r="C1225" s="5">
        <v>10</v>
      </c>
      <c r="D1225" s="9" t="s">
        <v>98</v>
      </c>
      <c r="E1225" s="10">
        <v>110</v>
      </c>
      <c r="F1225" s="10">
        <f t="shared" si="18"/>
        <v>1100</v>
      </c>
    </row>
    <row r="1226" spans="1:7" s="9" customFormat="1" x14ac:dyDescent="0.25">
      <c r="B1226" s="4"/>
      <c r="C1226" s="5"/>
      <c r="E1226" s="10"/>
      <c r="F1226" s="8">
        <f>SUM(F1225)</f>
        <v>1100</v>
      </c>
    </row>
    <row r="1227" spans="1:7" s="9" customFormat="1" x14ac:dyDescent="0.25">
      <c r="B1227" s="4"/>
      <c r="C1227" s="5"/>
      <c r="E1227" s="10"/>
      <c r="F1227" s="10"/>
    </row>
    <row r="1228" spans="1:7" s="9" customFormat="1" x14ac:dyDescent="0.25">
      <c r="A1228" s="9" t="s">
        <v>15</v>
      </c>
      <c r="B1228" s="4">
        <v>45889</v>
      </c>
      <c r="C1228" s="5">
        <v>60</v>
      </c>
      <c r="D1228" s="9" t="s">
        <v>98</v>
      </c>
      <c r="E1228" s="10">
        <v>110</v>
      </c>
      <c r="F1228" s="10">
        <f t="shared" ref="F1228:F1289" si="19">+C1228*E1228</f>
        <v>6600</v>
      </c>
    </row>
    <row r="1229" spans="1:7" s="9" customFormat="1" x14ac:dyDescent="0.25">
      <c r="B1229" s="4"/>
      <c r="C1229" s="5"/>
      <c r="E1229" s="10"/>
      <c r="F1229" s="8">
        <f>SUM(F1228)</f>
        <v>6600</v>
      </c>
    </row>
    <row r="1230" spans="1:7" s="9" customFormat="1" x14ac:dyDescent="0.25">
      <c r="B1230" s="4"/>
      <c r="C1230" s="5"/>
      <c r="E1230" s="10"/>
      <c r="F1230" s="10"/>
      <c r="G1230" s="9" t="s">
        <v>899</v>
      </c>
    </row>
    <row r="1231" spans="1:7" s="9" customFormat="1" x14ac:dyDescent="0.25">
      <c r="A1231" s="9" t="s">
        <v>58</v>
      </c>
      <c r="B1231" s="4">
        <v>45889</v>
      </c>
      <c r="C1231" s="5">
        <v>10</v>
      </c>
      <c r="D1231" s="9" t="s">
        <v>13</v>
      </c>
      <c r="E1231" s="10">
        <v>150</v>
      </c>
      <c r="F1231" s="10">
        <f t="shared" si="19"/>
        <v>1500</v>
      </c>
    </row>
    <row r="1232" spans="1:7" s="9" customFormat="1" x14ac:dyDescent="0.25">
      <c r="B1232" s="4"/>
      <c r="C1232" s="5"/>
      <c r="E1232" s="10"/>
      <c r="F1232" s="8">
        <f>SUM(F1231)</f>
        <v>1500</v>
      </c>
    </row>
    <row r="1233" spans="1:6" s="9" customFormat="1" x14ac:dyDescent="0.25">
      <c r="B1233" s="4"/>
      <c r="C1233" s="5"/>
      <c r="E1233" s="10"/>
      <c r="F1233" s="10"/>
    </row>
    <row r="1234" spans="1:6" s="9" customFormat="1" x14ac:dyDescent="0.25">
      <c r="A1234" s="9" t="s">
        <v>442</v>
      </c>
      <c r="B1234" s="4">
        <v>45889</v>
      </c>
      <c r="C1234" s="5">
        <v>15</v>
      </c>
      <c r="D1234" s="9" t="s">
        <v>13</v>
      </c>
      <c r="E1234" s="10">
        <v>155</v>
      </c>
      <c r="F1234" s="10">
        <f t="shared" si="19"/>
        <v>2325</v>
      </c>
    </row>
    <row r="1235" spans="1:6" s="9" customFormat="1" x14ac:dyDescent="0.25">
      <c r="B1235" s="4"/>
      <c r="C1235" s="5"/>
      <c r="E1235" s="10"/>
      <c r="F1235" s="8">
        <f>SUM(F1234)</f>
        <v>2325</v>
      </c>
    </row>
    <row r="1236" spans="1:6" s="9" customFormat="1" x14ac:dyDescent="0.25">
      <c r="B1236" s="4"/>
      <c r="C1236" s="5"/>
      <c r="E1236" s="10"/>
      <c r="F1236" s="10"/>
    </row>
    <row r="1237" spans="1:6" s="9" customFormat="1" x14ac:dyDescent="0.25">
      <c r="A1237" s="9" t="s">
        <v>427</v>
      </c>
      <c r="B1237" s="4">
        <v>45889</v>
      </c>
      <c r="C1237" s="5">
        <v>10</v>
      </c>
      <c r="D1237" s="9" t="s">
        <v>13</v>
      </c>
      <c r="E1237" s="10">
        <v>155</v>
      </c>
      <c r="F1237" s="10">
        <f t="shared" si="19"/>
        <v>1550</v>
      </c>
    </row>
    <row r="1238" spans="1:6" s="9" customFormat="1" x14ac:dyDescent="0.25">
      <c r="B1238" s="4"/>
      <c r="C1238" s="5"/>
      <c r="E1238" s="10"/>
      <c r="F1238" s="8">
        <f>SUM(F1237)</f>
        <v>1550</v>
      </c>
    </row>
    <row r="1239" spans="1:6" s="9" customFormat="1" x14ac:dyDescent="0.25">
      <c r="B1239" s="4"/>
      <c r="C1239" s="5"/>
      <c r="E1239" s="10"/>
      <c r="F1239" s="10"/>
    </row>
    <row r="1240" spans="1:6" s="9" customFormat="1" x14ac:dyDescent="0.25">
      <c r="A1240" s="9" t="s">
        <v>17</v>
      </c>
      <c r="B1240" s="4">
        <v>45889</v>
      </c>
      <c r="C1240" s="5">
        <v>30</v>
      </c>
      <c r="D1240" s="9" t="s">
        <v>13</v>
      </c>
      <c r="E1240" s="10">
        <v>155</v>
      </c>
      <c r="F1240" s="10">
        <f t="shared" si="19"/>
        <v>4650</v>
      </c>
    </row>
    <row r="1241" spans="1:6" s="9" customFormat="1" x14ac:dyDescent="0.25">
      <c r="B1241" s="4"/>
      <c r="C1241" s="5"/>
      <c r="E1241" s="10"/>
      <c r="F1241" s="8">
        <f>SUM(F1240)</f>
        <v>4650</v>
      </c>
    </row>
    <row r="1242" spans="1:6" s="9" customFormat="1" x14ac:dyDescent="0.25">
      <c r="B1242" s="4"/>
      <c r="C1242" s="5"/>
      <c r="E1242" s="10"/>
      <c r="F1242" s="10"/>
    </row>
    <row r="1243" spans="1:6" s="9" customFormat="1" x14ac:dyDescent="0.25">
      <c r="A1243" s="9" t="s">
        <v>20</v>
      </c>
      <c r="B1243" s="4">
        <v>45889</v>
      </c>
      <c r="C1243" s="5">
        <v>20</v>
      </c>
      <c r="D1243" s="9" t="s">
        <v>13</v>
      </c>
      <c r="E1243" s="10">
        <v>155</v>
      </c>
      <c r="F1243" s="10">
        <f t="shared" si="19"/>
        <v>3100</v>
      </c>
    </row>
    <row r="1244" spans="1:6" s="9" customFormat="1" x14ac:dyDescent="0.25">
      <c r="B1244" s="4"/>
      <c r="C1244" s="5"/>
      <c r="E1244" s="10"/>
      <c r="F1244" s="8">
        <f>SUM(F1243)</f>
        <v>3100</v>
      </c>
    </row>
    <row r="1245" spans="1:6" s="9" customFormat="1" x14ac:dyDescent="0.25">
      <c r="B1245" s="4"/>
      <c r="C1245" s="5"/>
      <c r="E1245" s="10"/>
      <c r="F1245" s="10"/>
    </row>
    <row r="1246" spans="1:6" s="9" customFormat="1" x14ac:dyDescent="0.25">
      <c r="A1246" s="9" t="s">
        <v>367</v>
      </c>
      <c r="B1246" s="4">
        <v>45889</v>
      </c>
      <c r="C1246" s="5">
        <v>30</v>
      </c>
      <c r="D1246" s="9" t="s">
        <v>13</v>
      </c>
      <c r="E1246" s="10">
        <v>155</v>
      </c>
      <c r="F1246" s="10">
        <f t="shared" si="19"/>
        <v>4650</v>
      </c>
    </row>
    <row r="1247" spans="1:6" s="9" customFormat="1" x14ac:dyDescent="0.25">
      <c r="B1247" s="4"/>
      <c r="C1247" s="5">
        <v>10</v>
      </c>
      <c r="D1247" s="9" t="s">
        <v>14</v>
      </c>
      <c r="E1247" s="10">
        <v>150</v>
      </c>
      <c r="F1247" s="10">
        <f t="shared" si="19"/>
        <v>1500</v>
      </c>
    </row>
    <row r="1248" spans="1:6" s="9" customFormat="1" x14ac:dyDescent="0.25">
      <c r="B1248" s="4"/>
      <c r="C1248" s="5"/>
      <c r="E1248" s="10"/>
      <c r="F1248" s="8">
        <f>SUM(F1246:F1247)</f>
        <v>6150</v>
      </c>
    </row>
    <row r="1249" spans="1:6" s="9" customFormat="1" x14ac:dyDescent="0.25">
      <c r="B1249" s="4"/>
      <c r="C1249" s="5"/>
      <c r="E1249" s="10"/>
      <c r="F1249" s="10"/>
    </row>
    <row r="1250" spans="1:6" s="9" customFormat="1" x14ac:dyDescent="0.25">
      <c r="A1250" s="9" t="s">
        <v>37</v>
      </c>
      <c r="B1250" s="4">
        <v>45889</v>
      </c>
      <c r="C1250" s="5">
        <v>20</v>
      </c>
      <c r="D1250" s="9" t="s">
        <v>12</v>
      </c>
      <c r="E1250" s="10">
        <v>150</v>
      </c>
      <c r="F1250" s="10">
        <f t="shared" si="19"/>
        <v>3000</v>
      </c>
    </row>
    <row r="1251" spans="1:6" s="9" customFormat="1" x14ac:dyDescent="0.25">
      <c r="B1251" s="4"/>
      <c r="C1251" s="5"/>
      <c r="E1251" s="10"/>
      <c r="F1251" s="8">
        <f>SUM(F1250)</f>
        <v>3000</v>
      </c>
    </row>
    <row r="1252" spans="1:6" s="9" customFormat="1" x14ac:dyDescent="0.25">
      <c r="B1252" s="4"/>
      <c r="C1252" s="5"/>
      <c r="E1252" s="10"/>
      <c r="F1252" s="10"/>
    </row>
    <row r="1253" spans="1:6" s="9" customFormat="1" x14ac:dyDescent="0.25">
      <c r="A1253" s="9" t="s">
        <v>40</v>
      </c>
      <c r="B1253" s="4">
        <v>45889</v>
      </c>
      <c r="C1253" s="5">
        <v>15</v>
      </c>
      <c r="D1253" s="9" t="s">
        <v>22</v>
      </c>
      <c r="E1253" s="10">
        <v>130</v>
      </c>
      <c r="F1253" s="10">
        <f t="shared" si="19"/>
        <v>1950</v>
      </c>
    </row>
    <row r="1254" spans="1:6" s="9" customFormat="1" x14ac:dyDescent="0.25">
      <c r="B1254" s="4"/>
      <c r="C1254" s="5">
        <v>10</v>
      </c>
      <c r="D1254" s="9" t="s">
        <v>12</v>
      </c>
      <c r="E1254" s="10">
        <v>145</v>
      </c>
      <c r="F1254" s="10">
        <f t="shared" si="19"/>
        <v>1450</v>
      </c>
    </row>
    <row r="1255" spans="1:6" s="9" customFormat="1" x14ac:dyDescent="0.25">
      <c r="B1255" s="4"/>
      <c r="C1255" s="5"/>
      <c r="E1255" s="10"/>
      <c r="F1255" s="8">
        <f>SUM(F1253:F1254)</f>
        <v>3400</v>
      </c>
    </row>
    <row r="1256" spans="1:6" s="9" customFormat="1" x14ac:dyDescent="0.25">
      <c r="B1256" s="4"/>
      <c r="C1256" s="5"/>
      <c r="E1256" s="10"/>
      <c r="F1256" s="10"/>
    </row>
    <row r="1257" spans="1:6" s="9" customFormat="1" x14ac:dyDescent="0.25">
      <c r="A1257" s="9" t="s">
        <v>591</v>
      </c>
      <c r="B1257" s="4">
        <v>45889</v>
      </c>
      <c r="C1257" s="5">
        <v>5</v>
      </c>
      <c r="D1257" s="9" t="s">
        <v>13</v>
      </c>
      <c r="E1257" s="10">
        <v>150</v>
      </c>
      <c r="F1257" s="10">
        <f t="shared" si="19"/>
        <v>750</v>
      </c>
    </row>
    <row r="1258" spans="1:6" s="9" customFormat="1" x14ac:dyDescent="0.25">
      <c r="B1258" s="4"/>
      <c r="C1258" s="5"/>
      <c r="E1258" s="10"/>
      <c r="F1258" s="8">
        <f>SUM(F1257)</f>
        <v>750</v>
      </c>
    </row>
    <row r="1259" spans="1:6" s="9" customFormat="1" x14ac:dyDescent="0.25">
      <c r="B1259" s="4"/>
      <c r="C1259" s="5"/>
      <c r="E1259" s="10"/>
      <c r="F1259" s="10"/>
    </row>
    <row r="1260" spans="1:6" s="9" customFormat="1" x14ac:dyDescent="0.25">
      <c r="A1260" s="9" t="s">
        <v>41</v>
      </c>
      <c r="B1260" s="4">
        <v>45889</v>
      </c>
      <c r="C1260" s="5">
        <v>30</v>
      </c>
      <c r="D1260" s="9" t="s">
        <v>173</v>
      </c>
      <c r="E1260" s="10">
        <v>140</v>
      </c>
      <c r="F1260" s="10">
        <f t="shared" si="19"/>
        <v>4200</v>
      </c>
    </row>
    <row r="1261" spans="1:6" s="9" customFormat="1" x14ac:dyDescent="0.25">
      <c r="B1261" s="4"/>
      <c r="C1261" s="5"/>
      <c r="E1261" s="10"/>
      <c r="F1261" s="8">
        <f>SUM(F1260)</f>
        <v>4200</v>
      </c>
    </row>
    <row r="1262" spans="1:6" s="9" customFormat="1" x14ac:dyDescent="0.25">
      <c r="B1262" s="4"/>
      <c r="C1262" s="5"/>
      <c r="E1262" s="10"/>
      <c r="F1262" s="10"/>
    </row>
    <row r="1263" spans="1:6" s="9" customFormat="1" x14ac:dyDescent="0.25">
      <c r="A1263" s="9" t="s">
        <v>107</v>
      </c>
      <c r="B1263" s="4">
        <v>45889</v>
      </c>
      <c r="C1263" s="5">
        <v>64</v>
      </c>
      <c r="D1263" s="9" t="s">
        <v>11</v>
      </c>
      <c r="E1263" s="10">
        <v>140</v>
      </c>
      <c r="F1263" s="10">
        <f t="shared" si="19"/>
        <v>8960</v>
      </c>
    </row>
    <row r="1264" spans="1:6" s="9" customFormat="1" x14ac:dyDescent="0.25">
      <c r="B1264" s="4"/>
      <c r="C1264" s="5"/>
      <c r="E1264" s="10"/>
      <c r="F1264" s="8">
        <f>SUM(F1263)</f>
        <v>8960</v>
      </c>
    </row>
    <row r="1265" spans="1:6" s="9" customFormat="1" x14ac:dyDescent="0.25">
      <c r="B1265" s="4"/>
      <c r="C1265" s="5"/>
      <c r="E1265" s="10"/>
      <c r="F1265" s="10"/>
    </row>
    <row r="1266" spans="1:6" s="9" customFormat="1" x14ac:dyDescent="0.25">
      <c r="A1266" s="9" t="s">
        <v>43</v>
      </c>
      <c r="B1266" s="4">
        <v>45889</v>
      </c>
      <c r="C1266" s="5">
        <v>27</v>
      </c>
      <c r="D1266" s="9" t="s">
        <v>49</v>
      </c>
      <c r="E1266" s="10">
        <v>150</v>
      </c>
      <c r="F1266" s="10">
        <f t="shared" si="19"/>
        <v>4050</v>
      </c>
    </row>
    <row r="1267" spans="1:6" s="9" customFormat="1" x14ac:dyDescent="0.25">
      <c r="B1267" s="4"/>
      <c r="C1267" s="5"/>
      <c r="E1267" s="10"/>
      <c r="F1267" s="8">
        <f>SUM(F1266)</f>
        <v>4050</v>
      </c>
    </row>
    <row r="1268" spans="1:6" s="9" customFormat="1" x14ac:dyDescent="0.25">
      <c r="B1268" s="4"/>
      <c r="C1268" s="5"/>
      <c r="E1268" s="10"/>
      <c r="F1268" s="10"/>
    </row>
    <row r="1269" spans="1:6" s="9" customFormat="1" x14ac:dyDescent="0.25">
      <c r="A1269" s="9" t="s">
        <v>253</v>
      </c>
      <c r="B1269" s="4">
        <v>45889</v>
      </c>
      <c r="C1269" s="5">
        <v>21</v>
      </c>
      <c r="D1269" s="9" t="s">
        <v>14</v>
      </c>
      <c r="E1269" s="10">
        <v>150</v>
      </c>
      <c r="F1269" s="10">
        <f t="shared" si="19"/>
        <v>3150</v>
      </c>
    </row>
    <row r="1270" spans="1:6" s="9" customFormat="1" x14ac:dyDescent="0.25">
      <c r="B1270" s="4"/>
      <c r="C1270" s="5"/>
      <c r="E1270" s="10"/>
      <c r="F1270" s="8">
        <f>SUM(F1269)</f>
        <v>3150</v>
      </c>
    </row>
    <row r="1271" spans="1:6" s="9" customFormat="1" x14ac:dyDescent="0.25">
      <c r="B1271" s="4"/>
      <c r="C1271" s="5"/>
      <c r="E1271" s="10"/>
      <c r="F1271" s="10"/>
    </row>
    <row r="1272" spans="1:6" s="9" customFormat="1" x14ac:dyDescent="0.25">
      <c r="A1272" s="9" t="s">
        <v>18</v>
      </c>
      <c r="B1272" s="4">
        <v>45889</v>
      </c>
      <c r="C1272" s="5">
        <v>10</v>
      </c>
      <c r="D1272" s="9" t="s">
        <v>14</v>
      </c>
      <c r="E1272" s="10">
        <v>150</v>
      </c>
      <c r="F1272" s="10">
        <f t="shared" si="19"/>
        <v>1500</v>
      </c>
    </row>
    <row r="1273" spans="1:6" s="9" customFormat="1" x14ac:dyDescent="0.25">
      <c r="B1273" s="4"/>
      <c r="C1273" s="5">
        <v>20</v>
      </c>
      <c r="D1273" s="9" t="s">
        <v>11</v>
      </c>
      <c r="E1273" s="10">
        <v>140</v>
      </c>
      <c r="F1273" s="10">
        <f t="shared" si="19"/>
        <v>2800</v>
      </c>
    </row>
    <row r="1274" spans="1:6" s="9" customFormat="1" x14ac:dyDescent="0.25">
      <c r="B1274" s="4"/>
      <c r="C1274" s="5"/>
      <c r="E1274" s="10"/>
      <c r="F1274" s="8">
        <f>SUM(F1272:F1273)</f>
        <v>4300</v>
      </c>
    </row>
    <row r="1275" spans="1:6" s="9" customFormat="1" x14ac:dyDescent="0.25">
      <c r="B1275" s="4"/>
      <c r="C1275" s="5"/>
      <c r="E1275" s="10"/>
      <c r="F1275" s="10"/>
    </row>
    <row r="1276" spans="1:6" s="9" customFormat="1" x14ac:dyDescent="0.25">
      <c r="A1276" s="9" t="s">
        <v>44</v>
      </c>
      <c r="B1276" s="4">
        <v>45889</v>
      </c>
      <c r="C1276" s="5">
        <v>50</v>
      </c>
      <c r="D1276" s="9" t="s">
        <v>14</v>
      </c>
      <c r="E1276" s="10">
        <v>145</v>
      </c>
      <c r="F1276" s="10">
        <f t="shared" si="19"/>
        <v>7250</v>
      </c>
    </row>
    <row r="1277" spans="1:6" s="9" customFormat="1" x14ac:dyDescent="0.25">
      <c r="B1277" s="4"/>
      <c r="C1277" s="5"/>
      <c r="E1277" s="10"/>
      <c r="F1277" s="8">
        <f>SUM(F1276)</f>
        <v>7250</v>
      </c>
    </row>
    <row r="1278" spans="1:6" s="9" customFormat="1" x14ac:dyDescent="0.25">
      <c r="B1278" s="4"/>
      <c r="C1278" s="5"/>
      <c r="E1278" s="10"/>
      <c r="F1278" s="10"/>
    </row>
    <row r="1279" spans="1:6" s="9" customFormat="1" x14ac:dyDescent="0.25">
      <c r="A1279" s="9" t="s">
        <v>46</v>
      </c>
      <c r="B1279" s="4">
        <v>45889</v>
      </c>
      <c r="C1279" s="5">
        <v>10</v>
      </c>
      <c r="D1279" s="9" t="s">
        <v>14</v>
      </c>
      <c r="E1279" s="10">
        <v>150</v>
      </c>
      <c r="F1279" s="10">
        <f t="shared" si="19"/>
        <v>1500</v>
      </c>
    </row>
    <row r="1280" spans="1:6" s="9" customFormat="1" x14ac:dyDescent="0.25">
      <c r="B1280" s="4"/>
      <c r="C1280" s="5"/>
      <c r="E1280" s="10"/>
      <c r="F1280" s="8">
        <f>SUM(F1279)</f>
        <v>1500</v>
      </c>
    </row>
    <row r="1281" spans="1:6" s="9" customFormat="1" x14ac:dyDescent="0.25">
      <c r="B1281" s="4"/>
      <c r="C1281" s="5"/>
      <c r="E1281" s="10"/>
      <c r="F1281" s="10"/>
    </row>
    <row r="1282" spans="1:6" s="9" customFormat="1" x14ac:dyDescent="0.25">
      <c r="A1282" s="9" t="s">
        <v>292</v>
      </c>
      <c r="B1282" s="4">
        <v>45889</v>
      </c>
      <c r="C1282" s="5">
        <v>4</v>
      </c>
      <c r="D1282" s="9" t="s">
        <v>8</v>
      </c>
      <c r="E1282" s="10">
        <v>150</v>
      </c>
      <c r="F1282" s="10">
        <f t="shared" si="19"/>
        <v>600</v>
      </c>
    </row>
    <row r="1283" spans="1:6" s="9" customFormat="1" x14ac:dyDescent="0.25">
      <c r="B1283" s="4"/>
      <c r="C1283" s="5"/>
      <c r="E1283" s="10"/>
      <c r="F1283" s="8">
        <f>SUM(F1282)</f>
        <v>600</v>
      </c>
    </row>
    <row r="1284" spans="1:6" s="9" customFormat="1" x14ac:dyDescent="0.25">
      <c r="B1284" s="4"/>
      <c r="C1284" s="5"/>
      <c r="E1284" s="10"/>
      <c r="F1284" s="10"/>
    </row>
    <row r="1285" spans="1:6" s="9" customFormat="1" x14ac:dyDescent="0.25">
      <c r="A1285" s="9" t="s">
        <v>65</v>
      </c>
      <c r="B1285" s="4">
        <v>45889</v>
      </c>
      <c r="C1285" s="5">
        <v>250</v>
      </c>
      <c r="D1285" s="9" t="s">
        <v>876</v>
      </c>
      <c r="E1285" s="10">
        <v>140</v>
      </c>
      <c r="F1285" s="10">
        <f t="shared" si="19"/>
        <v>35000</v>
      </c>
    </row>
    <row r="1286" spans="1:6" s="9" customFormat="1" x14ac:dyDescent="0.25">
      <c r="B1286" s="4"/>
      <c r="C1286" s="5">
        <v>250</v>
      </c>
      <c r="D1286" s="9" t="s">
        <v>13</v>
      </c>
      <c r="E1286" s="10">
        <v>150</v>
      </c>
      <c r="F1286" s="10">
        <f t="shared" si="19"/>
        <v>37500</v>
      </c>
    </row>
    <row r="1287" spans="1:6" s="9" customFormat="1" x14ac:dyDescent="0.25">
      <c r="B1287" s="4"/>
      <c r="C1287" s="5">
        <v>200</v>
      </c>
      <c r="D1287" s="9" t="s">
        <v>712</v>
      </c>
      <c r="E1287" s="10">
        <v>140</v>
      </c>
      <c r="F1287" s="10">
        <f t="shared" si="19"/>
        <v>28000</v>
      </c>
    </row>
    <row r="1288" spans="1:6" s="9" customFormat="1" x14ac:dyDescent="0.25">
      <c r="B1288" s="4"/>
      <c r="C1288" s="5">
        <v>20</v>
      </c>
      <c r="D1288" s="9" t="s">
        <v>22</v>
      </c>
      <c r="E1288" s="10">
        <v>130</v>
      </c>
      <c r="F1288" s="10">
        <f t="shared" si="19"/>
        <v>2600</v>
      </c>
    </row>
    <row r="1289" spans="1:6" s="9" customFormat="1" x14ac:dyDescent="0.25">
      <c r="B1289" s="4"/>
      <c r="C1289" s="5">
        <v>50</v>
      </c>
      <c r="D1289" s="9" t="s">
        <v>50</v>
      </c>
      <c r="E1289" s="10">
        <v>130</v>
      </c>
      <c r="F1289" s="10">
        <f t="shared" si="19"/>
        <v>6500</v>
      </c>
    </row>
    <row r="1290" spans="1:6" s="9" customFormat="1" x14ac:dyDescent="0.25">
      <c r="B1290" s="4"/>
      <c r="C1290" s="5"/>
      <c r="E1290" s="10"/>
      <c r="F1290" s="8">
        <f>SUM(F1285:F1289)</f>
        <v>109600</v>
      </c>
    </row>
    <row r="1291" spans="1:6" s="9" customFormat="1" x14ac:dyDescent="0.25">
      <c r="B1291" s="4"/>
      <c r="C1291" s="5"/>
      <c r="E1291" s="10"/>
      <c r="F1291" s="10"/>
    </row>
    <row r="1292" spans="1:6" s="9" customFormat="1" x14ac:dyDescent="0.25">
      <c r="A1292" s="9" t="s">
        <v>877</v>
      </c>
      <c r="B1292" s="4">
        <v>45889</v>
      </c>
      <c r="C1292" s="5">
        <v>120</v>
      </c>
      <c r="D1292" s="9" t="s">
        <v>50</v>
      </c>
      <c r="E1292" s="10"/>
      <c r="F1292" s="10">
        <f t="shared" ref="F1292:F1352" si="20">+C1292*E1292</f>
        <v>0</v>
      </c>
    </row>
    <row r="1293" spans="1:6" s="9" customFormat="1" x14ac:dyDescent="0.25">
      <c r="B1293" s="4"/>
      <c r="C1293" s="5">
        <v>138</v>
      </c>
      <c r="D1293" s="9" t="s">
        <v>22</v>
      </c>
      <c r="E1293" s="10"/>
      <c r="F1293" s="10">
        <f t="shared" si="20"/>
        <v>0</v>
      </c>
    </row>
    <row r="1294" spans="1:6" s="9" customFormat="1" x14ac:dyDescent="0.25">
      <c r="B1294" s="4"/>
      <c r="C1294" s="5">
        <v>100</v>
      </c>
      <c r="D1294" s="9" t="s">
        <v>878</v>
      </c>
      <c r="E1294" s="10"/>
      <c r="F1294" s="10">
        <f t="shared" si="20"/>
        <v>0</v>
      </c>
    </row>
    <row r="1295" spans="1:6" s="9" customFormat="1" x14ac:dyDescent="0.25">
      <c r="B1295" s="4"/>
      <c r="C1295" s="5">
        <v>120</v>
      </c>
      <c r="D1295" s="9" t="s">
        <v>12</v>
      </c>
      <c r="E1295" s="10"/>
      <c r="F1295" s="10">
        <f t="shared" si="20"/>
        <v>0</v>
      </c>
    </row>
    <row r="1296" spans="1:6" s="9" customFormat="1" x14ac:dyDescent="0.25">
      <c r="B1296" s="4"/>
      <c r="C1296" s="5">
        <v>50</v>
      </c>
      <c r="D1296" s="9" t="s">
        <v>479</v>
      </c>
      <c r="E1296" s="10"/>
      <c r="F1296" s="10">
        <f t="shared" si="20"/>
        <v>0</v>
      </c>
    </row>
    <row r="1297" spans="1:6" s="9" customFormat="1" x14ac:dyDescent="0.25">
      <c r="B1297" s="4"/>
      <c r="C1297" s="5"/>
      <c r="E1297" s="10"/>
      <c r="F1297" s="8">
        <f>SUM(F1292:F1296)</f>
        <v>0</v>
      </c>
    </row>
    <row r="1298" spans="1:6" s="9" customFormat="1" x14ac:dyDescent="0.25">
      <c r="B1298" s="4"/>
      <c r="C1298" s="5"/>
      <c r="E1298" s="10"/>
      <c r="F1298" s="10"/>
    </row>
    <row r="1299" spans="1:6" s="9" customFormat="1" x14ac:dyDescent="0.25">
      <c r="A1299" s="9" t="s">
        <v>26</v>
      </c>
      <c r="B1299" s="4">
        <v>45889</v>
      </c>
      <c r="C1299" s="5">
        <v>10</v>
      </c>
      <c r="D1299" s="9" t="s">
        <v>387</v>
      </c>
      <c r="E1299" s="10">
        <v>145</v>
      </c>
      <c r="F1299" s="10">
        <f t="shared" si="20"/>
        <v>1450</v>
      </c>
    </row>
    <row r="1300" spans="1:6" s="9" customFormat="1" x14ac:dyDescent="0.25">
      <c r="B1300" s="4"/>
      <c r="C1300" s="5"/>
      <c r="E1300" s="10"/>
      <c r="F1300" s="8">
        <f>SUM(F1299)</f>
        <v>1450</v>
      </c>
    </row>
    <row r="1301" spans="1:6" s="9" customFormat="1" x14ac:dyDescent="0.25">
      <c r="B1301" s="4"/>
      <c r="C1301" s="5"/>
      <c r="E1301" s="10"/>
      <c r="F1301" s="10"/>
    </row>
    <row r="1302" spans="1:6" s="9" customFormat="1" x14ac:dyDescent="0.25">
      <c r="A1302" s="9" t="s">
        <v>61</v>
      </c>
      <c r="B1302" s="4">
        <v>45889</v>
      </c>
      <c r="C1302" s="5">
        <v>60</v>
      </c>
      <c r="D1302" s="9" t="s">
        <v>13</v>
      </c>
      <c r="E1302" s="10">
        <v>155</v>
      </c>
      <c r="F1302" s="10">
        <f t="shared" si="20"/>
        <v>9300</v>
      </c>
    </row>
    <row r="1303" spans="1:6" s="9" customFormat="1" x14ac:dyDescent="0.25">
      <c r="B1303" s="4"/>
      <c r="C1303" s="5"/>
      <c r="E1303" s="10"/>
      <c r="F1303" s="8">
        <f>SUM(F1302)</f>
        <v>9300</v>
      </c>
    </row>
    <row r="1304" spans="1:6" s="9" customFormat="1" x14ac:dyDescent="0.25">
      <c r="B1304" s="4"/>
      <c r="C1304" s="5"/>
      <c r="E1304" s="10"/>
      <c r="F1304" s="10"/>
    </row>
    <row r="1305" spans="1:6" s="9" customFormat="1" x14ac:dyDescent="0.25">
      <c r="A1305" s="9" t="s">
        <v>59</v>
      </c>
      <c r="B1305" s="4">
        <v>45889</v>
      </c>
      <c r="C1305" s="5">
        <v>30</v>
      </c>
      <c r="D1305" s="9" t="s">
        <v>13</v>
      </c>
      <c r="E1305" s="10">
        <v>155</v>
      </c>
      <c r="F1305" s="10">
        <f t="shared" si="20"/>
        <v>4650</v>
      </c>
    </row>
    <row r="1306" spans="1:6" s="9" customFormat="1" x14ac:dyDescent="0.25">
      <c r="B1306" s="4"/>
      <c r="C1306" s="5"/>
      <c r="E1306" s="10"/>
      <c r="F1306" s="8">
        <f>SUM(F1305)</f>
        <v>4650</v>
      </c>
    </row>
    <row r="1307" spans="1:6" s="9" customFormat="1" x14ac:dyDescent="0.25">
      <c r="B1307" s="4"/>
      <c r="C1307" s="5"/>
      <c r="E1307" s="10"/>
      <c r="F1307" s="10"/>
    </row>
    <row r="1308" spans="1:6" s="9" customFormat="1" x14ac:dyDescent="0.25">
      <c r="A1308" s="9" t="s">
        <v>66</v>
      </c>
      <c r="B1308" s="4">
        <v>45889</v>
      </c>
      <c r="C1308" s="5">
        <v>16</v>
      </c>
      <c r="D1308" s="9" t="s">
        <v>8</v>
      </c>
      <c r="E1308" s="10">
        <v>165</v>
      </c>
      <c r="F1308" s="10">
        <f t="shared" si="20"/>
        <v>2640</v>
      </c>
    </row>
    <row r="1309" spans="1:6" s="9" customFormat="1" x14ac:dyDescent="0.25">
      <c r="B1309" s="4"/>
      <c r="C1309" s="5">
        <v>1</v>
      </c>
      <c r="D1309" s="9" t="s">
        <v>8</v>
      </c>
      <c r="E1309" s="10">
        <v>165</v>
      </c>
      <c r="F1309" s="10">
        <f t="shared" si="20"/>
        <v>165</v>
      </c>
    </row>
    <row r="1310" spans="1:6" s="9" customFormat="1" x14ac:dyDescent="0.25">
      <c r="B1310" s="4"/>
      <c r="C1310" s="5"/>
      <c r="E1310" s="10"/>
      <c r="F1310" s="8">
        <f>SUM(F1308:F1309)</f>
        <v>2805</v>
      </c>
    </row>
    <row r="1311" spans="1:6" s="9" customFormat="1" x14ac:dyDescent="0.25">
      <c r="B1311" s="4"/>
      <c r="C1311" s="5"/>
      <c r="E1311" s="10"/>
      <c r="F1311" s="10"/>
    </row>
    <row r="1312" spans="1:6" s="9" customFormat="1" x14ac:dyDescent="0.25">
      <c r="A1312" s="9" t="s">
        <v>112</v>
      </c>
      <c r="B1312" s="4">
        <v>45889</v>
      </c>
      <c r="C1312" s="5">
        <v>30</v>
      </c>
      <c r="D1312" s="9" t="s">
        <v>12</v>
      </c>
      <c r="E1312" s="10">
        <v>140</v>
      </c>
      <c r="F1312" s="10">
        <f t="shared" si="20"/>
        <v>4200</v>
      </c>
    </row>
    <row r="1313" spans="1:6" s="9" customFormat="1" x14ac:dyDescent="0.25">
      <c r="B1313" s="4"/>
      <c r="C1313" s="5">
        <v>10</v>
      </c>
      <c r="D1313" s="9" t="s">
        <v>13</v>
      </c>
      <c r="E1313" s="10">
        <v>145</v>
      </c>
      <c r="F1313" s="10">
        <f t="shared" si="20"/>
        <v>1450</v>
      </c>
    </row>
    <row r="1314" spans="1:6" s="9" customFormat="1" x14ac:dyDescent="0.25">
      <c r="B1314" s="4"/>
      <c r="C1314" s="5"/>
      <c r="E1314" s="10"/>
      <c r="F1314" s="8">
        <f>SUM(F1312:F1313)</f>
        <v>5650</v>
      </c>
    </row>
    <row r="1315" spans="1:6" s="9" customFormat="1" x14ac:dyDescent="0.25">
      <c r="B1315" s="4"/>
      <c r="C1315" s="5"/>
      <c r="E1315" s="10"/>
      <c r="F1315" s="10"/>
    </row>
    <row r="1316" spans="1:6" s="9" customFormat="1" x14ac:dyDescent="0.25">
      <c r="A1316" s="9" t="s">
        <v>423</v>
      </c>
      <c r="B1316" s="4">
        <v>45889</v>
      </c>
      <c r="C1316" s="5">
        <v>6</v>
      </c>
      <c r="D1316" s="9" t="s">
        <v>13</v>
      </c>
      <c r="E1316" s="10">
        <v>155</v>
      </c>
      <c r="F1316" s="10">
        <f t="shared" si="20"/>
        <v>930</v>
      </c>
    </row>
    <row r="1317" spans="1:6" s="9" customFormat="1" x14ac:dyDescent="0.25">
      <c r="B1317" s="4"/>
      <c r="C1317" s="5"/>
      <c r="E1317" s="10"/>
      <c r="F1317" s="8">
        <f>SUM(F1316)</f>
        <v>930</v>
      </c>
    </row>
    <row r="1318" spans="1:6" s="9" customFormat="1" x14ac:dyDescent="0.25">
      <c r="B1318" s="4"/>
      <c r="C1318" s="5"/>
      <c r="E1318" s="10"/>
      <c r="F1318" s="10"/>
    </row>
    <row r="1319" spans="1:6" s="9" customFormat="1" x14ac:dyDescent="0.25">
      <c r="A1319" s="9" t="s">
        <v>72</v>
      </c>
      <c r="B1319" s="4">
        <v>45889</v>
      </c>
      <c r="C1319" s="5">
        <v>150</v>
      </c>
      <c r="D1319" s="9" t="s">
        <v>13</v>
      </c>
      <c r="E1319" s="10">
        <v>145</v>
      </c>
      <c r="F1319" s="10">
        <f t="shared" si="20"/>
        <v>21750</v>
      </c>
    </row>
    <row r="1320" spans="1:6" s="9" customFormat="1" x14ac:dyDescent="0.25">
      <c r="B1320" s="4"/>
      <c r="C1320" s="5">
        <v>220</v>
      </c>
      <c r="D1320" s="9" t="s">
        <v>12</v>
      </c>
      <c r="E1320" s="10">
        <v>140</v>
      </c>
      <c r="F1320" s="10">
        <f t="shared" si="20"/>
        <v>30800</v>
      </c>
    </row>
    <row r="1321" spans="1:6" s="9" customFormat="1" x14ac:dyDescent="0.25">
      <c r="B1321" s="4"/>
      <c r="C1321" s="5">
        <v>10</v>
      </c>
      <c r="D1321" s="9" t="s">
        <v>14</v>
      </c>
      <c r="E1321" s="10">
        <v>140</v>
      </c>
      <c r="F1321" s="10">
        <f t="shared" si="20"/>
        <v>1400</v>
      </c>
    </row>
    <row r="1322" spans="1:6" s="9" customFormat="1" x14ac:dyDescent="0.25">
      <c r="B1322" s="4"/>
      <c r="C1322" s="5">
        <v>90</v>
      </c>
      <c r="D1322" s="9" t="s">
        <v>11</v>
      </c>
      <c r="E1322" s="10">
        <v>135</v>
      </c>
      <c r="F1322" s="10">
        <f t="shared" si="20"/>
        <v>12150</v>
      </c>
    </row>
    <row r="1323" spans="1:6" s="9" customFormat="1" x14ac:dyDescent="0.25">
      <c r="B1323" s="4"/>
      <c r="C1323" s="5"/>
      <c r="E1323" s="10"/>
      <c r="F1323" s="8">
        <f>SUM(F1319:F1322)</f>
        <v>66100</v>
      </c>
    </row>
    <row r="1324" spans="1:6" s="9" customFormat="1" x14ac:dyDescent="0.25">
      <c r="B1324" s="4"/>
      <c r="C1324" s="5"/>
      <c r="E1324" s="10"/>
      <c r="F1324" s="10"/>
    </row>
    <row r="1325" spans="1:6" s="9" customFormat="1" x14ac:dyDescent="0.25">
      <c r="A1325" s="9" t="s">
        <v>259</v>
      </c>
      <c r="B1325" s="4">
        <v>45889</v>
      </c>
      <c r="C1325" s="5">
        <v>10</v>
      </c>
      <c r="D1325" s="9" t="s">
        <v>879</v>
      </c>
      <c r="E1325" s="10">
        <v>160</v>
      </c>
      <c r="F1325" s="10">
        <f t="shared" si="20"/>
        <v>1600</v>
      </c>
    </row>
    <row r="1326" spans="1:6" s="9" customFormat="1" x14ac:dyDescent="0.25">
      <c r="B1326" s="4"/>
      <c r="C1326" s="5"/>
      <c r="E1326" s="10"/>
      <c r="F1326" s="8">
        <f>SUM(F1325)</f>
        <v>1600</v>
      </c>
    </row>
    <row r="1327" spans="1:6" s="9" customFormat="1" x14ac:dyDescent="0.25">
      <c r="B1327" s="4"/>
      <c r="C1327" s="5"/>
      <c r="E1327" s="10"/>
      <c r="F1327" s="10"/>
    </row>
    <row r="1328" spans="1:6" s="9" customFormat="1" x14ac:dyDescent="0.25">
      <c r="A1328" s="9" t="s">
        <v>44</v>
      </c>
      <c r="B1328" s="4">
        <v>45889</v>
      </c>
      <c r="C1328" s="5">
        <v>100</v>
      </c>
      <c r="D1328" s="9" t="s">
        <v>13</v>
      </c>
      <c r="E1328" s="10">
        <v>145</v>
      </c>
      <c r="F1328" s="10">
        <f t="shared" si="20"/>
        <v>14500</v>
      </c>
    </row>
    <row r="1329" spans="1:6" s="9" customFormat="1" x14ac:dyDescent="0.25">
      <c r="B1329" s="4"/>
      <c r="C1329" s="5"/>
      <c r="E1329" s="10"/>
      <c r="F1329" s="8">
        <f>SUM(F1328)</f>
        <v>14500</v>
      </c>
    </row>
    <row r="1330" spans="1:6" s="9" customFormat="1" x14ac:dyDescent="0.25">
      <c r="B1330" s="4"/>
      <c r="C1330" s="5"/>
      <c r="E1330" s="10"/>
      <c r="F1330" s="10"/>
    </row>
    <row r="1331" spans="1:6" s="9" customFormat="1" x14ac:dyDescent="0.25">
      <c r="A1331" s="9" t="s">
        <v>143</v>
      </c>
      <c r="B1331" s="4">
        <v>45889</v>
      </c>
      <c r="C1331" s="5">
        <v>30</v>
      </c>
      <c r="D1331" s="9" t="s">
        <v>12</v>
      </c>
      <c r="E1331" s="10">
        <v>135</v>
      </c>
      <c r="F1331" s="10">
        <f t="shared" si="20"/>
        <v>4050</v>
      </c>
    </row>
    <row r="1332" spans="1:6" s="9" customFormat="1" x14ac:dyDescent="0.25">
      <c r="B1332" s="4"/>
      <c r="C1332" s="5"/>
      <c r="E1332" s="10"/>
      <c r="F1332" s="8">
        <f>SUM(F1331)</f>
        <v>4050</v>
      </c>
    </row>
    <row r="1333" spans="1:6" s="9" customFormat="1" x14ac:dyDescent="0.25">
      <c r="B1333" s="4"/>
      <c r="C1333" s="5"/>
      <c r="E1333" s="10"/>
      <c r="F1333" s="10"/>
    </row>
    <row r="1334" spans="1:6" s="9" customFormat="1" x14ac:dyDescent="0.25">
      <c r="A1334" s="9" t="s">
        <v>29</v>
      </c>
      <c r="B1334" s="4">
        <v>45889</v>
      </c>
      <c r="C1334" s="5">
        <v>1</v>
      </c>
      <c r="D1334" s="9" t="s">
        <v>13</v>
      </c>
      <c r="E1334" s="10">
        <v>160</v>
      </c>
      <c r="F1334" s="10">
        <f t="shared" si="20"/>
        <v>160</v>
      </c>
    </row>
    <row r="1335" spans="1:6" s="9" customFormat="1" x14ac:dyDescent="0.25">
      <c r="B1335" s="4"/>
      <c r="C1335" s="5">
        <v>1</v>
      </c>
      <c r="D1335" s="9" t="s">
        <v>12</v>
      </c>
      <c r="E1335" s="10">
        <v>150</v>
      </c>
      <c r="F1335" s="10">
        <f t="shared" si="20"/>
        <v>150</v>
      </c>
    </row>
    <row r="1336" spans="1:6" s="9" customFormat="1" x14ac:dyDescent="0.25">
      <c r="B1336" s="4"/>
      <c r="C1336" s="5">
        <v>5</v>
      </c>
      <c r="D1336" s="9" t="s">
        <v>98</v>
      </c>
      <c r="E1336" s="10">
        <v>100</v>
      </c>
      <c r="F1336" s="10">
        <f t="shared" si="20"/>
        <v>500</v>
      </c>
    </row>
    <row r="1337" spans="1:6" s="9" customFormat="1" x14ac:dyDescent="0.25">
      <c r="B1337" s="4"/>
      <c r="C1337" s="5"/>
      <c r="E1337" s="10"/>
      <c r="F1337" s="8">
        <f>SUM(F1334:F1336)</f>
        <v>810</v>
      </c>
    </row>
    <row r="1338" spans="1:6" s="9" customFormat="1" x14ac:dyDescent="0.25">
      <c r="B1338" s="4"/>
      <c r="C1338" s="5"/>
      <c r="E1338" s="10"/>
      <c r="F1338" s="10"/>
    </row>
    <row r="1339" spans="1:6" s="9" customFormat="1" x14ac:dyDescent="0.25">
      <c r="A1339" s="9" t="s">
        <v>7</v>
      </c>
      <c r="B1339" s="4">
        <v>45889</v>
      </c>
      <c r="C1339" s="5">
        <v>1</v>
      </c>
      <c r="D1339" s="9" t="s">
        <v>600</v>
      </c>
      <c r="E1339" s="10">
        <v>140</v>
      </c>
      <c r="F1339" s="10">
        <f t="shared" si="20"/>
        <v>140</v>
      </c>
    </row>
    <row r="1340" spans="1:6" s="9" customFormat="1" x14ac:dyDescent="0.25">
      <c r="B1340" s="4"/>
      <c r="C1340" s="5"/>
      <c r="E1340" s="10"/>
      <c r="F1340" s="8">
        <f>SUM(F1339)</f>
        <v>140</v>
      </c>
    </row>
    <row r="1341" spans="1:6" s="9" customFormat="1" x14ac:dyDescent="0.25">
      <c r="B1341" s="4"/>
      <c r="C1341" s="5"/>
      <c r="E1341" s="10"/>
      <c r="F1341" s="10"/>
    </row>
    <row r="1342" spans="1:6" s="9" customFormat="1" x14ac:dyDescent="0.25">
      <c r="A1342" s="9" t="s">
        <v>245</v>
      </c>
      <c r="B1342" s="4">
        <v>45890</v>
      </c>
      <c r="C1342" s="5">
        <v>1000</v>
      </c>
      <c r="D1342" s="9" t="s">
        <v>13</v>
      </c>
      <c r="E1342" s="10">
        <v>148</v>
      </c>
      <c r="F1342" s="10">
        <f t="shared" si="20"/>
        <v>148000</v>
      </c>
    </row>
    <row r="1343" spans="1:6" s="9" customFormat="1" x14ac:dyDescent="0.25">
      <c r="B1343" s="4"/>
      <c r="C1343" s="5"/>
      <c r="E1343" s="10"/>
      <c r="F1343" s="8">
        <f>SUM(F1342)</f>
        <v>148000</v>
      </c>
    </row>
    <row r="1344" spans="1:6" s="9" customFormat="1" x14ac:dyDescent="0.25">
      <c r="B1344" s="4"/>
      <c r="C1344" s="5"/>
      <c r="E1344" s="10"/>
      <c r="F1344" s="10"/>
    </row>
    <row r="1345" spans="1:6" s="9" customFormat="1" x14ac:dyDescent="0.25">
      <c r="A1345" s="9" t="s">
        <v>391</v>
      </c>
      <c r="B1345" s="4">
        <v>45890</v>
      </c>
      <c r="C1345" s="5">
        <v>20</v>
      </c>
      <c r="D1345" s="9" t="s">
        <v>449</v>
      </c>
      <c r="E1345" s="10">
        <v>145</v>
      </c>
      <c r="F1345" s="10">
        <f t="shared" si="20"/>
        <v>2900</v>
      </c>
    </row>
    <row r="1346" spans="1:6" s="9" customFormat="1" x14ac:dyDescent="0.25">
      <c r="B1346" s="4"/>
      <c r="C1346" s="5"/>
      <c r="E1346" s="10"/>
      <c r="F1346" s="8">
        <f>SUM(F1345)</f>
        <v>2900</v>
      </c>
    </row>
    <row r="1347" spans="1:6" s="9" customFormat="1" x14ac:dyDescent="0.25">
      <c r="B1347" s="4"/>
      <c r="C1347" s="5"/>
      <c r="E1347" s="10"/>
      <c r="F1347" s="10"/>
    </row>
    <row r="1348" spans="1:6" s="9" customFormat="1" x14ac:dyDescent="0.25">
      <c r="A1348" s="9" t="s">
        <v>245</v>
      </c>
      <c r="B1348" s="4">
        <v>45890</v>
      </c>
      <c r="C1348" s="5">
        <v>10</v>
      </c>
      <c r="D1348" s="9" t="s">
        <v>14</v>
      </c>
      <c r="E1348" s="10">
        <v>145</v>
      </c>
      <c r="F1348" s="10">
        <f t="shared" si="20"/>
        <v>1450</v>
      </c>
    </row>
    <row r="1349" spans="1:6" s="9" customFormat="1" x14ac:dyDescent="0.25">
      <c r="B1349" s="4"/>
      <c r="C1349" s="5"/>
      <c r="E1349" s="10"/>
      <c r="F1349" s="8">
        <f>SUM(F1348)</f>
        <v>1450</v>
      </c>
    </row>
    <row r="1350" spans="1:6" s="9" customFormat="1" x14ac:dyDescent="0.25">
      <c r="B1350" s="4"/>
      <c r="C1350" s="5"/>
      <c r="E1350" s="10"/>
      <c r="F1350" s="10"/>
    </row>
    <row r="1351" spans="1:6" s="9" customFormat="1" x14ac:dyDescent="0.25">
      <c r="A1351" s="9" t="s">
        <v>151</v>
      </c>
      <c r="B1351" s="4">
        <v>45890</v>
      </c>
      <c r="C1351" s="5">
        <v>91</v>
      </c>
      <c r="D1351" s="9" t="s">
        <v>22</v>
      </c>
      <c r="E1351" s="10">
        <v>130</v>
      </c>
      <c r="F1351" s="10">
        <f t="shared" si="20"/>
        <v>11830</v>
      </c>
    </row>
    <row r="1352" spans="1:6" s="9" customFormat="1" x14ac:dyDescent="0.25">
      <c r="B1352" s="4"/>
      <c r="C1352" s="5">
        <v>50</v>
      </c>
      <c r="D1352" s="9" t="s">
        <v>50</v>
      </c>
      <c r="E1352" s="10">
        <v>125</v>
      </c>
      <c r="F1352" s="10">
        <f t="shared" si="20"/>
        <v>6250</v>
      </c>
    </row>
    <row r="1353" spans="1:6" s="9" customFormat="1" x14ac:dyDescent="0.25">
      <c r="B1353" s="4"/>
      <c r="C1353" s="5"/>
      <c r="E1353" s="10"/>
      <c r="F1353" s="8">
        <f>SUM(F1351:F1352)</f>
        <v>18080</v>
      </c>
    </row>
    <row r="1354" spans="1:6" s="9" customFormat="1" x14ac:dyDescent="0.25">
      <c r="B1354" s="4"/>
      <c r="C1354" s="5"/>
      <c r="E1354" s="10"/>
      <c r="F1354" s="10"/>
    </row>
    <row r="1355" spans="1:6" s="9" customFormat="1" x14ac:dyDescent="0.25">
      <c r="A1355" s="9" t="s">
        <v>140</v>
      </c>
      <c r="B1355" s="4">
        <v>45890</v>
      </c>
      <c r="C1355" s="5">
        <v>150</v>
      </c>
      <c r="D1355" s="9" t="s">
        <v>13</v>
      </c>
      <c r="E1355" s="10">
        <v>155</v>
      </c>
      <c r="F1355" s="10">
        <f t="shared" ref="F1355:F1417" si="21">+C1355*E1355</f>
        <v>23250</v>
      </c>
    </row>
    <row r="1356" spans="1:6" s="9" customFormat="1" x14ac:dyDescent="0.25">
      <c r="B1356" s="4"/>
      <c r="C1356" s="5">
        <v>100</v>
      </c>
      <c r="D1356" s="9" t="s">
        <v>11</v>
      </c>
      <c r="E1356" s="10">
        <v>140</v>
      </c>
      <c r="F1356" s="10">
        <f t="shared" si="21"/>
        <v>14000</v>
      </c>
    </row>
    <row r="1357" spans="1:6" s="9" customFormat="1" x14ac:dyDescent="0.25">
      <c r="B1357" s="4"/>
      <c r="C1357" s="5">
        <v>50</v>
      </c>
      <c r="D1357" s="9" t="s">
        <v>8</v>
      </c>
      <c r="E1357" s="10">
        <v>160</v>
      </c>
      <c r="F1357" s="10">
        <f t="shared" si="21"/>
        <v>8000</v>
      </c>
    </row>
    <row r="1358" spans="1:6" s="9" customFormat="1" x14ac:dyDescent="0.25">
      <c r="B1358" s="4"/>
      <c r="C1358" s="5">
        <v>200</v>
      </c>
      <c r="D1358" s="9" t="s">
        <v>12</v>
      </c>
      <c r="E1358" s="10">
        <v>145</v>
      </c>
      <c r="F1358" s="10">
        <f t="shared" si="21"/>
        <v>29000</v>
      </c>
    </row>
    <row r="1359" spans="1:6" s="9" customFormat="1" x14ac:dyDescent="0.25">
      <c r="B1359" s="4"/>
      <c r="C1359" s="5"/>
      <c r="E1359" s="10"/>
      <c r="F1359" s="8">
        <f>SUM(F1355:F1358)</f>
        <v>74250</v>
      </c>
    </row>
    <row r="1360" spans="1:6" s="9" customFormat="1" x14ac:dyDescent="0.25">
      <c r="B1360" s="4"/>
      <c r="C1360" s="5"/>
      <c r="E1360" s="10"/>
      <c r="F1360" s="10"/>
    </row>
    <row r="1361" spans="1:6" s="9" customFormat="1" x14ac:dyDescent="0.25">
      <c r="A1361" s="9" t="s">
        <v>113</v>
      </c>
      <c r="B1361" s="4">
        <v>45890</v>
      </c>
      <c r="C1361" s="5">
        <v>10</v>
      </c>
      <c r="D1361" s="9" t="s">
        <v>8</v>
      </c>
      <c r="E1361" s="10">
        <v>165</v>
      </c>
      <c r="F1361" s="10">
        <f t="shared" si="21"/>
        <v>1650</v>
      </c>
    </row>
    <row r="1362" spans="1:6" s="9" customFormat="1" x14ac:dyDescent="0.25">
      <c r="B1362" s="4"/>
      <c r="C1362" s="5">
        <v>10</v>
      </c>
      <c r="D1362" s="9" t="s">
        <v>13</v>
      </c>
      <c r="E1362" s="10">
        <v>155</v>
      </c>
      <c r="F1362" s="10">
        <f t="shared" si="21"/>
        <v>1550</v>
      </c>
    </row>
    <row r="1363" spans="1:6" s="9" customFormat="1" x14ac:dyDescent="0.25">
      <c r="B1363" s="4"/>
      <c r="C1363" s="5"/>
      <c r="E1363" s="10"/>
      <c r="F1363" s="8">
        <f>SUM(F1361:F1362)</f>
        <v>3200</v>
      </c>
    </row>
    <row r="1364" spans="1:6" s="9" customFormat="1" x14ac:dyDescent="0.25">
      <c r="B1364" s="4"/>
      <c r="C1364" s="5"/>
      <c r="E1364" s="10"/>
      <c r="F1364" s="10"/>
    </row>
    <row r="1365" spans="1:6" s="9" customFormat="1" x14ac:dyDescent="0.25">
      <c r="A1365" s="9" t="s">
        <v>880</v>
      </c>
      <c r="B1365" s="4">
        <v>45890</v>
      </c>
      <c r="C1365" s="5">
        <v>50</v>
      </c>
      <c r="D1365" s="9" t="s">
        <v>881</v>
      </c>
      <c r="E1365" s="10">
        <v>145</v>
      </c>
      <c r="F1365" s="10">
        <f t="shared" si="21"/>
        <v>7250</v>
      </c>
    </row>
    <row r="1366" spans="1:6" s="9" customFormat="1" x14ac:dyDescent="0.25">
      <c r="B1366" s="4"/>
      <c r="C1366" s="5"/>
      <c r="E1366" s="10"/>
      <c r="F1366" s="8">
        <f>SUM(F1365)</f>
        <v>7250</v>
      </c>
    </row>
    <row r="1367" spans="1:6" s="9" customFormat="1" x14ac:dyDescent="0.25">
      <c r="B1367" s="4"/>
      <c r="C1367" s="5"/>
      <c r="E1367" s="10"/>
      <c r="F1367" s="10"/>
    </row>
    <row r="1368" spans="1:6" s="9" customFormat="1" x14ac:dyDescent="0.25">
      <c r="A1368" s="9" t="s">
        <v>29</v>
      </c>
      <c r="B1368" s="4">
        <v>45890</v>
      </c>
      <c r="C1368" s="5">
        <v>3</v>
      </c>
      <c r="D1368" s="9" t="s">
        <v>13</v>
      </c>
      <c r="E1368" s="10">
        <v>140</v>
      </c>
      <c r="F1368" s="10">
        <f t="shared" si="21"/>
        <v>420</v>
      </c>
    </row>
    <row r="1369" spans="1:6" s="9" customFormat="1" x14ac:dyDescent="0.25">
      <c r="B1369" s="4"/>
      <c r="C1369" s="5"/>
      <c r="E1369" s="10"/>
      <c r="F1369" s="8">
        <f>SUM(F1368)</f>
        <v>420</v>
      </c>
    </row>
    <row r="1370" spans="1:6" s="9" customFormat="1" x14ac:dyDescent="0.25">
      <c r="B1370" s="4"/>
      <c r="C1370" s="5"/>
      <c r="E1370" s="10"/>
      <c r="F1370" s="10"/>
    </row>
    <row r="1371" spans="1:6" s="9" customFormat="1" x14ac:dyDescent="0.25">
      <c r="A1371" s="9" t="s">
        <v>181</v>
      </c>
      <c r="B1371" s="4">
        <v>45890</v>
      </c>
      <c r="C1371" s="5">
        <v>3</v>
      </c>
      <c r="D1371" s="9" t="s">
        <v>8</v>
      </c>
      <c r="E1371" s="10">
        <v>170</v>
      </c>
      <c r="F1371" s="10">
        <f t="shared" si="21"/>
        <v>510</v>
      </c>
    </row>
    <row r="1372" spans="1:6" s="9" customFormat="1" x14ac:dyDescent="0.25">
      <c r="B1372" s="4"/>
      <c r="C1372" s="5">
        <v>2</v>
      </c>
      <c r="D1372" s="9" t="s">
        <v>208</v>
      </c>
      <c r="E1372" s="10">
        <v>140</v>
      </c>
      <c r="F1372" s="10">
        <f t="shared" si="21"/>
        <v>280</v>
      </c>
    </row>
    <row r="1373" spans="1:6" s="9" customFormat="1" x14ac:dyDescent="0.25">
      <c r="B1373" s="4"/>
      <c r="C1373" s="5">
        <v>1</v>
      </c>
      <c r="D1373" s="9" t="s">
        <v>882</v>
      </c>
      <c r="E1373" s="10">
        <v>0</v>
      </c>
      <c r="F1373" s="10">
        <f t="shared" si="21"/>
        <v>0</v>
      </c>
    </row>
    <row r="1374" spans="1:6" s="9" customFormat="1" x14ac:dyDescent="0.25">
      <c r="B1374" s="4"/>
      <c r="C1374" s="5">
        <v>3</v>
      </c>
      <c r="D1374" s="9" t="s">
        <v>452</v>
      </c>
      <c r="E1374" s="10">
        <v>140</v>
      </c>
      <c r="F1374" s="10">
        <f t="shared" si="21"/>
        <v>420</v>
      </c>
    </row>
    <row r="1375" spans="1:6" s="9" customFormat="1" x14ac:dyDescent="0.25">
      <c r="B1375" s="4"/>
      <c r="C1375" s="5">
        <v>10</v>
      </c>
      <c r="D1375" s="9" t="s">
        <v>168</v>
      </c>
      <c r="E1375" s="10">
        <v>145</v>
      </c>
      <c r="F1375" s="10">
        <f t="shared" si="21"/>
        <v>1450</v>
      </c>
    </row>
    <row r="1376" spans="1:6" s="9" customFormat="1" x14ac:dyDescent="0.25">
      <c r="B1376" s="4"/>
      <c r="C1376" s="5"/>
      <c r="E1376" s="10"/>
      <c r="F1376" s="8">
        <f>SUM(F1371:F1375)</f>
        <v>2660</v>
      </c>
    </row>
    <row r="1377" spans="1:6" s="9" customFormat="1" x14ac:dyDescent="0.25">
      <c r="B1377" s="4"/>
      <c r="C1377" s="5"/>
      <c r="E1377" s="10"/>
      <c r="F1377" s="10"/>
    </row>
    <row r="1378" spans="1:6" s="9" customFormat="1" x14ac:dyDescent="0.25">
      <c r="A1378" s="9" t="s">
        <v>810</v>
      </c>
      <c r="B1378" s="4">
        <v>45891</v>
      </c>
      <c r="C1378" s="5">
        <v>2</v>
      </c>
      <c r="D1378" s="9" t="s">
        <v>13</v>
      </c>
      <c r="E1378" s="10">
        <v>155</v>
      </c>
      <c r="F1378" s="10">
        <f t="shared" si="21"/>
        <v>310</v>
      </c>
    </row>
    <row r="1379" spans="1:6" s="9" customFormat="1" x14ac:dyDescent="0.25">
      <c r="B1379" s="4"/>
      <c r="C1379" s="5"/>
      <c r="E1379" s="10"/>
      <c r="F1379" s="8">
        <f>SUM(F1378)</f>
        <v>310</v>
      </c>
    </row>
    <row r="1380" spans="1:6" s="9" customFormat="1" x14ac:dyDescent="0.25">
      <c r="B1380" s="4"/>
      <c r="C1380" s="5"/>
      <c r="E1380" s="10"/>
      <c r="F1380" s="10"/>
    </row>
    <row r="1381" spans="1:6" s="9" customFormat="1" x14ac:dyDescent="0.25">
      <c r="A1381" s="9" t="s">
        <v>184</v>
      </c>
      <c r="B1381" s="4">
        <v>45891</v>
      </c>
      <c r="C1381" s="5">
        <v>5</v>
      </c>
      <c r="D1381" s="9" t="s">
        <v>13</v>
      </c>
      <c r="E1381" s="10">
        <v>155</v>
      </c>
      <c r="F1381" s="10">
        <f t="shared" si="21"/>
        <v>775</v>
      </c>
    </row>
    <row r="1382" spans="1:6" s="9" customFormat="1" x14ac:dyDescent="0.25">
      <c r="B1382" s="4"/>
      <c r="C1382" s="5"/>
      <c r="E1382" s="10"/>
      <c r="F1382" s="8">
        <f>SUM(F1381)</f>
        <v>775</v>
      </c>
    </row>
    <row r="1383" spans="1:6" s="9" customFormat="1" x14ac:dyDescent="0.25">
      <c r="B1383" s="4"/>
      <c r="C1383" s="5"/>
      <c r="E1383" s="10"/>
      <c r="F1383" s="10"/>
    </row>
    <row r="1384" spans="1:6" s="9" customFormat="1" x14ac:dyDescent="0.25">
      <c r="A1384" s="9" t="s">
        <v>15</v>
      </c>
      <c r="B1384" s="4">
        <v>45891</v>
      </c>
      <c r="C1384" s="5">
        <v>70</v>
      </c>
      <c r="D1384" s="9" t="s">
        <v>98</v>
      </c>
      <c r="E1384" s="10">
        <v>110</v>
      </c>
      <c r="F1384" s="10">
        <f t="shared" si="21"/>
        <v>7700</v>
      </c>
    </row>
    <row r="1385" spans="1:6" s="9" customFormat="1" x14ac:dyDescent="0.25">
      <c r="B1385" s="4"/>
      <c r="C1385" s="5"/>
      <c r="E1385" s="10"/>
      <c r="F1385" s="8">
        <f>SUM(F1384)</f>
        <v>7700</v>
      </c>
    </row>
    <row r="1386" spans="1:6" s="9" customFormat="1" x14ac:dyDescent="0.25">
      <c r="B1386" s="4"/>
      <c r="C1386" s="5"/>
      <c r="E1386" s="10"/>
      <c r="F1386" s="10"/>
    </row>
    <row r="1387" spans="1:6" s="9" customFormat="1" x14ac:dyDescent="0.25">
      <c r="A1387" s="9" t="s">
        <v>724</v>
      </c>
      <c r="B1387" s="4">
        <v>45891</v>
      </c>
      <c r="C1387" s="5">
        <v>10</v>
      </c>
      <c r="D1387" s="9" t="s">
        <v>98</v>
      </c>
      <c r="E1387" s="10">
        <v>110</v>
      </c>
      <c r="F1387" s="10">
        <f t="shared" si="21"/>
        <v>1100</v>
      </c>
    </row>
    <row r="1388" spans="1:6" s="9" customFormat="1" x14ac:dyDescent="0.25">
      <c r="B1388" s="4"/>
      <c r="C1388" s="5"/>
      <c r="E1388" s="10"/>
      <c r="F1388" s="8">
        <f>SUM(F1387)</f>
        <v>1100</v>
      </c>
    </row>
    <row r="1389" spans="1:6" s="9" customFormat="1" x14ac:dyDescent="0.25">
      <c r="B1389" s="4"/>
      <c r="C1389" s="5"/>
      <c r="E1389" s="10"/>
      <c r="F1389" s="10"/>
    </row>
    <row r="1390" spans="1:6" s="9" customFormat="1" x14ac:dyDescent="0.25">
      <c r="A1390" s="9" t="s">
        <v>18</v>
      </c>
      <c r="B1390" s="4">
        <v>45891</v>
      </c>
      <c r="C1390" s="5">
        <v>6</v>
      </c>
      <c r="D1390" s="9" t="s">
        <v>13</v>
      </c>
      <c r="E1390" s="10">
        <v>155</v>
      </c>
      <c r="F1390" s="10">
        <f t="shared" si="21"/>
        <v>930</v>
      </c>
    </row>
    <row r="1391" spans="1:6" s="9" customFormat="1" x14ac:dyDescent="0.25">
      <c r="B1391" s="4"/>
      <c r="C1391" s="5"/>
      <c r="E1391" s="10"/>
      <c r="F1391" s="8">
        <f>SUM(F1390)</f>
        <v>930</v>
      </c>
    </row>
    <row r="1392" spans="1:6" s="9" customFormat="1" x14ac:dyDescent="0.25">
      <c r="B1392" s="4"/>
      <c r="C1392" s="5"/>
      <c r="E1392" s="10"/>
      <c r="F1392" s="10"/>
    </row>
    <row r="1393" spans="1:6" s="9" customFormat="1" x14ac:dyDescent="0.25">
      <c r="A1393" s="9" t="s">
        <v>851</v>
      </c>
      <c r="B1393" s="4">
        <v>45891</v>
      </c>
      <c r="C1393" s="5">
        <v>3</v>
      </c>
      <c r="D1393" s="9" t="s">
        <v>13</v>
      </c>
      <c r="E1393" s="10">
        <v>150</v>
      </c>
      <c r="F1393" s="10">
        <f t="shared" si="21"/>
        <v>450</v>
      </c>
    </row>
    <row r="1394" spans="1:6" s="9" customFormat="1" x14ac:dyDescent="0.25">
      <c r="B1394" s="4"/>
      <c r="C1394" s="5"/>
      <c r="E1394" s="10"/>
      <c r="F1394" s="8">
        <f>SUM(F1393)</f>
        <v>450</v>
      </c>
    </row>
    <row r="1395" spans="1:6" s="9" customFormat="1" x14ac:dyDescent="0.25">
      <c r="B1395" s="4"/>
      <c r="C1395" s="5"/>
      <c r="E1395" s="10"/>
      <c r="F1395" s="10"/>
    </row>
    <row r="1396" spans="1:6" s="9" customFormat="1" x14ac:dyDescent="0.25">
      <c r="A1396" s="9" t="s">
        <v>58</v>
      </c>
      <c r="B1396" s="4">
        <v>45891</v>
      </c>
      <c r="C1396" s="5">
        <v>10</v>
      </c>
      <c r="D1396" s="9" t="s">
        <v>13</v>
      </c>
      <c r="E1396" s="10">
        <v>150</v>
      </c>
      <c r="F1396" s="10">
        <f t="shared" si="21"/>
        <v>1500</v>
      </c>
    </row>
    <row r="1397" spans="1:6" s="9" customFormat="1" x14ac:dyDescent="0.25">
      <c r="B1397" s="4"/>
      <c r="C1397" s="5"/>
      <c r="E1397" s="10"/>
      <c r="F1397" s="8">
        <f>SUM(F1396)</f>
        <v>1500</v>
      </c>
    </row>
    <row r="1398" spans="1:6" s="9" customFormat="1" x14ac:dyDescent="0.25">
      <c r="B1398" s="4"/>
      <c r="C1398" s="5"/>
      <c r="E1398" s="10"/>
      <c r="F1398" s="10"/>
    </row>
    <row r="1399" spans="1:6" s="9" customFormat="1" x14ac:dyDescent="0.25">
      <c r="A1399" s="9" t="s">
        <v>427</v>
      </c>
      <c r="B1399" s="4">
        <v>45891</v>
      </c>
      <c r="C1399" s="5">
        <v>10</v>
      </c>
      <c r="D1399" s="9" t="s">
        <v>13</v>
      </c>
      <c r="E1399" s="10">
        <v>155</v>
      </c>
      <c r="F1399" s="10">
        <f t="shared" si="21"/>
        <v>1550</v>
      </c>
    </row>
    <row r="1400" spans="1:6" s="9" customFormat="1" x14ac:dyDescent="0.25">
      <c r="B1400" s="4"/>
      <c r="C1400" s="5"/>
      <c r="E1400" s="10"/>
      <c r="F1400" s="8">
        <f>SUM(F1399)</f>
        <v>1550</v>
      </c>
    </row>
    <row r="1401" spans="1:6" s="9" customFormat="1" x14ac:dyDescent="0.25">
      <c r="B1401" s="4"/>
      <c r="C1401" s="5"/>
      <c r="E1401" s="10"/>
      <c r="F1401" s="10"/>
    </row>
    <row r="1402" spans="1:6" s="9" customFormat="1" x14ac:dyDescent="0.25">
      <c r="A1402" s="9" t="s">
        <v>406</v>
      </c>
      <c r="B1402" s="4">
        <v>45891</v>
      </c>
      <c r="C1402" s="5">
        <v>10</v>
      </c>
      <c r="D1402" s="9" t="s">
        <v>8</v>
      </c>
      <c r="E1402" s="10">
        <v>165</v>
      </c>
      <c r="F1402" s="10">
        <f t="shared" si="21"/>
        <v>1650</v>
      </c>
    </row>
    <row r="1403" spans="1:6" s="9" customFormat="1" x14ac:dyDescent="0.25">
      <c r="B1403" s="4"/>
      <c r="C1403" s="5">
        <v>10</v>
      </c>
      <c r="D1403" s="9" t="s">
        <v>22</v>
      </c>
      <c r="E1403" s="10">
        <v>135</v>
      </c>
      <c r="F1403" s="10">
        <f t="shared" si="21"/>
        <v>1350</v>
      </c>
    </row>
    <row r="1404" spans="1:6" s="9" customFormat="1" x14ac:dyDescent="0.25">
      <c r="B1404" s="4"/>
      <c r="C1404" s="5"/>
      <c r="E1404" s="10"/>
      <c r="F1404" s="8">
        <f>SUM(F1402:F1403)</f>
        <v>3000</v>
      </c>
    </row>
    <row r="1405" spans="1:6" s="9" customFormat="1" x14ac:dyDescent="0.25">
      <c r="B1405" s="4"/>
      <c r="C1405" s="5"/>
      <c r="E1405" s="10"/>
      <c r="F1405" s="10"/>
    </row>
    <row r="1406" spans="1:6" s="9" customFormat="1" x14ac:dyDescent="0.25">
      <c r="A1406" s="9" t="s">
        <v>57</v>
      </c>
      <c r="B1406" s="4">
        <v>45891</v>
      </c>
      <c r="C1406" s="5">
        <v>20</v>
      </c>
      <c r="D1406" s="9" t="s">
        <v>13</v>
      </c>
      <c r="E1406" s="10">
        <v>155</v>
      </c>
      <c r="F1406" s="10">
        <f t="shared" si="21"/>
        <v>3100</v>
      </c>
    </row>
    <row r="1407" spans="1:6" s="9" customFormat="1" x14ac:dyDescent="0.25">
      <c r="B1407" s="4"/>
      <c r="C1407" s="5">
        <v>10</v>
      </c>
      <c r="D1407" s="9" t="s">
        <v>121</v>
      </c>
      <c r="E1407" s="10">
        <v>150</v>
      </c>
      <c r="F1407" s="10">
        <f t="shared" si="21"/>
        <v>1500</v>
      </c>
    </row>
    <row r="1408" spans="1:6" s="9" customFormat="1" x14ac:dyDescent="0.25">
      <c r="B1408" s="4"/>
      <c r="C1408" s="5"/>
      <c r="E1408" s="10"/>
      <c r="F1408" s="8">
        <f>SUM(F1406:F1407)</f>
        <v>4600</v>
      </c>
    </row>
    <row r="1409" spans="1:6" s="9" customFormat="1" x14ac:dyDescent="0.25">
      <c r="B1409" s="4"/>
      <c r="C1409" s="5"/>
      <c r="E1409" s="10"/>
      <c r="F1409" s="10"/>
    </row>
    <row r="1410" spans="1:6" s="9" customFormat="1" x14ac:dyDescent="0.25">
      <c r="A1410" s="9" t="s">
        <v>40</v>
      </c>
      <c r="B1410" s="4">
        <v>45891</v>
      </c>
      <c r="C1410" s="5">
        <v>15</v>
      </c>
      <c r="D1410" s="9" t="s">
        <v>22</v>
      </c>
      <c r="E1410" s="10">
        <v>135</v>
      </c>
      <c r="F1410" s="10">
        <f t="shared" si="21"/>
        <v>2025</v>
      </c>
    </row>
    <row r="1411" spans="1:6" s="9" customFormat="1" x14ac:dyDescent="0.25">
      <c r="B1411" s="4"/>
      <c r="C1411" s="5">
        <v>15</v>
      </c>
      <c r="D1411" s="9" t="s">
        <v>13</v>
      </c>
      <c r="E1411" s="10">
        <v>155</v>
      </c>
      <c r="F1411" s="10">
        <f t="shared" si="21"/>
        <v>2325</v>
      </c>
    </row>
    <row r="1412" spans="1:6" s="9" customFormat="1" x14ac:dyDescent="0.25">
      <c r="B1412" s="4"/>
      <c r="C1412" s="5">
        <v>10</v>
      </c>
      <c r="D1412" s="9" t="s">
        <v>12</v>
      </c>
      <c r="E1412" s="10">
        <v>145</v>
      </c>
      <c r="F1412" s="10">
        <f t="shared" si="21"/>
        <v>1450</v>
      </c>
    </row>
    <row r="1413" spans="1:6" s="9" customFormat="1" x14ac:dyDescent="0.25">
      <c r="B1413" s="4"/>
      <c r="C1413" s="5"/>
      <c r="E1413" s="10"/>
      <c r="F1413" s="8">
        <f>SUM(F1410:F1412)</f>
        <v>5800</v>
      </c>
    </row>
    <row r="1414" spans="1:6" s="9" customFormat="1" x14ac:dyDescent="0.25">
      <c r="B1414" s="4"/>
      <c r="C1414" s="5"/>
      <c r="E1414" s="10"/>
      <c r="F1414" s="10"/>
    </row>
    <row r="1415" spans="1:6" s="9" customFormat="1" x14ac:dyDescent="0.25">
      <c r="A1415" s="9" t="s">
        <v>883</v>
      </c>
      <c r="B1415" s="4">
        <v>45891</v>
      </c>
      <c r="C1415" s="5">
        <v>175</v>
      </c>
      <c r="D1415" s="9" t="s">
        <v>14</v>
      </c>
      <c r="E1415" s="10"/>
      <c r="F1415" s="10">
        <f t="shared" si="21"/>
        <v>0</v>
      </c>
    </row>
    <row r="1416" spans="1:6" s="9" customFormat="1" x14ac:dyDescent="0.25">
      <c r="B1416" s="4"/>
      <c r="C1416" s="5">
        <v>40</v>
      </c>
      <c r="D1416" s="9" t="s">
        <v>11</v>
      </c>
      <c r="E1416" s="10"/>
      <c r="F1416" s="10">
        <f t="shared" si="21"/>
        <v>0</v>
      </c>
    </row>
    <row r="1417" spans="1:6" s="9" customFormat="1" x14ac:dyDescent="0.25">
      <c r="B1417" s="4"/>
      <c r="C1417" s="5">
        <v>50</v>
      </c>
      <c r="D1417" s="9" t="s">
        <v>50</v>
      </c>
      <c r="E1417" s="10"/>
      <c r="F1417" s="10">
        <f t="shared" si="21"/>
        <v>0</v>
      </c>
    </row>
    <row r="1418" spans="1:6" s="9" customFormat="1" x14ac:dyDescent="0.25">
      <c r="B1418" s="4"/>
      <c r="C1418" s="5">
        <v>20</v>
      </c>
      <c r="D1418" s="9" t="s">
        <v>13</v>
      </c>
      <c r="E1418" s="10"/>
      <c r="F1418" s="10">
        <f t="shared" ref="F1418:F1481" si="22">+C1418*E1418</f>
        <v>0</v>
      </c>
    </row>
    <row r="1419" spans="1:6" s="9" customFormat="1" x14ac:dyDescent="0.25">
      <c r="B1419" s="4"/>
      <c r="C1419" s="5">
        <v>10</v>
      </c>
      <c r="D1419" s="9" t="s">
        <v>98</v>
      </c>
      <c r="E1419" s="10"/>
      <c r="F1419" s="10">
        <f t="shared" si="22"/>
        <v>0</v>
      </c>
    </row>
    <row r="1420" spans="1:6" s="9" customFormat="1" x14ac:dyDescent="0.25">
      <c r="B1420" s="4"/>
      <c r="C1420" s="5"/>
      <c r="E1420" s="10"/>
      <c r="F1420" s="8">
        <f>SUM(F1415:F1419)</f>
        <v>0</v>
      </c>
    </row>
    <row r="1421" spans="1:6" s="9" customFormat="1" x14ac:dyDescent="0.25">
      <c r="B1421" s="4"/>
      <c r="C1421" s="5"/>
      <c r="E1421" s="10"/>
      <c r="F1421" s="10"/>
    </row>
    <row r="1422" spans="1:6" s="9" customFormat="1" x14ac:dyDescent="0.25">
      <c r="A1422" s="9" t="s">
        <v>48</v>
      </c>
      <c r="B1422" s="4">
        <v>45891</v>
      </c>
      <c r="C1422" s="5">
        <v>21</v>
      </c>
      <c r="D1422" s="9" t="s">
        <v>286</v>
      </c>
      <c r="E1422" s="10"/>
      <c r="F1422" s="10">
        <f t="shared" si="22"/>
        <v>0</v>
      </c>
    </row>
    <row r="1423" spans="1:6" s="9" customFormat="1" x14ac:dyDescent="0.25">
      <c r="B1423" s="4"/>
      <c r="C1423" s="5">
        <v>166</v>
      </c>
      <c r="D1423" s="9" t="s">
        <v>475</v>
      </c>
      <c r="E1423" s="10"/>
      <c r="F1423" s="10">
        <f t="shared" si="22"/>
        <v>0</v>
      </c>
    </row>
    <row r="1424" spans="1:6" s="9" customFormat="1" x14ac:dyDescent="0.25">
      <c r="B1424" s="4"/>
      <c r="C1424" s="5">
        <v>88</v>
      </c>
      <c r="D1424" s="9" t="s">
        <v>328</v>
      </c>
      <c r="E1424" s="10"/>
      <c r="F1424" s="10">
        <f t="shared" si="22"/>
        <v>0</v>
      </c>
    </row>
    <row r="1425" spans="1:6" s="9" customFormat="1" x14ac:dyDescent="0.25">
      <c r="B1425" s="4"/>
      <c r="C1425" s="5">
        <v>104</v>
      </c>
      <c r="D1425" s="9" t="s">
        <v>22</v>
      </c>
      <c r="E1425" s="10"/>
      <c r="F1425" s="10">
        <f t="shared" si="22"/>
        <v>0</v>
      </c>
    </row>
    <row r="1426" spans="1:6" s="9" customFormat="1" x14ac:dyDescent="0.25">
      <c r="B1426" s="4"/>
      <c r="C1426" s="5"/>
      <c r="E1426" s="10"/>
      <c r="F1426" s="8">
        <f>SUM(F1422:F1425)</f>
        <v>0</v>
      </c>
    </row>
    <row r="1427" spans="1:6" s="9" customFormat="1" x14ac:dyDescent="0.25">
      <c r="B1427" s="4"/>
      <c r="C1427" s="5"/>
      <c r="E1427" s="10"/>
      <c r="F1427" s="10"/>
    </row>
    <row r="1428" spans="1:6" s="9" customFormat="1" x14ac:dyDescent="0.25">
      <c r="A1428" s="9" t="s">
        <v>780</v>
      </c>
      <c r="B1428" s="4">
        <v>45891</v>
      </c>
      <c r="C1428" s="5">
        <v>5</v>
      </c>
      <c r="D1428" s="9" t="s">
        <v>14</v>
      </c>
      <c r="E1428" s="10">
        <v>150</v>
      </c>
      <c r="F1428" s="10">
        <f t="shared" si="22"/>
        <v>750</v>
      </c>
    </row>
    <row r="1429" spans="1:6" s="9" customFormat="1" x14ac:dyDescent="0.25">
      <c r="B1429" s="4"/>
      <c r="C1429" s="5"/>
      <c r="E1429" s="10"/>
      <c r="F1429" s="8">
        <f>SUM(F1428)</f>
        <v>750</v>
      </c>
    </row>
    <row r="1430" spans="1:6" s="9" customFormat="1" x14ac:dyDescent="0.25">
      <c r="B1430" s="4"/>
      <c r="C1430" s="5"/>
      <c r="E1430" s="10"/>
      <c r="F1430" s="10"/>
    </row>
    <row r="1431" spans="1:6" s="9" customFormat="1" x14ac:dyDescent="0.25">
      <c r="A1431" s="9" t="s">
        <v>106</v>
      </c>
      <c r="B1431" s="4">
        <v>45891</v>
      </c>
      <c r="C1431" s="5">
        <v>40</v>
      </c>
      <c r="D1431" s="9" t="s">
        <v>12</v>
      </c>
      <c r="E1431" s="10">
        <v>145</v>
      </c>
      <c r="F1431" s="10">
        <f t="shared" si="22"/>
        <v>5800</v>
      </c>
    </row>
    <row r="1432" spans="1:6" s="9" customFormat="1" x14ac:dyDescent="0.25">
      <c r="B1432" s="4"/>
      <c r="C1432" s="5"/>
      <c r="E1432" s="10"/>
      <c r="F1432" s="8">
        <f>SUM(F1431)</f>
        <v>5800</v>
      </c>
    </row>
    <row r="1433" spans="1:6" s="9" customFormat="1" x14ac:dyDescent="0.25">
      <c r="B1433" s="4"/>
      <c r="C1433" s="5"/>
      <c r="E1433" s="10"/>
      <c r="F1433" s="10"/>
    </row>
    <row r="1434" spans="1:6" s="9" customFormat="1" x14ac:dyDescent="0.25">
      <c r="A1434" s="9" t="s">
        <v>41</v>
      </c>
      <c r="B1434" s="4">
        <v>45891</v>
      </c>
      <c r="C1434" s="5">
        <v>35</v>
      </c>
      <c r="D1434" s="9" t="s">
        <v>14</v>
      </c>
      <c r="E1434" s="10">
        <v>140</v>
      </c>
      <c r="F1434" s="10">
        <f t="shared" si="22"/>
        <v>4900</v>
      </c>
    </row>
    <row r="1435" spans="1:6" s="9" customFormat="1" x14ac:dyDescent="0.25">
      <c r="B1435" s="4"/>
      <c r="C1435" s="5"/>
      <c r="E1435" s="10"/>
      <c r="F1435" s="8">
        <f>SUM(F1434)</f>
        <v>4900</v>
      </c>
    </row>
    <row r="1436" spans="1:6" s="9" customFormat="1" x14ac:dyDescent="0.25">
      <c r="B1436" s="4"/>
      <c r="C1436" s="5"/>
      <c r="E1436" s="10"/>
      <c r="F1436" s="10"/>
    </row>
    <row r="1437" spans="1:6" s="9" customFormat="1" x14ac:dyDescent="0.25">
      <c r="A1437" s="9" t="s">
        <v>44</v>
      </c>
      <c r="B1437" s="4">
        <v>45891</v>
      </c>
      <c r="C1437" s="5">
        <v>80</v>
      </c>
      <c r="D1437" s="9" t="s">
        <v>14</v>
      </c>
      <c r="E1437" s="10">
        <v>145</v>
      </c>
      <c r="F1437" s="10">
        <f t="shared" si="22"/>
        <v>11600</v>
      </c>
    </row>
    <row r="1438" spans="1:6" s="9" customFormat="1" x14ac:dyDescent="0.25">
      <c r="B1438" s="4"/>
      <c r="C1438" s="5"/>
      <c r="E1438" s="10"/>
      <c r="F1438" s="8">
        <f>SUM(F1437)</f>
        <v>11600</v>
      </c>
    </row>
    <row r="1439" spans="1:6" s="9" customFormat="1" x14ac:dyDescent="0.25">
      <c r="B1439" s="4"/>
      <c r="C1439" s="5"/>
      <c r="E1439" s="10"/>
      <c r="F1439" s="10"/>
    </row>
    <row r="1440" spans="1:6" s="9" customFormat="1" x14ac:dyDescent="0.25">
      <c r="A1440" s="9" t="s">
        <v>18</v>
      </c>
      <c r="B1440" s="4">
        <v>45891</v>
      </c>
      <c r="C1440" s="5">
        <v>10</v>
      </c>
      <c r="D1440" s="9" t="s">
        <v>13</v>
      </c>
      <c r="E1440" s="10">
        <v>150</v>
      </c>
      <c r="F1440" s="10">
        <f t="shared" si="22"/>
        <v>1500</v>
      </c>
    </row>
    <row r="1441" spans="1:6" s="9" customFormat="1" x14ac:dyDescent="0.25">
      <c r="B1441" s="4"/>
      <c r="C1441" s="5">
        <v>10</v>
      </c>
      <c r="D1441" s="9" t="s">
        <v>14</v>
      </c>
      <c r="E1441" s="10">
        <v>150</v>
      </c>
      <c r="F1441" s="10">
        <f t="shared" si="22"/>
        <v>1500</v>
      </c>
    </row>
    <row r="1442" spans="1:6" s="9" customFormat="1" x14ac:dyDescent="0.25">
      <c r="B1442" s="4"/>
      <c r="C1442" s="5">
        <v>20</v>
      </c>
      <c r="D1442" s="9" t="s">
        <v>11</v>
      </c>
      <c r="E1442" s="10">
        <v>140</v>
      </c>
      <c r="F1442" s="10">
        <f t="shared" si="22"/>
        <v>2800</v>
      </c>
    </row>
    <row r="1443" spans="1:6" s="9" customFormat="1" x14ac:dyDescent="0.25">
      <c r="B1443" s="4"/>
      <c r="C1443" s="5"/>
      <c r="E1443" s="10"/>
      <c r="F1443" s="8">
        <f>SUM(F1440:F1442)</f>
        <v>5800</v>
      </c>
    </row>
    <row r="1444" spans="1:6" s="9" customFormat="1" x14ac:dyDescent="0.25">
      <c r="B1444" s="4"/>
      <c r="C1444" s="5"/>
      <c r="E1444" s="10"/>
      <c r="F1444" s="10"/>
    </row>
    <row r="1445" spans="1:6" s="9" customFormat="1" x14ac:dyDescent="0.25">
      <c r="A1445" s="9" t="s">
        <v>138</v>
      </c>
      <c r="B1445" s="4">
        <v>45891</v>
      </c>
      <c r="C1445" s="5">
        <v>10</v>
      </c>
      <c r="D1445" s="9" t="s">
        <v>49</v>
      </c>
      <c r="E1445" s="10">
        <v>150</v>
      </c>
      <c r="F1445" s="10">
        <f t="shared" si="22"/>
        <v>1500</v>
      </c>
    </row>
    <row r="1446" spans="1:6" s="9" customFormat="1" x14ac:dyDescent="0.25">
      <c r="B1446" s="4"/>
      <c r="C1446" s="5"/>
      <c r="E1446" s="10"/>
      <c r="F1446" s="8">
        <f>SUM(F1445)</f>
        <v>1500</v>
      </c>
    </row>
    <row r="1447" spans="1:6" s="9" customFormat="1" x14ac:dyDescent="0.25">
      <c r="B1447" s="4"/>
      <c r="C1447" s="5"/>
      <c r="E1447" s="10"/>
      <c r="F1447" s="10"/>
    </row>
    <row r="1448" spans="1:6" s="9" customFormat="1" x14ac:dyDescent="0.25">
      <c r="A1448" s="9" t="s">
        <v>145</v>
      </c>
      <c r="B1448" s="4">
        <v>45891</v>
      </c>
      <c r="C1448" s="5">
        <v>60</v>
      </c>
      <c r="D1448" s="9" t="s">
        <v>14</v>
      </c>
      <c r="E1448" s="10">
        <v>150</v>
      </c>
      <c r="F1448" s="10">
        <f t="shared" si="22"/>
        <v>9000</v>
      </c>
    </row>
    <row r="1449" spans="1:6" s="9" customFormat="1" x14ac:dyDescent="0.25">
      <c r="B1449" s="4"/>
      <c r="C1449" s="5"/>
      <c r="E1449" s="10"/>
      <c r="F1449" s="8">
        <f>SUM(F1448)</f>
        <v>9000</v>
      </c>
    </row>
    <row r="1450" spans="1:6" s="9" customFormat="1" x14ac:dyDescent="0.25">
      <c r="B1450" s="4"/>
      <c r="C1450" s="5"/>
      <c r="E1450" s="10"/>
      <c r="F1450" s="10"/>
    </row>
    <row r="1451" spans="1:6" s="9" customFormat="1" x14ac:dyDescent="0.25">
      <c r="A1451" s="9" t="s">
        <v>47</v>
      </c>
      <c r="B1451" s="4">
        <v>45891</v>
      </c>
      <c r="C1451" s="5">
        <v>30</v>
      </c>
      <c r="D1451" s="9" t="s">
        <v>14</v>
      </c>
      <c r="E1451" s="10">
        <v>150</v>
      </c>
      <c r="F1451" s="10">
        <f t="shared" si="22"/>
        <v>4500</v>
      </c>
    </row>
    <row r="1452" spans="1:6" s="9" customFormat="1" x14ac:dyDescent="0.25">
      <c r="B1452" s="4"/>
      <c r="C1452" s="5"/>
      <c r="E1452" s="10"/>
      <c r="F1452" s="8">
        <f>SUM(F1451)</f>
        <v>4500</v>
      </c>
    </row>
    <row r="1453" spans="1:6" s="9" customFormat="1" x14ac:dyDescent="0.25">
      <c r="B1453" s="4"/>
      <c r="C1453" s="5"/>
      <c r="E1453" s="10"/>
      <c r="F1453" s="10"/>
    </row>
    <row r="1454" spans="1:6" s="9" customFormat="1" x14ac:dyDescent="0.25">
      <c r="A1454" s="9" t="s">
        <v>45</v>
      </c>
      <c r="B1454" s="4">
        <v>45891</v>
      </c>
      <c r="C1454" s="5">
        <v>5</v>
      </c>
      <c r="D1454" s="9" t="s">
        <v>13</v>
      </c>
      <c r="E1454" s="10">
        <v>150</v>
      </c>
      <c r="F1454" s="10">
        <f t="shared" si="22"/>
        <v>750</v>
      </c>
    </row>
    <row r="1455" spans="1:6" s="9" customFormat="1" x14ac:dyDescent="0.25">
      <c r="B1455" s="4"/>
      <c r="C1455" s="5"/>
      <c r="E1455" s="10"/>
      <c r="F1455" s="8">
        <f>SUM(F1454)</f>
        <v>750</v>
      </c>
    </row>
    <row r="1456" spans="1:6" s="9" customFormat="1" x14ac:dyDescent="0.25">
      <c r="B1456" s="4"/>
      <c r="C1456" s="5"/>
      <c r="E1456" s="10"/>
      <c r="F1456" s="10"/>
    </row>
    <row r="1457" spans="1:6" s="9" customFormat="1" x14ac:dyDescent="0.25">
      <c r="A1457" s="9" t="s">
        <v>69</v>
      </c>
      <c r="B1457" s="4">
        <v>45891</v>
      </c>
      <c r="C1457" s="5">
        <v>10</v>
      </c>
      <c r="D1457" s="9" t="s">
        <v>13</v>
      </c>
      <c r="E1457" s="10">
        <v>155</v>
      </c>
      <c r="F1457" s="10">
        <f t="shared" si="22"/>
        <v>1550</v>
      </c>
    </row>
    <row r="1458" spans="1:6" s="9" customFormat="1" x14ac:dyDescent="0.25">
      <c r="B1458" s="4"/>
      <c r="C1458" s="5"/>
      <c r="E1458" s="10"/>
      <c r="F1458" s="8">
        <f>SUM(F1457)</f>
        <v>1550</v>
      </c>
    </row>
    <row r="1459" spans="1:6" s="9" customFormat="1" x14ac:dyDescent="0.25">
      <c r="B1459" s="4"/>
      <c r="C1459" s="5"/>
      <c r="E1459" s="10"/>
      <c r="F1459" s="10"/>
    </row>
    <row r="1460" spans="1:6" s="9" customFormat="1" x14ac:dyDescent="0.25">
      <c r="A1460" s="9" t="s">
        <v>60</v>
      </c>
      <c r="B1460" s="4">
        <v>45891</v>
      </c>
      <c r="C1460" s="5">
        <v>30</v>
      </c>
      <c r="D1460" s="9" t="s">
        <v>13</v>
      </c>
      <c r="E1460" s="10">
        <v>155</v>
      </c>
      <c r="F1460" s="10">
        <f t="shared" si="22"/>
        <v>4650</v>
      </c>
    </row>
    <row r="1461" spans="1:6" s="9" customFormat="1" x14ac:dyDescent="0.25">
      <c r="B1461" s="4"/>
      <c r="C1461" s="5"/>
      <c r="E1461" s="10"/>
      <c r="F1461" s="8">
        <f>SUM(F1460)</f>
        <v>4650</v>
      </c>
    </row>
    <row r="1462" spans="1:6" s="9" customFormat="1" x14ac:dyDescent="0.25">
      <c r="B1462" s="4"/>
      <c r="C1462" s="5"/>
      <c r="E1462" s="10"/>
      <c r="F1462" s="10"/>
    </row>
    <row r="1463" spans="1:6" s="9" customFormat="1" x14ac:dyDescent="0.25">
      <c r="A1463" s="9" t="s">
        <v>112</v>
      </c>
      <c r="B1463" s="4">
        <v>45891</v>
      </c>
      <c r="C1463" s="5">
        <v>30</v>
      </c>
      <c r="D1463" s="9" t="s">
        <v>884</v>
      </c>
      <c r="E1463" s="10">
        <v>140</v>
      </c>
      <c r="F1463" s="10">
        <f t="shared" si="22"/>
        <v>4200</v>
      </c>
    </row>
    <row r="1464" spans="1:6" s="9" customFormat="1" x14ac:dyDescent="0.25">
      <c r="B1464" s="4"/>
      <c r="C1464" s="5"/>
      <c r="E1464" s="10"/>
      <c r="F1464" s="8">
        <f>SUM(F1463)</f>
        <v>4200</v>
      </c>
    </row>
    <row r="1465" spans="1:6" s="9" customFormat="1" x14ac:dyDescent="0.25">
      <c r="B1465" s="4"/>
      <c r="C1465" s="5"/>
      <c r="E1465" s="10"/>
      <c r="F1465" s="10"/>
    </row>
    <row r="1466" spans="1:6" s="9" customFormat="1" x14ac:dyDescent="0.25">
      <c r="A1466" s="9" t="s">
        <v>88</v>
      </c>
      <c r="B1466" s="4">
        <v>45891</v>
      </c>
      <c r="C1466" s="5">
        <v>5</v>
      </c>
      <c r="D1466" s="9" t="s">
        <v>13</v>
      </c>
      <c r="E1466" s="10">
        <v>155</v>
      </c>
      <c r="F1466" s="10">
        <f t="shared" si="22"/>
        <v>775</v>
      </c>
    </row>
    <row r="1467" spans="1:6" s="9" customFormat="1" x14ac:dyDescent="0.25">
      <c r="B1467" s="4"/>
      <c r="C1467" s="5">
        <v>5</v>
      </c>
      <c r="D1467" s="9" t="s">
        <v>14</v>
      </c>
      <c r="E1467" s="10">
        <v>145</v>
      </c>
      <c r="F1467" s="10">
        <f t="shared" si="22"/>
        <v>725</v>
      </c>
    </row>
    <row r="1468" spans="1:6" s="9" customFormat="1" x14ac:dyDescent="0.25">
      <c r="B1468" s="4"/>
      <c r="C1468" s="5"/>
      <c r="E1468" s="10"/>
      <c r="F1468" s="8">
        <f>SUM(F1466:F1467)</f>
        <v>1500</v>
      </c>
    </row>
    <row r="1469" spans="1:6" s="9" customFormat="1" x14ac:dyDescent="0.25">
      <c r="B1469" s="4"/>
      <c r="C1469" s="5"/>
      <c r="E1469" s="10"/>
      <c r="F1469" s="10"/>
    </row>
    <row r="1470" spans="1:6" s="9" customFormat="1" x14ac:dyDescent="0.25">
      <c r="A1470" s="9" t="s">
        <v>26</v>
      </c>
      <c r="B1470" s="4">
        <v>45891</v>
      </c>
      <c r="C1470" s="5">
        <v>20</v>
      </c>
      <c r="D1470" s="9" t="s">
        <v>14</v>
      </c>
      <c r="E1470" s="10">
        <v>145</v>
      </c>
      <c r="F1470" s="10">
        <f t="shared" si="22"/>
        <v>2900</v>
      </c>
    </row>
    <row r="1471" spans="1:6" s="9" customFormat="1" x14ac:dyDescent="0.25">
      <c r="B1471" s="4"/>
      <c r="C1471" s="5"/>
      <c r="E1471" s="10"/>
      <c r="F1471" s="8">
        <f>SUM(F1470)</f>
        <v>2900</v>
      </c>
    </row>
    <row r="1472" spans="1:6" s="9" customFormat="1" x14ac:dyDescent="0.25">
      <c r="B1472" s="4"/>
      <c r="C1472" s="5"/>
      <c r="E1472" s="10"/>
      <c r="F1472" s="10"/>
    </row>
    <row r="1473" spans="1:6" s="9" customFormat="1" x14ac:dyDescent="0.25">
      <c r="A1473" s="9" t="s">
        <v>29</v>
      </c>
      <c r="B1473" s="4">
        <v>45891</v>
      </c>
      <c r="C1473" s="5">
        <v>1</v>
      </c>
      <c r="D1473" s="9" t="s">
        <v>13</v>
      </c>
      <c r="E1473" s="10">
        <v>140</v>
      </c>
      <c r="F1473" s="10">
        <f t="shared" si="22"/>
        <v>140</v>
      </c>
    </row>
    <row r="1474" spans="1:6" s="9" customFormat="1" x14ac:dyDescent="0.25">
      <c r="B1474" s="4"/>
      <c r="C1474" s="5">
        <v>1</v>
      </c>
      <c r="D1474" s="9" t="s">
        <v>13</v>
      </c>
      <c r="E1474" s="10">
        <v>160</v>
      </c>
      <c r="F1474" s="10">
        <f t="shared" si="22"/>
        <v>160</v>
      </c>
    </row>
    <row r="1475" spans="1:6" s="9" customFormat="1" x14ac:dyDescent="0.25">
      <c r="B1475" s="4"/>
      <c r="C1475" s="5"/>
      <c r="E1475" s="10"/>
      <c r="F1475" s="8">
        <f>SUM(F1473:F1474)</f>
        <v>300</v>
      </c>
    </row>
    <row r="1476" spans="1:6" s="9" customFormat="1" x14ac:dyDescent="0.25">
      <c r="B1476" s="4"/>
      <c r="C1476" s="5"/>
      <c r="E1476" s="10"/>
      <c r="F1476" s="10"/>
    </row>
    <row r="1477" spans="1:6" s="9" customFormat="1" x14ac:dyDescent="0.25">
      <c r="A1477" s="9" t="s">
        <v>7</v>
      </c>
      <c r="B1477" s="4">
        <v>45891</v>
      </c>
      <c r="C1477" s="5">
        <v>2</v>
      </c>
      <c r="D1477" s="9" t="s">
        <v>12</v>
      </c>
      <c r="E1477" s="10">
        <v>140</v>
      </c>
      <c r="F1477" s="10">
        <f t="shared" si="22"/>
        <v>280</v>
      </c>
    </row>
    <row r="1478" spans="1:6" s="9" customFormat="1" x14ac:dyDescent="0.25">
      <c r="B1478" s="4"/>
      <c r="C1478" s="5">
        <v>1</v>
      </c>
      <c r="D1478" s="9" t="s">
        <v>13</v>
      </c>
      <c r="E1478" s="10">
        <v>160</v>
      </c>
      <c r="F1478" s="10">
        <f t="shared" si="22"/>
        <v>160</v>
      </c>
    </row>
    <row r="1479" spans="1:6" s="9" customFormat="1" x14ac:dyDescent="0.25">
      <c r="B1479" s="4"/>
      <c r="C1479" s="5"/>
      <c r="E1479" s="10"/>
      <c r="F1479" s="8">
        <f>SUM(F1477:F1478)</f>
        <v>440</v>
      </c>
    </row>
    <row r="1480" spans="1:6" s="9" customFormat="1" x14ac:dyDescent="0.25">
      <c r="B1480" s="4"/>
      <c r="C1480" s="5"/>
      <c r="E1480" s="10"/>
      <c r="F1480" s="10"/>
    </row>
    <row r="1481" spans="1:6" s="9" customFormat="1" x14ac:dyDescent="0.25">
      <c r="A1481" s="9" t="s">
        <v>44</v>
      </c>
      <c r="B1481" s="4">
        <v>45892</v>
      </c>
      <c r="C1481" s="5">
        <v>10</v>
      </c>
      <c r="D1481" s="9" t="s">
        <v>13</v>
      </c>
      <c r="E1481" s="10">
        <v>150</v>
      </c>
      <c r="F1481" s="10">
        <f t="shared" si="22"/>
        <v>1500</v>
      </c>
    </row>
    <row r="1482" spans="1:6" s="9" customFormat="1" x14ac:dyDescent="0.25">
      <c r="B1482" s="4"/>
      <c r="C1482" s="5"/>
      <c r="E1482" s="10"/>
      <c r="F1482" s="8">
        <f>SUM(F1481)</f>
        <v>1500</v>
      </c>
    </row>
    <row r="1483" spans="1:6" s="9" customFormat="1" x14ac:dyDescent="0.25">
      <c r="B1483" s="4"/>
      <c r="C1483" s="5"/>
      <c r="E1483" s="10"/>
      <c r="F1483" s="10"/>
    </row>
    <row r="1484" spans="1:6" s="9" customFormat="1" x14ac:dyDescent="0.25">
      <c r="A1484" s="9" t="s">
        <v>37</v>
      </c>
      <c r="B1484" s="4">
        <v>45892</v>
      </c>
      <c r="C1484" s="5">
        <v>10</v>
      </c>
      <c r="D1484" s="9" t="s">
        <v>12</v>
      </c>
      <c r="E1484" s="10">
        <v>150</v>
      </c>
      <c r="F1484" s="10">
        <f t="shared" ref="F1484:F1545" si="23">+C1484*E1484</f>
        <v>1500</v>
      </c>
    </row>
    <row r="1485" spans="1:6" s="9" customFormat="1" x14ac:dyDescent="0.25">
      <c r="B1485" s="4"/>
      <c r="C1485" s="5"/>
      <c r="E1485" s="10"/>
      <c r="F1485" s="8">
        <f>SUM(F1484)</f>
        <v>1500</v>
      </c>
    </row>
    <row r="1486" spans="1:6" s="9" customFormat="1" x14ac:dyDescent="0.25">
      <c r="B1486" s="4"/>
      <c r="C1486" s="5"/>
      <c r="E1486" s="10"/>
      <c r="F1486" s="10"/>
    </row>
    <row r="1487" spans="1:6" s="9" customFormat="1" x14ac:dyDescent="0.25">
      <c r="A1487" s="9" t="s">
        <v>40</v>
      </c>
      <c r="B1487" s="4">
        <v>45892</v>
      </c>
      <c r="C1487" s="5">
        <v>10</v>
      </c>
      <c r="D1487" s="9" t="s">
        <v>13</v>
      </c>
      <c r="E1487" s="10">
        <v>155</v>
      </c>
      <c r="F1487" s="10">
        <f t="shared" si="23"/>
        <v>1550</v>
      </c>
    </row>
    <row r="1488" spans="1:6" s="9" customFormat="1" x14ac:dyDescent="0.25">
      <c r="B1488" s="4"/>
      <c r="C1488" s="5">
        <v>20</v>
      </c>
      <c r="D1488" s="9" t="s">
        <v>12</v>
      </c>
      <c r="E1488" s="10">
        <v>145</v>
      </c>
      <c r="F1488" s="10">
        <f t="shared" si="23"/>
        <v>2900</v>
      </c>
    </row>
    <row r="1489" spans="1:6" s="9" customFormat="1" x14ac:dyDescent="0.25">
      <c r="B1489" s="4"/>
      <c r="C1489" s="5"/>
      <c r="E1489" s="10"/>
      <c r="F1489" s="8">
        <f>SUM(F1487:F1488)</f>
        <v>4450</v>
      </c>
    </row>
    <row r="1490" spans="1:6" s="9" customFormat="1" x14ac:dyDescent="0.25">
      <c r="B1490" s="4"/>
      <c r="C1490" s="5"/>
      <c r="E1490" s="10"/>
      <c r="F1490" s="10"/>
    </row>
    <row r="1491" spans="1:6" s="9" customFormat="1" x14ac:dyDescent="0.25">
      <c r="A1491" s="9" t="s">
        <v>20</v>
      </c>
      <c r="B1491" s="4">
        <v>45892</v>
      </c>
      <c r="C1491" s="5">
        <v>20</v>
      </c>
      <c r="D1491" s="9" t="s">
        <v>13</v>
      </c>
      <c r="E1491" s="10">
        <v>155</v>
      </c>
      <c r="F1491" s="10">
        <f t="shared" si="23"/>
        <v>3100</v>
      </c>
    </row>
    <row r="1492" spans="1:6" s="9" customFormat="1" x14ac:dyDescent="0.25">
      <c r="B1492" s="4"/>
      <c r="C1492" s="5"/>
      <c r="E1492" s="10"/>
      <c r="F1492" s="8">
        <f>SUM(F1491)</f>
        <v>3100</v>
      </c>
    </row>
    <row r="1493" spans="1:6" s="9" customFormat="1" x14ac:dyDescent="0.25">
      <c r="B1493" s="4"/>
      <c r="C1493" s="5"/>
      <c r="E1493" s="10"/>
      <c r="F1493" s="10"/>
    </row>
    <row r="1494" spans="1:6" s="9" customFormat="1" x14ac:dyDescent="0.25">
      <c r="A1494" s="9" t="s">
        <v>69</v>
      </c>
      <c r="B1494" s="4">
        <v>45892</v>
      </c>
      <c r="C1494" s="5">
        <v>15</v>
      </c>
      <c r="D1494" s="9" t="s">
        <v>8</v>
      </c>
      <c r="E1494" s="10">
        <v>165</v>
      </c>
      <c r="F1494" s="10">
        <f t="shared" si="23"/>
        <v>2475</v>
      </c>
    </row>
    <row r="1495" spans="1:6" s="9" customFormat="1" x14ac:dyDescent="0.25">
      <c r="B1495" s="4"/>
      <c r="C1495" s="5"/>
      <c r="E1495" s="10"/>
      <c r="F1495" s="8">
        <f>SUM(F1494)</f>
        <v>2475</v>
      </c>
    </row>
    <row r="1496" spans="1:6" s="9" customFormat="1" x14ac:dyDescent="0.25">
      <c r="B1496" s="4"/>
      <c r="C1496" s="5"/>
      <c r="E1496" s="10"/>
      <c r="F1496" s="10"/>
    </row>
    <row r="1497" spans="1:6" s="9" customFormat="1" x14ac:dyDescent="0.25">
      <c r="A1497" s="9" t="s">
        <v>65</v>
      </c>
      <c r="B1497" s="4">
        <v>45892</v>
      </c>
      <c r="C1497" s="5">
        <v>1300</v>
      </c>
      <c r="D1497" s="9" t="s">
        <v>12</v>
      </c>
      <c r="E1497" s="10">
        <v>145</v>
      </c>
      <c r="F1497" s="10">
        <f t="shared" si="23"/>
        <v>188500</v>
      </c>
    </row>
    <row r="1498" spans="1:6" s="9" customFormat="1" x14ac:dyDescent="0.25">
      <c r="B1498" s="4"/>
      <c r="C1498" s="5">
        <v>150</v>
      </c>
      <c r="D1498" s="9" t="s">
        <v>11</v>
      </c>
      <c r="E1498" s="10">
        <v>145</v>
      </c>
      <c r="F1498" s="10">
        <f t="shared" si="23"/>
        <v>21750</v>
      </c>
    </row>
    <row r="1499" spans="1:6" s="9" customFormat="1" x14ac:dyDescent="0.25">
      <c r="B1499" s="4"/>
      <c r="C1499" s="5">
        <v>100</v>
      </c>
      <c r="D1499" s="9" t="s">
        <v>22</v>
      </c>
      <c r="E1499" s="10">
        <v>130</v>
      </c>
      <c r="F1499" s="10">
        <f t="shared" si="23"/>
        <v>13000</v>
      </c>
    </row>
    <row r="1500" spans="1:6" s="9" customFormat="1" x14ac:dyDescent="0.25">
      <c r="B1500" s="4"/>
      <c r="C1500" s="5">
        <v>50</v>
      </c>
      <c r="D1500" s="9" t="s">
        <v>885</v>
      </c>
      <c r="E1500" s="10">
        <v>130</v>
      </c>
      <c r="F1500" s="10">
        <f t="shared" si="23"/>
        <v>6500</v>
      </c>
    </row>
    <row r="1501" spans="1:6" s="9" customFormat="1" x14ac:dyDescent="0.25">
      <c r="B1501" s="4"/>
      <c r="C1501" s="5">
        <v>500</v>
      </c>
      <c r="D1501" s="9" t="s">
        <v>13</v>
      </c>
      <c r="E1501" s="10">
        <v>150</v>
      </c>
      <c r="F1501" s="10">
        <f t="shared" si="23"/>
        <v>75000</v>
      </c>
    </row>
    <row r="1502" spans="1:6" s="9" customFormat="1" x14ac:dyDescent="0.25">
      <c r="B1502" s="4"/>
      <c r="C1502" s="5">
        <v>100</v>
      </c>
      <c r="D1502" s="9" t="s">
        <v>14</v>
      </c>
      <c r="E1502" s="10">
        <v>150</v>
      </c>
      <c r="F1502" s="10">
        <f t="shared" si="23"/>
        <v>15000</v>
      </c>
    </row>
    <row r="1503" spans="1:6" s="9" customFormat="1" x14ac:dyDescent="0.25">
      <c r="B1503" s="4"/>
      <c r="C1503" s="5"/>
      <c r="E1503" s="10"/>
      <c r="F1503" s="8">
        <f>SUM(F1497:F1502)</f>
        <v>319750</v>
      </c>
    </row>
    <row r="1504" spans="1:6" s="9" customFormat="1" x14ac:dyDescent="0.25">
      <c r="B1504" s="4"/>
      <c r="C1504" s="5"/>
      <c r="E1504" s="10"/>
      <c r="F1504" s="10"/>
    </row>
    <row r="1505" spans="1:6" s="9" customFormat="1" x14ac:dyDescent="0.25">
      <c r="A1505" s="9" t="s">
        <v>868</v>
      </c>
      <c r="B1505" s="4">
        <v>45892</v>
      </c>
      <c r="C1505" s="5">
        <v>152</v>
      </c>
      <c r="D1505" s="9" t="s">
        <v>22</v>
      </c>
      <c r="E1505" s="10"/>
      <c r="F1505" s="10">
        <f t="shared" si="23"/>
        <v>0</v>
      </c>
    </row>
    <row r="1506" spans="1:6" s="9" customFormat="1" x14ac:dyDescent="0.25">
      <c r="B1506" s="4"/>
      <c r="C1506" s="5">
        <v>83</v>
      </c>
      <c r="D1506" s="9" t="s">
        <v>50</v>
      </c>
      <c r="E1506" s="10"/>
      <c r="F1506" s="10">
        <f t="shared" si="23"/>
        <v>0</v>
      </c>
    </row>
    <row r="1507" spans="1:6" s="9" customFormat="1" x14ac:dyDescent="0.25">
      <c r="B1507" s="4"/>
      <c r="C1507" s="5">
        <v>170</v>
      </c>
      <c r="D1507" s="9" t="s">
        <v>12</v>
      </c>
      <c r="E1507" s="10"/>
      <c r="F1507" s="10">
        <f t="shared" si="23"/>
        <v>0</v>
      </c>
    </row>
    <row r="1508" spans="1:6" s="9" customFormat="1" x14ac:dyDescent="0.25">
      <c r="B1508" s="4"/>
      <c r="C1508" s="5"/>
      <c r="E1508" s="10"/>
      <c r="F1508" s="8">
        <f>SUM(F1505:F1507)</f>
        <v>0</v>
      </c>
    </row>
    <row r="1509" spans="1:6" s="9" customFormat="1" x14ac:dyDescent="0.25">
      <c r="B1509" s="4"/>
      <c r="C1509" s="5"/>
      <c r="E1509" s="10"/>
      <c r="F1509" s="10"/>
    </row>
    <row r="1510" spans="1:6" s="9" customFormat="1" x14ac:dyDescent="0.25">
      <c r="A1510" s="9" t="s">
        <v>61</v>
      </c>
      <c r="B1510" s="4">
        <v>45892</v>
      </c>
      <c r="C1510" s="5">
        <v>70</v>
      </c>
      <c r="D1510" s="9" t="s">
        <v>13</v>
      </c>
      <c r="E1510" s="10">
        <v>155</v>
      </c>
      <c r="F1510" s="10">
        <f t="shared" si="23"/>
        <v>10850</v>
      </c>
    </row>
    <row r="1511" spans="1:6" s="9" customFormat="1" x14ac:dyDescent="0.25">
      <c r="B1511" s="4"/>
      <c r="C1511" s="5"/>
      <c r="E1511" s="10"/>
      <c r="F1511" s="8">
        <f>SUM(F1510)</f>
        <v>10850</v>
      </c>
    </row>
    <row r="1512" spans="1:6" s="9" customFormat="1" x14ac:dyDescent="0.25">
      <c r="B1512" s="4"/>
      <c r="C1512" s="5"/>
      <c r="E1512" s="10"/>
      <c r="F1512" s="10"/>
    </row>
    <row r="1513" spans="1:6" s="9" customFormat="1" x14ac:dyDescent="0.25">
      <c r="A1513" s="9" t="s">
        <v>127</v>
      </c>
      <c r="B1513" s="4">
        <v>45892</v>
      </c>
      <c r="C1513" s="5">
        <v>20</v>
      </c>
      <c r="D1513" s="9" t="s">
        <v>13</v>
      </c>
      <c r="E1513" s="10">
        <v>155</v>
      </c>
      <c r="F1513" s="10">
        <f t="shared" si="23"/>
        <v>3100</v>
      </c>
    </row>
    <row r="1514" spans="1:6" s="9" customFormat="1" x14ac:dyDescent="0.25">
      <c r="B1514" s="4"/>
      <c r="C1514" s="5"/>
      <c r="E1514" s="10"/>
      <c r="F1514" s="8">
        <f>SUM(F1513)</f>
        <v>3100</v>
      </c>
    </row>
    <row r="1515" spans="1:6" s="9" customFormat="1" x14ac:dyDescent="0.25">
      <c r="B1515" s="4"/>
      <c r="C1515" s="5"/>
      <c r="E1515" s="10"/>
      <c r="F1515" s="10"/>
    </row>
    <row r="1516" spans="1:6" s="9" customFormat="1" x14ac:dyDescent="0.25">
      <c r="A1516" s="9" t="s">
        <v>60</v>
      </c>
      <c r="B1516" s="4">
        <v>45892</v>
      </c>
      <c r="C1516" s="5">
        <v>30</v>
      </c>
      <c r="D1516" s="9" t="s">
        <v>13</v>
      </c>
      <c r="E1516" s="10">
        <v>155</v>
      </c>
      <c r="F1516" s="10">
        <f t="shared" si="23"/>
        <v>4650</v>
      </c>
    </row>
    <row r="1517" spans="1:6" s="9" customFormat="1" x14ac:dyDescent="0.25">
      <c r="B1517" s="4"/>
      <c r="C1517" s="5"/>
      <c r="E1517" s="10"/>
      <c r="F1517" s="8">
        <f>SUM(F1516)</f>
        <v>4650</v>
      </c>
    </row>
    <row r="1518" spans="1:6" s="9" customFormat="1" x14ac:dyDescent="0.25">
      <c r="B1518" s="4"/>
      <c r="C1518" s="5"/>
      <c r="E1518" s="10"/>
      <c r="F1518" s="10"/>
    </row>
    <row r="1519" spans="1:6" s="9" customFormat="1" x14ac:dyDescent="0.25">
      <c r="A1519" s="9" t="s">
        <v>103</v>
      </c>
      <c r="B1519" s="4">
        <v>45892</v>
      </c>
      <c r="C1519" s="5">
        <v>4</v>
      </c>
      <c r="D1519" s="9" t="s">
        <v>304</v>
      </c>
      <c r="E1519" s="10">
        <v>155</v>
      </c>
      <c r="F1519" s="10">
        <f t="shared" si="23"/>
        <v>620</v>
      </c>
    </row>
    <row r="1520" spans="1:6" s="9" customFormat="1" x14ac:dyDescent="0.25">
      <c r="B1520" s="4"/>
      <c r="C1520" s="5"/>
      <c r="E1520" s="10"/>
      <c r="F1520" s="8">
        <f>SUM(F1519)</f>
        <v>620</v>
      </c>
    </row>
    <row r="1521" spans="1:6" s="9" customFormat="1" x14ac:dyDescent="0.25">
      <c r="B1521" s="4"/>
      <c r="C1521" s="5"/>
      <c r="E1521" s="10"/>
      <c r="F1521" s="10"/>
    </row>
    <row r="1522" spans="1:6" s="9" customFormat="1" x14ac:dyDescent="0.25">
      <c r="A1522" s="9" t="s">
        <v>391</v>
      </c>
      <c r="B1522" s="4">
        <v>45892</v>
      </c>
      <c r="C1522" s="5">
        <v>20</v>
      </c>
      <c r="D1522" s="9" t="s">
        <v>13</v>
      </c>
      <c r="E1522" s="10">
        <v>150</v>
      </c>
      <c r="F1522" s="10">
        <f t="shared" si="23"/>
        <v>3000</v>
      </c>
    </row>
    <row r="1523" spans="1:6" s="9" customFormat="1" x14ac:dyDescent="0.25">
      <c r="B1523" s="4"/>
      <c r="C1523" s="5"/>
      <c r="E1523" s="10"/>
      <c r="F1523" s="8">
        <f>SUM(F1522)</f>
        <v>3000</v>
      </c>
    </row>
    <row r="1524" spans="1:6" s="9" customFormat="1" x14ac:dyDescent="0.25">
      <c r="B1524" s="4"/>
      <c r="C1524" s="5"/>
      <c r="E1524" s="10"/>
      <c r="F1524" s="10"/>
    </row>
    <row r="1525" spans="1:6" s="9" customFormat="1" x14ac:dyDescent="0.25">
      <c r="A1525" s="9" t="s">
        <v>72</v>
      </c>
      <c r="B1525" s="4">
        <v>45892</v>
      </c>
      <c r="C1525" s="5">
        <v>350</v>
      </c>
      <c r="D1525" s="9" t="s">
        <v>13</v>
      </c>
      <c r="E1525" s="10">
        <v>145</v>
      </c>
      <c r="F1525" s="10">
        <f t="shared" si="23"/>
        <v>50750</v>
      </c>
    </row>
    <row r="1526" spans="1:6" s="9" customFormat="1" x14ac:dyDescent="0.25">
      <c r="B1526" s="4"/>
      <c r="C1526" s="5">
        <v>100</v>
      </c>
      <c r="D1526" s="9" t="s">
        <v>12</v>
      </c>
      <c r="E1526" s="10">
        <v>140</v>
      </c>
      <c r="F1526" s="10">
        <f t="shared" si="23"/>
        <v>14000</v>
      </c>
    </row>
    <row r="1527" spans="1:6" s="9" customFormat="1" x14ac:dyDescent="0.25">
      <c r="B1527" s="4"/>
      <c r="C1527" s="5">
        <v>10</v>
      </c>
      <c r="D1527" s="9" t="s">
        <v>14</v>
      </c>
      <c r="E1527" s="10">
        <v>140</v>
      </c>
      <c r="F1527" s="10">
        <f t="shared" si="23"/>
        <v>1400</v>
      </c>
    </row>
    <row r="1528" spans="1:6" s="9" customFormat="1" x14ac:dyDescent="0.25">
      <c r="B1528" s="4"/>
      <c r="C1528" s="5">
        <v>90</v>
      </c>
      <c r="D1528" s="9" t="s">
        <v>878</v>
      </c>
      <c r="E1528" s="10">
        <v>135</v>
      </c>
      <c r="F1528" s="10">
        <f t="shared" si="23"/>
        <v>12150</v>
      </c>
    </row>
    <row r="1529" spans="1:6" s="9" customFormat="1" x14ac:dyDescent="0.25">
      <c r="B1529" s="4"/>
      <c r="C1529" s="5"/>
      <c r="E1529" s="10"/>
      <c r="F1529" s="8">
        <f>SUM(F1525:F1528)</f>
        <v>78300</v>
      </c>
    </row>
    <row r="1530" spans="1:6" s="9" customFormat="1" x14ac:dyDescent="0.25">
      <c r="B1530" s="4"/>
      <c r="C1530" s="5"/>
      <c r="E1530" s="10"/>
      <c r="F1530" s="10"/>
    </row>
    <row r="1531" spans="1:6" s="9" customFormat="1" x14ac:dyDescent="0.25">
      <c r="A1531" s="9" t="s">
        <v>29</v>
      </c>
      <c r="B1531" s="4">
        <v>45892</v>
      </c>
      <c r="C1531" s="5">
        <v>2</v>
      </c>
      <c r="D1531" s="9" t="s">
        <v>22</v>
      </c>
      <c r="E1531" s="10">
        <v>130</v>
      </c>
      <c r="F1531" s="10">
        <f t="shared" si="23"/>
        <v>260</v>
      </c>
    </row>
    <row r="1532" spans="1:6" s="9" customFormat="1" x14ac:dyDescent="0.25">
      <c r="B1532" s="4"/>
      <c r="C1532" s="5"/>
      <c r="E1532" s="10"/>
      <c r="F1532" s="8">
        <f>SUM(F1531)</f>
        <v>260</v>
      </c>
    </row>
    <row r="1533" spans="1:6" s="9" customFormat="1" x14ac:dyDescent="0.25">
      <c r="B1533" s="4"/>
      <c r="C1533" s="5"/>
      <c r="E1533" s="10"/>
      <c r="F1533" s="10"/>
    </row>
    <row r="1534" spans="1:6" s="9" customFormat="1" x14ac:dyDescent="0.25">
      <c r="A1534" s="9" t="s">
        <v>181</v>
      </c>
      <c r="B1534" s="4">
        <v>45892</v>
      </c>
      <c r="C1534" s="5">
        <v>1</v>
      </c>
      <c r="D1534" s="9" t="s">
        <v>886</v>
      </c>
      <c r="E1534" s="10">
        <v>170</v>
      </c>
      <c r="F1534" s="10">
        <f t="shared" si="23"/>
        <v>170</v>
      </c>
    </row>
    <row r="1535" spans="1:6" s="9" customFormat="1" x14ac:dyDescent="0.25">
      <c r="B1535" s="4"/>
      <c r="C1535" s="5"/>
      <c r="E1535" s="10"/>
      <c r="F1535" s="8">
        <f>SUM(F1534)</f>
        <v>170</v>
      </c>
    </row>
    <row r="1536" spans="1:6" s="9" customFormat="1" x14ac:dyDescent="0.25">
      <c r="B1536" s="4"/>
      <c r="C1536" s="5"/>
      <c r="E1536" s="10"/>
      <c r="F1536" s="10"/>
    </row>
    <row r="1537" spans="1:6" s="9" customFormat="1" x14ac:dyDescent="0.25">
      <c r="A1537" s="9" t="s">
        <v>29</v>
      </c>
      <c r="B1537" s="4">
        <v>45893</v>
      </c>
      <c r="C1537" s="5">
        <v>5</v>
      </c>
      <c r="D1537" s="9" t="s">
        <v>13</v>
      </c>
      <c r="E1537" s="10">
        <v>150</v>
      </c>
      <c r="F1537" s="10">
        <f t="shared" si="23"/>
        <v>750</v>
      </c>
    </row>
    <row r="1538" spans="1:6" s="9" customFormat="1" x14ac:dyDescent="0.25">
      <c r="B1538" s="4"/>
      <c r="C1538" s="5">
        <v>2</v>
      </c>
      <c r="D1538" s="9" t="s">
        <v>12</v>
      </c>
      <c r="E1538" s="10">
        <v>150</v>
      </c>
      <c r="F1538" s="10">
        <f t="shared" si="23"/>
        <v>300</v>
      </c>
    </row>
    <row r="1539" spans="1:6" s="9" customFormat="1" x14ac:dyDescent="0.25">
      <c r="B1539" s="4"/>
      <c r="C1539" s="5">
        <v>1</v>
      </c>
      <c r="D1539" s="9" t="s">
        <v>13</v>
      </c>
      <c r="E1539" s="10">
        <v>160</v>
      </c>
      <c r="F1539" s="10">
        <f t="shared" si="23"/>
        <v>160</v>
      </c>
    </row>
    <row r="1540" spans="1:6" s="9" customFormat="1" x14ac:dyDescent="0.25">
      <c r="B1540" s="4"/>
      <c r="C1540" s="5"/>
      <c r="E1540" s="10"/>
      <c r="F1540" s="8">
        <f>SUM(F1537:F1539)</f>
        <v>1210</v>
      </c>
    </row>
    <row r="1541" spans="1:6" s="9" customFormat="1" x14ac:dyDescent="0.25">
      <c r="B1541" s="4"/>
      <c r="C1541" s="5"/>
      <c r="E1541" s="10"/>
      <c r="F1541" s="10"/>
    </row>
    <row r="1542" spans="1:6" s="9" customFormat="1" x14ac:dyDescent="0.25">
      <c r="A1542" s="9" t="s">
        <v>724</v>
      </c>
      <c r="B1542" s="4">
        <v>45894</v>
      </c>
      <c r="C1542" s="5">
        <v>10</v>
      </c>
      <c r="D1542" s="9" t="s">
        <v>98</v>
      </c>
      <c r="E1542" s="10">
        <v>110</v>
      </c>
      <c r="F1542" s="10">
        <f t="shared" si="23"/>
        <v>1100</v>
      </c>
    </row>
    <row r="1543" spans="1:6" s="9" customFormat="1" x14ac:dyDescent="0.25">
      <c r="B1543" s="4"/>
      <c r="C1543" s="5"/>
      <c r="E1543" s="10"/>
      <c r="F1543" s="8">
        <f>SUM(F1542)</f>
        <v>1100</v>
      </c>
    </row>
    <row r="1544" spans="1:6" s="9" customFormat="1" x14ac:dyDescent="0.25">
      <c r="B1544" s="4"/>
      <c r="C1544" s="5"/>
      <c r="E1544" s="10"/>
      <c r="F1544" s="10"/>
    </row>
    <row r="1545" spans="1:6" s="9" customFormat="1" x14ac:dyDescent="0.25">
      <c r="A1545" s="9" t="s">
        <v>15</v>
      </c>
      <c r="B1545" s="4">
        <v>45894</v>
      </c>
      <c r="C1545" s="5">
        <v>50</v>
      </c>
      <c r="D1545" s="9" t="s">
        <v>98</v>
      </c>
      <c r="E1545" s="10">
        <v>110</v>
      </c>
      <c r="F1545" s="10">
        <f t="shared" si="23"/>
        <v>5500</v>
      </c>
    </row>
    <row r="1546" spans="1:6" s="9" customFormat="1" x14ac:dyDescent="0.25">
      <c r="B1546" s="4"/>
      <c r="C1546" s="5"/>
      <c r="E1546" s="10"/>
      <c r="F1546" s="8">
        <f>SUM(F1545)</f>
        <v>5500</v>
      </c>
    </row>
    <row r="1547" spans="1:6" s="9" customFormat="1" x14ac:dyDescent="0.25">
      <c r="B1547" s="4"/>
      <c r="C1547" s="5"/>
      <c r="E1547" s="10"/>
      <c r="F1547" s="10"/>
    </row>
    <row r="1548" spans="1:6" s="9" customFormat="1" x14ac:dyDescent="0.25">
      <c r="A1548" s="9" t="s">
        <v>79</v>
      </c>
      <c r="B1548" s="4">
        <v>45894</v>
      </c>
      <c r="C1548" s="5">
        <v>20</v>
      </c>
      <c r="D1548" s="9" t="s">
        <v>13</v>
      </c>
      <c r="E1548" s="10">
        <v>150</v>
      </c>
      <c r="F1548" s="10">
        <f t="shared" ref="F1548:F1607" si="24">+C1548*E1548</f>
        <v>3000</v>
      </c>
    </row>
    <row r="1549" spans="1:6" s="9" customFormat="1" x14ac:dyDescent="0.25">
      <c r="B1549" s="4"/>
      <c r="C1549" s="5"/>
      <c r="E1549" s="10"/>
      <c r="F1549" s="8">
        <f>SUM(F1548)</f>
        <v>3000</v>
      </c>
    </row>
    <row r="1550" spans="1:6" s="9" customFormat="1" x14ac:dyDescent="0.25">
      <c r="B1550" s="4"/>
      <c r="C1550" s="5"/>
      <c r="E1550" s="10"/>
      <c r="F1550" s="10"/>
    </row>
    <row r="1551" spans="1:6" s="9" customFormat="1" x14ac:dyDescent="0.25">
      <c r="A1551" s="9" t="s">
        <v>58</v>
      </c>
      <c r="B1551" s="4">
        <v>45894</v>
      </c>
      <c r="C1551" s="5">
        <v>6</v>
      </c>
      <c r="D1551" s="9" t="s">
        <v>13</v>
      </c>
      <c r="E1551" s="10">
        <v>150</v>
      </c>
      <c r="F1551" s="10">
        <f t="shared" si="24"/>
        <v>900</v>
      </c>
    </row>
    <row r="1552" spans="1:6" s="9" customFormat="1" x14ac:dyDescent="0.25">
      <c r="B1552" s="4"/>
      <c r="C1552" s="5"/>
      <c r="E1552" s="10"/>
      <c r="F1552" s="8">
        <f>SUM(F1551)</f>
        <v>900</v>
      </c>
    </row>
    <row r="1553" spans="1:6" s="9" customFormat="1" x14ac:dyDescent="0.25">
      <c r="B1553" s="4"/>
      <c r="C1553" s="5"/>
      <c r="E1553" s="10"/>
      <c r="F1553" s="10"/>
    </row>
    <row r="1554" spans="1:6" s="9" customFormat="1" x14ac:dyDescent="0.25">
      <c r="A1554" s="9" t="s">
        <v>20</v>
      </c>
      <c r="B1554" s="4">
        <v>45894</v>
      </c>
      <c r="C1554" s="5">
        <v>20</v>
      </c>
      <c r="D1554" s="9" t="s">
        <v>13</v>
      </c>
      <c r="E1554" s="10">
        <v>155</v>
      </c>
      <c r="F1554" s="10">
        <f t="shared" si="24"/>
        <v>3100</v>
      </c>
    </row>
    <row r="1555" spans="1:6" s="9" customFormat="1" x14ac:dyDescent="0.25">
      <c r="B1555" s="4"/>
      <c r="C1555" s="5"/>
      <c r="E1555" s="10"/>
      <c r="F1555" s="8">
        <f>SUM(F1554)</f>
        <v>3100</v>
      </c>
    </row>
    <row r="1556" spans="1:6" s="9" customFormat="1" x14ac:dyDescent="0.25">
      <c r="B1556" s="4"/>
      <c r="C1556" s="5"/>
      <c r="E1556" s="10"/>
      <c r="F1556" s="10"/>
    </row>
    <row r="1557" spans="1:6" s="9" customFormat="1" x14ac:dyDescent="0.25">
      <c r="A1557" s="9" t="s">
        <v>40</v>
      </c>
      <c r="B1557" s="4">
        <v>45894</v>
      </c>
      <c r="C1557" s="5">
        <v>30</v>
      </c>
      <c r="D1557" s="9" t="s">
        <v>8</v>
      </c>
      <c r="E1557" s="10">
        <v>160</v>
      </c>
      <c r="F1557" s="10">
        <f t="shared" si="24"/>
        <v>4800</v>
      </c>
    </row>
    <row r="1558" spans="1:6" s="9" customFormat="1" x14ac:dyDescent="0.25">
      <c r="B1558" s="4"/>
      <c r="C1558" s="5">
        <v>30</v>
      </c>
      <c r="D1558" s="9" t="s">
        <v>12</v>
      </c>
      <c r="E1558" s="10">
        <v>145</v>
      </c>
      <c r="F1558" s="10">
        <f t="shared" si="24"/>
        <v>4350</v>
      </c>
    </row>
    <row r="1559" spans="1:6" s="9" customFormat="1" x14ac:dyDescent="0.25">
      <c r="B1559" s="4"/>
      <c r="C1559" s="5">
        <v>30</v>
      </c>
      <c r="D1559" s="9" t="s">
        <v>13</v>
      </c>
      <c r="E1559" s="10">
        <v>155</v>
      </c>
      <c r="F1559" s="10">
        <f t="shared" si="24"/>
        <v>4650</v>
      </c>
    </row>
    <row r="1560" spans="1:6" s="9" customFormat="1" x14ac:dyDescent="0.25">
      <c r="B1560" s="4"/>
      <c r="C1560" s="5">
        <v>10</v>
      </c>
      <c r="D1560" s="9" t="s">
        <v>50</v>
      </c>
      <c r="E1560" s="10">
        <v>130</v>
      </c>
      <c r="F1560" s="10">
        <f t="shared" si="24"/>
        <v>1300</v>
      </c>
    </row>
    <row r="1561" spans="1:6" s="9" customFormat="1" x14ac:dyDescent="0.25">
      <c r="B1561" s="4"/>
      <c r="C1561" s="5"/>
      <c r="E1561" s="10"/>
      <c r="F1561" s="8">
        <f>SUM(F1557:F1560)</f>
        <v>15100</v>
      </c>
    </row>
    <row r="1562" spans="1:6" s="9" customFormat="1" x14ac:dyDescent="0.25">
      <c r="B1562" s="4"/>
      <c r="C1562" s="5"/>
      <c r="E1562" s="10"/>
      <c r="F1562" s="10"/>
    </row>
    <row r="1563" spans="1:6" s="9" customFormat="1" x14ac:dyDescent="0.25">
      <c r="A1563" s="9" t="s">
        <v>7</v>
      </c>
      <c r="B1563" s="4">
        <v>45894</v>
      </c>
      <c r="C1563" s="5">
        <v>4</v>
      </c>
      <c r="D1563" s="9" t="s">
        <v>8</v>
      </c>
      <c r="E1563" s="10">
        <v>155</v>
      </c>
      <c r="F1563" s="10">
        <f t="shared" si="24"/>
        <v>620</v>
      </c>
    </row>
    <row r="1564" spans="1:6" s="9" customFormat="1" x14ac:dyDescent="0.25">
      <c r="B1564" s="4"/>
      <c r="C1564" s="5"/>
      <c r="E1564" s="10"/>
      <c r="F1564" s="8">
        <f>SUM(F1563)</f>
        <v>620</v>
      </c>
    </row>
    <row r="1565" spans="1:6" s="9" customFormat="1" x14ac:dyDescent="0.25">
      <c r="B1565" s="4"/>
      <c r="C1565" s="5"/>
      <c r="E1565" s="10"/>
      <c r="F1565" s="10"/>
    </row>
    <row r="1566" spans="1:6" s="9" customFormat="1" x14ac:dyDescent="0.25">
      <c r="A1566" s="9" t="s">
        <v>117</v>
      </c>
      <c r="B1566" s="4">
        <v>45894</v>
      </c>
      <c r="C1566" s="5">
        <v>5</v>
      </c>
      <c r="D1566" s="9" t="s">
        <v>13</v>
      </c>
      <c r="E1566" s="10">
        <v>155</v>
      </c>
      <c r="F1566" s="10">
        <f t="shared" si="24"/>
        <v>775</v>
      </c>
    </row>
    <row r="1567" spans="1:6" s="9" customFormat="1" x14ac:dyDescent="0.25">
      <c r="B1567" s="4"/>
      <c r="C1567" s="5"/>
      <c r="E1567" s="10"/>
      <c r="F1567" s="8">
        <f>SUM(F1566)</f>
        <v>775</v>
      </c>
    </row>
    <row r="1568" spans="1:6" s="9" customFormat="1" x14ac:dyDescent="0.25">
      <c r="B1568" s="4"/>
      <c r="C1568" s="5"/>
      <c r="E1568" s="10"/>
      <c r="F1568" s="10"/>
    </row>
    <row r="1569" spans="1:6" s="9" customFormat="1" x14ac:dyDescent="0.25">
      <c r="A1569" s="9" t="s">
        <v>60</v>
      </c>
      <c r="B1569" s="4">
        <v>45894</v>
      </c>
      <c r="C1569" s="5">
        <v>30</v>
      </c>
      <c r="D1569" s="9" t="s">
        <v>13</v>
      </c>
      <c r="E1569" s="10">
        <v>155</v>
      </c>
      <c r="F1569" s="10">
        <f t="shared" si="24"/>
        <v>4650</v>
      </c>
    </row>
    <row r="1570" spans="1:6" s="9" customFormat="1" x14ac:dyDescent="0.25">
      <c r="B1570" s="4"/>
      <c r="C1570" s="5"/>
      <c r="E1570" s="10"/>
      <c r="F1570" s="8">
        <f>SUM(F1569)</f>
        <v>4650</v>
      </c>
    </row>
    <row r="1571" spans="1:6" s="9" customFormat="1" x14ac:dyDescent="0.25">
      <c r="B1571" s="4"/>
      <c r="C1571" s="5"/>
      <c r="E1571" s="10"/>
      <c r="F1571" s="10"/>
    </row>
    <row r="1572" spans="1:6" s="9" customFormat="1" x14ac:dyDescent="0.25">
      <c r="A1572" s="9" t="s">
        <v>609</v>
      </c>
      <c r="B1572" s="4">
        <v>45894</v>
      </c>
      <c r="C1572" s="5">
        <v>100</v>
      </c>
      <c r="D1572" s="9" t="s">
        <v>22</v>
      </c>
      <c r="E1572" s="10">
        <v>130</v>
      </c>
      <c r="F1572" s="10">
        <f t="shared" si="24"/>
        <v>13000</v>
      </c>
    </row>
    <row r="1573" spans="1:6" s="9" customFormat="1" x14ac:dyDescent="0.25">
      <c r="B1573" s="4"/>
      <c r="C1573" s="5">
        <v>50</v>
      </c>
      <c r="D1573" s="9" t="s">
        <v>50</v>
      </c>
      <c r="E1573" s="10">
        <v>130</v>
      </c>
      <c r="F1573" s="10">
        <f t="shared" si="24"/>
        <v>6500</v>
      </c>
    </row>
    <row r="1574" spans="1:6" s="9" customFormat="1" x14ac:dyDescent="0.25">
      <c r="B1574" s="4"/>
      <c r="C1574" s="5">
        <v>40</v>
      </c>
      <c r="D1574" s="9" t="s">
        <v>14</v>
      </c>
      <c r="E1574" s="10">
        <v>146</v>
      </c>
      <c r="F1574" s="10">
        <f t="shared" si="24"/>
        <v>5840</v>
      </c>
    </row>
    <row r="1575" spans="1:6" s="9" customFormat="1" x14ac:dyDescent="0.25">
      <c r="B1575" s="4"/>
      <c r="C1575" s="5"/>
      <c r="E1575" s="10"/>
      <c r="F1575" s="8">
        <f>SUM(F1572:F1574)</f>
        <v>25340</v>
      </c>
    </row>
    <row r="1576" spans="1:6" s="9" customFormat="1" x14ac:dyDescent="0.25">
      <c r="B1576" s="4"/>
      <c r="C1576" s="5"/>
      <c r="E1576" s="10"/>
      <c r="F1576" s="10"/>
    </row>
    <row r="1577" spans="1:6" s="9" customFormat="1" x14ac:dyDescent="0.25">
      <c r="A1577" s="9" t="s">
        <v>48</v>
      </c>
      <c r="B1577" s="4">
        <v>45894</v>
      </c>
      <c r="C1577" s="5">
        <v>305</v>
      </c>
      <c r="D1577" s="9" t="s">
        <v>14</v>
      </c>
      <c r="E1577" s="10"/>
      <c r="F1577" s="10">
        <f t="shared" si="24"/>
        <v>0</v>
      </c>
    </row>
    <row r="1578" spans="1:6" s="9" customFormat="1" x14ac:dyDescent="0.25">
      <c r="B1578" s="4"/>
      <c r="C1578" s="5">
        <v>190</v>
      </c>
      <c r="D1578" s="9" t="s">
        <v>11</v>
      </c>
      <c r="E1578" s="10"/>
      <c r="F1578" s="10">
        <f t="shared" si="24"/>
        <v>0</v>
      </c>
    </row>
    <row r="1579" spans="1:6" s="9" customFormat="1" x14ac:dyDescent="0.25">
      <c r="B1579" s="4"/>
      <c r="C1579" s="5"/>
      <c r="E1579" s="10"/>
      <c r="F1579" s="8">
        <f>SUM(F1577:F1578)</f>
        <v>0</v>
      </c>
    </row>
    <row r="1580" spans="1:6" s="9" customFormat="1" x14ac:dyDescent="0.25">
      <c r="B1580" s="4"/>
      <c r="C1580" s="5"/>
      <c r="E1580" s="10"/>
      <c r="F1580" s="10"/>
    </row>
    <row r="1581" spans="1:6" s="9" customFormat="1" x14ac:dyDescent="0.25">
      <c r="A1581" s="9" t="s">
        <v>259</v>
      </c>
      <c r="B1581" s="4">
        <v>45894</v>
      </c>
      <c r="C1581" s="5">
        <v>150</v>
      </c>
      <c r="D1581" s="9" t="s">
        <v>14</v>
      </c>
      <c r="E1581" s="10"/>
      <c r="F1581" s="10">
        <f t="shared" si="24"/>
        <v>0</v>
      </c>
    </row>
    <row r="1582" spans="1:6" s="9" customFormat="1" x14ac:dyDescent="0.25">
      <c r="B1582" s="4"/>
      <c r="C1582" s="5">
        <v>200</v>
      </c>
      <c r="D1582" s="9" t="s">
        <v>887</v>
      </c>
      <c r="E1582" s="10"/>
      <c r="F1582" s="10">
        <f t="shared" si="24"/>
        <v>0</v>
      </c>
    </row>
    <row r="1583" spans="1:6" s="9" customFormat="1" x14ac:dyDescent="0.25">
      <c r="B1583" s="4"/>
      <c r="C1583" s="5"/>
      <c r="E1583" s="10"/>
      <c r="F1583" s="8">
        <f>SUM(F1581:F1582)</f>
        <v>0</v>
      </c>
    </row>
    <row r="1584" spans="1:6" s="9" customFormat="1" x14ac:dyDescent="0.25">
      <c r="B1584" s="4"/>
      <c r="C1584" s="5"/>
      <c r="E1584" s="10"/>
      <c r="F1584" s="10"/>
    </row>
    <row r="1585" spans="1:6" s="9" customFormat="1" x14ac:dyDescent="0.25">
      <c r="A1585" s="9" t="s">
        <v>780</v>
      </c>
      <c r="B1585" s="4">
        <v>45894</v>
      </c>
      <c r="C1585" s="5">
        <v>5</v>
      </c>
      <c r="D1585" s="9" t="s">
        <v>14</v>
      </c>
      <c r="E1585" s="10">
        <v>150</v>
      </c>
      <c r="F1585" s="10">
        <f t="shared" si="24"/>
        <v>750</v>
      </c>
    </row>
    <row r="1586" spans="1:6" s="9" customFormat="1" x14ac:dyDescent="0.25">
      <c r="B1586" s="4"/>
      <c r="C1586" s="5"/>
      <c r="E1586" s="10"/>
      <c r="F1586" s="8">
        <f>SUM(F1585)</f>
        <v>750</v>
      </c>
    </row>
    <row r="1587" spans="1:6" s="9" customFormat="1" x14ac:dyDescent="0.25">
      <c r="B1587" s="4"/>
      <c r="C1587" s="5"/>
      <c r="E1587" s="10"/>
      <c r="F1587" s="10"/>
    </row>
    <row r="1588" spans="1:6" s="9" customFormat="1" x14ac:dyDescent="0.25">
      <c r="A1588" s="9" t="s">
        <v>41</v>
      </c>
      <c r="B1588" s="4">
        <v>45894</v>
      </c>
      <c r="C1588" s="5">
        <v>45</v>
      </c>
      <c r="D1588" s="9" t="s">
        <v>14</v>
      </c>
      <c r="E1588" s="10">
        <v>140</v>
      </c>
      <c r="F1588" s="10">
        <f t="shared" si="24"/>
        <v>6300</v>
      </c>
    </row>
    <row r="1589" spans="1:6" s="9" customFormat="1" x14ac:dyDescent="0.25">
      <c r="B1589" s="4"/>
      <c r="C1589" s="5"/>
      <c r="E1589" s="10"/>
      <c r="F1589" s="8">
        <f>SUM(F1588)</f>
        <v>6300</v>
      </c>
    </row>
    <row r="1590" spans="1:6" s="9" customFormat="1" x14ac:dyDescent="0.25">
      <c r="B1590" s="4"/>
      <c r="C1590" s="5"/>
      <c r="E1590" s="10"/>
      <c r="F1590" s="10"/>
    </row>
    <row r="1591" spans="1:6" s="9" customFormat="1" x14ac:dyDescent="0.25">
      <c r="A1591" s="9" t="s">
        <v>43</v>
      </c>
      <c r="B1591" s="4">
        <v>45894</v>
      </c>
      <c r="C1591" s="5">
        <v>30</v>
      </c>
      <c r="D1591" s="9" t="s">
        <v>14</v>
      </c>
      <c r="E1591" s="10">
        <v>150</v>
      </c>
      <c r="F1591" s="10">
        <f t="shared" si="24"/>
        <v>4500</v>
      </c>
    </row>
    <row r="1592" spans="1:6" s="9" customFormat="1" x14ac:dyDescent="0.25">
      <c r="B1592" s="4"/>
      <c r="C1592" s="5">
        <v>10</v>
      </c>
      <c r="D1592" s="9" t="s">
        <v>13</v>
      </c>
      <c r="E1592" s="10">
        <v>155</v>
      </c>
      <c r="F1592" s="10">
        <f t="shared" si="24"/>
        <v>1550</v>
      </c>
    </row>
    <row r="1593" spans="1:6" s="9" customFormat="1" x14ac:dyDescent="0.25">
      <c r="B1593" s="4"/>
      <c r="C1593" s="5"/>
      <c r="E1593" s="10"/>
      <c r="F1593" s="8">
        <f>SUM(F1591:F1592)</f>
        <v>6050</v>
      </c>
    </row>
    <row r="1594" spans="1:6" s="9" customFormat="1" x14ac:dyDescent="0.25">
      <c r="B1594" s="4"/>
      <c r="C1594" s="5"/>
      <c r="E1594" s="10"/>
      <c r="F1594" s="10"/>
    </row>
    <row r="1595" spans="1:6" s="9" customFormat="1" x14ac:dyDescent="0.25">
      <c r="A1595" s="9" t="s">
        <v>44</v>
      </c>
      <c r="B1595" s="4">
        <v>45894</v>
      </c>
      <c r="C1595" s="5">
        <v>40</v>
      </c>
      <c r="D1595" s="9" t="s">
        <v>13</v>
      </c>
      <c r="E1595" s="10">
        <v>150</v>
      </c>
      <c r="F1595" s="10">
        <f t="shared" si="24"/>
        <v>6000</v>
      </c>
    </row>
    <row r="1596" spans="1:6" s="9" customFormat="1" x14ac:dyDescent="0.25">
      <c r="B1596" s="4"/>
      <c r="C1596" s="5"/>
      <c r="E1596" s="10"/>
      <c r="F1596" s="8">
        <f>SUM(F1595)</f>
        <v>6000</v>
      </c>
    </row>
    <row r="1597" spans="1:6" s="9" customFormat="1" x14ac:dyDescent="0.25">
      <c r="B1597" s="4"/>
      <c r="C1597" s="5"/>
      <c r="E1597" s="10"/>
      <c r="F1597" s="10"/>
    </row>
    <row r="1598" spans="1:6" s="9" customFormat="1" x14ac:dyDescent="0.25">
      <c r="A1598" s="9" t="s">
        <v>46</v>
      </c>
      <c r="B1598" s="4">
        <v>45894</v>
      </c>
      <c r="C1598" s="5">
        <v>21</v>
      </c>
      <c r="D1598" s="9" t="s">
        <v>14</v>
      </c>
      <c r="E1598" s="10">
        <v>150</v>
      </c>
      <c r="F1598" s="10">
        <f t="shared" si="24"/>
        <v>3150</v>
      </c>
    </row>
    <row r="1599" spans="1:6" s="9" customFormat="1" x14ac:dyDescent="0.25">
      <c r="B1599" s="4"/>
      <c r="C1599" s="5"/>
      <c r="E1599" s="10"/>
      <c r="F1599" s="8">
        <f>SUM(F1598)</f>
        <v>3150</v>
      </c>
    </row>
    <row r="1600" spans="1:6" s="9" customFormat="1" x14ac:dyDescent="0.25">
      <c r="B1600" s="4"/>
      <c r="C1600" s="5"/>
      <c r="E1600" s="10"/>
      <c r="F1600" s="10"/>
    </row>
    <row r="1601" spans="1:6" s="9" customFormat="1" x14ac:dyDescent="0.25">
      <c r="A1601" s="9" t="s">
        <v>47</v>
      </c>
      <c r="B1601" s="4">
        <v>45894</v>
      </c>
      <c r="C1601" s="5">
        <v>50</v>
      </c>
      <c r="D1601" s="9" t="s">
        <v>12</v>
      </c>
      <c r="E1601" s="10">
        <v>140</v>
      </c>
      <c r="F1601" s="10">
        <f t="shared" si="24"/>
        <v>7000</v>
      </c>
    </row>
    <row r="1602" spans="1:6" s="9" customFormat="1" x14ac:dyDescent="0.25">
      <c r="B1602" s="4"/>
      <c r="C1602" s="5"/>
      <c r="E1602" s="10"/>
      <c r="F1602" s="8">
        <f>SUM(F1601)</f>
        <v>7000</v>
      </c>
    </row>
    <row r="1603" spans="1:6" s="9" customFormat="1" x14ac:dyDescent="0.25">
      <c r="B1603" s="4"/>
      <c r="C1603" s="5"/>
      <c r="E1603" s="10"/>
      <c r="F1603" s="10"/>
    </row>
    <row r="1604" spans="1:6" s="9" customFormat="1" x14ac:dyDescent="0.25">
      <c r="A1604" s="9" t="s">
        <v>888</v>
      </c>
      <c r="B1604" s="4">
        <v>45894</v>
      </c>
      <c r="C1604" s="5">
        <v>30</v>
      </c>
      <c r="D1604" s="9" t="s">
        <v>22</v>
      </c>
      <c r="E1604" s="10">
        <v>130</v>
      </c>
      <c r="F1604" s="10">
        <f t="shared" si="24"/>
        <v>3900</v>
      </c>
    </row>
    <row r="1605" spans="1:6" s="9" customFormat="1" x14ac:dyDescent="0.25">
      <c r="B1605" s="4"/>
      <c r="C1605" s="5"/>
      <c r="E1605" s="10"/>
      <c r="F1605" s="8">
        <f>SUM(F1604)</f>
        <v>3900</v>
      </c>
    </row>
    <row r="1606" spans="1:6" s="9" customFormat="1" x14ac:dyDescent="0.25">
      <c r="B1606" s="4"/>
      <c r="C1606" s="5"/>
      <c r="E1606" s="10"/>
      <c r="F1606" s="10"/>
    </row>
    <row r="1607" spans="1:6" s="9" customFormat="1" x14ac:dyDescent="0.25">
      <c r="A1607" s="9" t="s">
        <v>889</v>
      </c>
      <c r="B1607" s="4">
        <v>45894</v>
      </c>
      <c r="C1607" s="5">
        <v>3</v>
      </c>
      <c r="D1607" s="9" t="s">
        <v>13</v>
      </c>
      <c r="E1607" s="10">
        <v>150</v>
      </c>
      <c r="F1607" s="10">
        <f t="shared" si="24"/>
        <v>450</v>
      </c>
    </row>
    <row r="1608" spans="1:6" s="9" customFormat="1" x14ac:dyDescent="0.25">
      <c r="B1608" s="4"/>
      <c r="C1608" s="5"/>
      <c r="E1608" s="10"/>
      <c r="F1608" s="8">
        <f>SUM(F1607)</f>
        <v>450</v>
      </c>
    </row>
    <row r="1609" spans="1:6" s="9" customFormat="1" x14ac:dyDescent="0.25">
      <c r="B1609" s="4"/>
      <c r="C1609" s="5"/>
      <c r="E1609" s="10"/>
      <c r="F1609" s="10"/>
    </row>
    <row r="1610" spans="1:6" s="9" customFormat="1" x14ac:dyDescent="0.25">
      <c r="A1610" s="9" t="s">
        <v>89</v>
      </c>
      <c r="B1610" s="4">
        <v>45894</v>
      </c>
      <c r="C1610" s="5">
        <v>20</v>
      </c>
      <c r="D1610" s="9" t="s">
        <v>13</v>
      </c>
      <c r="E1610" s="10">
        <v>145</v>
      </c>
      <c r="F1610" s="10">
        <f t="shared" ref="F1610:F1612" si="25">+C1610*E1610</f>
        <v>2900</v>
      </c>
    </row>
    <row r="1611" spans="1:6" s="9" customFormat="1" x14ac:dyDescent="0.25">
      <c r="B1611" s="4"/>
      <c r="C1611" s="5">
        <v>50</v>
      </c>
      <c r="D1611" s="9" t="s">
        <v>12</v>
      </c>
      <c r="E1611" s="10">
        <v>140</v>
      </c>
      <c r="F1611" s="10">
        <f t="shared" si="25"/>
        <v>7000</v>
      </c>
    </row>
    <row r="1612" spans="1:6" s="9" customFormat="1" x14ac:dyDescent="0.25">
      <c r="B1612" s="4"/>
      <c r="C1612" s="5">
        <v>20</v>
      </c>
      <c r="D1612" s="9" t="s">
        <v>22</v>
      </c>
      <c r="E1612" s="10">
        <v>130</v>
      </c>
      <c r="F1612" s="10">
        <f t="shared" si="25"/>
        <v>2600</v>
      </c>
    </row>
    <row r="1613" spans="1:6" s="9" customFormat="1" x14ac:dyDescent="0.25">
      <c r="B1613" s="4"/>
      <c r="C1613" s="5"/>
      <c r="E1613" s="10"/>
      <c r="F1613" s="8">
        <f>SUM(F1610:F1612)</f>
        <v>12500</v>
      </c>
    </row>
    <row r="1614" spans="1:6" s="9" customFormat="1" x14ac:dyDescent="0.25">
      <c r="B1614" s="4"/>
      <c r="C1614" s="5"/>
      <c r="E1614" s="10"/>
      <c r="F1614" s="8"/>
    </row>
    <row r="1615" spans="1:6" s="9" customFormat="1" x14ac:dyDescent="0.25">
      <c r="A1615" s="9" t="s">
        <v>7</v>
      </c>
      <c r="B1615" s="4">
        <v>45894</v>
      </c>
      <c r="C1615" s="5">
        <v>2</v>
      </c>
      <c r="D1615" s="9" t="s">
        <v>13</v>
      </c>
      <c r="E1615" s="10">
        <v>155</v>
      </c>
      <c r="F1615" s="10">
        <f t="shared" ref="F1615:F1684" si="26">+C1615*E1615</f>
        <v>310</v>
      </c>
    </row>
    <row r="1616" spans="1:6" s="9" customFormat="1" x14ac:dyDescent="0.25">
      <c r="B1616" s="4"/>
      <c r="C1616" s="5"/>
      <c r="E1616" s="10"/>
      <c r="F1616" s="8">
        <f>SUM(F1615)</f>
        <v>310</v>
      </c>
    </row>
    <row r="1617" spans="1:6" s="9" customFormat="1" x14ac:dyDescent="0.25">
      <c r="B1617" s="4"/>
      <c r="C1617" s="5"/>
      <c r="E1617" s="10"/>
      <c r="F1617" s="10"/>
    </row>
    <row r="1618" spans="1:6" s="9" customFormat="1" x14ac:dyDescent="0.25">
      <c r="A1618" s="9" t="s">
        <v>29</v>
      </c>
      <c r="B1618" s="4">
        <v>45894</v>
      </c>
      <c r="C1618" s="5">
        <v>2</v>
      </c>
      <c r="D1618" s="9" t="s">
        <v>13</v>
      </c>
      <c r="E1618" s="10">
        <v>160</v>
      </c>
      <c r="F1618" s="10">
        <f t="shared" si="26"/>
        <v>320</v>
      </c>
    </row>
    <row r="1619" spans="1:6" s="9" customFormat="1" x14ac:dyDescent="0.25">
      <c r="B1619" s="4"/>
      <c r="C1619" s="5">
        <v>1</v>
      </c>
      <c r="D1619" s="9" t="s">
        <v>12</v>
      </c>
      <c r="E1619" s="10">
        <v>150</v>
      </c>
      <c r="F1619" s="10">
        <f t="shared" si="26"/>
        <v>150</v>
      </c>
    </row>
    <row r="1620" spans="1:6" s="9" customFormat="1" x14ac:dyDescent="0.25">
      <c r="B1620" s="4"/>
      <c r="C1620" s="5">
        <v>4</v>
      </c>
      <c r="D1620" s="9" t="s">
        <v>12</v>
      </c>
      <c r="E1620" s="10">
        <v>145</v>
      </c>
      <c r="F1620" s="10">
        <f t="shared" si="26"/>
        <v>580</v>
      </c>
    </row>
    <row r="1621" spans="1:6" s="9" customFormat="1" x14ac:dyDescent="0.25">
      <c r="B1621" s="4"/>
      <c r="C1621" s="5"/>
      <c r="E1621" s="10"/>
      <c r="F1621" s="8">
        <f>SUM(F1618:F1620)</f>
        <v>1050</v>
      </c>
    </row>
    <row r="1622" spans="1:6" s="9" customFormat="1" x14ac:dyDescent="0.25">
      <c r="B1622" s="4"/>
      <c r="C1622" s="5"/>
      <c r="E1622" s="10"/>
      <c r="F1622" s="10"/>
    </row>
    <row r="1623" spans="1:6" s="9" customFormat="1" x14ac:dyDescent="0.25">
      <c r="A1623" s="9" t="s">
        <v>7</v>
      </c>
      <c r="B1623" s="4">
        <v>45894</v>
      </c>
      <c r="C1623" s="5">
        <v>3</v>
      </c>
      <c r="D1623" s="9" t="s">
        <v>8</v>
      </c>
      <c r="E1623" s="10">
        <v>170</v>
      </c>
      <c r="F1623" s="10">
        <f t="shared" si="26"/>
        <v>510</v>
      </c>
    </row>
    <row r="1624" spans="1:6" s="9" customFormat="1" x14ac:dyDescent="0.25">
      <c r="B1624" s="4"/>
      <c r="C1624" s="5"/>
      <c r="E1624" s="10"/>
      <c r="F1624" s="8">
        <f>SUM(F1623)</f>
        <v>510</v>
      </c>
    </row>
    <row r="1625" spans="1:6" s="9" customFormat="1" x14ac:dyDescent="0.25">
      <c r="B1625" s="4"/>
      <c r="C1625" s="5"/>
      <c r="E1625" s="10"/>
      <c r="F1625" s="10"/>
    </row>
    <row r="1626" spans="1:6" s="9" customFormat="1" x14ac:dyDescent="0.25">
      <c r="A1626" s="9" t="s">
        <v>487</v>
      </c>
      <c r="B1626" s="4">
        <v>45895</v>
      </c>
      <c r="C1626" s="5">
        <v>6</v>
      </c>
      <c r="D1626" s="9" t="s">
        <v>12</v>
      </c>
      <c r="E1626" s="10">
        <v>145</v>
      </c>
      <c r="F1626" s="10">
        <f t="shared" si="26"/>
        <v>870</v>
      </c>
    </row>
    <row r="1627" spans="1:6" s="9" customFormat="1" x14ac:dyDescent="0.25">
      <c r="B1627" s="4"/>
      <c r="C1627" s="5"/>
      <c r="E1627" s="10"/>
      <c r="F1627" s="8">
        <f>SUM(F1626)</f>
        <v>870</v>
      </c>
    </row>
    <row r="1628" spans="1:6" s="9" customFormat="1" x14ac:dyDescent="0.25">
      <c r="B1628" s="4"/>
      <c r="C1628" s="5"/>
      <c r="E1628" s="10"/>
      <c r="F1628" s="10"/>
    </row>
    <row r="1629" spans="1:6" s="9" customFormat="1" x14ac:dyDescent="0.25">
      <c r="A1629" s="9" t="s">
        <v>32</v>
      </c>
      <c r="B1629" s="4">
        <v>45895</v>
      </c>
      <c r="C1629" s="5">
        <v>15</v>
      </c>
      <c r="D1629" s="9" t="s">
        <v>13</v>
      </c>
      <c r="E1629" s="10">
        <v>150</v>
      </c>
      <c r="F1629" s="10">
        <f t="shared" si="26"/>
        <v>2250</v>
      </c>
    </row>
    <row r="1630" spans="1:6" s="9" customFormat="1" x14ac:dyDescent="0.25">
      <c r="B1630" s="4"/>
      <c r="C1630" s="5"/>
      <c r="E1630" s="10"/>
      <c r="F1630" s="8">
        <f>SUM(F1629)</f>
        <v>2250</v>
      </c>
    </row>
    <row r="1631" spans="1:6" s="9" customFormat="1" x14ac:dyDescent="0.25">
      <c r="B1631" s="4"/>
      <c r="C1631" s="5"/>
      <c r="E1631" s="10"/>
      <c r="F1631" s="10"/>
    </row>
    <row r="1632" spans="1:6" s="9" customFormat="1" x14ac:dyDescent="0.25">
      <c r="A1632" s="9" t="s">
        <v>66</v>
      </c>
      <c r="B1632" s="4">
        <v>45895</v>
      </c>
      <c r="C1632" s="5">
        <v>20</v>
      </c>
      <c r="D1632" s="9" t="s">
        <v>8</v>
      </c>
      <c r="E1632" s="10">
        <v>165</v>
      </c>
      <c r="F1632" s="10">
        <f t="shared" si="26"/>
        <v>3300</v>
      </c>
    </row>
    <row r="1633" spans="1:6" s="9" customFormat="1" x14ac:dyDescent="0.25">
      <c r="B1633" s="4"/>
      <c r="C1633" s="5"/>
      <c r="E1633" s="10"/>
      <c r="F1633" s="8">
        <f>SUM(F1632)</f>
        <v>3300</v>
      </c>
    </row>
    <row r="1634" spans="1:6" s="9" customFormat="1" x14ac:dyDescent="0.25">
      <c r="B1634" s="4"/>
      <c r="C1634" s="5"/>
      <c r="E1634" s="10"/>
      <c r="F1634" s="10"/>
    </row>
    <row r="1635" spans="1:6" s="9" customFormat="1" x14ac:dyDescent="0.25">
      <c r="A1635" s="9" t="s">
        <v>61</v>
      </c>
      <c r="B1635" s="4">
        <v>45895</v>
      </c>
      <c r="C1635" s="5">
        <v>70</v>
      </c>
      <c r="D1635" s="9" t="s">
        <v>13</v>
      </c>
      <c r="E1635" s="10">
        <v>155</v>
      </c>
      <c r="F1635" s="10">
        <f t="shared" si="26"/>
        <v>10850</v>
      </c>
    </row>
    <row r="1636" spans="1:6" s="9" customFormat="1" x14ac:dyDescent="0.25">
      <c r="B1636" s="4"/>
      <c r="C1636" s="5"/>
      <c r="E1636" s="10"/>
      <c r="F1636" s="8">
        <f>SUM(F1635)</f>
        <v>10850</v>
      </c>
    </row>
    <row r="1637" spans="1:6" s="9" customFormat="1" x14ac:dyDescent="0.25">
      <c r="B1637" s="4"/>
      <c r="C1637" s="5"/>
      <c r="E1637" s="10"/>
      <c r="F1637" s="10"/>
    </row>
    <row r="1638" spans="1:6" s="9" customFormat="1" x14ac:dyDescent="0.25">
      <c r="A1638" s="9" t="s">
        <v>62</v>
      </c>
      <c r="B1638" s="4">
        <v>45895</v>
      </c>
      <c r="C1638" s="5">
        <v>90</v>
      </c>
      <c r="D1638" s="9" t="s">
        <v>890</v>
      </c>
      <c r="E1638" s="10">
        <v>165</v>
      </c>
      <c r="F1638" s="10">
        <f t="shared" si="26"/>
        <v>14850</v>
      </c>
    </row>
    <row r="1639" spans="1:6" s="9" customFormat="1" x14ac:dyDescent="0.25">
      <c r="B1639" s="4"/>
      <c r="C1639" s="5">
        <v>30</v>
      </c>
      <c r="D1639" s="9" t="s">
        <v>13</v>
      </c>
      <c r="E1639" s="10">
        <v>155</v>
      </c>
      <c r="F1639" s="10">
        <f t="shared" si="26"/>
        <v>4650</v>
      </c>
    </row>
    <row r="1640" spans="1:6" s="9" customFormat="1" x14ac:dyDescent="0.25">
      <c r="B1640" s="4"/>
      <c r="C1640" s="5"/>
      <c r="E1640" s="10"/>
      <c r="F1640" s="8">
        <f>SUM(F1638:F1639)</f>
        <v>19500</v>
      </c>
    </row>
    <row r="1641" spans="1:6" s="9" customFormat="1" x14ac:dyDescent="0.25">
      <c r="B1641" s="4"/>
      <c r="C1641" s="5"/>
      <c r="E1641" s="10"/>
      <c r="F1641" s="10"/>
    </row>
    <row r="1642" spans="1:6" s="9" customFormat="1" x14ac:dyDescent="0.25">
      <c r="A1642" s="9" t="s">
        <v>59</v>
      </c>
      <c r="B1642" s="4">
        <v>45895</v>
      </c>
      <c r="C1642" s="5">
        <v>20</v>
      </c>
      <c r="D1642" s="9" t="s">
        <v>13</v>
      </c>
      <c r="E1642" s="10">
        <v>155</v>
      </c>
      <c r="F1642" s="10">
        <f t="shared" si="26"/>
        <v>3100</v>
      </c>
    </row>
    <row r="1643" spans="1:6" s="9" customFormat="1" x14ac:dyDescent="0.25">
      <c r="B1643" s="4"/>
      <c r="C1643" s="5"/>
      <c r="E1643" s="10"/>
      <c r="F1643" s="8">
        <f>SUM(F1642)</f>
        <v>3100</v>
      </c>
    </row>
    <row r="1644" spans="1:6" s="9" customFormat="1" x14ac:dyDescent="0.25">
      <c r="B1644" s="4"/>
      <c r="C1644" s="5"/>
      <c r="E1644" s="10"/>
      <c r="F1644" s="10"/>
    </row>
    <row r="1645" spans="1:6" s="9" customFormat="1" x14ac:dyDescent="0.25">
      <c r="A1645" s="9" t="s">
        <v>891</v>
      </c>
      <c r="B1645" s="4">
        <v>45895</v>
      </c>
      <c r="C1645" s="5">
        <v>100</v>
      </c>
      <c r="D1645" s="9" t="s">
        <v>13</v>
      </c>
      <c r="E1645" s="10">
        <v>147</v>
      </c>
      <c r="F1645" s="10">
        <f t="shared" si="26"/>
        <v>14700</v>
      </c>
    </row>
    <row r="1646" spans="1:6" s="9" customFormat="1" x14ac:dyDescent="0.25">
      <c r="B1646" s="4"/>
      <c r="C1646" s="5"/>
      <c r="E1646" s="10"/>
      <c r="F1646" s="8">
        <f>SUM(F1645)</f>
        <v>14700</v>
      </c>
    </row>
    <row r="1647" spans="1:6" s="9" customFormat="1" x14ac:dyDescent="0.25">
      <c r="B1647" s="4"/>
      <c r="C1647" s="5"/>
      <c r="E1647" s="10"/>
      <c r="F1647" s="10"/>
    </row>
    <row r="1648" spans="1:6" s="9" customFormat="1" x14ac:dyDescent="0.25">
      <c r="A1648" s="9" t="s">
        <v>292</v>
      </c>
      <c r="B1648" s="4">
        <v>45895</v>
      </c>
      <c r="C1648" s="5">
        <v>2</v>
      </c>
      <c r="D1648" s="9" t="s">
        <v>13</v>
      </c>
      <c r="E1648" s="10">
        <v>150</v>
      </c>
      <c r="F1648" s="10">
        <f t="shared" si="26"/>
        <v>300</v>
      </c>
    </row>
    <row r="1649" spans="1:6" s="9" customFormat="1" x14ac:dyDescent="0.25">
      <c r="B1649" s="4"/>
      <c r="C1649" s="5"/>
      <c r="E1649" s="10"/>
      <c r="F1649" s="8">
        <f>SUM(F1648)</f>
        <v>300</v>
      </c>
    </row>
    <row r="1650" spans="1:6" s="9" customFormat="1" x14ac:dyDescent="0.25">
      <c r="B1650" s="4"/>
      <c r="C1650" s="5"/>
      <c r="E1650" s="10"/>
      <c r="F1650" s="10"/>
    </row>
    <row r="1651" spans="1:6" s="9" customFormat="1" x14ac:dyDescent="0.25">
      <c r="A1651" s="9" t="s">
        <v>48</v>
      </c>
      <c r="B1651" s="4">
        <v>45895</v>
      </c>
      <c r="C1651" s="5">
        <v>23</v>
      </c>
      <c r="D1651" s="9" t="s">
        <v>857</v>
      </c>
      <c r="E1651" s="10"/>
      <c r="F1651" s="10">
        <f t="shared" si="26"/>
        <v>0</v>
      </c>
    </row>
    <row r="1652" spans="1:6" s="9" customFormat="1" x14ac:dyDescent="0.25">
      <c r="B1652" s="4"/>
      <c r="C1652" s="5">
        <v>213</v>
      </c>
      <c r="D1652" s="9" t="s">
        <v>475</v>
      </c>
      <c r="E1652" s="10"/>
      <c r="F1652" s="10">
        <f t="shared" si="26"/>
        <v>0</v>
      </c>
    </row>
    <row r="1653" spans="1:6" s="9" customFormat="1" x14ac:dyDescent="0.25">
      <c r="B1653" s="4"/>
      <c r="C1653" s="5">
        <v>63</v>
      </c>
      <c r="D1653" s="9" t="s">
        <v>258</v>
      </c>
      <c r="E1653" s="10"/>
      <c r="F1653" s="10">
        <f t="shared" si="26"/>
        <v>0</v>
      </c>
    </row>
    <row r="1654" spans="1:6" s="9" customFormat="1" x14ac:dyDescent="0.25">
      <c r="B1654" s="4"/>
      <c r="C1654" s="5">
        <v>121</v>
      </c>
      <c r="D1654" s="9" t="s">
        <v>892</v>
      </c>
      <c r="E1654" s="10"/>
      <c r="F1654" s="10">
        <f t="shared" si="26"/>
        <v>0</v>
      </c>
    </row>
    <row r="1655" spans="1:6" s="9" customFormat="1" x14ac:dyDescent="0.25">
      <c r="B1655" s="4"/>
      <c r="C1655" s="5">
        <v>103</v>
      </c>
      <c r="D1655" s="9" t="s">
        <v>22</v>
      </c>
      <c r="E1655" s="10"/>
      <c r="F1655" s="10">
        <f t="shared" si="26"/>
        <v>0</v>
      </c>
    </row>
    <row r="1656" spans="1:6" s="9" customFormat="1" x14ac:dyDescent="0.25">
      <c r="B1656" s="4"/>
      <c r="C1656" s="5">
        <v>10</v>
      </c>
      <c r="D1656" s="9" t="s">
        <v>98</v>
      </c>
      <c r="E1656" s="10"/>
      <c r="F1656" s="10">
        <f t="shared" si="26"/>
        <v>0</v>
      </c>
    </row>
    <row r="1657" spans="1:6" s="9" customFormat="1" x14ac:dyDescent="0.25">
      <c r="B1657" s="4"/>
      <c r="C1657" s="5"/>
      <c r="E1657" s="10"/>
      <c r="F1657" s="8">
        <f t="shared" si="26"/>
        <v>0</v>
      </c>
    </row>
    <row r="1658" spans="1:6" s="9" customFormat="1" x14ac:dyDescent="0.25">
      <c r="B1658" s="4"/>
      <c r="C1658" s="5"/>
      <c r="E1658" s="10"/>
      <c r="F1658" s="8"/>
    </row>
    <row r="1659" spans="1:6" s="9" customFormat="1" x14ac:dyDescent="0.25">
      <c r="A1659" s="9" t="s">
        <v>26</v>
      </c>
      <c r="B1659" s="4">
        <v>45895</v>
      </c>
      <c r="C1659" s="5">
        <v>10</v>
      </c>
      <c r="D1659" s="9" t="s">
        <v>14</v>
      </c>
      <c r="E1659" s="10">
        <v>145</v>
      </c>
      <c r="F1659" s="10">
        <f t="shared" si="26"/>
        <v>1450</v>
      </c>
    </row>
    <row r="1660" spans="1:6" s="9" customFormat="1" x14ac:dyDescent="0.25">
      <c r="B1660" s="4"/>
      <c r="C1660" s="5"/>
      <c r="E1660" s="10"/>
      <c r="F1660" s="8">
        <f>SUM(F1659)</f>
        <v>1450</v>
      </c>
    </row>
    <row r="1661" spans="1:6" s="9" customFormat="1" x14ac:dyDescent="0.25">
      <c r="B1661" s="4"/>
      <c r="C1661" s="5"/>
      <c r="E1661" s="10"/>
      <c r="F1661" s="10"/>
    </row>
    <row r="1662" spans="1:6" s="9" customFormat="1" x14ac:dyDescent="0.25">
      <c r="A1662" s="9" t="s">
        <v>29</v>
      </c>
      <c r="B1662" s="4">
        <v>45895</v>
      </c>
      <c r="C1662" s="5">
        <v>5</v>
      </c>
      <c r="D1662" s="9" t="s">
        <v>13</v>
      </c>
      <c r="E1662" s="10">
        <v>160</v>
      </c>
      <c r="F1662" s="10">
        <f t="shared" si="26"/>
        <v>800</v>
      </c>
    </row>
    <row r="1663" spans="1:6" s="9" customFormat="1" x14ac:dyDescent="0.25">
      <c r="B1663" s="4"/>
      <c r="C1663" s="5">
        <v>2</v>
      </c>
      <c r="D1663" s="9" t="s">
        <v>13</v>
      </c>
      <c r="E1663" s="10">
        <v>160</v>
      </c>
      <c r="F1663" s="10">
        <f t="shared" si="26"/>
        <v>320</v>
      </c>
    </row>
    <row r="1664" spans="1:6" s="9" customFormat="1" x14ac:dyDescent="0.25">
      <c r="B1664" s="4"/>
      <c r="C1664" s="5">
        <v>3</v>
      </c>
      <c r="D1664" s="9" t="s">
        <v>13</v>
      </c>
      <c r="E1664" s="10">
        <v>160</v>
      </c>
      <c r="F1664" s="10">
        <f t="shared" si="26"/>
        <v>480</v>
      </c>
    </row>
    <row r="1665" spans="1:6" s="9" customFormat="1" x14ac:dyDescent="0.25">
      <c r="B1665" s="4"/>
      <c r="C1665" s="5">
        <v>3</v>
      </c>
      <c r="D1665" s="9" t="s">
        <v>8</v>
      </c>
      <c r="E1665" s="10">
        <v>160</v>
      </c>
      <c r="F1665" s="10">
        <f t="shared" si="26"/>
        <v>480</v>
      </c>
    </row>
    <row r="1666" spans="1:6" s="9" customFormat="1" x14ac:dyDescent="0.25">
      <c r="B1666" s="4"/>
      <c r="C1666" s="5"/>
      <c r="E1666" s="10"/>
      <c r="F1666" s="8">
        <f>SUM(F1662:F1665)</f>
        <v>2080</v>
      </c>
    </row>
    <row r="1667" spans="1:6" s="9" customFormat="1" x14ac:dyDescent="0.25">
      <c r="B1667" s="4"/>
      <c r="C1667" s="5"/>
      <c r="E1667" s="10"/>
      <c r="F1667" s="10"/>
    </row>
    <row r="1668" spans="1:6" s="9" customFormat="1" x14ac:dyDescent="0.25">
      <c r="A1668" s="9" t="s">
        <v>7</v>
      </c>
      <c r="B1668" s="4">
        <v>45895</v>
      </c>
      <c r="C1668" s="5">
        <v>1</v>
      </c>
      <c r="D1668" s="9" t="s">
        <v>640</v>
      </c>
      <c r="E1668" s="10">
        <v>150</v>
      </c>
      <c r="F1668" s="10">
        <f t="shared" si="26"/>
        <v>150</v>
      </c>
    </row>
    <row r="1669" spans="1:6" s="9" customFormat="1" x14ac:dyDescent="0.25">
      <c r="B1669" s="4"/>
      <c r="C1669" s="5">
        <v>10</v>
      </c>
      <c r="D1669" s="9" t="s">
        <v>681</v>
      </c>
      <c r="E1669" s="10">
        <v>140</v>
      </c>
      <c r="F1669" s="10">
        <f t="shared" si="26"/>
        <v>1400</v>
      </c>
    </row>
    <row r="1670" spans="1:6" s="9" customFormat="1" x14ac:dyDescent="0.25">
      <c r="B1670" s="4"/>
      <c r="C1670" s="5"/>
      <c r="E1670" s="10"/>
      <c r="F1670" s="8">
        <f>SUM(F1668:F1669)</f>
        <v>1550</v>
      </c>
    </row>
    <row r="1671" spans="1:6" s="9" customFormat="1" x14ac:dyDescent="0.25">
      <c r="B1671" s="4"/>
      <c r="C1671" s="5"/>
      <c r="E1671" s="10"/>
      <c r="F1671" s="10"/>
    </row>
    <row r="1672" spans="1:6" s="9" customFormat="1" x14ac:dyDescent="0.25">
      <c r="A1672" s="9" t="s">
        <v>724</v>
      </c>
      <c r="B1672" s="4">
        <v>45896</v>
      </c>
      <c r="C1672" s="5">
        <v>20</v>
      </c>
      <c r="D1672" s="9" t="s">
        <v>98</v>
      </c>
      <c r="E1672" s="10">
        <v>110</v>
      </c>
      <c r="F1672" s="10">
        <f t="shared" si="26"/>
        <v>2200</v>
      </c>
    </row>
    <row r="1673" spans="1:6" s="9" customFormat="1" x14ac:dyDescent="0.25">
      <c r="B1673" s="4"/>
      <c r="C1673" s="5"/>
      <c r="E1673" s="10"/>
      <c r="F1673" s="8">
        <f>SUM(F1672)</f>
        <v>2200</v>
      </c>
    </row>
    <row r="1674" spans="1:6" s="9" customFormat="1" x14ac:dyDescent="0.25">
      <c r="B1674" s="4"/>
      <c r="C1674" s="5"/>
      <c r="E1674" s="10"/>
      <c r="F1674" s="10"/>
    </row>
    <row r="1675" spans="1:6" s="9" customFormat="1" x14ac:dyDescent="0.25">
      <c r="A1675" s="9" t="s">
        <v>15</v>
      </c>
      <c r="B1675" s="4">
        <v>45896</v>
      </c>
      <c r="C1675" s="5">
        <v>50</v>
      </c>
      <c r="D1675" s="9" t="s">
        <v>98</v>
      </c>
      <c r="E1675" s="10">
        <v>110</v>
      </c>
      <c r="F1675" s="10">
        <f t="shared" si="26"/>
        <v>5500</v>
      </c>
    </row>
    <row r="1676" spans="1:6" s="9" customFormat="1" x14ac:dyDescent="0.25">
      <c r="B1676" s="4"/>
      <c r="C1676" s="5"/>
      <c r="E1676" s="10"/>
      <c r="F1676" s="8">
        <f>SUM(F1675)</f>
        <v>5500</v>
      </c>
    </row>
    <row r="1677" spans="1:6" s="9" customFormat="1" x14ac:dyDescent="0.25">
      <c r="B1677" s="4"/>
      <c r="C1677" s="5"/>
      <c r="E1677" s="10"/>
      <c r="F1677" s="10"/>
    </row>
    <row r="1678" spans="1:6" s="9" customFormat="1" x14ac:dyDescent="0.25">
      <c r="A1678" s="9" t="s">
        <v>37</v>
      </c>
      <c r="B1678" s="4">
        <v>45896</v>
      </c>
      <c r="C1678" s="5">
        <v>10</v>
      </c>
      <c r="D1678" s="9" t="s">
        <v>12</v>
      </c>
      <c r="E1678" s="10">
        <v>150</v>
      </c>
      <c r="F1678" s="10">
        <f t="shared" si="26"/>
        <v>1500</v>
      </c>
    </row>
    <row r="1679" spans="1:6" s="9" customFormat="1" x14ac:dyDescent="0.25">
      <c r="B1679" s="4"/>
      <c r="C1679" s="5"/>
      <c r="E1679" s="10"/>
      <c r="F1679" s="8">
        <f>SUM(F1678)</f>
        <v>1500</v>
      </c>
    </row>
    <row r="1680" spans="1:6" s="9" customFormat="1" x14ac:dyDescent="0.25">
      <c r="B1680" s="4"/>
      <c r="C1680" s="5"/>
      <c r="E1680" s="10"/>
      <c r="F1680" s="10"/>
    </row>
    <row r="1681" spans="1:6" s="9" customFormat="1" x14ac:dyDescent="0.25">
      <c r="A1681" s="9" t="s">
        <v>17</v>
      </c>
      <c r="B1681" s="4">
        <v>45896</v>
      </c>
      <c r="C1681" s="5">
        <v>20</v>
      </c>
      <c r="D1681" s="9" t="s">
        <v>13</v>
      </c>
      <c r="E1681" s="10">
        <v>155</v>
      </c>
      <c r="F1681" s="10">
        <f t="shared" si="26"/>
        <v>3100</v>
      </c>
    </row>
    <row r="1682" spans="1:6" s="9" customFormat="1" x14ac:dyDescent="0.25">
      <c r="B1682" s="4"/>
      <c r="C1682" s="5"/>
      <c r="E1682" s="10"/>
      <c r="F1682" s="8">
        <f>SUM(F1681)</f>
        <v>3100</v>
      </c>
    </row>
    <row r="1683" spans="1:6" s="9" customFormat="1" x14ac:dyDescent="0.25">
      <c r="B1683" s="4"/>
      <c r="C1683" s="5"/>
      <c r="E1683" s="10"/>
      <c r="F1683" s="10"/>
    </row>
    <row r="1684" spans="1:6" s="9" customFormat="1" x14ac:dyDescent="0.25">
      <c r="A1684" s="9" t="s">
        <v>427</v>
      </c>
      <c r="B1684" s="4">
        <v>45896</v>
      </c>
      <c r="C1684" s="5">
        <v>5</v>
      </c>
      <c r="D1684" s="9" t="s">
        <v>13</v>
      </c>
      <c r="E1684" s="10">
        <v>155</v>
      </c>
      <c r="F1684" s="10">
        <f t="shared" si="26"/>
        <v>775</v>
      </c>
    </row>
    <row r="1685" spans="1:6" s="9" customFormat="1" x14ac:dyDescent="0.25">
      <c r="B1685" s="4"/>
      <c r="C1685" s="5"/>
      <c r="E1685" s="10"/>
      <c r="F1685" s="8">
        <f>SUM(F1684)</f>
        <v>775</v>
      </c>
    </row>
    <row r="1686" spans="1:6" s="9" customFormat="1" x14ac:dyDescent="0.25">
      <c r="B1686" s="4"/>
      <c r="C1686" s="5"/>
      <c r="E1686" s="10"/>
      <c r="F1686" s="10"/>
    </row>
    <row r="1687" spans="1:6" s="9" customFormat="1" x14ac:dyDescent="0.25">
      <c r="A1687" s="9" t="s">
        <v>791</v>
      </c>
      <c r="B1687" s="4">
        <v>45896</v>
      </c>
      <c r="C1687" s="5">
        <v>20</v>
      </c>
      <c r="D1687" s="9" t="s">
        <v>13</v>
      </c>
      <c r="E1687" s="10">
        <v>155</v>
      </c>
      <c r="F1687" s="10">
        <f t="shared" ref="F1687:F1762" si="27">+C1687*E1687</f>
        <v>3100</v>
      </c>
    </row>
    <row r="1688" spans="1:6" s="9" customFormat="1" x14ac:dyDescent="0.25">
      <c r="B1688" s="4"/>
      <c r="C1688" s="5"/>
      <c r="E1688" s="10"/>
      <c r="F1688" s="8">
        <f>SUM(F1687)</f>
        <v>3100</v>
      </c>
    </row>
    <row r="1689" spans="1:6" s="9" customFormat="1" x14ac:dyDescent="0.25">
      <c r="B1689" s="4"/>
      <c r="C1689" s="5"/>
      <c r="E1689" s="10"/>
      <c r="F1689" s="10"/>
    </row>
    <row r="1690" spans="1:6" s="9" customFormat="1" x14ac:dyDescent="0.25">
      <c r="A1690" s="9" t="s">
        <v>18</v>
      </c>
      <c r="B1690" s="4">
        <v>45896</v>
      </c>
      <c r="C1690" s="5">
        <v>8</v>
      </c>
      <c r="D1690" s="9" t="s">
        <v>13</v>
      </c>
      <c r="E1690" s="10">
        <v>155</v>
      </c>
      <c r="F1690" s="10">
        <f t="shared" si="27"/>
        <v>1240</v>
      </c>
    </row>
    <row r="1691" spans="1:6" s="9" customFormat="1" x14ac:dyDescent="0.25">
      <c r="B1691" s="4"/>
      <c r="C1691" s="5"/>
      <c r="E1691" s="10"/>
      <c r="F1691" s="8">
        <f>SUM(F1690)</f>
        <v>1240</v>
      </c>
    </row>
    <row r="1692" spans="1:6" s="9" customFormat="1" x14ac:dyDescent="0.25">
      <c r="B1692" s="4"/>
      <c r="C1692" s="5"/>
      <c r="E1692" s="10"/>
      <c r="F1692" s="10"/>
    </row>
    <row r="1693" spans="1:6" s="9" customFormat="1" x14ac:dyDescent="0.25">
      <c r="A1693" s="9" t="s">
        <v>40</v>
      </c>
      <c r="B1693" s="4">
        <v>45896</v>
      </c>
      <c r="C1693" s="5">
        <v>20</v>
      </c>
      <c r="D1693" s="9" t="s">
        <v>13</v>
      </c>
      <c r="E1693" s="10">
        <v>155</v>
      </c>
      <c r="F1693" s="10">
        <f t="shared" si="27"/>
        <v>3100</v>
      </c>
    </row>
    <row r="1694" spans="1:6" s="9" customFormat="1" x14ac:dyDescent="0.25">
      <c r="B1694" s="4"/>
      <c r="C1694" s="5">
        <v>30</v>
      </c>
      <c r="D1694" s="9" t="s">
        <v>12</v>
      </c>
      <c r="E1694" s="10">
        <v>145</v>
      </c>
      <c r="F1694" s="10">
        <f t="shared" si="27"/>
        <v>4350</v>
      </c>
    </row>
    <row r="1695" spans="1:6" s="9" customFormat="1" x14ac:dyDescent="0.25">
      <c r="B1695" s="4"/>
      <c r="C1695" s="5">
        <v>10</v>
      </c>
      <c r="D1695" s="9" t="s">
        <v>50</v>
      </c>
      <c r="E1695" s="10">
        <v>130</v>
      </c>
      <c r="F1695" s="10">
        <f t="shared" si="27"/>
        <v>1300</v>
      </c>
    </row>
    <row r="1696" spans="1:6" s="9" customFormat="1" x14ac:dyDescent="0.25">
      <c r="B1696" s="4"/>
      <c r="C1696" s="5"/>
      <c r="E1696" s="10"/>
      <c r="F1696" s="8">
        <f>SUM(F1693:F1695)</f>
        <v>8750</v>
      </c>
    </row>
    <row r="1697" spans="1:6" s="9" customFormat="1" x14ac:dyDescent="0.25">
      <c r="B1697" s="4"/>
      <c r="C1697" s="5"/>
      <c r="E1697" s="10"/>
      <c r="F1697" s="10"/>
    </row>
    <row r="1698" spans="1:6" s="9" customFormat="1" x14ac:dyDescent="0.25">
      <c r="A1698" s="9" t="s">
        <v>58</v>
      </c>
      <c r="B1698" s="4">
        <v>45896</v>
      </c>
      <c r="C1698" s="5">
        <v>6</v>
      </c>
      <c r="D1698" s="9" t="s">
        <v>13</v>
      </c>
      <c r="E1698" s="10">
        <v>150</v>
      </c>
      <c r="F1698" s="10">
        <f t="shared" si="27"/>
        <v>900</v>
      </c>
    </row>
    <row r="1699" spans="1:6" s="9" customFormat="1" x14ac:dyDescent="0.25">
      <c r="B1699" s="4"/>
      <c r="C1699" s="5"/>
      <c r="E1699" s="10"/>
      <c r="F1699" s="8">
        <f>SUM(F1698)</f>
        <v>900</v>
      </c>
    </row>
    <row r="1700" spans="1:6" s="9" customFormat="1" x14ac:dyDescent="0.25">
      <c r="B1700" s="4"/>
      <c r="C1700" s="5"/>
      <c r="E1700" s="10"/>
      <c r="F1700" s="10"/>
    </row>
    <row r="1701" spans="1:6" s="9" customFormat="1" x14ac:dyDescent="0.25">
      <c r="A1701" s="9" t="s">
        <v>7</v>
      </c>
      <c r="B1701" s="4">
        <v>45896</v>
      </c>
      <c r="C1701" s="5">
        <v>1</v>
      </c>
      <c r="D1701" s="9" t="s">
        <v>13</v>
      </c>
      <c r="E1701" s="10">
        <v>155</v>
      </c>
      <c r="F1701" s="10">
        <f t="shared" si="27"/>
        <v>155</v>
      </c>
    </row>
    <row r="1702" spans="1:6" s="9" customFormat="1" x14ac:dyDescent="0.25">
      <c r="B1702" s="4"/>
      <c r="C1702" s="5"/>
      <c r="E1702" s="10"/>
      <c r="F1702" s="8">
        <f>SUM(F1701)</f>
        <v>155</v>
      </c>
    </row>
    <row r="1703" spans="1:6" s="9" customFormat="1" x14ac:dyDescent="0.25">
      <c r="B1703" s="4"/>
      <c r="C1703" s="5"/>
      <c r="E1703" s="10"/>
      <c r="F1703" s="10"/>
    </row>
    <row r="1704" spans="1:6" s="9" customFormat="1" x14ac:dyDescent="0.25">
      <c r="A1704" s="9" t="s">
        <v>780</v>
      </c>
      <c r="B1704" s="4">
        <v>45896</v>
      </c>
      <c r="C1704" s="5">
        <v>5</v>
      </c>
      <c r="D1704" s="9" t="s">
        <v>11</v>
      </c>
      <c r="E1704" s="10">
        <v>140</v>
      </c>
      <c r="F1704" s="10">
        <f t="shared" si="27"/>
        <v>700</v>
      </c>
    </row>
    <row r="1705" spans="1:6" s="9" customFormat="1" x14ac:dyDescent="0.25">
      <c r="B1705" s="4"/>
      <c r="C1705" s="5">
        <v>5</v>
      </c>
      <c r="D1705" s="9" t="s">
        <v>14</v>
      </c>
      <c r="E1705" s="10">
        <v>150</v>
      </c>
      <c r="F1705" s="10">
        <f t="shared" si="27"/>
        <v>750</v>
      </c>
    </row>
    <row r="1706" spans="1:6" s="9" customFormat="1" x14ac:dyDescent="0.25">
      <c r="B1706" s="4"/>
      <c r="C1706" s="5"/>
      <c r="E1706" s="10"/>
      <c r="F1706" s="8">
        <f>SUM(F1704:F1705)</f>
        <v>1450</v>
      </c>
    </row>
    <row r="1707" spans="1:6" s="9" customFormat="1" x14ac:dyDescent="0.25">
      <c r="B1707" s="4"/>
      <c r="C1707" s="5"/>
      <c r="E1707" s="10"/>
      <c r="F1707" s="10"/>
    </row>
    <row r="1708" spans="1:6" s="9" customFormat="1" x14ac:dyDescent="0.25">
      <c r="A1708" s="9" t="s">
        <v>41</v>
      </c>
      <c r="B1708" s="4">
        <v>45896</v>
      </c>
      <c r="C1708" s="5">
        <v>35</v>
      </c>
      <c r="D1708" s="9" t="s">
        <v>14</v>
      </c>
      <c r="E1708" s="10">
        <v>140</v>
      </c>
      <c r="F1708" s="10">
        <f t="shared" si="27"/>
        <v>4900</v>
      </c>
    </row>
    <row r="1709" spans="1:6" s="9" customFormat="1" x14ac:dyDescent="0.25">
      <c r="B1709" s="4"/>
      <c r="C1709" s="5"/>
      <c r="E1709" s="10"/>
      <c r="F1709" s="8">
        <f>SUM(F1708)</f>
        <v>4900</v>
      </c>
    </row>
    <row r="1710" spans="1:6" s="9" customFormat="1" x14ac:dyDescent="0.25">
      <c r="B1710" s="4"/>
      <c r="C1710" s="5"/>
      <c r="E1710" s="10"/>
      <c r="F1710" s="10"/>
    </row>
    <row r="1711" spans="1:6" s="9" customFormat="1" x14ac:dyDescent="0.25">
      <c r="A1711" s="9" t="s">
        <v>107</v>
      </c>
      <c r="B1711" s="4">
        <v>45896</v>
      </c>
      <c r="C1711" s="5">
        <v>32</v>
      </c>
      <c r="D1711" s="9" t="s">
        <v>11</v>
      </c>
      <c r="E1711" s="10">
        <v>140</v>
      </c>
      <c r="F1711" s="10">
        <f>+C1711*E1711</f>
        <v>4480</v>
      </c>
    </row>
    <row r="1712" spans="1:6" s="9" customFormat="1" x14ac:dyDescent="0.25">
      <c r="B1712" s="4"/>
      <c r="C1712" s="5"/>
      <c r="E1712" s="10"/>
      <c r="F1712" s="8">
        <f>SUM(F1711)</f>
        <v>4480</v>
      </c>
    </row>
    <row r="1713" spans="1:6" s="9" customFormat="1" x14ac:dyDescent="0.25">
      <c r="B1713" s="4"/>
      <c r="C1713" s="5"/>
      <c r="E1713" s="10"/>
      <c r="F1713" s="10"/>
    </row>
    <row r="1714" spans="1:6" s="9" customFormat="1" x14ac:dyDescent="0.25">
      <c r="A1714" s="9" t="s">
        <v>43</v>
      </c>
      <c r="B1714" s="4">
        <v>45896</v>
      </c>
      <c r="C1714" s="5">
        <v>17</v>
      </c>
      <c r="D1714" s="9" t="s">
        <v>49</v>
      </c>
      <c r="E1714" s="10">
        <v>155</v>
      </c>
      <c r="F1714" s="10">
        <f t="shared" si="27"/>
        <v>2635</v>
      </c>
    </row>
    <row r="1715" spans="1:6" s="9" customFormat="1" x14ac:dyDescent="0.25">
      <c r="B1715" s="4"/>
      <c r="C1715" s="5">
        <v>10</v>
      </c>
      <c r="D1715" s="9" t="s">
        <v>14</v>
      </c>
      <c r="E1715" s="10">
        <v>150</v>
      </c>
      <c r="F1715" s="10">
        <f t="shared" si="27"/>
        <v>1500</v>
      </c>
    </row>
    <row r="1716" spans="1:6" s="9" customFormat="1" x14ac:dyDescent="0.25">
      <c r="B1716" s="4"/>
      <c r="C1716" s="5">
        <v>10</v>
      </c>
      <c r="D1716" s="9" t="s">
        <v>13</v>
      </c>
      <c r="E1716" s="10">
        <v>155</v>
      </c>
      <c r="F1716" s="10">
        <f t="shared" si="27"/>
        <v>1550</v>
      </c>
    </row>
    <row r="1717" spans="1:6" s="9" customFormat="1" x14ac:dyDescent="0.25">
      <c r="B1717" s="4"/>
      <c r="C1717" s="5"/>
      <c r="E1717" s="10"/>
      <c r="F1717" s="8">
        <f>SUM(F1714:F1716)</f>
        <v>5685</v>
      </c>
    </row>
    <row r="1718" spans="1:6" s="9" customFormat="1" x14ac:dyDescent="0.25">
      <c r="B1718" s="4"/>
      <c r="C1718" s="5"/>
      <c r="E1718" s="10"/>
      <c r="F1718" s="10"/>
    </row>
    <row r="1719" spans="1:6" s="9" customFormat="1" x14ac:dyDescent="0.25">
      <c r="A1719" s="4" t="s">
        <v>85</v>
      </c>
      <c r="B1719" s="4">
        <v>45896</v>
      </c>
      <c r="C1719" s="5">
        <v>40</v>
      </c>
      <c r="D1719" s="9" t="s">
        <v>14</v>
      </c>
      <c r="E1719" s="10">
        <v>150</v>
      </c>
      <c r="F1719" s="10">
        <f t="shared" si="27"/>
        <v>6000</v>
      </c>
    </row>
    <row r="1720" spans="1:6" s="9" customFormat="1" x14ac:dyDescent="0.25">
      <c r="B1720" s="4"/>
      <c r="C1720" s="5"/>
      <c r="E1720" s="10"/>
      <c r="F1720" s="8">
        <f>SUM(F1719)</f>
        <v>6000</v>
      </c>
    </row>
    <row r="1721" spans="1:6" s="9" customFormat="1" x14ac:dyDescent="0.25">
      <c r="B1721" s="4"/>
      <c r="C1721" s="5"/>
      <c r="E1721" s="10"/>
      <c r="F1721" s="10"/>
    </row>
    <row r="1722" spans="1:6" s="9" customFormat="1" x14ac:dyDescent="0.25">
      <c r="A1722" s="9" t="s">
        <v>18</v>
      </c>
      <c r="B1722" s="4">
        <v>45896</v>
      </c>
      <c r="C1722" s="5">
        <v>20</v>
      </c>
      <c r="D1722" s="9" t="s">
        <v>14</v>
      </c>
      <c r="E1722" s="10">
        <v>150</v>
      </c>
      <c r="F1722" s="10">
        <f t="shared" si="27"/>
        <v>3000</v>
      </c>
    </row>
    <row r="1723" spans="1:6" s="9" customFormat="1" x14ac:dyDescent="0.25">
      <c r="B1723" s="4"/>
      <c r="C1723" s="5">
        <v>10</v>
      </c>
      <c r="D1723" s="9" t="s">
        <v>11</v>
      </c>
      <c r="E1723" s="10">
        <v>140</v>
      </c>
      <c r="F1723" s="10">
        <f t="shared" si="27"/>
        <v>1400</v>
      </c>
    </row>
    <row r="1724" spans="1:6" s="9" customFormat="1" x14ac:dyDescent="0.25">
      <c r="B1724" s="4"/>
      <c r="C1724" s="5"/>
      <c r="E1724" s="10"/>
      <c r="F1724" s="8">
        <f>SUM(F1722:F1723)</f>
        <v>4400</v>
      </c>
    </row>
    <row r="1725" spans="1:6" s="9" customFormat="1" x14ac:dyDescent="0.25">
      <c r="B1725" s="4"/>
      <c r="C1725" s="5"/>
      <c r="E1725" s="10"/>
      <c r="F1725" s="10"/>
    </row>
    <row r="1726" spans="1:6" s="9" customFormat="1" x14ac:dyDescent="0.25">
      <c r="A1726" s="9" t="s">
        <v>273</v>
      </c>
      <c r="B1726" s="4">
        <v>45896</v>
      </c>
      <c r="C1726" s="5">
        <v>10</v>
      </c>
      <c r="D1726" s="9" t="s">
        <v>11</v>
      </c>
      <c r="E1726" s="10">
        <v>140</v>
      </c>
      <c r="F1726" s="10">
        <f t="shared" si="27"/>
        <v>1400</v>
      </c>
    </row>
    <row r="1727" spans="1:6" s="9" customFormat="1" x14ac:dyDescent="0.25">
      <c r="B1727" s="4"/>
      <c r="C1727" s="5">
        <v>1</v>
      </c>
      <c r="D1727" s="9" t="s">
        <v>14</v>
      </c>
      <c r="E1727" s="10">
        <v>150</v>
      </c>
      <c r="F1727" s="10">
        <f t="shared" si="27"/>
        <v>150</v>
      </c>
    </row>
    <row r="1728" spans="1:6" s="9" customFormat="1" x14ac:dyDescent="0.25">
      <c r="B1728" s="4"/>
      <c r="C1728" s="5"/>
      <c r="E1728" s="10"/>
      <c r="F1728" s="8">
        <f>SUM(F1726:F1727)</f>
        <v>1550</v>
      </c>
    </row>
    <row r="1729" spans="1:6" s="9" customFormat="1" x14ac:dyDescent="0.25">
      <c r="B1729" s="4"/>
      <c r="C1729" s="5"/>
      <c r="E1729" s="10"/>
      <c r="F1729" s="10"/>
    </row>
    <row r="1730" spans="1:6" s="9" customFormat="1" x14ac:dyDescent="0.25">
      <c r="A1730" s="9" t="s">
        <v>46</v>
      </c>
      <c r="B1730" s="4">
        <v>45896</v>
      </c>
      <c r="C1730" s="5">
        <v>16</v>
      </c>
      <c r="D1730" s="9" t="s">
        <v>14</v>
      </c>
      <c r="E1730" s="10">
        <v>150</v>
      </c>
      <c r="F1730" s="10">
        <f t="shared" si="27"/>
        <v>2400</v>
      </c>
    </row>
    <row r="1731" spans="1:6" s="9" customFormat="1" x14ac:dyDescent="0.25">
      <c r="B1731" s="4"/>
      <c r="C1731" s="5">
        <v>10</v>
      </c>
      <c r="D1731" s="9" t="s">
        <v>11</v>
      </c>
      <c r="E1731" s="10">
        <v>140</v>
      </c>
      <c r="F1731" s="10">
        <f t="shared" si="27"/>
        <v>1400</v>
      </c>
    </row>
    <row r="1732" spans="1:6" s="9" customFormat="1" x14ac:dyDescent="0.25">
      <c r="B1732" s="4"/>
      <c r="C1732" s="5"/>
      <c r="E1732" s="10"/>
      <c r="F1732" s="8">
        <f>SUM(F1730:F1731)</f>
        <v>3800</v>
      </c>
    </row>
    <row r="1733" spans="1:6" s="9" customFormat="1" x14ac:dyDescent="0.25">
      <c r="B1733" s="4"/>
      <c r="C1733" s="5"/>
      <c r="E1733" s="10"/>
      <c r="F1733" s="10"/>
    </row>
    <row r="1734" spans="1:6" s="9" customFormat="1" x14ac:dyDescent="0.25">
      <c r="A1734" s="9" t="s">
        <v>145</v>
      </c>
      <c r="B1734" s="4">
        <v>45896</v>
      </c>
      <c r="C1734" s="5">
        <v>31</v>
      </c>
      <c r="D1734" s="9" t="s">
        <v>11</v>
      </c>
      <c r="E1734" s="10">
        <v>140</v>
      </c>
      <c r="F1734" s="10">
        <f t="shared" si="27"/>
        <v>4340</v>
      </c>
    </row>
    <row r="1735" spans="1:6" s="9" customFormat="1" x14ac:dyDescent="0.25">
      <c r="B1735" s="4"/>
      <c r="C1735" s="5"/>
      <c r="E1735" s="10"/>
      <c r="F1735" s="8">
        <f>SUM(F1734)</f>
        <v>4340</v>
      </c>
    </row>
    <row r="1736" spans="1:6" s="9" customFormat="1" x14ac:dyDescent="0.25">
      <c r="B1736" s="4"/>
      <c r="C1736" s="5"/>
      <c r="E1736" s="10"/>
      <c r="F1736" s="10"/>
    </row>
    <row r="1737" spans="1:6" s="9" customFormat="1" x14ac:dyDescent="0.25">
      <c r="A1737" s="9" t="s">
        <v>45</v>
      </c>
      <c r="B1737" s="4">
        <v>45896</v>
      </c>
      <c r="C1737" s="5">
        <v>1</v>
      </c>
      <c r="D1737" s="9" t="s">
        <v>11</v>
      </c>
      <c r="E1737" s="10">
        <v>140</v>
      </c>
      <c r="F1737" s="10">
        <f t="shared" si="27"/>
        <v>140</v>
      </c>
    </row>
    <row r="1738" spans="1:6" s="9" customFormat="1" x14ac:dyDescent="0.25">
      <c r="B1738" s="4"/>
      <c r="C1738" s="5"/>
      <c r="E1738" s="10"/>
      <c r="F1738" s="8">
        <f>SUM(F1737)</f>
        <v>140</v>
      </c>
    </row>
    <row r="1739" spans="1:6" s="9" customFormat="1" x14ac:dyDescent="0.25">
      <c r="B1739" s="4"/>
      <c r="C1739" s="5"/>
      <c r="E1739" s="10"/>
      <c r="F1739" s="10"/>
    </row>
    <row r="1740" spans="1:6" s="9" customFormat="1" x14ac:dyDescent="0.25">
      <c r="A1740" s="9" t="s">
        <v>69</v>
      </c>
      <c r="B1740" s="4">
        <v>45896</v>
      </c>
      <c r="C1740" s="5">
        <v>15</v>
      </c>
      <c r="D1740" s="9" t="s">
        <v>8</v>
      </c>
      <c r="E1740" s="10">
        <v>165</v>
      </c>
      <c r="F1740" s="10">
        <f t="shared" si="27"/>
        <v>2475</v>
      </c>
    </row>
    <row r="1741" spans="1:6" s="9" customFormat="1" x14ac:dyDescent="0.25">
      <c r="B1741" s="4"/>
      <c r="C1741" s="5"/>
      <c r="E1741" s="10"/>
      <c r="F1741" s="8">
        <f>SUM(F1740)</f>
        <v>2475</v>
      </c>
    </row>
    <row r="1742" spans="1:6" s="9" customFormat="1" x14ac:dyDescent="0.25">
      <c r="B1742" s="4"/>
      <c r="C1742" s="5"/>
      <c r="E1742" s="10"/>
      <c r="F1742" s="10"/>
    </row>
    <row r="1743" spans="1:6" s="9" customFormat="1" x14ac:dyDescent="0.25">
      <c r="A1743" s="9" t="s">
        <v>893</v>
      </c>
      <c r="B1743" s="4">
        <v>45896</v>
      </c>
      <c r="C1743" s="5">
        <v>4</v>
      </c>
      <c r="D1743" s="9" t="s">
        <v>13</v>
      </c>
      <c r="E1743" s="10">
        <v>150</v>
      </c>
      <c r="F1743" s="10">
        <f t="shared" si="27"/>
        <v>600</v>
      </c>
    </row>
    <row r="1744" spans="1:6" s="9" customFormat="1" x14ac:dyDescent="0.25">
      <c r="B1744" s="4"/>
      <c r="C1744" s="5"/>
      <c r="E1744" s="10"/>
      <c r="F1744" s="8">
        <f>SUM(F1743)</f>
        <v>600</v>
      </c>
    </row>
    <row r="1745" spans="1:6" s="9" customFormat="1" x14ac:dyDescent="0.25">
      <c r="B1745" s="4"/>
      <c r="C1745" s="5"/>
      <c r="E1745" s="10"/>
      <c r="F1745" s="10"/>
    </row>
    <row r="1746" spans="1:6" s="9" customFormat="1" x14ac:dyDescent="0.25">
      <c r="A1746" s="9" t="s">
        <v>114</v>
      </c>
      <c r="B1746" s="4">
        <v>45896</v>
      </c>
      <c r="C1746" s="5">
        <v>4</v>
      </c>
      <c r="D1746" s="9" t="s">
        <v>13</v>
      </c>
      <c r="E1746" s="10">
        <v>155</v>
      </c>
      <c r="F1746" s="10">
        <f t="shared" si="27"/>
        <v>620</v>
      </c>
    </row>
    <row r="1747" spans="1:6" s="9" customFormat="1" x14ac:dyDescent="0.25">
      <c r="B1747" s="4"/>
      <c r="C1747" s="5"/>
      <c r="E1747" s="10"/>
      <c r="F1747" s="8">
        <f>SUM(F1746)</f>
        <v>620</v>
      </c>
    </row>
    <row r="1748" spans="1:6" s="9" customFormat="1" x14ac:dyDescent="0.25">
      <c r="B1748" s="4"/>
      <c r="C1748" s="5"/>
      <c r="E1748" s="10"/>
      <c r="F1748" s="10"/>
    </row>
    <row r="1749" spans="1:6" s="9" customFormat="1" x14ac:dyDescent="0.25">
      <c r="A1749" s="9" t="s">
        <v>48</v>
      </c>
      <c r="B1749" s="4">
        <v>45896</v>
      </c>
      <c r="C1749" s="5">
        <v>100</v>
      </c>
      <c r="D1749" s="9" t="s">
        <v>13</v>
      </c>
      <c r="E1749" s="10"/>
      <c r="F1749" s="10">
        <f t="shared" si="27"/>
        <v>0</v>
      </c>
    </row>
    <row r="1750" spans="1:6" s="9" customFormat="1" x14ac:dyDescent="0.25">
      <c r="B1750" s="4"/>
      <c r="C1750" s="5">
        <v>50</v>
      </c>
      <c r="D1750" s="9" t="s">
        <v>12</v>
      </c>
      <c r="E1750" s="10"/>
      <c r="F1750" s="10">
        <f t="shared" si="27"/>
        <v>0</v>
      </c>
    </row>
    <row r="1751" spans="1:6" s="9" customFormat="1" x14ac:dyDescent="0.25">
      <c r="B1751" s="4"/>
      <c r="C1751" s="5">
        <v>60</v>
      </c>
      <c r="D1751" s="9" t="s">
        <v>894</v>
      </c>
      <c r="E1751" s="10"/>
      <c r="F1751" s="10">
        <f t="shared" si="27"/>
        <v>0</v>
      </c>
    </row>
    <row r="1752" spans="1:6" s="9" customFormat="1" x14ac:dyDescent="0.25">
      <c r="B1752" s="4"/>
      <c r="C1752" s="5"/>
      <c r="E1752" s="10"/>
      <c r="F1752" s="8">
        <f>SUM(F1749:F1751)</f>
        <v>0</v>
      </c>
    </row>
    <row r="1753" spans="1:6" s="9" customFormat="1" x14ac:dyDescent="0.25">
      <c r="B1753" s="4"/>
      <c r="C1753" s="5"/>
      <c r="E1753" s="10"/>
      <c r="F1753" s="10"/>
    </row>
    <row r="1754" spans="1:6" s="9" customFormat="1" x14ac:dyDescent="0.25">
      <c r="A1754" s="9" t="s">
        <v>32</v>
      </c>
      <c r="B1754" s="4">
        <v>45896</v>
      </c>
      <c r="C1754" s="5">
        <v>25</v>
      </c>
      <c r="D1754" s="9" t="s">
        <v>13</v>
      </c>
      <c r="E1754" s="10">
        <v>150</v>
      </c>
      <c r="F1754" s="10">
        <f t="shared" si="27"/>
        <v>3750</v>
      </c>
    </row>
    <row r="1755" spans="1:6" s="9" customFormat="1" x14ac:dyDescent="0.25">
      <c r="B1755" s="4"/>
      <c r="C1755" s="5"/>
      <c r="E1755" s="10"/>
      <c r="F1755" s="8">
        <f>SUM(F1754)</f>
        <v>3750</v>
      </c>
    </row>
    <row r="1756" spans="1:6" s="9" customFormat="1" x14ac:dyDescent="0.25">
      <c r="B1756" s="4"/>
      <c r="C1756" s="5"/>
      <c r="E1756" s="10"/>
      <c r="F1756" s="10"/>
    </row>
    <row r="1757" spans="1:6" s="9" customFormat="1" x14ac:dyDescent="0.25">
      <c r="A1757" s="9" t="s">
        <v>151</v>
      </c>
      <c r="B1757" s="4">
        <v>45896</v>
      </c>
      <c r="C1757" s="5">
        <v>50</v>
      </c>
      <c r="D1757" s="9" t="s">
        <v>50</v>
      </c>
      <c r="E1757" s="10">
        <v>130</v>
      </c>
      <c r="F1757" s="10">
        <f t="shared" si="27"/>
        <v>6500</v>
      </c>
    </row>
    <row r="1758" spans="1:6" s="9" customFormat="1" x14ac:dyDescent="0.25">
      <c r="B1758" s="4"/>
      <c r="C1758" s="5">
        <v>100</v>
      </c>
      <c r="D1758" s="9" t="s">
        <v>22</v>
      </c>
      <c r="E1758" s="10">
        <v>130</v>
      </c>
      <c r="F1758" s="10">
        <f t="shared" si="27"/>
        <v>13000</v>
      </c>
    </row>
    <row r="1759" spans="1:6" s="9" customFormat="1" x14ac:dyDescent="0.25">
      <c r="B1759" s="4"/>
      <c r="C1759" s="5">
        <v>200</v>
      </c>
      <c r="D1759" s="9" t="s">
        <v>13</v>
      </c>
      <c r="E1759" s="10">
        <v>140</v>
      </c>
      <c r="F1759" s="10">
        <f t="shared" si="27"/>
        <v>28000</v>
      </c>
    </row>
    <row r="1760" spans="1:6" s="9" customFormat="1" x14ac:dyDescent="0.25">
      <c r="B1760" s="4"/>
      <c r="C1760" s="5"/>
      <c r="E1760" s="10"/>
      <c r="F1760" s="8">
        <f>SUM(F1757:F1759)</f>
        <v>47500</v>
      </c>
    </row>
    <row r="1761" spans="1:6" s="9" customFormat="1" x14ac:dyDescent="0.25">
      <c r="B1761" s="4"/>
      <c r="C1761" s="5"/>
      <c r="E1761" s="10"/>
      <c r="F1761" s="10"/>
    </row>
    <row r="1762" spans="1:6" s="9" customFormat="1" x14ac:dyDescent="0.25">
      <c r="A1762" s="9" t="s">
        <v>72</v>
      </c>
      <c r="B1762" s="4">
        <v>45896</v>
      </c>
      <c r="C1762" s="5">
        <v>200</v>
      </c>
      <c r="D1762" s="9" t="s">
        <v>13</v>
      </c>
      <c r="E1762" s="10">
        <v>145</v>
      </c>
      <c r="F1762" s="10">
        <f t="shared" si="27"/>
        <v>29000</v>
      </c>
    </row>
    <row r="1763" spans="1:6" s="9" customFormat="1" x14ac:dyDescent="0.25">
      <c r="B1763" s="4"/>
      <c r="C1763" s="5">
        <v>150</v>
      </c>
      <c r="D1763" s="9" t="s">
        <v>12</v>
      </c>
      <c r="E1763" s="10">
        <v>140</v>
      </c>
      <c r="F1763" s="10">
        <f t="shared" ref="F1763:F1785" si="28">+C1763*E1763</f>
        <v>21000</v>
      </c>
    </row>
    <row r="1764" spans="1:6" s="9" customFormat="1" x14ac:dyDescent="0.25">
      <c r="B1764" s="4"/>
      <c r="C1764" s="5">
        <v>10</v>
      </c>
      <c r="D1764" s="9" t="s">
        <v>713</v>
      </c>
      <c r="E1764" s="10">
        <v>140</v>
      </c>
      <c r="F1764" s="10">
        <f t="shared" si="28"/>
        <v>1400</v>
      </c>
    </row>
    <row r="1765" spans="1:6" s="9" customFormat="1" x14ac:dyDescent="0.25">
      <c r="B1765" s="4"/>
      <c r="C1765" s="5">
        <v>90</v>
      </c>
      <c r="D1765" s="9" t="s">
        <v>11</v>
      </c>
      <c r="E1765" s="10">
        <v>135</v>
      </c>
      <c r="F1765" s="10">
        <f t="shared" si="28"/>
        <v>12150</v>
      </c>
    </row>
    <row r="1766" spans="1:6" s="9" customFormat="1" x14ac:dyDescent="0.25">
      <c r="B1766" s="4"/>
      <c r="C1766" s="5"/>
      <c r="E1766" s="10"/>
      <c r="F1766" s="8">
        <f>SUM(F1762:F1765)</f>
        <v>63550</v>
      </c>
    </row>
    <row r="1767" spans="1:6" s="9" customFormat="1" x14ac:dyDescent="0.25">
      <c r="B1767" s="4"/>
      <c r="C1767" s="5"/>
      <c r="E1767" s="10"/>
      <c r="F1767" s="10"/>
    </row>
    <row r="1768" spans="1:6" s="9" customFormat="1" x14ac:dyDescent="0.25">
      <c r="A1768" s="9" t="s">
        <v>895</v>
      </c>
      <c r="B1768" s="4">
        <v>45896</v>
      </c>
      <c r="C1768" s="5">
        <v>70</v>
      </c>
      <c r="D1768" s="9" t="s">
        <v>14</v>
      </c>
      <c r="E1768" s="10">
        <v>140</v>
      </c>
      <c r="F1768" s="10">
        <f t="shared" si="28"/>
        <v>9800</v>
      </c>
    </row>
    <row r="1769" spans="1:6" s="9" customFormat="1" x14ac:dyDescent="0.25">
      <c r="B1769" s="4"/>
      <c r="C1769" s="5">
        <v>155</v>
      </c>
      <c r="D1769" s="9" t="s">
        <v>11</v>
      </c>
      <c r="E1769" s="10">
        <v>133</v>
      </c>
      <c r="F1769" s="10">
        <f t="shared" si="28"/>
        <v>20615</v>
      </c>
    </row>
    <row r="1770" spans="1:6" s="9" customFormat="1" x14ac:dyDescent="0.25">
      <c r="B1770" s="4"/>
      <c r="C1770" s="5">
        <v>40</v>
      </c>
      <c r="D1770" s="9" t="s">
        <v>50</v>
      </c>
      <c r="E1770" s="10">
        <v>120</v>
      </c>
      <c r="F1770" s="10">
        <f t="shared" si="28"/>
        <v>4800</v>
      </c>
    </row>
    <row r="1771" spans="1:6" s="9" customFormat="1" x14ac:dyDescent="0.25">
      <c r="B1771" s="4"/>
      <c r="C1771" s="5"/>
      <c r="E1771" s="10"/>
      <c r="F1771" s="8">
        <f>SUM(F1768:F1770)</f>
        <v>35215</v>
      </c>
    </row>
    <row r="1772" spans="1:6" s="9" customFormat="1" x14ac:dyDescent="0.25">
      <c r="B1772" s="4"/>
      <c r="C1772" s="5"/>
      <c r="E1772" s="10"/>
      <c r="F1772" s="10"/>
    </row>
    <row r="1773" spans="1:6" s="9" customFormat="1" x14ac:dyDescent="0.25">
      <c r="A1773" s="9" t="s">
        <v>65</v>
      </c>
      <c r="B1773" s="4">
        <v>45896</v>
      </c>
      <c r="C1773" s="5">
        <v>400</v>
      </c>
      <c r="D1773" s="9" t="s">
        <v>12</v>
      </c>
      <c r="E1773" s="10">
        <v>145</v>
      </c>
      <c r="F1773" s="10">
        <f t="shared" si="28"/>
        <v>58000</v>
      </c>
    </row>
    <row r="1774" spans="1:6" s="9" customFormat="1" x14ac:dyDescent="0.25">
      <c r="B1774" s="4"/>
      <c r="C1774" s="5">
        <v>100</v>
      </c>
      <c r="D1774" s="9" t="s">
        <v>22</v>
      </c>
      <c r="E1774" s="10">
        <v>130</v>
      </c>
      <c r="F1774" s="10">
        <f t="shared" si="28"/>
        <v>13000</v>
      </c>
    </row>
    <row r="1775" spans="1:6" s="9" customFormat="1" x14ac:dyDescent="0.25">
      <c r="B1775" s="4"/>
      <c r="C1775" s="5"/>
      <c r="E1775" s="10"/>
      <c r="F1775" s="8">
        <f>SUM(F1773:F1774)</f>
        <v>71000</v>
      </c>
    </row>
    <row r="1776" spans="1:6" s="9" customFormat="1" x14ac:dyDescent="0.25">
      <c r="B1776" s="4"/>
      <c r="C1776" s="5"/>
      <c r="E1776" s="10"/>
      <c r="F1776" s="10"/>
    </row>
    <row r="1777" spans="1:6" s="9" customFormat="1" x14ac:dyDescent="0.25">
      <c r="A1777" s="9" t="s">
        <v>29</v>
      </c>
      <c r="B1777" s="4">
        <v>45896</v>
      </c>
      <c r="C1777" s="5">
        <v>1</v>
      </c>
      <c r="D1777" s="9" t="s">
        <v>13</v>
      </c>
      <c r="E1777" s="10">
        <v>160</v>
      </c>
      <c r="F1777" s="10">
        <f t="shared" si="28"/>
        <v>160</v>
      </c>
    </row>
    <row r="1778" spans="1:6" s="9" customFormat="1" x14ac:dyDescent="0.25">
      <c r="B1778" s="4"/>
      <c r="C1778" s="5">
        <v>2</v>
      </c>
      <c r="D1778" s="9" t="s">
        <v>12</v>
      </c>
      <c r="E1778" s="10">
        <v>140</v>
      </c>
      <c r="F1778" s="10">
        <f t="shared" si="28"/>
        <v>280</v>
      </c>
    </row>
    <row r="1779" spans="1:6" s="9" customFormat="1" x14ac:dyDescent="0.25">
      <c r="B1779" s="4"/>
      <c r="C1779" s="5">
        <v>1</v>
      </c>
      <c r="D1779" s="9" t="s">
        <v>13</v>
      </c>
      <c r="E1779" s="10">
        <v>160</v>
      </c>
      <c r="F1779" s="10">
        <f t="shared" si="28"/>
        <v>160</v>
      </c>
    </row>
    <row r="1780" spans="1:6" s="9" customFormat="1" x14ac:dyDescent="0.25">
      <c r="B1780" s="4"/>
      <c r="C1780" s="5">
        <v>2</v>
      </c>
      <c r="D1780" s="9" t="s">
        <v>12</v>
      </c>
      <c r="E1780" s="10">
        <v>150</v>
      </c>
      <c r="F1780" s="10">
        <f t="shared" si="28"/>
        <v>300</v>
      </c>
    </row>
    <row r="1781" spans="1:6" s="9" customFormat="1" x14ac:dyDescent="0.25">
      <c r="B1781" s="4"/>
      <c r="C1781" s="11">
        <v>0.5</v>
      </c>
      <c r="D1781" s="9" t="s">
        <v>13</v>
      </c>
      <c r="E1781" s="10">
        <v>160</v>
      </c>
      <c r="F1781" s="10">
        <f t="shared" si="28"/>
        <v>80</v>
      </c>
    </row>
    <row r="1782" spans="1:6" s="9" customFormat="1" x14ac:dyDescent="0.25">
      <c r="B1782" s="4"/>
      <c r="C1782" s="5">
        <v>1</v>
      </c>
      <c r="D1782" s="9" t="s">
        <v>13</v>
      </c>
      <c r="E1782" s="10">
        <v>140</v>
      </c>
      <c r="F1782" s="10">
        <f t="shared" si="28"/>
        <v>140</v>
      </c>
    </row>
    <row r="1783" spans="1:6" s="9" customFormat="1" x14ac:dyDescent="0.25">
      <c r="B1783" s="4"/>
      <c r="C1783" s="5"/>
      <c r="E1783" s="10"/>
      <c r="F1783" s="8">
        <f>SUM(F1777:F1782)</f>
        <v>1120</v>
      </c>
    </row>
    <row r="1784" spans="1:6" s="9" customFormat="1" x14ac:dyDescent="0.25">
      <c r="B1784" s="4"/>
      <c r="C1784" s="5"/>
      <c r="E1784" s="10"/>
      <c r="F1784" s="10"/>
    </row>
    <row r="1785" spans="1:6" s="9" customFormat="1" x14ac:dyDescent="0.25">
      <c r="A1785" s="9" t="s">
        <v>181</v>
      </c>
      <c r="B1785" s="4">
        <v>45896</v>
      </c>
      <c r="C1785" s="5">
        <v>1</v>
      </c>
      <c r="D1785" s="9" t="s">
        <v>8</v>
      </c>
      <c r="E1785" s="10">
        <v>170</v>
      </c>
      <c r="F1785" s="10">
        <f t="shared" si="28"/>
        <v>170</v>
      </c>
    </row>
    <row r="1786" spans="1:6" s="9" customFormat="1" x14ac:dyDescent="0.25">
      <c r="B1786" s="4"/>
      <c r="C1786" s="5"/>
      <c r="E1786" s="10"/>
      <c r="F1786" s="8">
        <f>SUM(F1785)</f>
        <v>170</v>
      </c>
    </row>
    <row r="1787" spans="1:6" s="9" customFormat="1" x14ac:dyDescent="0.25">
      <c r="B1787" s="4"/>
      <c r="C1787" s="5"/>
      <c r="E1787" s="10"/>
      <c r="F1787" s="10"/>
    </row>
    <row r="1788" spans="1:6" s="9" customFormat="1" x14ac:dyDescent="0.25">
      <c r="A1788" s="9" t="s">
        <v>88</v>
      </c>
      <c r="B1788" s="4">
        <v>45897</v>
      </c>
      <c r="C1788" s="5">
        <v>10</v>
      </c>
      <c r="D1788" s="9" t="s">
        <v>14</v>
      </c>
      <c r="E1788" s="10">
        <v>145</v>
      </c>
      <c r="F1788" s="10">
        <f>+C1788*E1788</f>
        <v>1450</v>
      </c>
    </row>
    <row r="1789" spans="1:6" s="9" customFormat="1" x14ac:dyDescent="0.25">
      <c r="B1789" s="4"/>
      <c r="C1789" s="5">
        <v>5</v>
      </c>
      <c r="D1789" s="9" t="s">
        <v>13</v>
      </c>
      <c r="E1789" s="10">
        <v>155</v>
      </c>
      <c r="F1789" s="10">
        <f>+C1789*E1789</f>
        <v>775</v>
      </c>
    </row>
    <row r="1790" spans="1:6" s="9" customFormat="1" x14ac:dyDescent="0.25">
      <c r="B1790" s="4"/>
      <c r="C1790" s="5"/>
      <c r="E1790" s="10"/>
      <c r="F1790" s="8">
        <f>SUM(F1788:F1789)</f>
        <v>2225</v>
      </c>
    </row>
    <row r="1791" spans="1:6" s="9" customFormat="1" x14ac:dyDescent="0.25">
      <c r="B1791" s="4"/>
      <c r="C1791" s="5"/>
      <c r="E1791" s="10"/>
      <c r="F1791" s="10"/>
    </row>
    <row r="1792" spans="1:6" s="9" customFormat="1" x14ac:dyDescent="0.25">
      <c r="A1792" s="9" t="s">
        <v>184</v>
      </c>
      <c r="B1792" s="4">
        <v>45897</v>
      </c>
      <c r="C1792" s="5">
        <v>7</v>
      </c>
      <c r="D1792" s="9" t="s">
        <v>13</v>
      </c>
      <c r="E1792" s="10">
        <v>155</v>
      </c>
      <c r="F1792" s="10">
        <f>+C1792*E1792</f>
        <v>1085</v>
      </c>
    </row>
    <row r="1793" spans="1:6" s="9" customFormat="1" x14ac:dyDescent="0.25">
      <c r="B1793" s="4"/>
      <c r="C1793" s="5"/>
      <c r="E1793" s="10"/>
      <c r="F1793" s="8">
        <f>SUM(F1792)</f>
        <v>1085</v>
      </c>
    </row>
    <row r="1794" spans="1:6" s="9" customFormat="1" x14ac:dyDescent="0.25">
      <c r="B1794" s="4"/>
      <c r="C1794" s="5"/>
      <c r="E1794" s="10"/>
      <c r="F1794" s="10"/>
    </row>
    <row r="1795" spans="1:6" s="9" customFormat="1" x14ac:dyDescent="0.25">
      <c r="A1795" s="9" t="s">
        <v>195</v>
      </c>
      <c r="B1795" s="4">
        <v>45897</v>
      </c>
      <c r="C1795" s="5">
        <v>250</v>
      </c>
      <c r="D1795" s="9" t="s">
        <v>13</v>
      </c>
      <c r="E1795" s="10">
        <v>155</v>
      </c>
      <c r="F1795" s="10">
        <f>+C1795*E1795</f>
        <v>38750</v>
      </c>
    </row>
    <row r="1796" spans="1:6" s="9" customFormat="1" x14ac:dyDescent="0.25">
      <c r="B1796" s="4"/>
      <c r="C1796" s="5">
        <v>150</v>
      </c>
      <c r="D1796" s="9" t="s">
        <v>12</v>
      </c>
      <c r="E1796" s="10">
        <v>145</v>
      </c>
      <c r="F1796" s="10">
        <f>+C1796*E1796</f>
        <v>21750</v>
      </c>
    </row>
    <row r="1797" spans="1:6" s="9" customFormat="1" x14ac:dyDescent="0.25">
      <c r="B1797" s="4"/>
      <c r="C1797" s="5">
        <v>100</v>
      </c>
      <c r="D1797" s="9" t="s">
        <v>14</v>
      </c>
      <c r="E1797" s="10">
        <v>150</v>
      </c>
      <c r="F1797" s="10">
        <f>+C1797*E1797</f>
        <v>15000</v>
      </c>
    </row>
    <row r="1798" spans="1:6" s="9" customFormat="1" x14ac:dyDescent="0.25">
      <c r="B1798" s="4"/>
      <c r="C1798" s="5"/>
      <c r="E1798" s="10"/>
      <c r="F1798" s="8">
        <f>SUM(F1795:F1797)</f>
        <v>75500</v>
      </c>
    </row>
    <row r="1799" spans="1:6" s="9" customFormat="1" x14ac:dyDescent="0.25">
      <c r="B1799" s="4"/>
      <c r="C1799" s="5"/>
      <c r="E1799" s="10"/>
      <c r="F1799" s="10"/>
    </row>
    <row r="1800" spans="1:6" s="9" customFormat="1" x14ac:dyDescent="0.25">
      <c r="A1800" s="9" t="s">
        <v>26</v>
      </c>
      <c r="B1800" s="4">
        <v>45897</v>
      </c>
      <c r="C1800" s="5">
        <v>10</v>
      </c>
      <c r="D1800" s="9" t="s">
        <v>14</v>
      </c>
      <c r="E1800" s="10">
        <v>145</v>
      </c>
      <c r="F1800" s="10">
        <f>+C1800*E1800</f>
        <v>1450</v>
      </c>
    </row>
    <row r="1801" spans="1:6" s="9" customFormat="1" x14ac:dyDescent="0.25">
      <c r="B1801" s="4"/>
      <c r="C1801" s="5"/>
      <c r="E1801" s="10"/>
      <c r="F1801" s="8">
        <f>SUM(F1800)</f>
        <v>1450</v>
      </c>
    </row>
    <row r="1802" spans="1:6" s="9" customFormat="1" x14ac:dyDescent="0.25">
      <c r="B1802" s="4"/>
      <c r="C1802" s="5"/>
      <c r="E1802" s="10"/>
      <c r="F1802" s="10"/>
    </row>
    <row r="1803" spans="1:6" s="9" customFormat="1" x14ac:dyDescent="0.25">
      <c r="A1803" s="9" t="s">
        <v>317</v>
      </c>
      <c r="B1803" s="4">
        <v>45897</v>
      </c>
      <c r="C1803" s="5">
        <v>4</v>
      </c>
      <c r="D1803" s="9" t="s">
        <v>13</v>
      </c>
      <c r="E1803" s="10">
        <v>155</v>
      </c>
      <c r="F1803" s="10">
        <f>+C1803*E1803</f>
        <v>620</v>
      </c>
    </row>
    <row r="1804" spans="1:6" s="9" customFormat="1" x14ac:dyDescent="0.25">
      <c r="B1804" s="4"/>
      <c r="C1804" s="5"/>
      <c r="E1804" s="10"/>
      <c r="F1804" s="8">
        <f>SUM(F1803)</f>
        <v>620</v>
      </c>
    </row>
    <row r="1805" spans="1:6" s="9" customFormat="1" x14ac:dyDescent="0.25">
      <c r="B1805" s="4"/>
      <c r="C1805" s="5"/>
      <c r="E1805" s="10"/>
      <c r="F1805" s="10"/>
    </row>
    <row r="1806" spans="1:6" s="9" customFormat="1" x14ac:dyDescent="0.25">
      <c r="A1806" s="9" t="s">
        <v>111</v>
      </c>
      <c r="B1806" s="4">
        <v>45897</v>
      </c>
      <c r="C1806" s="5">
        <v>20</v>
      </c>
      <c r="D1806" s="9" t="s">
        <v>13</v>
      </c>
      <c r="E1806" s="10">
        <v>155</v>
      </c>
      <c r="F1806" s="10">
        <f>+C1806*E1806</f>
        <v>3100</v>
      </c>
    </row>
    <row r="1807" spans="1:6" s="9" customFormat="1" x14ac:dyDescent="0.25">
      <c r="B1807" s="4"/>
      <c r="C1807" s="5"/>
      <c r="E1807" s="10"/>
      <c r="F1807" s="8">
        <f>SUM(F1806)</f>
        <v>3100</v>
      </c>
    </row>
    <row r="1808" spans="1:6" s="9" customFormat="1" x14ac:dyDescent="0.25">
      <c r="B1808" s="4"/>
      <c r="C1808" s="5"/>
      <c r="E1808" s="10"/>
      <c r="F1808" s="10"/>
    </row>
    <row r="1809" spans="1:6" s="9" customFormat="1" x14ac:dyDescent="0.25">
      <c r="A1809" s="9" t="s">
        <v>61</v>
      </c>
      <c r="B1809" s="4">
        <v>45897</v>
      </c>
      <c r="C1809" s="5">
        <v>60</v>
      </c>
      <c r="D1809" s="9" t="s">
        <v>13</v>
      </c>
      <c r="E1809" s="10">
        <v>155</v>
      </c>
      <c r="F1809" s="10">
        <f>+C1809*E1809</f>
        <v>9300</v>
      </c>
    </row>
    <row r="1810" spans="1:6" s="9" customFormat="1" x14ac:dyDescent="0.25">
      <c r="B1810" s="4"/>
      <c r="C1810" s="5"/>
      <c r="E1810" s="10"/>
      <c r="F1810" s="8">
        <f>SUM(F1809)</f>
        <v>9300</v>
      </c>
    </row>
    <row r="1811" spans="1:6" s="9" customFormat="1" x14ac:dyDescent="0.25">
      <c r="B1811" s="4"/>
      <c r="C1811" s="5"/>
      <c r="E1811" s="10"/>
      <c r="F1811" s="10"/>
    </row>
    <row r="1812" spans="1:6" s="9" customFormat="1" x14ac:dyDescent="0.25">
      <c r="A1812" s="9" t="s">
        <v>113</v>
      </c>
      <c r="B1812" s="4">
        <v>45897</v>
      </c>
      <c r="C1812" s="5">
        <v>10</v>
      </c>
      <c r="D1812" s="9" t="s">
        <v>8</v>
      </c>
      <c r="E1812" s="10">
        <v>165</v>
      </c>
      <c r="F1812" s="10">
        <f>+C1812*E1812</f>
        <v>1650</v>
      </c>
    </row>
    <row r="1813" spans="1:6" s="9" customFormat="1" x14ac:dyDescent="0.25">
      <c r="B1813" s="4"/>
      <c r="C1813" s="5"/>
      <c r="E1813" s="10"/>
      <c r="F1813" s="8">
        <f>SUM(F1812)</f>
        <v>1650</v>
      </c>
    </row>
    <row r="1814" spans="1:6" s="9" customFormat="1" x14ac:dyDescent="0.25">
      <c r="B1814" s="4"/>
      <c r="C1814" s="5"/>
      <c r="E1814" s="10"/>
      <c r="F1814" s="10"/>
    </row>
    <row r="1815" spans="1:6" s="9" customFormat="1" x14ac:dyDescent="0.25">
      <c r="A1815" s="9" t="s">
        <v>896</v>
      </c>
      <c r="B1815" s="4">
        <v>45897</v>
      </c>
      <c r="C1815" s="5">
        <v>60</v>
      </c>
      <c r="D1815" s="9" t="s">
        <v>12</v>
      </c>
      <c r="E1815" s="10">
        <v>145</v>
      </c>
      <c r="F1815" s="10">
        <f>+C1815*E1815</f>
        <v>8700</v>
      </c>
    </row>
    <row r="1816" spans="1:6" s="9" customFormat="1" x14ac:dyDescent="0.25">
      <c r="B1816" s="4"/>
      <c r="C1816" s="5"/>
      <c r="E1816" s="10"/>
      <c r="F1816" s="8">
        <f>SUM(F1815)</f>
        <v>8700</v>
      </c>
    </row>
    <row r="1817" spans="1:6" s="9" customFormat="1" x14ac:dyDescent="0.25">
      <c r="B1817" s="4"/>
      <c r="C1817" s="5"/>
      <c r="E1817" s="10"/>
      <c r="F1817" s="10"/>
    </row>
    <row r="1818" spans="1:6" s="9" customFormat="1" x14ac:dyDescent="0.25">
      <c r="A1818" s="9" t="s">
        <v>29</v>
      </c>
      <c r="B1818" s="4">
        <v>45897</v>
      </c>
      <c r="C1818" s="5">
        <v>2</v>
      </c>
      <c r="D1818" s="9" t="s">
        <v>900</v>
      </c>
      <c r="E1818" s="10">
        <v>160</v>
      </c>
      <c r="F1818" s="10">
        <f>+C1818*E1818</f>
        <v>320</v>
      </c>
    </row>
    <row r="1819" spans="1:6" s="9" customFormat="1" x14ac:dyDescent="0.25">
      <c r="B1819" s="4"/>
      <c r="C1819" s="5">
        <v>1</v>
      </c>
      <c r="D1819" s="9" t="s">
        <v>8</v>
      </c>
      <c r="E1819" s="10">
        <v>170</v>
      </c>
      <c r="F1819" s="10">
        <f>+C1819*E1819</f>
        <v>170</v>
      </c>
    </row>
    <row r="1820" spans="1:6" s="9" customFormat="1" x14ac:dyDescent="0.25">
      <c r="B1820" s="4"/>
      <c r="C1820" s="5">
        <v>6</v>
      </c>
      <c r="D1820" s="9" t="s">
        <v>901</v>
      </c>
      <c r="E1820" s="10">
        <v>5</v>
      </c>
      <c r="F1820" s="10">
        <f>+C1820*E1820</f>
        <v>30</v>
      </c>
    </row>
    <row r="1821" spans="1:6" s="9" customFormat="1" x14ac:dyDescent="0.25">
      <c r="B1821" s="4"/>
      <c r="C1821" s="5"/>
      <c r="E1821" s="10"/>
      <c r="F1821" s="8">
        <f>SUM(F1818:F1820)</f>
        <v>520</v>
      </c>
    </row>
    <row r="1822" spans="1:6" s="9" customFormat="1" x14ac:dyDescent="0.25">
      <c r="B1822" s="4"/>
      <c r="C1822" s="5"/>
      <c r="E1822" s="10"/>
      <c r="F1822" s="8"/>
    </row>
    <row r="1823" spans="1:6" s="9" customFormat="1" x14ac:dyDescent="0.25">
      <c r="A1823" s="9" t="s">
        <v>181</v>
      </c>
      <c r="B1823" s="4">
        <v>45897</v>
      </c>
      <c r="C1823" s="5">
        <v>3</v>
      </c>
      <c r="D1823" s="9" t="s">
        <v>8</v>
      </c>
      <c r="E1823" s="10">
        <v>170</v>
      </c>
      <c r="F1823" s="10">
        <f>+C1823*E1823</f>
        <v>510</v>
      </c>
    </row>
    <row r="1824" spans="1:6" s="9" customFormat="1" x14ac:dyDescent="0.25">
      <c r="B1824" s="4"/>
      <c r="C1824" s="5">
        <v>2</v>
      </c>
      <c r="D1824" s="9" t="s">
        <v>8</v>
      </c>
      <c r="E1824" s="10">
        <v>170</v>
      </c>
      <c r="F1824" s="10">
        <f>+C1824*E1824</f>
        <v>340</v>
      </c>
    </row>
    <row r="1825" spans="1:6" s="9" customFormat="1" x14ac:dyDescent="0.25">
      <c r="B1825" s="4"/>
      <c r="C1825" s="5"/>
      <c r="E1825" s="10"/>
      <c r="F1825" s="8">
        <f>SUM(F1823:F1824)</f>
        <v>850</v>
      </c>
    </row>
    <row r="1826" spans="1:6" s="9" customFormat="1" x14ac:dyDescent="0.25">
      <c r="B1826" s="4"/>
      <c r="C1826" s="5"/>
      <c r="E1826" s="10"/>
      <c r="F1826" s="8"/>
    </row>
    <row r="1827" spans="1:6" s="9" customFormat="1" x14ac:dyDescent="0.25">
      <c r="A1827" s="9" t="s">
        <v>15</v>
      </c>
      <c r="B1827" s="4">
        <v>45898</v>
      </c>
      <c r="C1827" s="5">
        <v>52</v>
      </c>
      <c r="D1827" s="9" t="s">
        <v>98</v>
      </c>
      <c r="E1827" s="10">
        <v>110</v>
      </c>
      <c r="F1827" s="10">
        <f>+C1827*E1827</f>
        <v>5720</v>
      </c>
    </row>
    <row r="1828" spans="1:6" s="9" customFormat="1" x14ac:dyDescent="0.25">
      <c r="B1828" s="4"/>
      <c r="C1828" s="5"/>
      <c r="E1828" s="10"/>
      <c r="F1828" s="8">
        <f>SUM(F1827)</f>
        <v>5720</v>
      </c>
    </row>
    <row r="1829" spans="1:6" s="9" customFormat="1" x14ac:dyDescent="0.25">
      <c r="B1829" s="4"/>
      <c r="C1829" s="5"/>
      <c r="E1829" s="10"/>
      <c r="F1829" s="10"/>
    </row>
    <row r="1830" spans="1:6" s="9" customFormat="1" x14ac:dyDescent="0.25">
      <c r="A1830" s="9" t="s">
        <v>442</v>
      </c>
      <c r="B1830" s="4">
        <v>45898</v>
      </c>
      <c r="C1830" s="5">
        <v>15</v>
      </c>
      <c r="D1830" s="9" t="s">
        <v>13</v>
      </c>
      <c r="E1830" s="10">
        <v>155</v>
      </c>
      <c r="F1830" s="10">
        <f>+C1830*E1830</f>
        <v>2325</v>
      </c>
    </row>
    <row r="1831" spans="1:6" s="9" customFormat="1" x14ac:dyDescent="0.25">
      <c r="B1831" s="4"/>
      <c r="C1831" s="5"/>
      <c r="E1831" s="10"/>
      <c r="F1831" s="8">
        <f>SUM(F1830)</f>
        <v>2325</v>
      </c>
    </row>
    <row r="1832" spans="1:6" s="9" customFormat="1" x14ac:dyDescent="0.25">
      <c r="B1832" s="4"/>
      <c r="C1832" s="5"/>
      <c r="E1832" s="10"/>
      <c r="F1832" s="10"/>
    </row>
    <row r="1833" spans="1:6" s="9" customFormat="1" x14ac:dyDescent="0.25">
      <c r="A1833" s="9" t="s">
        <v>37</v>
      </c>
      <c r="B1833" s="4">
        <v>45898</v>
      </c>
      <c r="C1833" s="5">
        <v>10</v>
      </c>
      <c r="D1833" s="9" t="s">
        <v>12</v>
      </c>
      <c r="E1833" s="10">
        <v>150</v>
      </c>
      <c r="F1833" s="10">
        <f>+C1833*E1833</f>
        <v>1500</v>
      </c>
    </row>
    <row r="1834" spans="1:6" s="9" customFormat="1" x14ac:dyDescent="0.25">
      <c r="B1834" s="4"/>
      <c r="C1834" s="5"/>
      <c r="E1834" s="10"/>
      <c r="F1834" s="8">
        <f>SUM(F1833)</f>
        <v>1500</v>
      </c>
    </row>
    <row r="1835" spans="1:6" s="9" customFormat="1" x14ac:dyDescent="0.25">
      <c r="B1835" s="4"/>
      <c r="C1835" s="5"/>
      <c r="E1835" s="10"/>
      <c r="F1835" s="10"/>
    </row>
    <row r="1836" spans="1:6" s="9" customFormat="1" x14ac:dyDescent="0.25">
      <c r="A1836" s="9" t="s">
        <v>897</v>
      </c>
      <c r="B1836" s="4">
        <v>45898</v>
      </c>
      <c r="C1836" s="5">
        <v>10</v>
      </c>
      <c r="D1836" s="9" t="s">
        <v>13</v>
      </c>
      <c r="E1836" s="10">
        <v>155</v>
      </c>
      <c r="F1836" s="10">
        <f t="shared" ref="F1836:F1899" si="29">+C1836*E1836</f>
        <v>1550</v>
      </c>
    </row>
    <row r="1837" spans="1:6" s="9" customFormat="1" x14ac:dyDescent="0.25">
      <c r="B1837" s="4"/>
      <c r="C1837" s="5"/>
      <c r="E1837" s="10"/>
      <c r="F1837" s="8">
        <f>SUM(F1836)</f>
        <v>1550</v>
      </c>
    </row>
    <row r="1838" spans="1:6" s="9" customFormat="1" x14ac:dyDescent="0.25">
      <c r="B1838" s="4"/>
      <c r="C1838" s="5"/>
      <c r="E1838" s="10"/>
      <c r="F1838" s="10"/>
    </row>
    <row r="1839" spans="1:6" s="9" customFormat="1" x14ac:dyDescent="0.25">
      <c r="A1839" s="9" t="s">
        <v>367</v>
      </c>
      <c r="B1839" s="4">
        <v>45898</v>
      </c>
      <c r="C1839" s="5">
        <v>5</v>
      </c>
      <c r="D1839" s="9" t="s">
        <v>13</v>
      </c>
      <c r="E1839" s="10">
        <v>155</v>
      </c>
      <c r="F1839" s="10">
        <f t="shared" si="29"/>
        <v>775</v>
      </c>
    </row>
    <row r="1840" spans="1:6" s="9" customFormat="1" x14ac:dyDescent="0.25">
      <c r="B1840" s="4"/>
      <c r="C1840" s="5">
        <v>5</v>
      </c>
      <c r="D1840" s="9" t="s">
        <v>14</v>
      </c>
      <c r="E1840" s="10">
        <v>150</v>
      </c>
      <c r="F1840" s="10">
        <f t="shared" si="29"/>
        <v>750</v>
      </c>
    </row>
    <row r="1841" spans="1:6" s="9" customFormat="1" x14ac:dyDescent="0.25">
      <c r="B1841" s="4"/>
      <c r="C1841" s="5"/>
      <c r="E1841" s="10"/>
      <c r="F1841" s="8">
        <f>SUM(F1839:F1840)</f>
        <v>1525</v>
      </c>
    </row>
    <row r="1842" spans="1:6" s="9" customFormat="1" x14ac:dyDescent="0.25">
      <c r="B1842" s="4"/>
      <c r="C1842" s="5"/>
      <c r="E1842" s="10"/>
      <c r="F1842" s="10"/>
    </row>
    <row r="1843" spans="1:6" s="9" customFormat="1" x14ac:dyDescent="0.25">
      <c r="A1843" s="9" t="s">
        <v>791</v>
      </c>
      <c r="B1843" s="4">
        <v>45898</v>
      </c>
      <c r="C1843" s="5">
        <v>20</v>
      </c>
      <c r="D1843" s="9" t="s">
        <v>22</v>
      </c>
      <c r="E1843" s="10">
        <v>135</v>
      </c>
      <c r="F1843" s="10">
        <f t="shared" si="29"/>
        <v>2700</v>
      </c>
    </row>
    <row r="1844" spans="1:6" s="9" customFormat="1" x14ac:dyDescent="0.25">
      <c r="B1844" s="4"/>
      <c r="C1844" s="5">
        <v>10</v>
      </c>
      <c r="D1844" s="9" t="s">
        <v>50</v>
      </c>
      <c r="E1844" s="10">
        <v>130</v>
      </c>
      <c r="F1844" s="10">
        <f t="shared" si="29"/>
        <v>1300</v>
      </c>
    </row>
    <row r="1845" spans="1:6" s="9" customFormat="1" x14ac:dyDescent="0.25">
      <c r="B1845" s="4"/>
      <c r="C1845" s="5"/>
      <c r="E1845" s="10"/>
      <c r="F1845" s="8">
        <f>SUM(F1843:F1844)</f>
        <v>4000</v>
      </c>
    </row>
    <row r="1846" spans="1:6" s="9" customFormat="1" x14ac:dyDescent="0.25">
      <c r="B1846" s="4"/>
      <c r="C1846" s="5"/>
      <c r="E1846" s="10"/>
      <c r="F1846" s="10"/>
    </row>
    <row r="1847" spans="1:6" s="9" customFormat="1" x14ac:dyDescent="0.25">
      <c r="A1847" s="9" t="s">
        <v>25</v>
      </c>
      <c r="B1847" s="4">
        <v>45898</v>
      </c>
      <c r="C1847" s="5">
        <v>30</v>
      </c>
      <c r="D1847" s="9" t="s">
        <v>50</v>
      </c>
      <c r="E1847" s="10">
        <v>130</v>
      </c>
      <c r="F1847" s="10">
        <f t="shared" si="29"/>
        <v>3900</v>
      </c>
    </row>
    <row r="1848" spans="1:6" s="9" customFormat="1" x14ac:dyDescent="0.25">
      <c r="B1848" s="4"/>
      <c r="C1848" s="5">
        <v>10</v>
      </c>
      <c r="D1848" s="9" t="s">
        <v>519</v>
      </c>
      <c r="E1848" s="10">
        <v>165</v>
      </c>
      <c r="F1848" s="10">
        <f t="shared" si="29"/>
        <v>1650</v>
      </c>
    </row>
    <row r="1849" spans="1:6" s="9" customFormat="1" x14ac:dyDescent="0.25">
      <c r="B1849" s="4"/>
      <c r="C1849" s="5"/>
      <c r="E1849" s="10"/>
      <c r="F1849" s="8">
        <f>SUM(F1847:F1848)</f>
        <v>5550</v>
      </c>
    </row>
    <row r="1850" spans="1:6" s="9" customFormat="1" x14ac:dyDescent="0.25">
      <c r="B1850" s="4"/>
      <c r="C1850" s="5"/>
      <c r="E1850" s="10"/>
      <c r="F1850" s="10"/>
    </row>
    <row r="1851" spans="1:6" s="9" customFormat="1" x14ac:dyDescent="0.25">
      <c r="A1851" s="9" t="s">
        <v>40</v>
      </c>
      <c r="B1851" s="4">
        <v>45898</v>
      </c>
      <c r="C1851" s="5">
        <v>10</v>
      </c>
      <c r="D1851" s="9" t="s">
        <v>8</v>
      </c>
      <c r="E1851" s="10">
        <v>160</v>
      </c>
      <c r="F1851" s="10">
        <f t="shared" si="29"/>
        <v>1600</v>
      </c>
    </row>
    <row r="1852" spans="1:6" s="9" customFormat="1" x14ac:dyDescent="0.25">
      <c r="B1852" s="4"/>
      <c r="C1852" s="5">
        <v>30</v>
      </c>
      <c r="D1852" s="9" t="s">
        <v>22</v>
      </c>
      <c r="E1852" s="10">
        <v>135</v>
      </c>
      <c r="F1852" s="10">
        <f t="shared" si="29"/>
        <v>4050</v>
      </c>
    </row>
    <row r="1853" spans="1:6" s="9" customFormat="1" x14ac:dyDescent="0.25">
      <c r="B1853" s="4"/>
      <c r="C1853" s="5"/>
      <c r="E1853" s="10"/>
      <c r="F1853" s="8">
        <f>SUM(F1851:F1852)</f>
        <v>5650</v>
      </c>
    </row>
    <row r="1854" spans="1:6" s="9" customFormat="1" x14ac:dyDescent="0.25">
      <c r="B1854" s="4"/>
      <c r="C1854" s="5"/>
      <c r="E1854" s="10"/>
      <c r="F1854" s="10"/>
    </row>
    <row r="1855" spans="1:6" s="9" customFormat="1" x14ac:dyDescent="0.25">
      <c r="A1855" s="9" t="s">
        <v>26</v>
      </c>
      <c r="B1855" s="4">
        <v>45898</v>
      </c>
      <c r="C1855" s="5">
        <v>20</v>
      </c>
      <c r="D1855" s="9" t="s">
        <v>13</v>
      </c>
      <c r="E1855" s="10">
        <v>145</v>
      </c>
      <c r="F1855" s="10">
        <f t="shared" si="29"/>
        <v>2900</v>
      </c>
    </row>
    <row r="1856" spans="1:6" s="9" customFormat="1" x14ac:dyDescent="0.25">
      <c r="B1856" s="4"/>
      <c r="C1856" s="5"/>
      <c r="E1856" s="10"/>
      <c r="F1856" s="8">
        <f>SUM(F1855)</f>
        <v>2900</v>
      </c>
    </row>
    <row r="1857" spans="1:6" s="9" customFormat="1" x14ac:dyDescent="0.25">
      <c r="B1857" s="4"/>
      <c r="C1857" s="5"/>
      <c r="E1857" s="10"/>
      <c r="F1857" s="10"/>
    </row>
    <row r="1858" spans="1:6" s="9" customFormat="1" x14ac:dyDescent="0.25">
      <c r="A1858" s="9" t="s">
        <v>117</v>
      </c>
      <c r="B1858" s="4">
        <v>45898</v>
      </c>
      <c r="C1858" s="5">
        <v>5</v>
      </c>
      <c r="D1858" s="9" t="s">
        <v>13</v>
      </c>
      <c r="E1858" s="10">
        <v>155</v>
      </c>
      <c r="F1858" s="10">
        <f t="shared" si="29"/>
        <v>775</v>
      </c>
    </row>
    <row r="1859" spans="1:6" s="9" customFormat="1" x14ac:dyDescent="0.25">
      <c r="B1859" s="4"/>
      <c r="C1859" s="5"/>
      <c r="E1859" s="10"/>
      <c r="F1859" s="8">
        <f>SUM(F1858)</f>
        <v>775</v>
      </c>
    </row>
    <row r="1860" spans="1:6" s="9" customFormat="1" x14ac:dyDescent="0.25">
      <c r="B1860" s="4"/>
      <c r="C1860" s="5"/>
      <c r="E1860" s="10"/>
      <c r="F1860" s="10"/>
    </row>
    <row r="1861" spans="1:6" s="9" customFormat="1" x14ac:dyDescent="0.25">
      <c r="A1861" s="9" t="s">
        <v>423</v>
      </c>
      <c r="B1861" s="4">
        <v>45898</v>
      </c>
      <c r="C1861" s="5">
        <v>6</v>
      </c>
      <c r="D1861" s="9" t="s">
        <v>13</v>
      </c>
      <c r="E1861" s="10">
        <v>155</v>
      </c>
      <c r="F1861" s="10">
        <f t="shared" si="29"/>
        <v>930</v>
      </c>
    </row>
    <row r="1862" spans="1:6" s="9" customFormat="1" x14ac:dyDescent="0.25">
      <c r="B1862" s="4"/>
      <c r="C1862" s="5"/>
      <c r="E1862" s="10"/>
      <c r="F1862" s="8">
        <f>SUM(F1861)</f>
        <v>930</v>
      </c>
    </row>
    <row r="1863" spans="1:6" s="9" customFormat="1" x14ac:dyDescent="0.25">
      <c r="B1863" s="4"/>
      <c r="C1863" s="5"/>
      <c r="E1863" s="10"/>
      <c r="F1863" s="10"/>
    </row>
    <row r="1864" spans="1:6" s="9" customFormat="1" x14ac:dyDescent="0.25">
      <c r="A1864" s="9" t="s">
        <v>898</v>
      </c>
      <c r="B1864" s="4">
        <v>45898</v>
      </c>
      <c r="C1864" s="5">
        <v>5</v>
      </c>
      <c r="D1864" s="9" t="s">
        <v>13</v>
      </c>
      <c r="E1864" s="10">
        <v>150</v>
      </c>
      <c r="F1864" s="10">
        <f t="shared" si="29"/>
        <v>750</v>
      </c>
    </row>
    <row r="1865" spans="1:6" s="9" customFormat="1" x14ac:dyDescent="0.25">
      <c r="B1865" s="4"/>
      <c r="C1865" s="5"/>
      <c r="E1865" s="10"/>
      <c r="F1865" s="8">
        <f>SUM(F1864)</f>
        <v>750</v>
      </c>
    </row>
    <row r="1866" spans="1:6" s="9" customFormat="1" x14ac:dyDescent="0.25">
      <c r="B1866" s="4"/>
      <c r="C1866" s="5"/>
      <c r="E1866" s="10"/>
      <c r="F1866" s="10"/>
    </row>
    <row r="1867" spans="1:6" s="9" customFormat="1" x14ac:dyDescent="0.25">
      <c r="A1867" s="9" t="s">
        <v>292</v>
      </c>
      <c r="B1867" s="4">
        <v>45898</v>
      </c>
      <c r="C1867" s="5">
        <v>4</v>
      </c>
      <c r="D1867" s="9" t="s">
        <v>902</v>
      </c>
      <c r="E1867" s="10">
        <v>150</v>
      </c>
      <c r="F1867" s="10">
        <f t="shared" si="29"/>
        <v>600</v>
      </c>
    </row>
    <row r="1868" spans="1:6" s="9" customFormat="1" x14ac:dyDescent="0.25">
      <c r="B1868" s="4"/>
      <c r="C1868" s="5"/>
      <c r="E1868" s="10"/>
      <c r="F1868" s="8">
        <f>SUM(F1867)</f>
        <v>600</v>
      </c>
    </row>
    <row r="1869" spans="1:6" s="9" customFormat="1" x14ac:dyDescent="0.25">
      <c r="B1869" s="4"/>
      <c r="C1869" s="5"/>
      <c r="E1869" s="10"/>
      <c r="F1869" s="10"/>
    </row>
    <row r="1870" spans="1:6" s="9" customFormat="1" x14ac:dyDescent="0.25">
      <c r="A1870" s="9" t="s">
        <v>29</v>
      </c>
      <c r="B1870" s="4">
        <v>45898</v>
      </c>
      <c r="C1870" s="5">
        <v>1</v>
      </c>
      <c r="D1870" s="9" t="s">
        <v>98</v>
      </c>
      <c r="E1870" s="10">
        <v>110</v>
      </c>
      <c r="F1870" s="10">
        <f t="shared" si="29"/>
        <v>110</v>
      </c>
    </row>
    <row r="1871" spans="1:6" s="9" customFormat="1" x14ac:dyDescent="0.25">
      <c r="B1871" s="4"/>
      <c r="C1871" s="5">
        <v>1</v>
      </c>
      <c r="D1871" s="9" t="s">
        <v>8</v>
      </c>
      <c r="E1871" s="10">
        <v>160</v>
      </c>
      <c r="F1871" s="10">
        <f t="shared" si="29"/>
        <v>160</v>
      </c>
    </row>
    <row r="1872" spans="1:6" s="9" customFormat="1" x14ac:dyDescent="0.25">
      <c r="B1872" s="4"/>
      <c r="C1872" s="5"/>
      <c r="E1872" s="10"/>
      <c r="F1872" s="8">
        <f>SUM(F1870:F1871)</f>
        <v>270</v>
      </c>
    </row>
    <row r="1873" spans="1:6" s="9" customFormat="1" x14ac:dyDescent="0.25">
      <c r="B1873" s="4"/>
      <c r="C1873" s="5"/>
      <c r="E1873" s="10"/>
      <c r="F1873" s="10"/>
    </row>
    <row r="1874" spans="1:6" s="9" customFormat="1" x14ac:dyDescent="0.25">
      <c r="A1874" s="9" t="s">
        <v>44</v>
      </c>
      <c r="B1874" s="4">
        <v>45899</v>
      </c>
      <c r="C1874" s="5">
        <v>10</v>
      </c>
      <c r="D1874" s="9" t="s">
        <v>13</v>
      </c>
      <c r="E1874" s="10">
        <v>150</v>
      </c>
      <c r="F1874" s="10">
        <f t="shared" si="29"/>
        <v>1500</v>
      </c>
    </row>
    <row r="1875" spans="1:6" s="9" customFormat="1" x14ac:dyDescent="0.25">
      <c r="B1875" s="4"/>
      <c r="C1875" s="5"/>
      <c r="E1875" s="10"/>
      <c r="F1875" s="8">
        <f>SUM(F1874)</f>
        <v>1500</v>
      </c>
    </row>
    <row r="1876" spans="1:6" s="9" customFormat="1" x14ac:dyDescent="0.25">
      <c r="B1876" s="4"/>
      <c r="C1876" s="5"/>
      <c r="E1876" s="10"/>
      <c r="F1876" s="10"/>
    </row>
    <row r="1877" spans="1:6" s="9" customFormat="1" x14ac:dyDescent="0.25">
      <c r="A1877" s="9" t="s">
        <v>724</v>
      </c>
      <c r="B1877" s="4">
        <v>45899</v>
      </c>
      <c r="C1877" s="5">
        <v>10</v>
      </c>
      <c r="D1877" s="9" t="s">
        <v>98</v>
      </c>
      <c r="E1877" s="10">
        <v>110</v>
      </c>
      <c r="F1877" s="10">
        <f t="shared" si="29"/>
        <v>1100</v>
      </c>
    </row>
    <row r="1878" spans="1:6" s="9" customFormat="1" x14ac:dyDescent="0.25">
      <c r="B1878" s="4"/>
      <c r="C1878" s="5"/>
      <c r="E1878" s="10"/>
      <c r="F1878" s="8">
        <f>SUM(F1877)</f>
        <v>1100</v>
      </c>
    </row>
    <row r="1879" spans="1:6" s="9" customFormat="1" x14ac:dyDescent="0.25">
      <c r="B1879" s="4"/>
      <c r="C1879" s="5"/>
      <c r="E1879" s="10"/>
      <c r="F1879" s="10"/>
    </row>
    <row r="1880" spans="1:6" s="9" customFormat="1" x14ac:dyDescent="0.25">
      <c r="A1880" s="9" t="s">
        <v>58</v>
      </c>
      <c r="B1880" s="4">
        <v>45899</v>
      </c>
      <c r="C1880" s="5">
        <v>10</v>
      </c>
      <c r="D1880" s="9" t="s">
        <v>13</v>
      </c>
      <c r="E1880" s="10">
        <v>150</v>
      </c>
      <c r="F1880" s="10">
        <f t="shared" si="29"/>
        <v>1500</v>
      </c>
    </row>
    <row r="1881" spans="1:6" s="9" customFormat="1" x14ac:dyDescent="0.25">
      <c r="B1881" s="4"/>
      <c r="C1881" s="5"/>
      <c r="E1881" s="10"/>
      <c r="F1881" s="8">
        <f>SUM(F1880)</f>
        <v>1500</v>
      </c>
    </row>
    <row r="1882" spans="1:6" s="9" customFormat="1" x14ac:dyDescent="0.25">
      <c r="B1882" s="4"/>
      <c r="C1882" s="5"/>
      <c r="E1882" s="10"/>
      <c r="F1882" s="10"/>
    </row>
    <row r="1883" spans="1:6" s="9" customFormat="1" x14ac:dyDescent="0.25">
      <c r="A1883" s="9" t="s">
        <v>20</v>
      </c>
      <c r="B1883" s="4">
        <v>45899</v>
      </c>
      <c r="C1883" s="5">
        <v>20</v>
      </c>
      <c r="D1883" s="9" t="s">
        <v>13</v>
      </c>
      <c r="E1883" s="10">
        <v>155</v>
      </c>
      <c r="F1883" s="10">
        <f t="shared" si="29"/>
        <v>3100</v>
      </c>
    </row>
    <row r="1884" spans="1:6" s="9" customFormat="1" x14ac:dyDescent="0.25">
      <c r="B1884" s="4"/>
      <c r="C1884" s="5"/>
      <c r="E1884" s="10"/>
      <c r="F1884" s="8">
        <f>SUM(F1883)</f>
        <v>3100</v>
      </c>
    </row>
    <row r="1885" spans="1:6" s="9" customFormat="1" x14ac:dyDescent="0.25">
      <c r="B1885" s="4"/>
      <c r="C1885" s="5"/>
      <c r="E1885" s="10"/>
      <c r="F1885" s="10"/>
    </row>
    <row r="1886" spans="1:6" s="9" customFormat="1" x14ac:dyDescent="0.25">
      <c r="A1886" s="9" t="s">
        <v>21</v>
      </c>
      <c r="B1886" s="4">
        <v>45899</v>
      </c>
      <c r="C1886" s="5">
        <v>32</v>
      </c>
      <c r="D1886" s="9" t="s">
        <v>13</v>
      </c>
      <c r="E1886" s="10">
        <v>155</v>
      </c>
      <c r="F1886" s="10">
        <f t="shared" si="29"/>
        <v>4960</v>
      </c>
    </row>
    <row r="1887" spans="1:6" s="9" customFormat="1" x14ac:dyDescent="0.25">
      <c r="B1887" s="4"/>
      <c r="C1887" s="5">
        <v>30</v>
      </c>
      <c r="D1887" s="9" t="s">
        <v>12</v>
      </c>
      <c r="E1887" s="10">
        <v>145</v>
      </c>
      <c r="F1887" s="10">
        <f t="shared" si="29"/>
        <v>4350</v>
      </c>
    </row>
    <row r="1888" spans="1:6" s="9" customFormat="1" x14ac:dyDescent="0.25">
      <c r="B1888" s="4"/>
      <c r="C1888" s="5">
        <v>10</v>
      </c>
      <c r="D1888" s="9" t="s">
        <v>8</v>
      </c>
      <c r="E1888" s="10">
        <v>165</v>
      </c>
      <c r="F1888" s="10">
        <f t="shared" si="29"/>
        <v>1650</v>
      </c>
    </row>
    <row r="1889" spans="1:6" s="9" customFormat="1" x14ac:dyDescent="0.25">
      <c r="B1889" s="4"/>
      <c r="C1889" s="5"/>
      <c r="E1889" s="10"/>
      <c r="F1889" s="8">
        <f>SUM(F1886:F1888)</f>
        <v>10960</v>
      </c>
    </row>
    <row r="1890" spans="1:6" s="9" customFormat="1" x14ac:dyDescent="0.25">
      <c r="B1890" s="4"/>
      <c r="C1890" s="5"/>
      <c r="E1890" s="10"/>
      <c r="F1890" s="10"/>
    </row>
    <row r="1891" spans="1:6" s="9" customFormat="1" x14ac:dyDescent="0.25">
      <c r="A1891" s="9" t="s">
        <v>367</v>
      </c>
      <c r="B1891" s="4">
        <v>45899</v>
      </c>
      <c r="C1891" s="5">
        <v>10</v>
      </c>
      <c r="D1891" s="9" t="s">
        <v>13</v>
      </c>
      <c r="E1891" s="10">
        <v>155</v>
      </c>
      <c r="F1891" s="10">
        <f t="shared" si="29"/>
        <v>1550</v>
      </c>
    </row>
    <row r="1892" spans="1:6" s="9" customFormat="1" x14ac:dyDescent="0.25">
      <c r="B1892" s="4"/>
      <c r="C1892" s="5">
        <v>10</v>
      </c>
      <c r="D1892" s="9" t="s">
        <v>14</v>
      </c>
      <c r="E1892" s="10">
        <v>150</v>
      </c>
      <c r="F1892" s="10">
        <f t="shared" si="29"/>
        <v>1500</v>
      </c>
    </row>
    <row r="1893" spans="1:6" s="9" customFormat="1" x14ac:dyDescent="0.25">
      <c r="B1893" s="4"/>
      <c r="C1893" s="5"/>
      <c r="E1893" s="10"/>
      <c r="F1893" s="8">
        <f>SUM(F1891:F1892)</f>
        <v>3050</v>
      </c>
    </row>
    <row r="1894" spans="1:6" s="9" customFormat="1" x14ac:dyDescent="0.25">
      <c r="B1894" s="4"/>
      <c r="C1894" s="5"/>
      <c r="E1894" s="10"/>
      <c r="F1894" s="10"/>
    </row>
    <row r="1895" spans="1:6" s="9" customFormat="1" x14ac:dyDescent="0.25">
      <c r="A1895" s="9" t="s">
        <v>25</v>
      </c>
      <c r="B1895" s="4">
        <v>45899</v>
      </c>
      <c r="C1895" s="5">
        <v>20</v>
      </c>
      <c r="D1895" s="9" t="s">
        <v>8</v>
      </c>
      <c r="E1895" s="10">
        <v>165</v>
      </c>
      <c r="F1895" s="10">
        <f t="shared" si="29"/>
        <v>3300</v>
      </c>
    </row>
    <row r="1896" spans="1:6" s="9" customFormat="1" x14ac:dyDescent="0.25">
      <c r="B1896" s="4"/>
      <c r="C1896" s="5"/>
      <c r="E1896" s="10"/>
      <c r="F1896" s="8">
        <f>SUM(F1895)</f>
        <v>3300</v>
      </c>
    </row>
    <row r="1897" spans="1:6" s="9" customFormat="1" x14ac:dyDescent="0.25">
      <c r="B1897" s="4"/>
      <c r="C1897" s="5"/>
      <c r="E1897" s="10"/>
      <c r="F1897" s="10"/>
    </row>
    <row r="1898" spans="1:6" s="9" customFormat="1" x14ac:dyDescent="0.25">
      <c r="A1898" s="9" t="s">
        <v>40</v>
      </c>
      <c r="B1898" s="4">
        <v>45899</v>
      </c>
      <c r="C1898" s="5">
        <v>10</v>
      </c>
      <c r="D1898" s="9" t="s">
        <v>8</v>
      </c>
      <c r="E1898" s="10">
        <v>160</v>
      </c>
      <c r="F1898" s="10">
        <f t="shared" si="29"/>
        <v>1600</v>
      </c>
    </row>
    <row r="1899" spans="1:6" s="9" customFormat="1" x14ac:dyDescent="0.25">
      <c r="B1899" s="4"/>
      <c r="C1899" s="5">
        <v>10</v>
      </c>
      <c r="D1899" s="9" t="s">
        <v>13</v>
      </c>
      <c r="E1899" s="10">
        <v>155</v>
      </c>
      <c r="F1899" s="10">
        <f t="shared" si="29"/>
        <v>1550</v>
      </c>
    </row>
    <row r="1900" spans="1:6" s="9" customFormat="1" x14ac:dyDescent="0.25">
      <c r="B1900" s="4"/>
      <c r="C1900" s="5">
        <v>20</v>
      </c>
      <c r="D1900" s="9" t="s">
        <v>22</v>
      </c>
      <c r="E1900" s="10">
        <v>135</v>
      </c>
      <c r="F1900" s="10">
        <f t="shared" ref="F1900:F1966" si="30">+C1900*E1900</f>
        <v>2700</v>
      </c>
    </row>
    <row r="1901" spans="1:6" s="9" customFormat="1" x14ac:dyDescent="0.25">
      <c r="B1901" s="4"/>
      <c r="C1901" s="5">
        <v>10</v>
      </c>
      <c r="D1901" s="9" t="s">
        <v>50</v>
      </c>
      <c r="E1901" s="10">
        <v>130</v>
      </c>
      <c r="F1901" s="10">
        <f t="shared" si="30"/>
        <v>1300</v>
      </c>
    </row>
    <row r="1902" spans="1:6" s="9" customFormat="1" x14ac:dyDescent="0.25">
      <c r="B1902" s="4"/>
      <c r="C1902" s="5"/>
      <c r="E1902" s="10"/>
      <c r="F1902" s="8">
        <f>SUM(F1898:F1901)</f>
        <v>7150</v>
      </c>
    </row>
    <row r="1903" spans="1:6" s="9" customFormat="1" x14ac:dyDescent="0.25">
      <c r="B1903" s="4"/>
      <c r="C1903" s="5"/>
      <c r="E1903" s="10"/>
      <c r="F1903" s="10"/>
    </row>
    <row r="1904" spans="1:6" s="9" customFormat="1" x14ac:dyDescent="0.25">
      <c r="A1904" s="9" t="s">
        <v>688</v>
      </c>
      <c r="B1904" s="4">
        <v>45899</v>
      </c>
      <c r="C1904" s="5">
        <v>3</v>
      </c>
      <c r="D1904" s="9" t="s">
        <v>13</v>
      </c>
      <c r="E1904" s="10">
        <v>150</v>
      </c>
      <c r="F1904" s="10">
        <f t="shared" si="30"/>
        <v>450</v>
      </c>
    </row>
    <row r="1905" spans="1:6" s="9" customFormat="1" x14ac:dyDescent="0.25">
      <c r="B1905" s="4"/>
      <c r="C1905" s="5"/>
      <c r="E1905" s="10"/>
      <c r="F1905" s="8">
        <f>SUM(F1904)</f>
        <v>450</v>
      </c>
    </row>
    <row r="1906" spans="1:6" s="9" customFormat="1" x14ac:dyDescent="0.25">
      <c r="B1906" s="4"/>
      <c r="C1906" s="5"/>
      <c r="E1906" s="10"/>
      <c r="F1906" s="10"/>
    </row>
    <row r="1907" spans="1:6" s="9" customFormat="1" x14ac:dyDescent="0.25">
      <c r="A1907" s="9" t="s">
        <v>61</v>
      </c>
      <c r="B1907" s="4">
        <v>45899</v>
      </c>
      <c r="C1907" s="5">
        <v>60</v>
      </c>
      <c r="D1907" s="9" t="s">
        <v>13</v>
      </c>
      <c r="E1907" s="10">
        <v>155</v>
      </c>
      <c r="F1907" s="10">
        <f t="shared" si="30"/>
        <v>9300</v>
      </c>
    </row>
    <row r="1908" spans="1:6" s="9" customFormat="1" x14ac:dyDescent="0.25">
      <c r="B1908" s="4"/>
      <c r="C1908" s="5"/>
      <c r="E1908" s="10"/>
      <c r="F1908" s="8">
        <f>SUM(F1907)</f>
        <v>9300</v>
      </c>
    </row>
    <row r="1909" spans="1:6" s="9" customFormat="1" x14ac:dyDescent="0.25">
      <c r="B1909" s="4"/>
      <c r="C1909" s="5"/>
      <c r="E1909" s="10"/>
      <c r="F1909" s="10"/>
    </row>
    <row r="1910" spans="1:6" s="9" customFormat="1" x14ac:dyDescent="0.25">
      <c r="A1910" s="9" t="s">
        <v>60</v>
      </c>
      <c r="B1910" s="4">
        <v>45899</v>
      </c>
      <c r="C1910" s="5">
        <v>20</v>
      </c>
      <c r="D1910" s="9" t="s">
        <v>13</v>
      </c>
      <c r="E1910" s="10">
        <v>155</v>
      </c>
      <c r="F1910" s="10">
        <f t="shared" si="30"/>
        <v>3100</v>
      </c>
    </row>
    <row r="1911" spans="1:6" s="9" customFormat="1" x14ac:dyDescent="0.25">
      <c r="B1911" s="4"/>
      <c r="C1911" s="5"/>
      <c r="E1911" s="10"/>
      <c r="F1911" s="8">
        <f>SUM(F1910)</f>
        <v>3100</v>
      </c>
    </row>
    <row r="1912" spans="1:6" s="9" customFormat="1" x14ac:dyDescent="0.25">
      <c r="B1912" s="4"/>
      <c r="C1912" s="5"/>
      <c r="E1912" s="10"/>
      <c r="F1912" s="10"/>
    </row>
    <row r="1913" spans="1:6" s="9" customFormat="1" x14ac:dyDescent="0.25">
      <c r="A1913" s="9" t="s">
        <v>200</v>
      </c>
      <c r="B1913" s="4">
        <v>45899</v>
      </c>
      <c r="C1913" s="5">
        <v>10</v>
      </c>
      <c r="D1913" s="9" t="s">
        <v>8</v>
      </c>
      <c r="E1913" s="10">
        <v>165</v>
      </c>
      <c r="F1913" s="10">
        <f t="shared" si="30"/>
        <v>1650</v>
      </c>
    </row>
    <row r="1914" spans="1:6" s="9" customFormat="1" x14ac:dyDescent="0.25">
      <c r="B1914" s="4"/>
      <c r="C1914" s="5"/>
      <c r="E1914" s="10"/>
      <c r="F1914" s="8">
        <f>SUM(F1913)</f>
        <v>1650</v>
      </c>
    </row>
    <row r="1915" spans="1:6" s="9" customFormat="1" x14ac:dyDescent="0.25">
      <c r="B1915" s="4"/>
      <c r="C1915" s="5"/>
      <c r="E1915" s="10"/>
      <c r="F1915" s="10"/>
    </row>
    <row r="1916" spans="1:6" s="9" customFormat="1" x14ac:dyDescent="0.25">
      <c r="A1916" s="9" t="s">
        <v>306</v>
      </c>
      <c r="B1916" s="4">
        <v>45899</v>
      </c>
      <c r="C1916" s="5">
        <v>5</v>
      </c>
      <c r="D1916" s="9" t="s">
        <v>13</v>
      </c>
      <c r="E1916" s="10">
        <v>155</v>
      </c>
      <c r="F1916" s="10">
        <f t="shared" si="30"/>
        <v>775</v>
      </c>
    </row>
    <row r="1917" spans="1:6" s="9" customFormat="1" x14ac:dyDescent="0.25">
      <c r="B1917" s="4"/>
      <c r="C1917" s="5"/>
      <c r="E1917" s="10"/>
      <c r="F1917" s="8">
        <f>SUM(F1916)</f>
        <v>775</v>
      </c>
    </row>
    <row r="1918" spans="1:6" s="9" customFormat="1" x14ac:dyDescent="0.25">
      <c r="B1918" s="4"/>
      <c r="C1918" s="5"/>
      <c r="E1918" s="10"/>
      <c r="F1918" s="10"/>
    </row>
    <row r="1919" spans="1:6" s="9" customFormat="1" x14ac:dyDescent="0.25">
      <c r="A1919" s="9" t="s">
        <v>113</v>
      </c>
      <c r="B1919" s="4">
        <v>45899</v>
      </c>
      <c r="C1919" s="5">
        <v>20</v>
      </c>
      <c r="D1919" s="9" t="s">
        <v>8</v>
      </c>
      <c r="E1919" s="10">
        <v>165</v>
      </c>
      <c r="F1919" s="10">
        <f t="shared" si="30"/>
        <v>3300</v>
      </c>
    </row>
    <row r="1920" spans="1:6" s="9" customFormat="1" x14ac:dyDescent="0.25">
      <c r="B1920" s="4"/>
      <c r="C1920" s="5"/>
      <c r="E1920" s="10"/>
      <c r="F1920" s="8">
        <f>SUM(F1919)</f>
        <v>3300</v>
      </c>
    </row>
    <row r="1921" spans="1:6" s="9" customFormat="1" x14ac:dyDescent="0.25">
      <c r="B1921" s="4"/>
      <c r="C1921" s="5"/>
      <c r="E1921" s="10"/>
      <c r="F1921" s="10"/>
    </row>
    <row r="1922" spans="1:6" s="9" customFormat="1" x14ac:dyDescent="0.25">
      <c r="A1922" s="9" t="s">
        <v>87</v>
      </c>
      <c r="B1922" s="4">
        <v>45899</v>
      </c>
      <c r="C1922" s="5">
        <v>2</v>
      </c>
      <c r="D1922" s="9" t="s">
        <v>13</v>
      </c>
      <c r="E1922" s="10">
        <v>155</v>
      </c>
      <c r="F1922" s="10">
        <f t="shared" si="30"/>
        <v>310</v>
      </c>
    </row>
    <row r="1923" spans="1:6" s="9" customFormat="1" x14ac:dyDescent="0.25">
      <c r="B1923" s="4"/>
      <c r="C1923" s="5">
        <v>2</v>
      </c>
      <c r="D1923" s="9" t="s">
        <v>22</v>
      </c>
      <c r="E1923" s="10">
        <v>130</v>
      </c>
      <c r="F1923" s="10">
        <f t="shared" si="30"/>
        <v>260</v>
      </c>
    </row>
    <row r="1924" spans="1:6" s="9" customFormat="1" x14ac:dyDescent="0.25">
      <c r="B1924" s="4"/>
      <c r="C1924" s="5"/>
      <c r="E1924" s="10"/>
      <c r="F1924" s="8">
        <f>SUM(F1922:F1923)</f>
        <v>570</v>
      </c>
    </row>
    <row r="1925" spans="1:6" s="9" customFormat="1" x14ac:dyDescent="0.25">
      <c r="B1925" s="4"/>
      <c r="C1925" s="5"/>
      <c r="E1925" s="10"/>
      <c r="F1925" s="10"/>
    </row>
    <row r="1926" spans="1:6" s="9" customFormat="1" x14ac:dyDescent="0.25">
      <c r="A1926" s="9" t="s">
        <v>174</v>
      </c>
      <c r="B1926" s="4">
        <v>45899</v>
      </c>
      <c r="C1926" s="5">
        <v>100</v>
      </c>
      <c r="D1926" s="9" t="s">
        <v>12</v>
      </c>
      <c r="E1926" s="10">
        <v>140</v>
      </c>
      <c r="F1926" s="10">
        <f t="shared" si="30"/>
        <v>14000</v>
      </c>
    </row>
    <row r="1927" spans="1:6" s="9" customFormat="1" x14ac:dyDescent="0.25">
      <c r="B1927" s="4"/>
      <c r="C1927" s="5">
        <v>30</v>
      </c>
      <c r="D1927" s="9" t="s">
        <v>22</v>
      </c>
      <c r="E1927" s="10">
        <v>120</v>
      </c>
      <c r="F1927" s="10">
        <f t="shared" si="30"/>
        <v>3600</v>
      </c>
    </row>
    <row r="1928" spans="1:6" s="9" customFormat="1" x14ac:dyDescent="0.25">
      <c r="B1928" s="4"/>
      <c r="C1928" s="5"/>
      <c r="E1928" s="10"/>
      <c r="F1928" s="8">
        <f>SUM(F1926:F1927)</f>
        <v>17600</v>
      </c>
    </row>
    <row r="1929" spans="1:6" s="9" customFormat="1" x14ac:dyDescent="0.25">
      <c r="B1929" s="4"/>
      <c r="C1929" s="5"/>
      <c r="E1929" s="10"/>
      <c r="F1929" s="10"/>
    </row>
    <row r="1930" spans="1:6" s="9" customFormat="1" x14ac:dyDescent="0.25">
      <c r="A1930" s="9" t="s">
        <v>72</v>
      </c>
      <c r="B1930" s="4">
        <v>45899</v>
      </c>
      <c r="C1930" s="5">
        <v>310</v>
      </c>
      <c r="D1930" s="9" t="s">
        <v>13</v>
      </c>
      <c r="E1930" s="10">
        <v>145</v>
      </c>
      <c r="F1930" s="10">
        <f t="shared" si="30"/>
        <v>44950</v>
      </c>
    </row>
    <row r="1931" spans="1:6" s="9" customFormat="1" x14ac:dyDescent="0.25">
      <c r="B1931" s="4"/>
      <c r="C1931" s="5">
        <v>130</v>
      </c>
      <c r="D1931" s="9" t="s">
        <v>12</v>
      </c>
      <c r="E1931" s="10">
        <v>140</v>
      </c>
      <c r="F1931" s="10">
        <f t="shared" si="30"/>
        <v>18200</v>
      </c>
    </row>
    <row r="1932" spans="1:6" s="9" customFormat="1" x14ac:dyDescent="0.25">
      <c r="B1932" s="4"/>
      <c r="C1932" s="5">
        <v>40</v>
      </c>
      <c r="D1932" s="9" t="s">
        <v>14</v>
      </c>
      <c r="E1932" s="10">
        <v>140</v>
      </c>
      <c r="F1932" s="10">
        <f t="shared" si="30"/>
        <v>5600</v>
      </c>
    </row>
    <row r="1933" spans="1:6" s="9" customFormat="1" x14ac:dyDescent="0.25">
      <c r="B1933" s="4"/>
      <c r="C1933" s="5">
        <v>70</v>
      </c>
      <c r="D1933" s="9" t="s">
        <v>11</v>
      </c>
      <c r="E1933" s="10">
        <v>135</v>
      </c>
      <c r="F1933" s="10">
        <f t="shared" si="30"/>
        <v>9450</v>
      </c>
    </row>
    <row r="1934" spans="1:6" s="9" customFormat="1" x14ac:dyDescent="0.25">
      <c r="B1934" s="4"/>
      <c r="C1934" s="5"/>
      <c r="E1934" s="10"/>
      <c r="F1934" s="8">
        <f>SUM(F1930:F1933)</f>
        <v>78200</v>
      </c>
    </row>
    <row r="1935" spans="1:6" s="9" customFormat="1" x14ac:dyDescent="0.25">
      <c r="B1935" s="4"/>
      <c r="C1935" s="5"/>
      <c r="E1935" s="10"/>
      <c r="F1935" s="10"/>
    </row>
    <row r="1936" spans="1:6" s="9" customFormat="1" x14ac:dyDescent="0.25">
      <c r="A1936" s="9" t="s">
        <v>65</v>
      </c>
      <c r="B1936" s="4">
        <v>45899</v>
      </c>
      <c r="C1936" s="5">
        <v>500</v>
      </c>
      <c r="D1936" s="9" t="s">
        <v>13</v>
      </c>
      <c r="E1936" s="10">
        <v>150</v>
      </c>
      <c r="F1936" s="10">
        <f t="shared" si="30"/>
        <v>75000</v>
      </c>
    </row>
    <row r="1937" spans="1:6" s="9" customFormat="1" x14ac:dyDescent="0.25">
      <c r="B1937" s="4"/>
      <c r="C1937" s="5">
        <v>200</v>
      </c>
      <c r="D1937" s="9" t="s">
        <v>14</v>
      </c>
      <c r="E1937" s="10">
        <v>150</v>
      </c>
      <c r="F1937" s="10">
        <f t="shared" si="30"/>
        <v>30000</v>
      </c>
    </row>
    <row r="1938" spans="1:6" s="9" customFormat="1" x14ac:dyDescent="0.25">
      <c r="B1938" s="4"/>
      <c r="C1938" s="5">
        <v>100</v>
      </c>
      <c r="D1938" s="9" t="s">
        <v>11</v>
      </c>
      <c r="E1938" s="10">
        <v>145</v>
      </c>
      <c r="F1938" s="10">
        <f t="shared" si="30"/>
        <v>14500</v>
      </c>
    </row>
    <row r="1939" spans="1:6" s="9" customFormat="1" x14ac:dyDescent="0.25">
      <c r="B1939" s="4"/>
      <c r="C1939" s="5">
        <v>1070</v>
      </c>
      <c r="D1939" s="9" t="s">
        <v>12</v>
      </c>
      <c r="E1939" s="10">
        <v>145</v>
      </c>
      <c r="F1939" s="10">
        <f t="shared" si="30"/>
        <v>155150</v>
      </c>
    </row>
    <row r="1940" spans="1:6" s="9" customFormat="1" x14ac:dyDescent="0.25">
      <c r="B1940" s="4"/>
      <c r="C1940" s="5">
        <v>50</v>
      </c>
      <c r="D1940" s="9" t="s">
        <v>22</v>
      </c>
      <c r="E1940" s="10">
        <v>130</v>
      </c>
      <c r="F1940" s="10">
        <f t="shared" si="30"/>
        <v>6500</v>
      </c>
    </row>
    <row r="1941" spans="1:6" s="9" customFormat="1" x14ac:dyDescent="0.25">
      <c r="B1941" s="4"/>
      <c r="C1941" s="5">
        <v>30</v>
      </c>
      <c r="D1941" s="9" t="s">
        <v>50</v>
      </c>
      <c r="E1941" s="10">
        <v>130</v>
      </c>
      <c r="F1941" s="10">
        <f t="shared" si="30"/>
        <v>3900</v>
      </c>
    </row>
    <row r="1942" spans="1:6" s="9" customFormat="1" x14ac:dyDescent="0.25">
      <c r="B1942" s="4"/>
      <c r="C1942" s="5"/>
      <c r="E1942" s="10"/>
      <c r="F1942" s="8">
        <f>SUM(F1936:F1941)</f>
        <v>285050</v>
      </c>
    </row>
    <row r="1943" spans="1:6" s="9" customFormat="1" x14ac:dyDescent="0.25">
      <c r="B1943" s="4"/>
      <c r="C1943" s="5"/>
      <c r="E1943" s="10"/>
      <c r="F1943" s="10"/>
    </row>
    <row r="1944" spans="1:6" s="9" customFormat="1" x14ac:dyDescent="0.25">
      <c r="A1944" s="9" t="s">
        <v>868</v>
      </c>
      <c r="B1944" s="4">
        <v>45899</v>
      </c>
      <c r="C1944" s="5">
        <v>115</v>
      </c>
      <c r="D1944" s="9" t="s">
        <v>50</v>
      </c>
      <c r="E1944" s="10"/>
      <c r="F1944" s="10">
        <f t="shared" si="30"/>
        <v>0</v>
      </c>
    </row>
    <row r="1945" spans="1:6" s="9" customFormat="1" x14ac:dyDescent="0.25">
      <c r="B1945" s="4"/>
      <c r="C1945" s="5">
        <v>140</v>
      </c>
      <c r="D1945" s="9" t="s">
        <v>22</v>
      </c>
      <c r="E1945" s="10"/>
      <c r="F1945" s="10">
        <f t="shared" si="30"/>
        <v>0</v>
      </c>
    </row>
    <row r="1946" spans="1:6" s="9" customFormat="1" x14ac:dyDescent="0.25">
      <c r="B1946" s="4"/>
      <c r="C1946" s="5"/>
      <c r="E1946" s="10"/>
      <c r="F1946" s="8">
        <f>SUM(F1944:F1945)</f>
        <v>0</v>
      </c>
    </row>
    <row r="1947" spans="1:6" s="9" customFormat="1" x14ac:dyDescent="0.25">
      <c r="B1947" s="4"/>
      <c r="C1947" s="5"/>
      <c r="E1947" s="10"/>
      <c r="F1947" s="10"/>
    </row>
    <row r="1948" spans="1:6" s="9" customFormat="1" x14ac:dyDescent="0.25">
      <c r="A1948" s="9" t="s">
        <v>76</v>
      </c>
      <c r="B1948" s="4">
        <v>45899</v>
      </c>
      <c r="C1948" s="5">
        <v>100</v>
      </c>
      <c r="D1948" s="9" t="s">
        <v>14</v>
      </c>
      <c r="E1948" s="10"/>
      <c r="F1948" s="10">
        <f t="shared" si="30"/>
        <v>0</v>
      </c>
    </row>
    <row r="1949" spans="1:6" s="9" customFormat="1" x14ac:dyDescent="0.25">
      <c r="B1949" s="4"/>
      <c r="C1949" s="5">
        <v>150</v>
      </c>
      <c r="D1949" s="9" t="s">
        <v>903</v>
      </c>
      <c r="E1949" s="10"/>
      <c r="F1949" s="10">
        <f t="shared" si="30"/>
        <v>0</v>
      </c>
    </row>
    <row r="1950" spans="1:6" s="9" customFormat="1" x14ac:dyDescent="0.25">
      <c r="B1950" s="4"/>
      <c r="C1950" s="5"/>
      <c r="E1950" s="10"/>
      <c r="F1950" s="8">
        <f>SUM(F1948:F1949)</f>
        <v>0</v>
      </c>
    </row>
    <row r="1951" spans="1:6" s="9" customFormat="1" x14ac:dyDescent="0.25">
      <c r="B1951" s="4"/>
      <c r="C1951" s="5"/>
      <c r="E1951" s="10"/>
      <c r="F1951" s="10"/>
    </row>
    <row r="1952" spans="1:6" s="9" customFormat="1" x14ac:dyDescent="0.25">
      <c r="A1952" s="9" t="s">
        <v>32</v>
      </c>
      <c r="B1952" s="4">
        <v>45899</v>
      </c>
      <c r="C1952" s="5">
        <v>20</v>
      </c>
      <c r="D1952" s="9" t="s">
        <v>13</v>
      </c>
      <c r="E1952" s="10">
        <v>150</v>
      </c>
      <c r="F1952" s="10">
        <f t="shared" si="30"/>
        <v>3000</v>
      </c>
    </row>
    <row r="1953" spans="1:6" s="9" customFormat="1" x14ac:dyDescent="0.25">
      <c r="B1953" s="4"/>
      <c r="C1953" s="5"/>
      <c r="E1953" s="10"/>
      <c r="F1953" s="8">
        <f>SUM(F1952)</f>
        <v>3000</v>
      </c>
    </row>
    <row r="1954" spans="1:6" s="9" customFormat="1" x14ac:dyDescent="0.25">
      <c r="B1954" s="4"/>
      <c r="C1954" s="5"/>
      <c r="E1954" s="10"/>
      <c r="F1954" s="10"/>
    </row>
    <row r="1955" spans="1:6" s="9" customFormat="1" x14ac:dyDescent="0.25">
      <c r="A1955" s="9" t="s">
        <v>29</v>
      </c>
      <c r="B1955" s="4">
        <v>45899</v>
      </c>
      <c r="C1955" s="5">
        <v>1</v>
      </c>
      <c r="D1955" s="9" t="s">
        <v>13</v>
      </c>
      <c r="E1955" s="10">
        <v>160</v>
      </c>
      <c r="F1955" s="10">
        <f t="shared" si="30"/>
        <v>160</v>
      </c>
    </row>
    <row r="1956" spans="1:6" s="9" customFormat="1" x14ac:dyDescent="0.25">
      <c r="B1956" s="4"/>
      <c r="C1956" s="5">
        <v>9</v>
      </c>
      <c r="D1956" s="9" t="s">
        <v>8</v>
      </c>
      <c r="E1956" s="10">
        <v>160</v>
      </c>
      <c r="F1956" s="10">
        <f t="shared" si="30"/>
        <v>1440</v>
      </c>
    </row>
    <row r="1957" spans="1:6" s="9" customFormat="1" x14ac:dyDescent="0.25">
      <c r="B1957" s="4"/>
      <c r="C1957" s="5">
        <v>10</v>
      </c>
      <c r="D1957" s="9" t="s">
        <v>13</v>
      </c>
      <c r="E1957" s="10">
        <v>145</v>
      </c>
      <c r="F1957" s="10">
        <f t="shared" si="30"/>
        <v>1450</v>
      </c>
    </row>
    <row r="1958" spans="1:6" s="9" customFormat="1" x14ac:dyDescent="0.25">
      <c r="B1958" s="4"/>
      <c r="C1958" s="5"/>
      <c r="E1958" s="10"/>
      <c r="F1958" s="8">
        <f>SUM(F1955:F1957)</f>
        <v>3050</v>
      </c>
    </row>
    <row r="1959" spans="1:6" s="9" customFormat="1" x14ac:dyDescent="0.25">
      <c r="B1959" s="4"/>
      <c r="C1959" s="5"/>
      <c r="E1959" s="10"/>
      <c r="F1959" s="10"/>
    </row>
    <row r="1960" spans="1:6" s="9" customFormat="1" x14ac:dyDescent="0.25">
      <c r="A1960" s="9" t="s">
        <v>7</v>
      </c>
      <c r="B1960" s="4">
        <v>45899</v>
      </c>
      <c r="C1960" s="5">
        <v>2</v>
      </c>
      <c r="D1960" s="9" t="s">
        <v>8</v>
      </c>
      <c r="E1960" s="10">
        <v>160</v>
      </c>
      <c r="F1960" s="10">
        <f t="shared" si="30"/>
        <v>320</v>
      </c>
    </row>
    <row r="1961" spans="1:6" s="9" customFormat="1" x14ac:dyDescent="0.25">
      <c r="B1961" s="4"/>
      <c r="C1961" s="5">
        <v>1</v>
      </c>
      <c r="D1961" s="9" t="s">
        <v>8</v>
      </c>
      <c r="E1961" s="10">
        <v>160</v>
      </c>
      <c r="F1961" s="10">
        <f t="shared" si="30"/>
        <v>160</v>
      </c>
    </row>
    <row r="1962" spans="1:6" s="9" customFormat="1" x14ac:dyDescent="0.25">
      <c r="B1962" s="4"/>
      <c r="C1962" s="5">
        <v>4</v>
      </c>
      <c r="D1962" s="9" t="s">
        <v>8</v>
      </c>
      <c r="E1962" s="10">
        <v>160</v>
      </c>
      <c r="F1962" s="10">
        <f t="shared" si="30"/>
        <v>640</v>
      </c>
    </row>
    <row r="1963" spans="1:6" s="9" customFormat="1" x14ac:dyDescent="0.25">
      <c r="B1963" s="4"/>
      <c r="C1963" s="5"/>
      <c r="E1963" s="10"/>
      <c r="F1963" s="8">
        <f>SUM(F1960:F1962)</f>
        <v>1120</v>
      </c>
    </row>
    <row r="1964" spans="1:6" s="9" customFormat="1" x14ac:dyDescent="0.25">
      <c r="B1964" s="4"/>
      <c r="C1964" s="5"/>
      <c r="E1964" s="10"/>
      <c r="F1964" s="10"/>
    </row>
    <row r="1965" spans="1:6" s="9" customFormat="1" x14ac:dyDescent="0.25">
      <c r="A1965" s="9" t="s">
        <v>29</v>
      </c>
      <c r="B1965" s="4">
        <v>45900</v>
      </c>
      <c r="C1965" s="5">
        <v>1</v>
      </c>
      <c r="D1965" s="9" t="s">
        <v>78</v>
      </c>
      <c r="E1965" s="10">
        <v>110</v>
      </c>
      <c r="F1965" s="10">
        <f t="shared" si="30"/>
        <v>110</v>
      </c>
    </row>
    <row r="1966" spans="1:6" s="9" customFormat="1" x14ac:dyDescent="0.25">
      <c r="B1966" s="4"/>
      <c r="C1966" s="5">
        <v>4</v>
      </c>
      <c r="D1966" s="9" t="s">
        <v>254</v>
      </c>
      <c r="E1966" s="10">
        <v>155</v>
      </c>
      <c r="F1966" s="10">
        <f t="shared" si="30"/>
        <v>620</v>
      </c>
    </row>
    <row r="1967" spans="1:6" s="9" customFormat="1" x14ac:dyDescent="0.25">
      <c r="B1967" s="4"/>
      <c r="C1967" s="5"/>
      <c r="E1967" s="10"/>
      <c r="F1967" s="8">
        <f>SUM(F1965:F1966)</f>
        <v>730</v>
      </c>
    </row>
    <row r="1968" spans="1:6" s="9" customFormat="1" x14ac:dyDescent="0.25">
      <c r="B1968" s="4"/>
      <c r="C1968" s="5"/>
      <c r="E1968" s="10"/>
      <c r="F1968" s="10"/>
    </row>
    <row r="1969" spans="1:7" s="9" customFormat="1" x14ac:dyDescent="0.25">
      <c r="A1969" s="9" t="s">
        <v>7</v>
      </c>
      <c r="B1969" s="4">
        <v>45900</v>
      </c>
      <c r="C1969" s="5">
        <v>1</v>
      </c>
      <c r="D1969" s="9" t="s">
        <v>13</v>
      </c>
      <c r="E1969" s="10">
        <v>160</v>
      </c>
      <c r="F1969" s="10">
        <f t="shared" ref="F1969:F1977" si="31">+C1969*E1969</f>
        <v>160</v>
      </c>
    </row>
    <row r="1970" spans="1:7" s="9" customFormat="1" x14ac:dyDescent="0.25">
      <c r="B1970" s="4"/>
      <c r="C1970" s="5">
        <v>2</v>
      </c>
      <c r="D1970" s="9" t="s">
        <v>12</v>
      </c>
      <c r="E1970" s="10">
        <v>150</v>
      </c>
      <c r="F1970" s="10">
        <f t="shared" si="31"/>
        <v>300</v>
      </c>
    </row>
    <row r="1971" spans="1:7" s="9" customFormat="1" x14ac:dyDescent="0.25">
      <c r="B1971" s="4"/>
      <c r="C1971" s="5">
        <v>1</v>
      </c>
      <c r="D1971" s="9" t="s">
        <v>8</v>
      </c>
      <c r="E1971" s="10">
        <v>170</v>
      </c>
      <c r="F1971" s="10">
        <f t="shared" si="31"/>
        <v>170</v>
      </c>
    </row>
    <row r="1972" spans="1:7" s="9" customFormat="1" x14ac:dyDescent="0.25">
      <c r="B1972" s="4"/>
      <c r="C1972" s="5"/>
      <c r="E1972" s="10"/>
      <c r="F1972" s="8">
        <f>SUM(F1969:F1971)</f>
        <v>630</v>
      </c>
    </row>
    <row r="1973" spans="1:7" s="9" customFormat="1" x14ac:dyDescent="0.25">
      <c r="B1973" s="4"/>
      <c r="C1973" s="5"/>
      <c r="E1973" s="10"/>
      <c r="F1973" s="8"/>
    </row>
    <row r="1974" spans="1:7" s="9" customFormat="1" x14ac:dyDescent="0.25">
      <c r="A1974" s="9" t="s">
        <v>76</v>
      </c>
      <c r="B1974" s="4">
        <v>45900</v>
      </c>
      <c r="C1974" s="5">
        <v>150</v>
      </c>
      <c r="D1974" s="9" t="s">
        <v>13</v>
      </c>
      <c r="E1974" s="10">
        <v>140</v>
      </c>
      <c r="F1974" s="10">
        <f t="shared" si="31"/>
        <v>21000</v>
      </c>
    </row>
    <row r="1975" spans="1:7" s="9" customFormat="1" x14ac:dyDescent="0.25">
      <c r="B1975" s="4"/>
      <c r="C1975" s="5">
        <v>65</v>
      </c>
      <c r="D1975" s="9" t="s">
        <v>12</v>
      </c>
      <c r="E1975" s="10">
        <v>135</v>
      </c>
      <c r="F1975" s="10">
        <f t="shared" si="31"/>
        <v>8775</v>
      </c>
    </row>
    <row r="1976" spans="1:7" s="9" customFormat="1" x14ac:dyDescent="0.25">
      <c r="B1976" s="4"/>
      <c r="C1976" s="5">
        <v>17</v>
      </c>
      <c r="D1976" s="9" t="s">
        <v>942</v>
      </c>
      <c r="E1976" s="10">
        <v>120</v>
      </c>
      <c r="F1976" s="10">
        <f t="shared" si="31"/>
        <v>2040</v>
      </c>
    </row>
    <row r="1977" spans="1:7" s="9" customFormat="1" x14ac:dyDescent="0.25">
      <c r="B1977" s="4"/>
      <c r="C1977" s="5">
        <v>20</v>
      </c>
      <c r="D1977" s="9" t="s">
        <v>14</v>
      </c>
      <c r="E1977" s="10">
        <v>140</v>
      </c>
      <c r="F1977" s="10">
        <f t="shared" si="31"/>
        <v>2800</v>
      </c>
    </row>
    <row r="1978" spans="1:7" s="9" customFormat="1" x14ac:dyDescent="0.25">
      <c r="B1978" s="4"/>
      <c r="C1978" s="5"/>
      <c r="E1978" s="10"/>
      <c r="F1978" s="8">
        <f>SUM(F1974:F1977)</f>
        <v>34615</v>
      </c>
    </row>
    <row r="1979" spans="1:7" s="9" customFormat="1" x14ac:dyDescent="0.25">
      <c r="B1979" s="4"/>
      <c r="C1979" s="5"/>
      <c r="E1979" s="10"/>
      <c r="F1979" s="10"/>
    </row>
    <row r="1980" spans="1:7" s="9" customFormat="1" x14ac:dyDescent="0.25">
      <c r="B1980" s="4"/>
      <c r="C1980" s="5"/>
      <c r="E1980" s="10"/>
      <c r="F1980" s="10"/>
    </row>
    <row r="1981" spans="1:7" s="9" customFormat="1" ht="15.75" customHeight="1" x14ac:dyDescent="0.25">
      <c r="C1981" s="5"/>
      <c r="E1981" s="10"/>
      <c r="F1981" s="10"/>
    </row>
    <row r="1982" spans="1:7" ht="15.75" x14ac:dyDescent="0.25">
      <c r="B1982" s="9"/>
      <c r="D1982" s="9"/>
      <c r="F1982" s="7" t="s">
        <v>294</v>
      </c>
      <c r="G1982" s="7">
        <f>+F4+F7+F10+F13+F16+F19+F23+F26+F32+F35+F38+F41+F44+F47+F50+F53+F56+F59+F64+F67+F71+F74+F77+F80+F84+F87+F90+F93+F97+F103+F108+F111+F114+F118+F121+F124+F128+F132+F135+F142+F145+F149+F152+F156+F160+F163+F167+F173+F181+F188+F194+F197+F200+F203+F206+F209+F214+F217+F220+F223+F228+F232+F235+F238+F241+F244+F247+F250+F253+F256+F259+F262+F265+F268+F272+F275+F278+F281+F284+F287+F290+F295+F298+F301+F305+F309+F312+F319+F322+F326+F329+F332+F335+F338+F341+F344+F347+F352+F357+F360+F368+F372+F375+F379+F387+F391+F395+F398+F404+F407+F410+F413+F417+F420+F423+F426+F429+F432+F435+F439+F442+F447+F450+F453+F456+F459+F463+F466+F469+F472+F478+F485+F490+F496+F502+F505+F508+F511+F514+F517+F520+F524+F530+F534+F537+F540+F543+F546+F549+F553+F558+F562+F566+F569+F572+F575+F578+F581+F584+F587+F590+F593+F596+F599+F602+F605+F608+F611+F616+F619+F623+F626+F629+F633+F637+F640+F643+F646+F649+F655+F658+F661+F664+F672+F676+F680+F685+F688+F691+F694+F697+F700+F703+F709+F715+F718+F721+F724+F727+F730+F733+F736+F739+F742+F745+F748+F752+F755+F758+F761+F764+F767+F770+F773+F776+F781+F786+F790+F793+F796+F799+F803+F806+F809+F812+F815+F818+F821+F825+F829+F836+F839+F844+F847+F850+F853+F856+F859+F862+F865+F868+F871+F874+F877+F880+F883+F886+F890+F893+F896+F899+F902+F905+F908+F911+F917+F925+F929+F934+F938+F945+F948+F951+F954+F957+F960+F963+F967+F974+F977+F980+F983+F986+F989+F993+F996+F999+F1002+F1005+F1008+F1011+F1014+F1017+F1020+F1023+F1026+F1029+F1034+F1037+F1040+F1044+F1050+F1053+F1059+F1062+F1065+F1068+F1071+F1075+F1078+F1081+F1084+F1087+F1090+F1096+F1099+F1107+F1113+F1119+F1125+F1129+F1134+F1137+F1140+F1143+F1146+F1149+F1154+F1157+F1161+F1165+F1170+F1173+F1176+F1179+F1182+F1186+F1189+F1194+F1197+F1200+F1203+F1206+F1214+F1220+F1223+F1226+F1229+F1232+F1235+F1238+F1241+F1244+F1248+F1251+F1255+F1258+F1261+F1264+F1267+F1270+F1274+F1277+F1280+F1283+F1290+F1297+F1300+F1303+F1306+F1310+F1314+F1317+F1323+F1326+F1329+F1332+F1337+F1340+F1343+F1346+F1349+F1353+F1359+F1363+F1366+F1369+F1376+F1379+F1382+F1385+F1388+F1391+F1394+F1397+F1400+F1404+F1408+F1413+F1420+F1426+F1429+F1432+F1435+F1438+F1443+F1446+F1449+F1452+F1455+F1458+F1461+F1464+F1468+F1471+F1475+F1479+F1482+F1485+F1489+F1492+F1495+F1503+F1508+F1511+F1514+F1517+F1520+F1523+F1529+F1532+F1535+F1540+F1543+F1546+F1549+F1552+F1555+F1561+F1564+F1567+F1570+F1575+F1579+F1583+F1586+F1589+F1593+F1596+F1599+F1602+F1605+F1608+F1613+F1616+F1621+F1624+F1627+F1630+F1633+F1636+F1640+F1643+F1646+F1649+F1657+F1660+F1666+F1670+F1673+F1676+F1679+F1682+F1685+F1688+F1691+F1696+F1699+F1702+F1706+F1709+F1712+F1717+F1720+F1724+F1728+F1732+F1735+F1738+F1741+F1744+F1747+F1752+F1755+F1760+F1766+F1771+F1775+F1783+F1786+F1790+F1793+F1798+F1801+F1804+F1807+F1810+F1813+F1816+F1821+F1825+F1828+F1831+F1834+F1837+F1841+F1845+F1849+F1853+F1856+F1859+F1862+F1865+F1868+F1872+F1875+F1878+F1881+F1884+F1889+F1893+F1896+F1902+F1905+F1908+F1911+F1914+F1917+F1920+F1924+F1928+F1934+F1942+F1946+F1950+F1958+F1963+F1967+F1972+F1978</f>
        <v>4650349.9989997996</v>
      </c>
    </row>
    <row r="1983" spans="1:7" x14ac:dyDescent="0.25">
      <c r="B1983" s="9"/>
      <c r="D1983" s="9"/>
      <c r="G1983" s="10">
        <v>4650350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B892-A567-4247-BDBC-80EE09206F96}">
  <dimension ref="A1:K1048373"/>
  <sheetViews>
    <sheetView topLeftCell="A1990" zoomScaleNormal="100" workbookViewId="0">
      <selection activeCell="B1124" sqref="B1124"/>
    </sheetView>
  </sheetViews>
  <sheetFormatPr baseColWidth="10" defaultColWidth="11.42578125" defaultRowHeight="15" x14ac:dyDescent="0.25"/>
  <cols>
    <col min="1" max="1" width="23.5703125" bestFit="1" customWidth="1"/>
    <col min="3" max="3" width="11.42578125" style="5"/>
    <col min="4" max="4" width="42.28515625" bestFit="1" customWidth="1"/>
    <col min="5" max="5" width="18.140625" style="10" bestFit="1" customWidth="1"/>
    <col min="6" max="6" width="13.7109375" style="10" bestFit="1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69</v>
      </c>
      <c r="B3" s="4">
        <v>45901</v>
      </c>
      <c r="C3" s="5">
        <v>15</v>
      </c>
      <c r="D3" s="9" t="s">
        <v>8</v>
      </c>
      <c r="E3" s="10">
        <v>165</v>
      </c>
      <c r="F3" s="10">
        <f>+C3*E3</f>
        <v>2475</v>
      </c>
    </row>
    <row r="4" spans="1:6" x14ac:dyDescent="0.25">
      <c r="A4" s="9"/>
      <c r="B4" s="9"/>
      <c r="D4" s="9"/>
      <c r="F4" s="8">
        <f>SUM(F3)</f>
        <v>2475</v>
      </c>
    </row>
    <row r="5" spans="1:6" x14ac:dyDescent="0.25">
      <c r="A5" s="9"/>
      <c r="B5" s="9"/>
      <c r="D5" s="9"/>
    </row>
    <row r="6" spans="1:6" x14ac:dyDescent="0.25">
      <c r="A6" s="9" t="s">
        <v>87</v>
      </c>
      <c r="B6" s="4">
        <v>45901</v>
      </c>
      <c r="C6" s="5">
        <v>2</v>
      </c>
      <c r="D6" s="9" t="s">
        <v>22</v>
      </c>
      <c r="E6" s="10">
        <v>130</v>
      </c>
      <c r="F6" s="10">
        <f t="shared" ref="F6:F67" si="0">+C6*E6</f>
        <v>260</v>
      </c>
    </row>
    <row r="7" spans="1:6" x14ac:dyDescent="0.25">
      <c r="A7" s="9"/>
      <c r="B7" s="9"/>
      <c r="C7" s="5">
        <v>2</v>
      </c>
      <c r="D7" s="9" t="s">
        <v>14</v>
      </c>
      <c r="E7" s="10">
        <v>160</v>
      </c>
      <c r="F7" s="10">
        <f t="shared" si="0"/>
        <v>320</v>
      </c>
    </row>
    <row r="8" spans="1:6" x14ac:dyDescent="0.25">
      <c r="A8" s="9"/>
      <c r="B8" s="9"/>
      <c r="D8" s="9"/>
      <c r="F8" s="8">
        <f>SUM(F6:F7)</f>
        <v>580</v>
      </c>
    </row>
    <row r="9" spans="1:6" x14ac:dyDescent="0.25">
      <c r="A9" s="9"/>
      <c r="B9" s="9"/>
      <c r="D9" s="9"/>
    </row>
    <row r="10" spans="1:6" x14ac:dyDescent="0.25">
      <c r="A10" s="9" t="s">
        <v>23</v>
      </c>
      <c r="B10" s="4">
        <v>45901</v>
      </c>
      <c r="C10" s="5">
        <v>12</v>
      </c>
      <c r="D10" s="9" t="s">
        <v>12</v>
      </c>
      <c r="E10" s="10">
        <v>145</v>
      </c>
      <c r="F10" s="10">
        <f t="shared" si="0"/>
        <v>1740</v>
      </c>
    </row>
    <row r="11" spans="1:6" x14ac:dyDescent="0.25">
      <c r="A11" s="9"/>
      <c r="B11" s="9"/>
      <c r="C11" s="5">
        <v>12</v>
      </c>
      <c r="D11" s="9" t="s">
        <v>14</v>
      </c>
      <c r="E11" s="10">
        <v>150</v>
      </c>
      <c r="F11" s="10">
        <f t="shared" si="0"/>
        <v>1800</v>
      </c>
    </row>
    <row r="12" spans="1:6" x14ac:dyDescent="0.25">
      <c r="A12" s="9"/>
      <c r="B12" s="9"/>
      <c r="C12" s="5">
        <v>12</v>
      </c>
      <c r="D12" s="9" t="s">
        <v>13</v>
      </c>
      <c r="E12" s="10">
        <v>155</v>
      </c>
      <c r="F12" s="10">
        <f t="shared" si="0"/>
        <v>1860</v>
      </c>
    </row>
    <row r="13" spans="1:6" x14ac:dyDescent="0.25">
      <c r="A13" s="9"/>
      <c r="B13" s="9"/>
      <c r="D13" s="9"/>
      <c r="F13" s="8">
        <f>SUM(F10:F12)</f>
        <v>5400</v>
      </c>
    </row>
    <row r="14" spans="1:6" x14ac:dyDescent="0.25">
      <c r="A14" s="9"/>
      <c r="B14" s="9"/>
      <c r="D14" s="9"/>
    </row>
    <row r="15" spans="1:6" x14ac:dyDescent="0.25">
      <c r="A15" s="9" t="s">
        <v>514</v>
      </c>
      <c r="B15" s="4">
        <v>45901</v>
      </c>
      <c r="C15" s="5">
        <v>10</v>
      </c>
      <c r="D15" s="9" t="s">
        <v>98</v>
      </c>
      <c r="E15" s="10">
        <v>110</v>
      </c>
      <c r="F15" s="10">
        <f t="shared" si="0"/>
        <v>1100</v>
      </c>
    </row>
    <row r="16" spans="1:6" x14ac:dyDescent="0.25">
      <c r="A16" s="9"/>
      <c r="B16" s="9"/>
      <c r="D16" s="9"/>
      <c r="F16" s="8">
        <f>SUM(F15)</f>
        <v>1100</v>
      </c>
    </row>
    <row r="17" spans="1:6" x14ac:dyDescent="0.25">
      <c r="A17" s="9"/>
      <c r="B17" s="9"/>
      <c r="D17" s="9"/>
    </row>
    <row r="18" spans="1:6" x14ac:dyDescent="0.25">
      <c r="A18" s="9" t="s">
        <v>15</v>
      </c>
      <c r="B18" s="4">
        <v>45901</v>
      </c>
      <c r="C18" s="5">
        <v>45</v>
      </c>
      <c r="D18" s="9" t="s">
        <v>98</v>
      </c>
      <c r="E18" s="10">
        <v>110</v>
      </c>
      <c r="F18" s="10">
        <f t="shared" si="0"/>
        <v>4950</v>
      </c>
    </row>
    <row r="19" spans="1:6" x14ac:dyDescent="0.25">
      <c r="A19" s="9"/>
      <c r="B19" s="9"/>
      <c r="D19" s="9"/>
      <c r="F19" s="8">
        <f>SUM(F18)</f>
        <v>4950</v>
      </c>
    </row>
    <row r="20" spans="1:6" x14ac:dyDescent="0.25">
      <c r="A20" s="9"/>
      <c r="B20" s="9"/>
      <c r="D20" s="9"/>
    </row>
    <row r="21" spans="1:6" x14ac:dyDescent="0.25">
      <c r="A21" s="9" t="s">
        <v>79</v>
      </c>
      <c r="B21" s="4">
        <v>45901</v>
      </c>
      <c r="C21" s="5">
        <v>20</v>
      </c>
      <c r="D21" s="9" t="s">
        <v>13</v>
      </c>
      <c r="E21" s="10">
        <v>150</v>
      </c>
      <c r="F21" s="10">
        <f t="shared" si="0"/>
        <v>3000</v>
      </c>
    </row>
    <row r="22" spans="1:6" x14ac:dyDescent="0.25">
      <c r="A22" s="9"/>
      <c r="B22" s="9"/>
      <c r="D22" s="9"/>
      <c r="F22" s="8">
        <f>SUM(F21)</f>
        <v>3000</v>
      </c>
    </row>
    <row r="23" spans="1:6" x14ac:dyDescent="0.25">
      <c r="A23" s="9"/>
      <c r="B23" s="9"/>
      <c r="D23" s="9"/>
    </row>
    <row r="24" spans="1:6" x14ac:dyDescent="0.25">
      <c r="A24" s="9" t="s">
        <v>427</v>
      </c>
      <c r="B24" s="4">
        <v>45901</v>
      </c>
      <c r="C24" s="5">
        <v>14</v>
      </c>
      <c r="D24" s="9" t="s">
        <v>13</v>
      </c>
      <c r="E24" s="10">
        <v>155</v>
      </c>
      <c r="F24" s="10">
        <f t="shared" si="0"/>
        <v>2170</v>
      </c>
    </row>
    <row r="25" spans="1:6" x14ac:dyDescent="0.25">
      <c r="A25" s="9"/>
      <c r="B25" s="9"/>
      <c r="C25" s="5">
        <v>5</v>
      </c>
      <c r="D25" s="9" t="s">
        <v>14</v>
      </c>
      <c r="E25" s="10">
        <v>150</v>
      </c>
      <c r="F25" s="10">
        <f t="shared" si="0"/>
        <v>750</v>
      </c>
    </row>
    <row r="26" spans="1:6" x14ac:dyDescent="0.25">
      <c r="A26" s="9"/>
      <c r="B26" s="9"/>
      <c r="D26" s="9"/>
      <c r="F26" s="8">
        <f>SUM(F24:F25)</f>
        <v>2920</v>
      </c>
    </row>
    <row r="27" spans="1:6" x14ac:dyDescent="0.25">
      <c r="A27" s="9"/>
      <c r="B27" s="9"/>
      <c r="D27" s="9"/>
    </row>
    <row r="28" spans="1:6" x14ac:dyDescent="0.25">
      <c r="A28" s="9" t="s">
        <v>20</v>
      </c>
      <c r="B28" s="4">
        <v>45901</v>
      </c>
      <c r="C28" s="5">
        <v>20</v>
      </c>
      <c r="D28" s="9" t="s">
        <v>13</v>
      </c>
      <c r="E28" s="10">
        <v>155</v>
      </c>
      <c r="F28" s="10">
        <f t="shared" si="0"/>
        <v>3100</v>
      </c>
    </row>
    <row r="29" spans="1:6" x14ac:dyDescent="0.25">
      <c r="A29" s="9"/>
      <c r="B29" s="9"/>
      <c r="D29" s="9"/>
      <c r="F29" s="8">
        <f>SUM(F28)</f>
        <v>3100</v>
      </c>
    </row>
    <row r="30" spans="1:6" x14ac:dyDescent="0.25">
      <c r="A30" s="9"/>
      <c r="B30" s="9"/>
      <c r="D30" s="9"/>
    </row>
    <row r="31" spans="1:6" x14ac:dyDescent="0.25">
      <c r="A31" s="9" t="s">
        <v>673</v>
      </c>
      <c r="B31" s="4">
        <v>45901</v>
      </c>
      <c r="C31" s="5">
        <v>20</v>
      </c>
      <c r="D31" s="9" t="s">
        <v>13</v>
      </c>
      <c r="E31" s="10">
        <v>155</v>
      </c>
      <c r="F31" s="10">
        <f t="shared" si="0"/>
        <v>3100</v>
      </c>
    </row>
    <row r="32" spans="1:6" x14ac:dyDescent="0.25">
      <c r="A32" s="9"/>
      <c r="B32" s="9"/>
      <c r="C32" s="5">
        <v>16</v>
      </c>
      <c r="D32" s="9" t="s">
        <v>12</v>
      </c>
      <c r="E32" s="10">
        <v>145</v>
      </c>
      <c r="F32" s="10">
        <f t="shared" si="0"/>
        <v>2320</v>
      </c>
    </row>
    <row r="33" spans="1:6" x14ac:dyDescent="0.25">
      <c r="A33" s="9"/>
      <c r="B33" s="9"/>
      <c r="C33" s="5">
        <v>10</v>
      </c>
      <c r="D33" s="9" t="s">
        <v>22</v>
      </c>
      <c r="E33" s="10">
        <v>130</v>
      </c>
      <c r="F33" s="10">
        <f t="shared" si="0"/>
        <v>1300</v>
      </c>
    </row>
    <row r="34" spans="1:6" x14ac:dyDescent="0.25">
      <c r="A34" s="9"/>
      <c r="B34" s="9"/>
      <c r="C34" s="5">
        <v>10</v>
      </c>
      <c r="D34" s="9" t="s">
        <v>8</v>
      </c>
      <c r="E34" s="10">
        <v>160</v>
      </c>
      <c r="F34" s="10">
        <f t="shared" si="0"/>
        <v>1600</v>
      </c>
    </row>
    <row r="35" spans="1:6" x14ac:dyDescent="0.25">
      <c r="A35" s="9"/>
      <c r="B35" s="9"/>
      <c r="D35" s="9"/>
      <c r="F35" s="8">
        <f>SUM(F31:F34)</f>
        <v>8320</v>
      </c>
    </row>
    <row r="36" spans="1:6" x14ac:dyDescent="0.25">
      <c r="A36" s="9"/>
      <c r="B36" s="9"/>
      <c r="D36" s="9"/>
    </row>
    <row r="37" spans="1:6" x14ac:dyDescent="0.25">
      <c r="A37" s="9" t="s">
        <v>367</v>
      </c>
      <c r="B37" s="4">
        <v>45901</v>
      </c>
      <c r="C37" s="5">
        <v>10</v>
      </c>
      <c r="D37" s="9" t="s">
        <v>13</v>
      </c>
      <c r="E37" s="10">
        <v>155</v>
      </c>
      <c r="F37" s="10">
        <f t="shared" si="0"/>
        <v>1550</v>
      </c>
    </row>
    <row r="38" spans="1:6" x14ac:dyDescent="0.25">
      <c r="A38" s="9"/>
      <c r="B38" s="9"/>
      <c r="D38" s="9"/>
      <c r="F38" s="8">
        <f>SUM(F37)</f>
        <v>1550</v>
      </c>
    </row>
    <row r="39" spans="1:6" x14ac:dyDescent="0.25">
      <c r="A39" s="9"/>
      <c r="B39" s="9"/>
      <c r="D39" s="9"/>
    </row>
    <row r="40" spans="1:6" x14ac:dyDescent="0.25">
      <c r="A40" s="9" t="s">
        <v>40</v>
      </c>
      <c r="B40" s="4">
        <v>45901</v>
      </c>
      <c r="C40" s="5">
        <v>10</v>
      </c>
      <c r="D40" s="9" t="s">
        <v>8</v>
      </c>
      <c r="E40" s="10">
        <v>160</v>
      </c>
      <c r="F40" s="10">
        <f t="shared" si="0"/>
        <v>1600</v>
      </c>
    </row>
    <row r="41" spans="1:6" x14ac:dyDescent="0.25">
      <c r="A41" s="9"/>
      <c r="B41" s="9"/>
      <c r="C41" s="5">
        <v>20</v>
      </c>
      <c r="D41" s="9" t="s">
        <v>13</v>
      </c>
      <c r="E41" s="10">
        <v>155</v>
      </c>
      <c r="F41" s="10">
        <f t="shared" si="0"/>
        <v>3100</v>
      </c>
    </row>
    <row r="42" spans="1:6" x14ac:dyDescent="0.25">
      <c r="A42" s="9"/>
      <c r="B42" s="9"/>
      <c r="C42" s="5">
        <v>10</v>
      </c>
      <c r="D42" s="9" t="s">
        <v>22</v>
      </c>
      <c r="E42" s="10">
        <v>135</v>
      </c>
      <c r="F42" s="10">
        <f t="shared" si="0"/>
        <v>1350</v>
      </c>
    </row>
    <row r="43" spans="1:6" x14ac:dyDescent="0.25">
      <c r="A43" s="9"/>
      <c r="B43" s="9"/>
      <c r="C43" s="5">
        <v>20</v>
      </c>
      <c r="D43" s="9" t="s">
        <v>12</v>
      </c>
      <c r="E43" s="10">
        <v>145</v>
      </c>
      <c r="F43" s="10">
        <f t="shared" si="0"/>
        <v>2900</v>
      </c>
    </row>
    <row r="44" spans="1:6" x14ac:dyDescent="0.25">
      <c r="A44" s="9"/>
      <c r="B44" s="9"/>
      <c r="C44" s="5">
        <v>20</v>
      </c>
      <c r="D44" s="9" t="s">
        <v>50</v>
      </c>
      <c r="E44" s="10">
        <v>130</v>
      </c>
      <c r="F44" s="10">
        <f t="shared" si="0"/>
        <v>2600</v>
      </c>
    </row>
    <row r="45" spans="1:6" x14ac:dyDescent="0.25">
      <c r="A45" s="9"/>
      <c r="B45" s="9"/>
      <c r="D45" s="9"/>
      <c r="F45" s="8">
        <f>SUM(F40:F44)</f>
        <v>11550</v>
      </c>
    </row>
    <row r="46" spans="1:6" x14ac:dyDescent="0.25">
      <c r="A46" s="9"/>
      <c r="B46" s="9"/>
      <c r="D46" s="9"/>
    </row>
    <row r="47" spans="1:6" x14ac:dyDescent="0.25">
      <c r="A47" s="9" t="s">
        <v>23</v>
      </c>
      <c r="B47" s="4">
        <v>45901</v>
      </c>
      <c r="C47" s="5">
        <v>15</v>
      </c>
      <c r="D47" s="9" t="s">
        <v>22</v>
      </c>
      <c r="E47" s="10">
        <v>135</v>
      </c>
      <c r="F47" s="10">
        <f t="shared" si="0"/>
        <v>2025</v>
      </c>
    </row>
    <row r="48" spans="1:6" x14ac:dyDescent="0.25">
      <c r="A48" s="9"/>
      <c r="B48" s="9"/>
      <c r="C48" s="5">
        <v>10</v>
      </c>
      <c r="D48" s="9" t="s">
        <v>50</v>
      </c>
      <c r="E48" s="10">
        <v>130</v>
      </c>
      <c r="F48" s="10">
        <f t="shared" si="0"/>
        <v>1300</v>
      </c>
    </row>
    <row r="49" spans="1:6" x14ac:dyDescent="0.25">
      <c r="A49" s="9"/>
      <c r="B49" s="9"/>
      <c r="D49" s="9"/>
      <c r="F49" s="8">
        <f>SUM(F47:F48)</f>
        <v>3325</v>
      </c>
    </row>
    <row r="50" spans="1:6" x14ac:dyDescent="0.25">
      <c r="A50" s="9"/>
      <c r="B50" s="9"/>
      <c r="D50" s="9"/>
    </row>
    <row r="51" spans="1:6" x14ac:dyDescent="0.25">
      <c r="A51" s="9" t="s">
        <v>18</v>
      </c>
      <c r="B51" s="4">
        <v>45901</v>
      </c>
      <c r="C51" s="5">
        <v>5</v>
      </c>
      <c r="D51" s="9" t="s">
        <v>13</v>
      </c>
      <c r="E51" s="10">
        <v>155</v>
      </c>
      <c r="F51" s="10">
        <f t="shared" si="0"/>
        <v>775</v>
      </c>
    </row>
    <row r="52" spans="1:6" x14ac:dyDescent="0.25">
      <c r="A52" s="9"/>
      <c r="B52" s="9"/>
      <c r="D52" s="9"/>
      <c r="F52" s="8">
        <f>SUM(F51)</f>
        <v>775</v>
      </c>
    </row>
    <row r="53" spans="1:6" x14ac:dyDescent="0.25">
      <c r="A53" s="9"/>
      <c r="B53" s="9"/>
      <c r="D53" s="9"/>
    </row>
    <row r="54" spans="1:6" x14ac:dyDescent="0.25">
      <c r="A54" s="9" t="s">
        <v>44</v>
      </c>
      <c r="B54" s="4">
        <v>45901</v>
      </c>
      <c r="C54" s="5">
        <v>80</v>
      </c>
      <c r="D54" s="9" t="s">
        <v>14</v>
      </c>
      <c r="E54" s="10">
        <v>150</v>
      </c>
      <c r="F54" s="10">
        <f t="shared" si="0"/>
        <v>12000</v>
      </c>
    </row>
    <row r="55" spans="1:6" x14ac:dyDescent="0.25">
      <c r="A55" s="9"/>
      <c r="B55" s="9"/>
      <c r="D55" s="9"/>
      <c r="F55" s="8">
        <f>SUM(F54)</f>
        <v>12000</v>
      </c>
    </row>
    <row r="56" spans="1:6" x14ac:dyDescent="0.25">
      <c r="A56" s="9"/>
      <c r="B56" s="9"/>
      <c r="D56" s="9"/>
    </row>
    <row r="57" spans="1:6" x14ac:dyDescent="0.25">
      <c r="A57" s="9" t="s">
        <v>138</v>
      </c>
      <c r="B57" s="4">
        <v>45901</v>
      </c>
      <c r="C57" s="5">
        <v>20</v>
      </c>
      <c r="D57" s="9" t="s">
        <v>14</v>
      </c>
      <c r="E57" s="10">
        <v>150</v>
      </c>
      <c r="F57" s="10">
        <f t="shared" si="0"/>
        <v>3000</v>
      </c>
    </row>
    <row r="58" spans="1:6" x14ac:dyDescent="0.25">
      <c r="A58" s="9"/>
      <c r="B58" s="9"/>
      <c r="D58" s="9"/>
      <c r="F58" s="8">
        <f>SUM(F57)</f>
        <v>3000</v>
      </c>
    </row>
    <row r="59" spans="1:6" x14ac:dyDescent="0.25">
      <c r="A59" s="9"/>
      <c r="B59" s="9"/>
      <c r="D59" s="9"/>
    </row>
    <row r="60" spans="1:6" x14ac:dyDescent="0.25">
      <c r="A60" s="9" t="s">
        <v>43</v>
      </c>
      <c r="B60" s="4">
        <v>45901</v>
      </c>
      <c r="C60" s="5">
        <v>40</v>
      </c>
      <c r="D60" s="9" t="s">
        <v>49</v>
      </c>
      <c r="E60" s="10">
        <v>155</v>
      </c>
      <c r="F60" s="10">
        <f t="shared" si="0"/>
        <v>6200</v>
      </c>
    </row>
    <row r="61" spans="1:6" x14ac:dyDescent="0.25">
      <c r="A61" s="9"/>
      <c r="B61" s="9"/>
      <c r="C61" s="5">
        <v>2</v>
      </c>
      <c r="D61" s="9" t="s">
        <v>14</v>
      </c>
      <c r="E61" s="10">
        <v>150</v>
      </c>
      <c r="F61" s="10">
        <f t="shared" si="0"/>
        <v>300</v>
      </c>
    </row>
    <row r="62" spans="1:6" x14ac:dyDescent="0.25">
      <c r="A62" s="9"/>
      <c r="B62" s="9"/>
      <c r="D62" s="9"/>
      <c r="F62" s="8">
        <f>SUM(F60:F61)</f>
        <v>6500</v>
      </c>
    </row>
    <row r="63" spans="1:6" x14ac:dyDescent="0.25">
      <c r="A63" s="9"/>
      <c r="B63" s="9"/>
      <c r="D63" s="9"/>
    </row>
    <row r="64" spans="1:6" x14ac:dyDescent="0.25">
      <c r="A64" s="9" t="s">
        <v>18</v>
      </c>
      <c r="B64" s="4">
        <v>45901</v>
      </c>
      <c r="C64" s="5">
        <v>20</v>
      </c>
      <c r="D64" s="9" t="s">
        <v>14</v>
      </c>
      <c r="E64" s="10">
        <v>150</v>
      </c>
      <c r="F64" s="10">
        <f t="shared" si="0"/>
        <v>3000</v>
      </c>
    </row>
    <row r="65" spans="1:6" x14ac:dyDescent="0.25">
      <c r="A65" s="9"/>
      <c r="B65" s="9"/>
      <c r="D65" s="9"/>
      <c r="F65" s="8">
        <f>SUM(F64)</f>
        <v>3000</v>
      </c>
    </row>
    <row r="66" spans="1:6" x14ac:dyDescent="0.25">
      <c r="A66" s="9"/>
      <c r="B66" s="9"/>
      <c r="D66" s="9"/>
    </row>
    <row r="67" spans="1:6" x14ac:dyDescent="0.25">
      <c r="A67" s="9" t="s">
        <v>253</v>
      </c>
      <c r="B67" s="4">
        <v>45901</v>
      </c>
      <c r="C67" s="5">
        <v>10</v>
      </c>
      <c r="D67" s="9" t="s">
        <v>14</v>
      </c>
      <c r="E67" s="10">
        <v>150</v>
      </c>
      <c r="F67" s="10">
        <f t="shared" si="0"/>
        <v>1500</v>
      </c>
    </row>
    <row r="68" spans="1:6" x14ac:dyDescent="0.25">
      <c r="A68" s="9"/>
      <c r="B68" s="9"/>
      <c r="D68" s="9"/>
      <c r="F68" s="8">
        <f>SUM(F67)</f>
        <v>1500</v>
      </c>
    </row>
    <row r="69" spans="1:6" x14ac:dyDescent="0.25">
      <c r="A69" s="9"/>
      <c r="B69" s="9"/>
      <c r="D69" s="9"/>
    </row>
    <row r="70" spans="1:6" x14ac:dyDescent="0.25">
      <c r="A70" s="9" t="s">
        <v>41</v>
      </c>
      <c r="B70" s="4">
        <v>45901</v>
      </c>
      <c r="C70" s="5">
        <v>30</v>
      </c>
      <c r="D70" s="9" t="s">
        <v>14</v>
      </c>
      <c r="E70" s="10">
        <v>140</v>
      </c>
      <c r="F70" s="10">
        <f t="shared" ref="F70:F131" si="1">+C70*E70</f>
        <v>4200</v>
      </c>
    </row>
    <row r="71" spans="1:6" x14ac:dyDescent="0.25">
      <c r="A71" s="9"/>
      <c r="B71" s="9"/>
      <c r="D71" s="9"/>
      <c r="F71" s="8">
        <f>SUM(F70)</f>
        <v>4200</v>
      </c>
    </row>
    <row r="72" spans="1:6" x14ac:dyDescent="0.25">
      <c r="A72" s="9"/>
      <c r="B72" s="9"/>
      <c r="D72" s="9"/>
    </row>
    <row r="73" spans="1:6" x14ac:dyDescent="0.25">
      <c r="A73" s="9" t="s">
        <v>164</v>
      </c>
      <c r="B73" s="4">
        <v>45901</v>
      </c>
      <c r="C73" s="5">
        <v>5</v>
      </c>
      <c r="D73" s="9" t="s">
        <v>8</v>
      </c>
      <c r="E73" s="10">
        <v>170</v>
      </c>
      <c r="F73" s="10">
        <f t="shared" si="1"/>
        <v>850</v>
      </c>
    </row>
    <row r="74" spans="1:6" x14ac:dyDescent="0.25">
      <c r="A74" s="9"/>
      <c r="B74" s="9"/>
      <c r="D74" s="9"/>
      <c r="F74" s="8">
        <f>SUM(F73)</f>
        <v>850</v>
      </c>
    </row>
    <row r="75" spans="1:6" s="9" customFormat="1" x14ac:dyDescent="0.25">
      <c r="C75" s="5"/>
      <c r="E75" s="10"/>
      <c r="F75" s="10"/>
    </row>
    <row r="76" spans="1:6" s="9" customFormat="1" x14ac:dyDescent="0.25">
      <c r="A76" s="9" t="s">
        <v>89</v>
      </c>
      <c r="B76" s="4">
        <v>45901</v>
      </c>
      <c r="C76" s="5">
        <v>60</v>
      </c>
      <c r="D76" s="9" t="s">
        <v>12</v>
      </c>
      <c r="E76" s="10">
        <v>140</v>
      </c>
      <c r="F76" s="10">
        <f t="shared" si="1"/>
        <v>8400</v>
      </c>
    </row>
    <row r="77" spans="1:6" s="9" customFormat="1" x14ac:dyDescent="0.25">
      <c r="C77" s="5"/>
      <c r="E77" s="10"/>
      <c r="F77" s="8">
        <f>SUM(F76)</f>
        <v>8400</v>
      </c>
    </row>
    <row r="78" spans="1:6" x14ac:dyDescent="0.25">
      <c r="A78" s="9"/>
      <c r="B78" s="9"/>
      <c r="D78" s="9"/>
    </row>
    <row r="79" spans="1:6" x14ac:dyDescent="0.25">
      <c r="A79" s="9" t="s">
        <v>904</v>
      </c>
      <c r="B79" s="4">
        <v>45901</v>
      </c>
      <c r="C79" s="5">
        <v>3</v>
      </c>
      <c r="D79" s="9" t="s">
        <v>13</v>
      </c>
      <c r="E79" s="10">
        <v>155</v>
      </c>
      <c r="F79" s="10">
        <f t="shared" si="1"/>
        <v>465</v>
      </c>
    </row>
    <row r="80" spans="1:6" x14ac:dyDescent="0.25">
      <c r="A80" s="9"/>
      <c r="B80" s="9"/>
      <c r="D80" s="9"/>
      <c r="F80" s="8">
        <f>SUM(F79)</f>
        <v>465</v>
      </c>
    </row>
    <row r="81" spans="1:6" x14ac:dyDescent="0.25">
      <c r="A81" s="9"/>
      <c r="B81" s="9"/>
      <c r="D81" s="9"/>
    </row>
    <row r="82" spans="1:6" x14ac:dyDescent="0.25">
      <c r="A82" s="9" t="s">
        <v>88</v>
      </c>
      <c r="B82" s="4">
        <v>45901</v>
      </c>
      <c r="C82" s="5">
        <v>4</v>
      </c>
      <c r="D82" s="9" t="s">
        <v>13</v>
      </c>
      <c r="E82" s="10">
        <v>155</v>
      </c>
      <c r="F82" s="10">
        <f t="shared" si="1"/>
        <v>620</v>
      </c>
    </row>
    <row r="83" spans="1:6" x14ac:dyDescent="0.25">
      <c r="A83" s="9"/>
      <c r="B83" s="9"/>
      <c r="C83" s="5">
        <v>10</v>
      </c>
      <c r="D83" s="9" t="s">
        <v>14</v>
      </c>
      <c r="E83" s="10">
        <v>145</v>
      </c>
      <c r="F83" s="10">
        <f t="shared" si="1"/>
        <v>1450</v>
      </c>
    </row>
    <row r="84" spans="1:6" x14ac:dyDescent="0.25">
      <c r="A84" s="9"/>
      <c r="B84" s="9"/>
      <c r="D84" s="9"/>
      <c r="F84" s="8">
        <f>SUM(F82:F83)</f>
        <v>2070</v>
      </c>
    </row>
    <row r="85" spans="1:6" x14ac:dyDescent="0.25">
      <c r="A85" s="9"/>
      <c r="B85" s="9"/>
      <c r="D85" s="9"/>
    </row>
    <row r="86" spans="1:6" x14ac:dyDescent="0.25">
      <c r="A86" s="9" t="s">
        <v>76</v>
      </c>
      <c r="B86" s="4">
        <v>45901</v>
      </c>
      <c r="C86" s="5">
        <v>340</v>
      </c>
      <c r="D86" s="9" t="s">
        <v>14</v>
      </c>
      <c r="E86" s="10">
        <v>143</v>
      </c>
      <c r="F86" s="10">
        <f t="shared" si="1"/>
        <v>48620</v>
      </c>
    </row>
    <row r="87" spans="1:6" x14ac:dyDescent="0.25">
      <c r="A87" s="9"/>
      <c r="B87" s="9"/>
      <c r="C87" s="5">
        <v>250</v>
      </c>
      <c r="D87" s="9" t="s">
        <v>11</v>
      </c>
      <c r="E87" s="10">
        <v>135</v>
      </c>
      <c r="F87" s="10">
        <f t="shared" si="1"/>
        <v>33750</v>
      </c>
    </row>
    <row r="88" spans="1:6" x14ac:dyDescent="0.25">
      <c r="A88" s="9"/>
      <c r="B88" s="9"/>
      <c r="D88" s="9"/>
      <c r="F88" s="8">
        <f>SUM(F86:F87)</f>
        <v>82370</v>
      </c>
    </row>
    <row r="89" spans="1:6" x14ac:dyDescent="0.25">
      <c r="A89" s="9"/>
      <c r="B89" s="9"/>
      <c r="D89" s="9"/>
    </row>
    <row r="90" spans="1:6" x14ac:dyDescent="0.25">
      <c r="A90" s="9" t="s">
        <v>29</v>
      </c>
      <c r="B90" s="4">
        <v>45901</v>
      </c>
      <c r="C90" s="5">
        <v>1</v>
      </c>
      <c r="D90" s="9" t="s">
        <v>8</v>
      </c>
      <c r="E90" s="10">
        <v>160</v>
      </c>
      <c r="F90" s="10">
        <f t="shared" si="1"/>
        <v>160</v>
      </c>
    </row>
    <row r="91" spans="1:6" x14ac:dyDescent="0.25">
      <c r="A91" s="9"/>
      <c r="B91" s="9"/>
      <c r="C91" s="5">
        <v>1</v>
      </c>
      <c r="D91" s="9" t="s">
        <v>13</v>
      </c>
      <c r="E91" s="10">
        <v>160</v>
      </c>
      <c r="F91" s="10">
        <f t="shared" si="1"/>
        <v>160</v>
      </c>
    </row>
    <row r="92" spans="1:6" x14ac:dyDescent="0.25">
      <c r="A92" s="9"/>
      <c r="B92" s="9"/>
      <c r="D92" s="9"/>
      <c r="F92" s="8">
        <f>SUM(F90:F91)</f>
        <v>320</v>
      </c>
    </row>
    <row r="93" spans="1:6" x14ac:dyDescent="0.25">
      <c r="A93" s="9"/>
      <c r="B93" s="9"/>
      <c r="D93" s="9"/>
    </row>
    <row r="94" spans="1:6" x14ac:dyDescent="0.25">
      <c r="A94" s="9" t="s">
        <v>7</v>
      </c>
      <c r="B94" s="4">
        <v>45901</v>
      </c>
      <c r="C94" s="5">
        <v>1</v>
      </c>
      <c r="D94" s="9" t="s">
        <v>78</v>
      </c>
      <c r="E94" s="10">
        <v>110</v>
      </c>
      <c r="F94" s="10">
        <f t="shared" si="1"/>
        <v>110</v>
      </c>
    </row>
    <row r="95" spans="1:6" x14ac:dyDescent="0.25">
      <c r="A95" s="9"/>
      <c r="B95" s="9"/>
      <c r="C95" s="5">
        <v>1</v>
      </c>
      <c r="D95" s="9" t="s">
        <v>905</v>
      </c>
      <c r="E95" s="10">
        <v>150</v>
      </c>
      <c r="F95" s="10">
        <f t="shared" si="1"/>
        <v>150</v>
      </c>
    </row>
    <row r="96" spans="1:6" x14ac:dyDescent="0.25">
      <c r="A96" s="9"/>
      <c r="B96" s="9"/>
      <c r="C96" s="5">
        <v>1</v>
      </c>
      <c r="D96" s="9" t="s">
        <v>12</v>
      </c>
      <c r="E96" s="10">
        <v>150</v>
      </c>
      <c r="F96" s="10">
        <f t="shared" si="1"/>
        <v>150</v>
      </c>
    </row>
    <row r="97" spans="1:6" x14ac:dyDescent="0.25">
      <c r="A97" s="9"/>
      <c r="B97" s="9"/>
      <c r="C97" s="5">
        <v>2</v>
      </c>
      <c r="D97" s="9" t="s">
        <v>240</v>
      </c>
      <c r="E97" s="10">
        <v>150</v>
      </c>
      <c r="F97" s="10">
        <f t="shared" si="1"/>
        <v>300</v>
      </c>
    </row>
    <row r="98" spans="1:6" x14ac:dyDescent="0.25">
      <c r="A98" s="9"/>
      <c r="B98" s="9"/>
      <c r="C98" s="5">
        <v>3</v>
      </c>
      <c r="D98" s="9" t="s">
        <v>13</v>
      </c>
      <c r="E98" s="10">
        <v>160</v>
      </c>
      <c r="F98" s="10">
        <f t="shared" si="1"/>
        <v>480</v>
      </c>
    </row>
    <row r="99" spans="1:6" x14ac:dyDescent="0.25">
      <c r="A99" s="9"/>
      <c r="B99" s="9"/>
      <c r="C99" s="5">
        <v>3</v>
      </c>
      <c r="D99" s="9" t="s">
        <v>13</v>
      </c>
      <c r="E99" s="10">
        <v>155</v>
      </c>
      <c r="F99" s="10">
        <f t="shared" si="1"/>
        <v>465</v>
      </c>
    </row>
    <row r="100" spans="1:6" x14ac:dyDescent="0.25">
      <c r="A100" s="9"/>
      <c r="B100" s="9"/>
      <c r="D100" s="9"/>
      <c r="F100" s="8">
        <f>SUM(F94:F99)</f>
        <v>1655</v>
      </c>
    </row>
    <row r="101" spans="1:6" x14ac:dyDescent="0.25">
      <c r="A101" s="9"/>
      <c r="B101" s="9"/>
      <c r="D101" s="9"/>
    </row>
    <row r="102" spans="1:6" x14ac:dyDescent="0.25">
      <c r="A102" s="9" t="s">
        <v>58</v>
      </c>
      <c r="B102" s="4">
        <v>45902</v>
      </c>
      <c r="C102" s="5">
        <v>10</v>
      </c>
      <c r="D102" s="9" t="s">
        <v>13</v>
      </c>
      <c r="E102" s="10">
        <v>150</v>
      </c>
      <c r="F102" s="10">
        <f t="shared" si="1"/>
        <v>1500</v>
      </c>
    </row>
    <row r="103" spans="1:6" x14ac:dyDescent="0.25">
      <c r="A103" s="9"/>
      <c r="B103" s="9"/>
      <c r="D103" s="9"/>
      <c r="F103" s="8">
        <f>SUM(F102)</f>
        <v>1500</v>
      </c>
    </row>
    <row r="104" spans="1:6" x14ac:dyDescent="0.25">
      <c r="A104" s="9"/>
      <c r="B104" s="9"/>
      <c r="D104" s="9"/>
    </row>
    <row r="105" spans="1:6" x14ac:dyDescent="0.25">
      <c r="A105" s="9" t="s">
        <v>550</v>
      </c>
      <c r="B105" s="4">
        <v>45902</v>
      </c>
      <c r="C105" s="5">
        <v>10</v>
      </c>
      <c r="D105" s="9" t="s">
        <v>98</v>
      </c>
      <c r="E105" s="10">
        <v>110</v>
      </c>
      <c r="F105" s="10">
        <f t="shared" si="1"/>
        <v>1100</v>
      </c>
    </row>
    <row r="106" spans="1:6" x14ac:dyDescent="0.25">
      <c r="A106" s="9"/>
      <c r="B106" s="9"/>
      <c r="D106" s="9"/>
      <c r="F106" s="8">
        <f>SUM(F105)</f>
        <v>1100</v>
      </c>
    </row>
    <row r="107" spans="1:6" x14ac:dyDescent="0.25">
      <c r="A107" s="9"/>
      <c r="B107" s="9"/>
      <c r="D107" s="9"/>
    </row>
    <row r="108" spans="1:6" x14ac:dyDescent="0.25">
      <c r="A108" s="9" t="s">
        <v>906</v>
      </c>
      <c r="B108" s="4">
        <v>45902</v>
      </c>
      <c r="C108" s="5">
        <v>174</v>
      </c>
      <c r="D108" s="9" t="s">
        <v>11</v>
      </c>
      <c r="E108" s="10">
        <v>133</v>
      </c>
      <c r="F108" s="10">
        <f t="shared" si="1"/>
        <v>23142</v>
      </c>
    </row>
    <row r="109" spans="1:6" x14ac:dyDescent="0.25">
      <c r="A109" s="9"/>
      <c r="B109" s="9"/>
      <c r="C109" s="5">
        <v>270</v>
      </c>
      <c r="D109" s="9" t="s">
        <v>14</v>
      </c>
      <c r="E109" s="10">
        <v>140</v>
      </c>
      <c r="F109" s="10">
        <f t="shared" si="1"/>
        <v>37800</v>
      </c>
    </row>
    <row r="110" spans="1:6" x14ac:dyDescent="0.25">
      <c r="A110" s="9"/>
      <c r="B110" s="9"/>
      <c r="C110" s="5">
        <v>10</v>
      </c>
      <c r="D110" s="9" t="s">
        <v>22</v>
      </c>
      <c r="E110" s="10">
        <v>120</v>
      </c>
      <c r="F110" s="10">
        <f t="shared" si="1"/>
        <v>1200</v>
      </c>
    </row>
    <row r="111" spans="1:6" x14ac:dyDescent="0.25">
      <c r="A111" s="9"/>
      <c r="B111" s="9"/>
      <c r="D111" s="9"/>
      <c r="F111" s="8">
        <f>SUM(F108:F110)</f>
        <v>62142</v>
      </c>
    </row>
    <row r="112" spans="1:6" x14ac:dyDescent="0.25">
      <c r="A112" s="9"/>
      <c r="B112" s="9"/>
      <c r="D112" s="9"/>
    </row>
    <row r="113" spans="1:6" x14ac:dyDescent="0.25">
      <c r="A113" s="9" t="s">
        <v>40</v>
      </c>
      <c r="B113" s="4">
        <v>45902</v>
      </c>
      <c r="C113" s="5">
        <v>10</v>
      </c>
      <c r="D113" s="9" t="s">
        <v>8</v>
      </c>
      <c r="E113" s="10">
        <v>160</v>
      </c>
      <c r="F113" s="10">
        <f t="shared" si="1"/>
        <v>1600</v>
      </c>
    </row>
    <row r="114" spans="1:6" x14ac:dyDescent="0.25">
      <c r="A114" s="9"/>
      <c r="B114" s="9"/>
      <c r="D114" s="9"/>
      <c r="F114" s="8">
        <f>SUM(F113)</f>
        <v>1600</v>
      </c>
    </row>
    <row r="115" spans="1:6" s="9" customFormat="1" x14ac:dyDescent="0.25">
      <c r="C115" s="5"/>
      <c r="E115" s="10"/>
      <c r="F115" s="10"/>
    </row>
    <row r="116" spans="1:6" s="9" customFormat="1" x14ac:dyDescent="0.25">
      <c r="A116" s="9" t="s">
        <v>907</v>
      </c>
      <c r="B116" s="4">
        <v>45902</v>
      </c>
      <c r="C116" s="5">
        <v>20</v>
      </c>
      <c r="D116" s="9" t="s">
        <v>908</v>
      </c>
      <c r="E116" s="10">
        <v>155</v>
      </c>
      <c r="F116" s="10">
        <f t="shared" si="1"/>
        <v>3100</v>
      </c>
    </row>
    <row r="117" spans="1:6" s="9" customFormat="1" x14ac:dyDescent="0.25">
      <c r="C117" s="5">
        <v>10</v>
      </c>
      <c r="E117" s="10">
        <v>165</v>
      </c>
      <c r="F117" s="10">
        <f t="shared" si="1"/>
        <v>1650</v>
      </c>
    </row>
    <row r="118" spans="1:6" s="9" customFormat="1" x14ac:dyDescent="0.25">
      <c r="C118" s="5"/>
      <c r="E118" s="10"/>
      <c r="F118" s="8">
        <f>SUM(F116:F117)</f>
        <v>4750</v>
      </c>
    </row>
    <row r="119" spans="1:6" s="9" customFormat="1" x14ac:dyDescent="0.25">
      <c r="C119" s="5"/>
      <c r="E119" s="10"/>
      <c r="F119" s="10"/>
    </row>
    <row r="120" spans="1:6" s="9" customFormat="1" x14ac:dyDescent="0.25">
      <c r="A120" s="9" t="s">
        <v>673</v>
      </c>
      <c r="B120" s="4">
        <v>45902</v>
      </c>
      <c r="C120" s="5">
        <v>20</v>
      </c>
      <c r="D120" s="9" t="s">
        <v>13</v>
      </c>
      <c r="E120" s="10">
        <v>155</v>
      </c>
      <c r="F120" s="10">
        <f t="shared" si="1"/>
        <v>3100</v>
      </c>
    </row>
    <row r="121" spans="1:6" s="9" customFormat="1" x14ac:dyDescent="0.25">
      <c r="C121" s="5">
        <v>20</v>
      </c>
      <c r="D121" s="9" t="s">
        <v>909</v>
      </c>
      <c r="E121" s="10">
        <v>145</v>
      </c>
      <c r="F121" s="10">
        <f t="shared" si="1"/>
        <v>2900</v>
      </c>
    </row>
    <row r="122" spans="1:6" s="9" customFormat="1" x14ac:dyDescent="0.25">
      <c r="C122" s="5"/>
      <c r="E122" s="10"/>
      <c r="F122" s="8">
        <f>SUM(F120:F121)</f>
        <v>6000</v>
      </c>
    </row>
    <row r="123" spans="1:6" s="9" customFormat="1" x14ac:dyDescent="0.25">
      <c r="C123" s="5"/>
      <c r="E123" s="10"/>
      <c r="F123" s="10"/>
    </row>
    <row r="124" spans="1:6" s="9" customFormat="1" x14ac:dyDescent="0.25">
      <c r="A124" s="9" t="s">
        <v>76</v>
      </c>
      <c r="B124" s="4">
        <v>45902</v>
      </c>
      <c r="C124" s="5">
        <v>250</v>
      </c>
      <c r="D124" s="9" t="s">
        <v>14</v>
      </c>
      <c r="E124" s="10">
        <v>145</v>
      </c>
      <c r="F124" s="10">
        <f t="shared" si="1"/>
        <v>36250</v>
      </c>
    </row>
    <row r="125" spans="1:6" s="9" customFormat="1" x14ac:dyDescent="0.25">
      <c r="C125" s="5">
        <v>100</v>
      </c>
      <c r="D125" s="9" t="s">
        <v>49</v>
      </c>
      <c r="E125" s="10">
        <v>151</v>
      </c>
      <c r="F125" s="10">
        <f t="shared" si="1"/>
        <v>15100</v>
      </c>
    </row>
    <row r="126" spans="1:6" s="9" customFormat="1" x14ac:dyDescent="0.25">
      <c r="C126" s="5">
        <v>150</v>
      </c>
      <c r="D126" s="9" t="s">
        <v>11</v>
      </c>
      <c r="E126" s="10">
        <v>140</v>
      </c>
      <c r="F126" s="10">
        <f t="shared" si="1"/>
        <v>21000</v>
      </c>
    </row>
    <row r="127" spans="1:6" s="9" customFormat="1" x14ac:dyDescent="0.25">
      <c r="C127" s="5">
        <v>100</v>
      </c>
      <c r="D127" s="9" t="s">
        <v>12</v>
      </c>
      <c r="E127" s="10">
        <v>140</v>
      </c>
      <c r="F127" s="10">
        <f t="shared" si="1"/>
        <v>14000</v>
      </c>
    </row>
    <row r="128" spans="1:6" x14ac:dyDescent="0.25">
      <c r="A128" s="9"/>
      <c r="B128" s="9"/>
      <c r="C128" s="5">
        <v>100</v>
      </c>
      <c r="D128" s="9" t="s">
        <v>13</v>
      </c>
      <c r="E128" s="10">
        <v>145</v>
      </c>
      <c r="F128" s="10">
        <f t="shared" si="1"/>
        <v>14500</v>
      </c>
    </row>
    <row r="129" spans="1:6" s="9" customFormat="1" x14ac:dyDescent="0.25">
      <c r="C129" s="5"/>
      <c r="E129" s="10"/>
      <c r="F129" s="8">
        <f>SUM(F124:F128)</f>
        <v>100850</v>
      </c>
    </row>
    <row r="130" spans="1:6" x14ac:dyDescent="0.25">
      <c r="A130" s="9"/>
      <c r="B130" s="9"/>
      <c r="D130" s="9"/>
    </row>
    <row r="131" spans="1:6" x14ac:dyDescent="0.25">
      <c r="A131" s="9" t="s">
        <v>61</v>
      </c>
      <c r="B131" s="4">
        <v>45902</v>
      </c>
      <c r="C131" s="5">
        <v>70</v>
      </c>
      <c r="D131" s="9" t="s">
        <v>13</v>
      </c>
      <c r="E131" s="10">
        <v>155</v>
      </c>
      <c r="F131" s="10">
        <f t="shared" si="1"/>
        <v>10850</v>
      </c>
    </row>
    <row r="132" spans="1:6" x14ac:dyDescent="0.25">
      <c r="A132" s="9"/>
      <c r="B132" s="9"/>
      <c r="D132" s="9"/>
      <c r="F132" s="8">
        <f>SUM(F131)</f>
        <v>10850</v>
      </c>
    </row>
    <row r="133" spans="1:6" x14ac:dyDescent="0.25">
      <c r="A133" s="9"/>
      <c r="B133" s="9"/>
      <c r="D133" s="9"/>
    </row>
    <row r="134" spans="1:6" x14ac:dyDescent="0.25">
      <c r="A134" s="9" t="s">
        <v>92</v>
      </c>
      <c r="B134" s="4">
        <v>45902</v>
      </c>
      <c r="C134" s="5">
        <v>40</v>
      </c>
      <c r="D134" s="9" t="s">
        <v>8</v>
      </c>
      <c r="E134" s="10">
        <v>165</v>
      </c>
      <c r="F134" s="10">
        <f t="shared" ref="F134:F195" si="2">+C134*E134</f>
        <v>6600</v>
      </c>
    </row>
    <row r="135" spans="1:6" x14ac:dyDescent="0.25">
      <c r="A135" s="9"/>
      <c r="B135" s="9"/>
      <c r="C135" s="5">
        <v>20</v>
      </c>
      <c r="D135" s="9" t="s">
        <v>12</v>
      </c>
      <c r="E135" s="10">
        <v>145</v>
      </c>
      <c r="F135" s="10">
        <f t="shared" si="2"/>
        <v>2900</v>
      </c>
    </row>
    <row r="136" spans="1:6" s="9" customFormat="1" x14ac:dyDescent="0.25">
      <c r="C136" s="5">
        <v>20</v>
      </c>
      <c r="D136" s="9" t="s">
        <v>13</v>
      </c>
      <c r="E136" s="10">
        <v>155</v>
      </c>
      <c r="F136" s="10">
        <f t="shared" si="2"/>
        <v>3100</v>
      </c>
    </row>
    <row r="137" spans="1:6" s="9" customFormat="1" x14ac:dyDescent="0.25">
      <c r="C137" s="5"/>
      <c r="E137" s="10"/>
      <c r="F137" s="8">
        <f>SUM(F134:F136)</f>
        <v>12600</v>
      </c>
    </row>
    <row r="138" spans="1:6" s="9" customFormat="1" x14ac:dyDescent="0.25">
      <c r="C138" s="5"/>
      <c r="E138" s="10"/>
      <c r="F138" s="10"/>
    </row>
    <row r="139" spans="1:6" s="9" customFormat="1" x14ac:dyDescent="0.25">
      <c r="A139" s="9" t="s">
        <v>910</v>
      </c>
      <c r="B139" s="4">
        <v>45902</v>
      </c>
      <c r="C139" s="5">
        <v>10</v>
      </c>
      <c r="D139" s="9" t="s">
        <v>13</v>
      </c>
      <c r="E139" s="10">
        <v>155</v>
      </c>
      <c r="F139" s="10">
        <f t="shared" si="2"/>
        <v>1550</v>
      </c>
    </row>
    <row r="140" spans="1:6" s="9" customFormat="1" x14ac:dyDescent="0.25">
      <c r="C140" s="5"/>
      <c r="E140" s="10"/>
      <c r="F140" s="8">
        <f>SUM(F139)</f>
        <v>1550</v>
      </c>
    </row>
    <row r="141" spans="1:6" s="9" customFormat="1" x14ac:dyDescent="0.25">
      <c r="C141" s="5"/>
      <c r="E141" s="10"/>
      <c r="F141" s="10"/>
    </row>
    <row r="142" spans="1:6" s="9" customFormat="1" x14ac:dyDescent="0.25">
      <c r="A142" s="9" t="s">
        <v>111</v>
      </c>
      <c r="B142" s="4">
        <v>45902</v>
      </c>
      <c r="C142" s="5">
        <v>30</v>
      </c>
      <c r="D142" s="9" t="s">
        <v>13</v>
      </c>
      <c r="E142" s="10">
        <v>155</v>
      </c>
      <c r="F142" s="10">
        <f t="shared" si="2"/>
        <v>4650</v>
      </c>
    </row>
    <row r="143" spans="1:6" s="9" customFormat="1" x14ac:dyDescent="0.25">
      <c r="C143" s="5"/>
      <c r="E143" s="10"/>
      <c r="F143" s="8">
        <f>SUM(F142)</f>
        <v>4650</v>
      </c>
    </row>
    <row r="144" spans="1:6" s="9" customFormat="1" x14ac:dyDescent="0.25">
      <c r="C144" s="5"/>
      <c r="E144" s="10"/>
      <c r="F144" s="10"/>
    </row>
    <row r="145" spans="1:6" s="9" customFormat="1" x14ac:dyDescent="0.25">
      <c r="A145" s="9" t="s">
        <v>306</v>
      </c>
      <c r="B145" s="4">
        <v>45902</v>
      </c>
      <c r="C145" s="5">
        <v>5</v>
      </c>
      <c r="D145" s="9" t="s">
        <v>13</v>
      </c>
      <c r="E145" s="10">
        <v>155</v>
      </c>
      <c r="F145" s="10">
        <f t="shared" si="2"/>
        <v>775</v>
      </c>
    </row>
    <row r="146" spans="1:6" s="9" customFormat="1" x14ac:dyDescent="0.25">
      <c r="C146" s="5"/>
      <c r="E146" s="10"/>
      <c r="F146" s="8">
        <f>SUM(F145)</f>
        <v>775</v>
      </c>
    </row>
    <row r="147" spans="1:6" s="9" customFormat="1" x14ac:dyDescent="0.25">
      <c r="C147" s="5"/>
      <c r="E147" s="10"/>
      <c r="F147" s="10"/>
    </row>
    <row r="148" spans="1:6" s="9" customFormat="1" x14ac:dyDescent="0.25">
      <c r="A148" s="9" t="s">
        <v>26</v>
      </c>
      <c r="B148" s="4">
        <v>45902</v>
      </c>
      <c r="C148" s="5">
        <v>10</v>
      </c>
      <c r="D148" s="9" t="s">
        <v>14</v>
      </c>
      <c r="E148" s="10">
        <v>145</v>
      </c>
      <c r="F148" s="10">
        <f t="shared" si="2"/>
        <v>1450</v>
      </c>
    </row>
    <row r="149" spans="1:6" s="9" customFormat="1" x14ac:dyDescent="0.25">
      <c r="C149" s="5"/>
      <c r="E149" s="10"/>
      <c r="F149" s="8">
        <f>SUM(F148)</f>
        <v>1450</v>
      </c>
    </row>
    <row r="150" spans="1:6" s="9" customFormat="1" x14ac:dyDescent="0.25">
      <c r="C150" s="5"/>
      <c r="E150" s="10"/>
      <c r="F150" s="10"/>
    </row>
    <row r="151" spans="1:6" s="9" customFormat="1" x14ac:dyDescent="0.25">
      <c r="A151" s="9" t="s">
        <v>911</v>
      </c>
      <c r="B151" s="4">
        <v>45902</v>
      </c>
      <c r="C151" s="5">
        <v>30</v>
      </c>
      <c r="D151" s="9" t="s">
        <v>14</v>
      </c>
      <c r="E151" s="10">
        <v>145</v>
      </c>
      <c r="F151" s="10">
        <f t="shared" si="2"/>
        <v>4350</v>
      </c>
    </row>
    <row r="152" spans="1:6" s="9" customFormat="1" x14ac:dyDescent="0.25">
      <c r="C152" s="5">
        <v>30</v>
      </c>
      <c r="D152" s="9" t="s">
        <v>11</v>
      </c>
      <c r="E152" s="10">
        <v>140</v>
      </c>
      <c r="F152" s="10">
        <f t="shared" si="2"/>
        <v>4200</v>
      </c>
    </row>
    <row r="153" spans="1:6" s="9" customFormat="1" x14ac:dyDescent="0.25">
      <c r="C153" s="5"/>
      <c r="E153" s="10"/>
      <c r="F153" s="8">
        <f>SUM(F151:F152)</f>
        <v>8550</v>
      </c>
    </row>
    <row r="154" spans="1:6" s="9" customFormat="1" x14ac:dyDescent="0.25">
      <c r="C154" s="5"/>
      <c r="E154" s="10"/>
      <c r="F154" s="10"/>
    </row>
    <row r="155" spans="1:6" s="9" customFormat="1" x14ac:dyDescent="0.25">
      <c r="A155" s="9" t="s">
        <v>85</v>
      </c>
      <c r="B155" s="4">
        <v>45902</v>
      </c>
      <c r="C155" s="5">
        <v>100</v>
      </c>
      <c r="D155" s="9" t="s">
        <v>13</v>
      </c>
      <c r="E155" s="10">
        <v>147</v>
      </c>
      <c r="F155" s="10">
        <f t="shared" si="2"/>
        <v>14700</v>
      </c>
    </row>
    <row r="156" spans="1:6" s="9" customFormat="1" x14ac:dyDescent="0.25">
      <c r="C156" s="5"/>
      <c r="E156" s="10"/>
      <c r="F156" s="8">
        <f>SUM(F155)</f>
        <v>14700</v>
      </c>
    </row>
    <row r="157" spans="1:6" s="9" customFormat="1" x14ac:dyDescent="0.25">
      <c r="C157" s="5"/>
      <c r="E157" s="10"/>
      <c r="F157" s="10"/>
    </row>
    <row r="158" spans="1:6" s="9" customFormat="1" x14ac:dyDescent="0.25">
      <c r="A158" s="9" t="s">
        <v>136</v>
      </c>
      <c r="B158" s="4">
        <v>45902</v>
      </c>
      <c r="C158" s="5">
        <v>15</v>
      </c>
      <c r="D158" s="9" t="s">
        <v>13</v>
      </c>
      <c r="E158" s="10">
        <v>140</v>
      </c>
      <c r="F158" s="10">
        <f t="shared" si="2"/>
        <v>2100</v>
      </c>
    </row>
    <row r="159" spans="1:6" s="9" customFormat="1" x14ac:dyDescent="0.25">
      <c r="C159" s="5"/>
      <c r="E159" s="10"/>
      <c r="F159" s="8">
        <f>SUM(F158)</f>
        <v>2100</v>
      </c>
    </row>
    <row r="160" spans="1:6" s="9" customFormat="1" x14ac:dyDescent="0.25">
      <c r="C160" s="5"/>
      <c r="E160" s="10"/>
      <c r="F160" s="10"/>
    </row>
    <row r="161" spans="1:6" s="9" customFormat="1" x14ac:dyDescent="0.25">
      <c r="A161" s="9" t="s">
        <v>29</v>
      </c>
      <c r="B161" s="4">
        <v>45902</v>
      </c>
      <c r="C161" s="5">
        <v>1</v>
      </c>
      <c r="D161" s="9" t="s">
        <v>13</v>
      </c>
      <c r="E161" s="10">
        <v>160</v>
      </c>
      <c r="F161" s="10">
        <f t="shared" si="2"/>
        <v>160</v>
      </c>
    </row>
    <row r="162" spans="1:6" s="9" customFormat="1" x14ac:dyDescent="0.25">
      <c r="C162" s="5"/>
      <c r="E162" s="10"/>
      <c r="F162" s="8">
        <f>SUM(F161)</f>
        <v>160</v>
      </c>
    </row>
    <row r="163" spans="1:6" s="9" customFormat="1" x14ac:dyDescent="0.25">
      <c r="C163" s="5"/>
      <c r="E163" s="10"/>
      <c r="F163" s="10"/>
    </row>
    <row r="164" spans="1:6" s="9" customFormat="1" x14ac:dyDescent="0.25">
      <c r="A164" s="9" t="s">
        <v>7</v>
      </c>
      <c r="B164" s="4">
        <v>45902</v>
      </c>
      <c r="C164" s="5">
        <v>1</v>
      </c>
      <c r="D164" s="9" t="s">
        <v>8</v>
      </c>
      <c r="E164" s="10">
        <v>170</v>
      </c>
      <c r="F164" s="10">
        <f t="shared" si="2"/>
        <v>170</v>
      </c>
    </row>
    <row r="165" spans="1:6" s="9" customFormat="1" x14ac:dyDescent="0.25">
      <c r="C165" s="5"/>
      <c r="E165" s="10"/>
      <c r="F165" s="8">
        <f>SUM(F164)</f>
        <v>170</v>
      </c>
    </row>
    <row r="166" spans="1:6" s="9" customFormat="1" x14ac:dyDescent="0.25">
      <c r="C166" s="5"/>
      <c r="E166" s="10"/>
      <c r="F166" s="10"/>
    </row>
    <row r="167" spans="1:6" s="9" customFormat="1" x14ac:dyDescent="0.25">
      <c r="A167" s="9" t="s">
        <v>487</v>
      </c>
      <c r="B167" s="4">
        <v>45903</v>
      </c>
      <c r="C167" s="5">
        <v>7</v>
      </c>
      <c r="D167" s="9" t="s">
        <v>12</v>
      </c>
      <c r="E167" s="10">
        <v>145</v>
      </c>
      <c r="F167" s="10">
        <f t="shared" si="2"/>
        <v>1015</v>
      </c>
    </row>
    <row r="168" spans="1:6" s="9" customFormat="1" x14ac:dyDescent="0.25">
      <c r="C168" s="5"/>
      <c r="E168" s="10"/>
      <c r="F168" s="8">
        <f>SUM(F167)</f>
        <v>1015</v>
      </c>
    </row>
    <row r="169" spans="1:6" x14ac:dyDescent="0.25">
      <c r="A169" s="9"/>
      <c r="B169" s="9"/>
      <c r="D169" s="9"/>
    </row>
    <row r="170" spans="1:6" x14ac:dyDescent="0.25">
      <c r="A170" s="9" t="s">
        <v>15</v>
      </c>
      <c r="B170" s="4">
        <v>45903</v>
      </c>
      <c r="C170" s="5">
        <v>55</v>
      </c>
      <c r="D170" s="9" t="s">
        <v>98</v>
      </c>
      <c r="E170" s="10">
        <v>110</v>
      </c>
      <c r="F170" s="10">
        <f t="shared" si="2"/>
        <v>6050</v>
      </c>
    </row>
    <row r="171" spans="1:6" x14ac:dyDescent="0.25">
      <c r="A171" s="9"/>
      <c r="B171" s="9"/>
      <c r="D171" s="9"/>
      <c r="F171" s="8">
        <f>SUM(F170)</f>
        <v>6050</v>
      </c>
    </row>
    <row r="172" spans="1:6" x14ac:dyDescent="0.25">
      <c r="A172" s="9"/>
      <c r="B172" s="9"/>
      <c r="D172" s="9"/>
    </row>
    <row r="173" spans="1:6" x14ac:dyDescent="0.25">
      <c r="A173" s="9" t="s">
        <v>591</v>
      </c>
      <c r="B173" s="4">
        <v>45903</v>
      </c>
      <c r="C173" s="5">
        <v>5</v>
      </c>
      <c r="D173" s="9" t="s">
        <v>13</v>
      </c>
      <c r="E173" s="10">
        <v>150</v>
      </c>
      <c r="F173" s="10">
        <f t="shared" si="2"/>
        <v>750</v>
      </c>
    </row>
    <row r="174" spans="1:6" x14ac:dyDescent="0.25">
      <c r="A174" s="9"/>
      <c r="B174" s="9"/>
      <c r="D174" s="9"/>
      <c r="F174" s="8">
        <f>SUM(F173)</f>
        <v>750</v>
      </c>
    </row>
    <row r="175" spans="1:6" x14ac:dyDescent="0.25">
      <c r="A175" s="9"/>
      <c r="B175" s="9"/>
      <c r="D175" s="9"/>
    </row>
    <row r="176" spans="1:6" x14ac:dyDescent="0.25">
      <c r="A176" s="9" t="s">
        <v>40</v>
      </c>
      <c r="B176" s="4">
        <v>45903</v>
      </c>
      <c r="C176" s="5">
        <v>8</v>
      </c>
      <c r="D176" s="9" t="s">
        <v>8</v>
      </c>
      <c r="E176" s="10">
        <v>160</v>
      </c>
      <c r="F176" s="10">
        <f t="shared" si="2"/>
        <v>1280</v>
      </c>
    </row>
    <row r="177" spans="1:6" x14ac:dyDescent="0.25">
      <c r="A177" s="9"/>
      <c r="B177" s="9"/>
      <c r="D177" s="9"/>
      <c r="F177" s="8">
        <f>SUM(F176)</f>
        <v>1280</v>
      </c>
    </row>
    <row r="178" spans="1:6" x14ac:dyDescent="0.25">
      <c r="A178" s="9"/>
      <c r="B178" s="9"/>
      <c r="D178" s="9"/>
    </row>
    <row r="179" spans="1:6" x14ac:dyDescent="0.25">
      <c r="A179" s="9" t="s">
        <v>21</v>
      </c>
      <c r="B179" s="4">
        <v>45903</v>
      </c>
      <c r="C179" s="5">
        <v>10</v>
      </c>
      <c r="D179" s="9" t="s">
        <v>49</v>
      </c>
      <c r="E179" s="10">
        <v>155</v>
      </c>
      <c r="F179" s="10">
        <f t="shared" si="2"/>
        <v>1550</v>
      </c>
    </row>
    <row r="180" spans="1:6" x14ac:dyDescent="0.25">
      <c r="A180" s="9"/>
      <c r="B180" s="9"/>
      <c r="D180" s="9"/>
      <c r="F180" s="8">
        <f>SUM(F179)</f>
        <v>1550</v>
      </c>
    </row>
    <row r="181" spans="1:6" x14ac:dyDescent="0.25">
      <c r="A181" s="9"/>
      <c r="B181" s="9"/>
      <c r="D181" s="9"/>
    </row>
    <row r="182" spans="1:6" x14ac:dyDescent="0.25">
      <c r="A182" s="9" t="s">
        <v>57</v>
      </c>
      <c r="B182" s="4">
        <v>45903</v>
      </c>
      <c r="C182" s="5">
        <v>15</v>
      </c>
      <c r="D182" s="9" t="s">
        <v>13</v>
      </c>
      <c r="E182" s="10">
        <v>155</v>
      </c>
      <c r="F182" s="10">
        <f t="shared" si="2"/>
        <v>2325</v>
      </c>
    </row>
    <row r="183" spans="1:6" x14ac:dyDescent="0.25">
      <c r="A183" s="9"/>
      <c r="B183" s="9"/>
      <c r="C183" s="5">
        <v>5</v>
      </c>
      <c r="D183" s="9" t="s">
        <v>14</v>
      </c>
      <c r="E183" s="10">
        <v>150</v>
      </c>
      <c r="F183" s="10">
        <f t="shared" si="2"/>
        <v>750</v>
      </c>
    </row>
    <row r="184" spans="1:6" x14ac:dyDescent="0.25">
      <c r="A184" s="9"/>
      <c r="B184" s="9"/>
      <c r="D184" s="9"/>
      <c r="F184" s="8">
        <f>SUM(F182:F183)</f>
        <v>3075</v>
      </c>
    </row>
    <row r="185" spans="1:6" x14ac:dyDescent="0.25">
      <c r="A185" s="9"/>
      <c r="B185" s="9"/>
      <c r="D185" s="9"/>
    </row>
    <row r="186" spans="1:6" x14ac:dyDescent="0.25">
      <c r="A186" s="9" t="s">
        <v>673</v>
      </c>
      <c r="B186" s="4">
        <v>45903</v>
      </c>
      <c r="C186" s="5">
        <v>20</v>
      </c>
      <c r="D186" s="9" t="s">
        <v>13</v>
      </c>
      <c r="E186" s="10">
        <v>155</v>
      </c>
      <c r="F186" s="10">
        <f t="shared" si="2"/>
        <v>3100</v>
      </c>
    </row>
    <row r="187" spans="1:6" s="9" customFormat="1" x14ac:dyDescent="0.25">
      <c r="C187" s="5">
        <v>20</v>
      </c>
      <c r="D187" s="9" t="s">
        <v>866</v>
      </c>
      <c r="E187" s="10">
        <v>145</v>
      </c>
      <c r="F187" s="10">
        <f t="shared" si="2"/>
        <v>2900</v>
      </c>
    </row>
    <row r="188" spans="1:6" x14ac:dyDescent="0.25">
      <c r="A188" s="9"/>
      <c r="B188" s="9"/>
      <c r="C188" s="5">
        <v>7</v>
      </c>
      <c r="D188" s="9" t="s">
        <v>49</v>
      </c>
      <c r="E188" s="10">
        <v>155</v>
      </c>
      <c r="F188" s="10">
        <f t="shared" si="2"/>
        <v>1085</v>
      </c>
    </row>
    <row r="189" spans="1:6" x14ac:dyDescent="0.25">
      <c r="A189" s="9"/>
      <c r="B189" s="9"/>
      <c r="C189" s="5">
        <v>20</v>
      </c>
      <c r="D189" s="9" t="s">
        <v>50</v>
      </c>
      <c r="E189" s="10">
        <v>130</v>
      </c>
      <c r="F189" s="10">
        <f t="shared" si="2"/>
        <v>2600</v>
      </c>
    </row>
    <row r="190" spans="1:6" x14ac:dyDescent="0.25">
      <c r="A190" s="9"/>
      <c r="B190" s="9"/>
      <c r="C190" s="5">
        <v>10</v>
      </c>
      <c r="D190" s="9" t="s">
        <v>14</v>
      </c>
      <c r="E190" s="10">
        <v>150</v>
      </c>
      <c r="F190" s="10">
        <f t="shared" si="2"/>
        <v>1500</v>
      </c>
    </row>
    <row r="191" spans="1:6" x14ac:dyDescent="0.25">
      <c r="A191" s="9"/>
      <c r="B191" s="9"/>
      <c r="D191" s="9"/>
      <c r="F191" s="8">
        <f>SUM(F186:F190)</f>
        <v>11185</v>
      </c>
    </row>
    <row r="192" spans="1:6" x14ac:dyDescent="0.25">
      <c r="A192" s="9"/>
      <c r="B192" s="9"/>
      <c r="D192" s="9"/>
    </row>
    <row r="193" spans="1:6" x14ac:dyDescent="0.25">
      <c r="A193" s="9" t="s">
        <v>427</v>
      </c>
      <c r="B193" s="4">
        <v>45903</v>
      </c>
      <c r="C193" s="5">
        <v>10</v>
      </c>
      <c r="D193" s="9" t="s">
        <v>13</v>
      </c>
      <c r="E193" s="10">
        <v>155</v>
      </c>
      <c r="F193" s="10">
        <f t="shared" si="2"/>
        <v>1550</v>
      </c>
    </row>
    <row r="194" spans="1:6" s="9" customFormat="1" x14ac:dyDescent="0.25">
      <c r="C194" s="5">
        <v>5</v>
      </c>
      <c r="D194" s="9" t="s">
        <v>12</v>
      </c>
      <c r="E194" s="10">
        <v>145</v>
      </c>
      <c r="F194" s="10">
        <f t="shared" si="2"/>
        <v>725</v>
      </c>
    </row>
    <row r="195" spans="1:6" x14ac:dyDescent="0.25">
      <c r="A195" s="9"/>
      <c r="B195" s="9"/>
      <c r="C195" s="5">
        <v>5</v>
      </c>
      <c r="D195" s="9" t="s">
        <v>14</v>
      </c>
      <c r="E195" s="10">
        <v>150</v>
      </c>
      <c r="F195" s="10">
        <f t="shared" si="2"/>
        <v>750</v>
      </c>
    </row>
    <row r="196" spans="1:6" x14ac:dyDescent="0.25">
      <c r="A196" s="9"/>
      <c r="B196" s="9"/>
      <c r="D196" s="9"/>
      <c r="F196" s="8">
        <f>SUM(F193:F195)</f>
        <v>3025</v>
      </c>
    </row>
    <row r="197" spans="1:6" x14ac:dyDescent="0.25">
      <c r="A197" s="9"/>
      <c r="B197" s="9"/>
      <c r="D197" s="9"/>
    </row>
    <row r="198" spans="1:6" x14ac:dyDescent="0.25">
      <c r="A198" s="9" t="s">
        <v>17</v>
      </c>
      <c r="B198" s="4">
        <v>45903</v>
      </c>
      <c r="C198" s="5">
        <v>10</v>
      </c>
      <c r="D198" s="9" t="s">
        <v>13</v>
      </c>
      <c r="E198" s="10">
        <v>155</v>
      </c>
      <c r="F198" s="10">
        <f t="shared" ref="F198:F259" si="3">+C198*E198</f>
        <v>1550</v>
      </c>
    </row>
    <row r="199" spans="1:6" x14ac:dyDescent="0.25">
      <c r="A199" s="9"/>
      <c r="B199" s="9"/>
      <c r="D199" s="9"/>
      <c r="F199" s="8">
        <f>SUM(F198)</f>
        <v>1550</v>
      </c>
    </row>
    <row r="200" spans="1:6" x14ac:dyDescent="0.25">
      <c r="A200" s="9"/>
      <c r="B200" s="9"/>
      <c r="D200" s="9"/>
    </row>
    <row r="201" spans="1:6" x14ac:dyDescent="0.25">
      <c r="A201" s="9" t="s">
        <v>20</v>
      </c>
      <c r="B201" s="4">
        <v>45903</v>
      </c>
      <c r="C201" s="5">
        <v>20</v>
      </c>
      <c r="D201" s="9" t="s">
        <v>13</v>
      </c>
      <c r="E201" s="10">
        <v>155</v>
      </c>
      <c r="F201" s="10">
        <f t="shared" si="3"/>
        <v>3100</v>
      </c>
    </row>
    <row r="202" spans="1:6" x14ac:dyDescent="0.25">
      <c r="A202" s="9"/>
      <c r="B202" s="9"/>
      <c r="D202" s="9"/>
      <c r="F202" s="8">
        <f>SUM(F201)</f>
        <v>3100</v>
      </c>
    </row>
    <row r="203" spans="1:6" x14ac:dyDescent="0.25">
      <c r="A203" s="9"/>
      <c r="B203" s="9"/>
      <c r="D203" s="9"/>
    </row>
    <row r="204" spans="1:6" x14ac:dyDescent="0.25">
      <c r="A204" s="9" t="s">
        <v>58</v>
      </c>
      <c r="B204" s="4">
        <v>45903</v>
      </c>
      <c r="C204" s="5">
        <v>5</v>
      </c>
      <c r="D204" s="9" t="s">
        <v>13</v>
      </c>
      <c r="E204" s="10">
        <v>150</v>
      </c>
      <c r="F204" s="10">
        <f t="shared" si="3"/>
        <v>750</v>
      </c>
    </row>
    <row r="205" spans="1:6" x14ac:dyDescent="0.25">
      <c r="A205" s="9"/>
      <c r="B205" s="9"/>
      <c r="D205" s="9"/>
      <c r="F205" s="8">
        <f>SUM(F204)</f>
        <v>750</v>
      </c>
    </row>
    <row r="206" spans="1:6" x14ac:dyDescent="0.25">
      <c r="A206" s="9"/>
      <c r="B206" s="9"/>
      <c r="D206" s="9"/>
    </row>
    <row r="207" spans="1:6" x14ac:dyDescent="0.25">
      <c r="A207" s="9" t="s">
        <v>7</v>
      </c>
      <c r="B207" s="4">
        <v>45903</v>
      </c>
      <c r="C207" s="5">
        <v>1</v>
      </c>
      <c r="D207" s="9" t="s">
        <v>866</v>
      </c>
      <c r="E207" s="10">
        <v>145</v>
      </c>
      <c r="F207" s="10">
        <f t="shared" si="3"/>
        <v>145</v>
      </c>
    </row>
    <row r="208" spans="1:6" x14ac:dyDescent="0.25">
      <c r="A208" s="9"/>
      <c r="B208" s="9"/>
      <c r="D208" s="9"/>
      <c r="F208" s="8">
        <f>SUM(F207)</f>
        <v>145</v>
      </c>
    </row>
    <row r="209" spans="1:6" x14ac:dyDescent="0.25">
      <c r="A209" s="9"/>
      <c r="B209" s="9"/>
      <c r="D209" s="9"/>
    </row>
    <row r="210" spans="1:6" x14ac:dyDescent="0.25">
      <c r="A210" s="9" t="s">
        <v>912</v>
      </c>
      <c r="B210" s="4">
        <v>45903</v>
      </c>
      <c r="C210" s="5">
        <v>20</v>
      </c>
      <c r="D210" s="9" t="s">
        <v>14</v>
      </c>
      <c r="E210" s="10">
        <v>150</v>
      </c>
      <c r="F210" s="10">
        <f t="shared" si="3"/>
        <v>3000</v>
      </c>
    </row>
    <row r="211" spans="1:6" x14ac:dyDescent="0.25">
      <c r="A211" s="9"/>
      <c r="B211" s="9"/>
      <c r="D211" s="9"/>
      <c r="F211" s="8">
        <f>SUM(F210)</f>
        <v>3000</v>
      </c>
    </row>
    <row r="212" spans="1:6" x14ac:dyDescent="0.25">
      <c r="A212" s="9"/>
      <c r="B212" s="9"/>
      <c r="D212" s="9"/>
    </row>
    <row r="213" spans="1:6" x14ac:dyDescent="0.25">
      <c r="A213" s="9" t="s">
        <v>41</v>
      </c>
      <c r="B213" s="4">
        <v>45903</v>
      </c>
      <c r="C213" s="5">
        <v>30</v>
      </c>
      <c r="D213" s="9" t="s">
        <v>14</v>
      </c>
      <c r="E213" s="10">
        <v>140</v>
      </c>
      <c r="F213" s="10">
        <f t="shared" si="3"/>
        <v>4200</v>
      </c>
    </row>
    <row r="214" spans="1:6" x14ac:dyDescent="0.25">
      <c r="A214" s="9"/>
      <c r="B214" s="9"/>
      <c r="D214" s="9"/>
      <c r="F214" s="8">
        <f>SUM(F213)</f>
        <v>4200</v>
      </c>
    </row>
    <row r="215" spans="1:6" x14ac:dyDescent="0.25">
      <c r="A215" s="9"/>
      <c r="B215" s="9"/>
      <c r="D215" s="9"/>
    </row>
    <row r="216" spans="1:6" x14ac:dyDescent="0.25">
      <c r="A216" s="9" t="s">
        <v>18</v>
      </c>
      <c r="B216" s="4">
        <v>45903</v>
      </c>
      <c r="C216" s="5">
        <v>20</v>
      </c>
      <c r="D216" s="9" t="s">
        <v>11</v>
      </c>
      <c r="E216" s="10">
        <v>145</v>
      </c>
      <c r="F216" s="10">
        <f t="shared" si="3"/>
        <v>2900</v>
      </c>
    </row>
    <row r="217" spans="1:6" x14ac:dyDescent="0.25">
      <c r="A217" s="9"/>
      <c r="B217" s="9"/>
      <c r="C217" s="5">
        <v>10</v>
      </c>
      <c r="D217" s="9" t="s">
        <v>14</v>
      </c>
      <c r="E217" s="10">
        <v>150</v>
      </c>
      <c r="F217" s="10">
        <f t="shared" si="3"/>
        <v>1500</v>
      </c>
    </row>
    <row r="218" spans="1:6" x14ac:dyDescent="0.25">
      <c r="A218" s="9"/>
      <c r="B218" s="9"/>
      <c r="C218" s="5">
        <v>10</v>
      </c>
      <c r="D218" s="9" t="s">
        <v>13</v>
      </c>
      <c r="E218" s="10">
        <v>150</v>
      </c>
      <c r="F218" s="10">
        <f t="shared" si="3"/>
        <v>1500</v>
      </c>
    </row>
    <row r="219" spans="1:6" x14ac:dyDescent="0.25">
      <c r="A219" s="9"/>
      <c r="B219" s="9"/>
      <c r="D219" s="9"/>
      <c r="F219" s="8">
        <f>SUM(F216:F218)</f>
        <v>5900</v>
      </c>
    </row>
    <row r="220" spans="1:6" x14ac:dyDescent="0.25">
      <c r="A220" s="9"/>
      <c r="B220" s="9"/>
      <c r="D220" s="9"/>
    </row>
    <row r="221" spans="1:6" x14ac:dyDescent="0.25">
      <c r="A221" s="9" t="s">
        <v>183</v>
      </c>
      <c r="B221" s="4">
        <v>45903</v>
      </c>
      <c r="C221" s="5">
        <v>5</v>
      </c>
      <c r="D221" s="9" t="s">
        <v>14</v>
      </c>
      <c r="E221" s="10">
        <v>150</v>
      </c>
      <c r="F221" s="10">
        <f t="shared" si="3"/>
        <v>750</v>
      </c>
    </row>
    <row r="222" spans="1:6" x14ac:dyDescent="0.25">
      <c r="A222" s="9"/>
      <c r="B222" s="9"/>
      <c r="D222" s="9"/>
      <c r="F222" s="8">
        <f>SUM(F221)</f>
        <v>750</v>
      </c>
    </row>
    <row r="223" spans="1:6" x14ac:dyDescent="0.25">
      <c r="A223" s="9"/>
      <c r="B223" s="9"/>
      <c r="D223" s="9"/>
    </row>
    <row r="224" spans="1:6" x14ac:dyDescent="0.25">
      <c r="A224" s="9" t="s">
        <v>273</v>
      </c>
      <c r="B224" s="4">
        <v>45903</v>
      </c>
      <c r="C224" s="5">
        <v>10</v>
      </c>
      <c r="D224" s="9" t="s">
        <v>49</v>
      </c>
      <c r="E224" s="10">
        <v>155</v>
      </c>
      <c r="F224" s="10">
        <f t="shared" si="3"/>
        <v>1550</v>
      </c>
    </row>
    <row r="225" spans="1:6" x14ac:dyDescent="0.25">
      <c r="A225" s="9"/>
      <c r="B225" s="9"/>
      <c r="D225" s="9"/>
      <c r="F225" s="8">
        <f>SUM(F224)</f>
        <v>1550</v>
      </c>
    </row>
    <row r="226" spans="1:6" x14ac:dyDescent="0.25">
      <c r="A226" s="9"/>
      <c r="B226" s="9"/>
      <c r="D226" s="9"/>
    </row>
    <row r="227" spans="1:6" x14ac:dyDescent="0.25">
      <c r="A227" s="9" t="s">
        <v>44</v>
      </c>
      <c r="B227" s="4">
        <v>45903</v>
      </c>
      <c r="C227" s="5">
        <v>40</v>
      </c>
      <c r="D227" s="9" t="s">
        <v>121</v>
      </c>
      <c r="E227" s="10">
        <v>150</v>
      </c>
      <c r="F227" s="10">
        <f t="shared" si="3"/>
        <v>6000</v>
      </c>
    </row>
    <row r="228" spans="1:6" x14ac:dyDescent="0.25">
      <c r="A228" s="9"/>
      <c r="B228" s="9"/>
      <c r="D228" s="9"/>
      <c r="F228" s="8">
        <f>SUM(F227)</f>
        <v>6000</v>
      </c>
    </row>
    <row r="229" spans="1:6" x14ac:dyDescent="0.25">
      <c r="A229" s="9"/>
      <c r="B229" s="9"/>
      <c r="D229" s="9"/>
    </row>
    <row r="230" spans="1:6" x14ac:dyDescent="0.25">
      <c r="A230" s="9" t="s">
        <v>47</v>
      </c>
      <c r="B230" s="4">
        <v>45903</v>
      </c>
      <c r="C230" s="5">
        <v>30</v>
      </c>
      <c r="D230" s="9" t="s">
        <v>14</v>
      </c>
      <c r="E230" s="10">
        <v>150</v>
      </c>
      <c r="F230" s="10">
        <f t="shared" si="3"/>
        <v>4500</v>
      </c>
    </row>
    <row r="231" spans="1:6" x14ac:dyDescent="0.25">
      <c r="A231" s="9"/>
      <c r="B231" s="9"/>
      <c r="D231" s="9"/>
      <c r="F231" s="8">
        <f>SUM(F230)</f>
        <v>4500</v>
      </c>
    </row>
    <row r="232" spans="1:6" x14ac:dyDescent="0.25">
      <c r="A232" s="9"/>
      <c r="B232" s="9"/>
      <c r="D232" s="9"/>
    </row>
    <row r="233" spans="1:6" x14ac:dyDescent="0.25">
      <c r="A233" s="9" t="s">
        <v>107</v>
      </c>
      <c r="B233" s="4">
        <v>45903</v>
      </c>
      <c r="C233" s="5">
        <v>48</v>
      </c>
      <c r="D233" s="9" t="s">
        <v>11</v>
      </c>
      <c r="E233" s="10">
        <v>145</v>
      </c>
      <c r="F233" s="10">
        <f t="shared" si="3"/>
        <v>6960</v>
      </c>
    </row>
    <row r="234" spans="1:6" x14ac:dyDescent="0.25">
      <c r="A234" s="9"/>
      <c r="B234" s="9"/>
      <c r="D234" s="9"/>
      <c r="F234" s="8">
        <f>SUM(F233)</f>
        <v>6960</v>
      </c>
    </row>
    <row r="235" spans="1:6" x14ac:dyDescent="0.25">
      <c r="A235" s="9"/>
      <c r="B235" s="9"/>
      <c r="D235" s="9"/>
    </row>
    <row r="236" spans="1:6" x14ac:dyDescent="0.25">
      <c r="A236" s="9" t="s">
        <v>184</v>
      </c>
      <c r="B236" s="4">
        <v>45903</v>
      </c>
      <c r="C236" s="5">
        <v>7</v>
      </c>
      <c r="D236" s="9" t="s">
        <v>13</v>
      </c>
      <c r="E236" s="10">
        <v>155</v>
      </c>
      <c r="F236" s="10">
        <f t="shared" si="3"/>
        <v>1085</v>
      </c>
    </row>
    <row r="237" spans="1:6" x14ac:dyDescent="0.25">
      <c r="A237" s="9"/>
      <c r="B237" s="9"/>
      <c r="D237" s="9"/>
      <c r="F237" s="8">
        <f>SUM(F236)</f>
        <v>1085</v>
      </c>
    </row>
    <row r="238" spans="1:6" x14ac:dyDescent="0.25">
      <c r="A238" s="9"/>
      <c r="B238" s="9"/>
      <c r="D238" s="9"/>
    </row>
    <row r="239" spans="1:6" x14ac:dyDescent="0.25">
      <c r="A239" s="9" t="s">
        <v>150</v>
      </c>
      <c r="B239" s="4">
        <v>45903</v>
      </c>
      <c r="C239" s="5">
        <v>300</v>
      </c>
      <c r="D239" s="9" t="s">
        <v>50</v>
      </c>
      <c r="F239" s="10">
        <f t="shared" si="3"/>
        <v>0</v>
      </c>
    </row>
    <row r="240" spans="1:6" x14ac:dyDescent="0.25">
      <c r="A240" s="9"/>
      <c r="B240" s="9"/>
      <c r="D240" s="9"/>
      <c r="F240" s="8">
        <f>SUM(F239)</f>
        <v>0</v>
      </c>
    </row>
    <row r="241" spans="1:6" x14ac:dyDescent="0.25">
      <c r="A241" s="9"/>
      <c r="B241" s="9"/>
      <c r="D241" s="9"/>
    </row>
    <row r="242" spans="1:6" x14ac:dyDescent="0.25">
      <c r="A242" s="9" t="s">
        <v>233</v>
      </c>
      <c r="B242" s="4">
        <v>45903</v>
      </c>
      <c r="C242" s="5">
        <v>30</v>
      </c>
      <c r="D242" s="9" t="s">
        <v>13</v>
      </c>
      <c r="E242" s="10">
        <v>150</v>
      </c>
      <c r="F242" s="10">
        <f t="shared" si="3"/>
        <v>4500</v>
      </c>
    </row>
    <row r="243" spans="1:6" x14ac:dyDescent="0.25">
      <c r="A243" s="9"/>
      <c r="B243" s="9"/>
      <c r="D243" s="9"/>
      <c r="F243" s="8">
        <f>SUM(F242)</f>
        <v>4500</v>
      </c>
    </row>
    <row r="244" spans="1:6" x14ac:dyDescent="0.25">
      <c r="A244" s="9"/>
      <c r="B244" s="9"/>
      <c r="D244" s="9"/>
    </row>
    <row r="245" spans="1:6" x14ac:dyDescent="0.25">
      <c r="A245" s="9" t="s">
        <v>72</v>
      </c>
      <c r="B245" s="4">
        <v>45903</v>
      </c>
      <c r="C245" s="5">
        <v>250</v>
      </c>
      <c r="D245" s="9" t="s">
        <v>13</v>
      </c>
      <c r="E245" s="10">
        <v>145</v>
      </c>
      <c r="F245" s="10">
        <f t="shared" si="3"/>
        <v>36250</v>
      </c>
    </row>
    <row r="246" spans="1:6" x14ac:dyDescent="0.25">
      <c r="A246" s="9"/>
      <c r="B246" s="9"/>
      <c r="C246" s="5">
        <v>150</v>
      </c>
      <c r="D246" s="9" t="s">
        <v>12</v>
      </c>
      <c r="E246" s="10">
        <v>140</v>
      </c>
      <c r="F246" s="10">
        <f t="shared" si="3"/>
        <v>21000</v>
      </c>
    </row>
    <row r="247" spans="1:6" x14ac:dyDescent="0.25">
      <c r="A247" s="9"/>
      <c r="B247" s="9"/>
      <c r="C247" s="5">
        <v>10</v>
      </c>
      <c r="D247" s="9" t="s">
        <v>14</v>
      </c>
      <c r="E247" s="10">
        <v>140</v>
      </c>
      <c r="F247" s="10">
        <f t="shared" si="3"/>
        <v>1400</v>
      </c>
    </row>
    <row r="248" spans="1:6" x14ac:dyDescent="0.25">
      <c r="A248" s="9"/>
      <c r="B248" s="9"/>
      <c r="C248" s="5">
        <v>90</v>
      </c>
      <c r="D248" s="9"/>
      <c r="E248" s="10">
        <v>135</v>
      </c>
      <c r="F248" s="10">
        <f t="shared" si="3"/>
        <v>12150</v>
      </c>
    </row>
    <row r="249" spans="1:6" x14ac:dyDescent="0.25">
      <c r="A249" s="9"/>
      <c r="B249" s="9"/>
      <c r="D249" s="9"/>
      <c r="F249" s="8">
        <f>SUM(F245:F248)</f>
        <v>70800</v>
      </c>
    </row>
    <row r="250" spans="1:6" x14ac:dyDescent="0.25">
      <c r="A250" s="9"/>
      <c r="B250" s="9"/>
      <c r="D250" s="9"/>
    </row>
    <row r="251" spans="1:6" x14ac:dyDescent="0.25">
      <c r="A251" s="9" t="s">
        <v>810</v>
      </c>
      <c r="B251" s="4">
        <v>45903</v>
      </c>
      <c r="C251" s="5">
        <v>2</v>
      </c>
      <c r="D251" s="9" t="s">
        <v>13</v>
      </c>
      <c r="E251" s="10">
        <v>155</v>
      </c>
      <c r="F251" s="10">
        <f t="shared" si="3"/>
        <v>310</v>
      </c>
    </row>
    <row r="252" spans="1:6" x14ac:dyDescent="0.25">
      <c r="A252" s="9"/>
      <c r="B252" s="9"/>
      <c r="D252" s="9"/>
      <c r="F252" s="8">
        <f>SUM(F251)</f>
        <v>310</v>
      </c>
    </row>
    <row r="253" spans="1:6" x14ac:dyDescent="0.25">
      <c r="A253" s="9"/>
      <c r="B253" s="9"/>
      <c r="D253" s="9"/>
    </row>
    <row r="254" spans="1:6" x14ac:dyDescent="0.25">
      <c r="A254" s="9" t="s">
        <v>29</v>
      </c>
      <c r="B254" s="4">
        <v>45903</v>
      </c>
      <c r="C254" s="5">
        <v>1</v>
      </c>
      <c r="D254" s="9" t="s">
        <v>8</v>
      </c>
      <c r="E254" s="10">
        <v>150</v>
      </c>
      <c r="F254" s="10">
        <f t="shared" si="3"/>
        <v>150</v>
      </c>
    </row>
    <row r="255" spans="1:6" x14ac:dyDescent="0.25">
      <c r="A255" s="9"/>
      <c r="B255" s="9"/>
      <c r="C255" s="5">
        <v>1</v>
      </c>
      <c r="D255" s="9" t="s">
        <v>492</v>
      </c>
      <c r="E255" s="10">
        <v>150</v>
      </c>
      <c r="F255" s="10">
        <f t="shared" si="3"/>
        <v>150</v>
      </c>
    </row>
    <row r="256" spans="1:6" x14ac:dyDescent="0.25">
      <c r="A256" s="9"/>
      <c r="B256" s="9"/>
      <c r="D256" s="9"/>
      <c r="F256" s="8">
        <f>SUM(F254:F255)</f>
        <v>300</v>
      </c>
    </row>
    <row r="257" spans="1:6" x14ac:dyDescent="0.25">
      <c r="A257" s="9"/>
      <c r="B257" s="9"/>
      <c r="D257" s="9"/>
    </row>
    <row r="258" spans="1:6" x14ac:dyDescent="0.25">
      <c r="A258" s="9" t="s">
        <v>181</v>
      </c>
      <c r="B258" s="4">
        <v>45903</v>
      </c>
      <c r="C258" s="5">
        <v>2</v>
      </c>
      <c r="D258" s="9" t="s">
        <v>220</v>
      </c>
      <c r="E258" s="10">
        <v>150</v>
      </c>
      <c r="F258" s="10">
        <f t="shared" si="3"/>
        <v>300</v>
      </c>
    </row>
    <row r="259" spans="1:6" x14ac:dyDescent="0.25">
      <c r="A259" s="9"/>
      <c r="B259" s="9"/>
      <c r="C259" s="5">
        <v>2</v>
      </c>
      <c r="D259" s="9" t="s">
        <v>13</v>
      </c>
      <c r="E259" s="10">
        <v>160</v>
      </c>
      <c r="F259" s="10">
        <f t="shared" si="3"/>
        <v>320</v>
      </c>
    </row>
    <row r="260" spans="1:6" x14ac:dyDescent="0.25">
      <c r="A260" s="9"/>
      <c r="B260" s="9"/>
      <c r="D260" s="9"/>
      <c r="F260" s="8">
        <f>SUM(F258:F259)</f>
        <v>620</v>
      </c>
    </row>
    <row r="261" spans="1:6" x14ac:dyDescent="0.25">
      <c r="A261" s="9"/>
      <c r="B261" s="9"/>
      <c r="D261" s="9"/>
    </row>
    <row r="262" spans="1:6" x14ac:dyDescent="0.25">
      <c r="A262" s="9" t="s">
        <v>514</v>
      </c>
      <c r="B262" s="4">
        <v>45904</v>
      </c>
      <c r="C262" s="5">
        <v>10</v>
      </c>
      <c r="D262" s="9" t="s">
        <v>98</v>
      </c>
      <c r="E262" s="10">
        <v>110</v>
      </c>
      <c r="F262" s="10">
        <f t="shared" ref="F262:F322" si="4">+C262*E262</f>
        <v>1100</v>
      </c>
    </row>
    <row r="263" spans="1:6" x14ac:dyDescent="0.25">
      <c r="A263" s="9"/>
      <c r="B263" s="9"/>
      <c r="D263" s="9"/>
      <c r="F263" s="8">
        <f>SUM(F262)</f>
        <v>1100</v>
      </c>
    </row>
    <row r="264" spans="1:6" x14ac:dyDescent="0.25">
      <c r="A264" s="9"/>
      <c r="B264" s="9"/>
      <c r="D264" s="9"/>
    </row>
    <row r="265" spans="1:6" x14ac:dyDescent="0.25">
      <c r="A265" s="9" t="s">
        <v>60</v>
      </c>
      <c r="B265" s="4">
        <v>45904</v>
      </c>
      <c r="C265" s="5">
        <v>15</v>
      </c>
      <c r="D265" s="9" t="s">
        <v>13</v>
      </c>
      <c r="E265" s="10">
        <v>155</v>
      </c>
      <c r="F265" s="10">
        <f t="shared" si="4"/>
        <v>2325</v>
      </c>
    </row>
    <row r="266" spans="1:6" x14ac:dyDescent="0.25">
      <c r="A266" s="9"/>
      <c r="B266" s="9"/>
      <c r="D266" s="9"/>
      <c r="F266" s="8">
        <f>SUM(F265)</f>
        <v>2325</v>
      </c>
    </row>
    <row r="267" spans="1:6" x14ac:dyDescent="0.25">
      <c r="A267" s="9"/>
      <c r="B267" s="9"/>
      <c r="D267" s="9"/>
    </row>
    <row r="268" spans="1:6" x14ac:dyDescent="0.25">
      <c r="A268" s="9" t="s">
        <v>66</v>
      </c>
      <c r="B268" s="4">
        <v>45904</v>
      </c>
      <c r="C268" s="5">
        <v>20</v>
      </c>
      <c r="D268" s="9" t="s">
        <v>8</v>
      </c>
      <c r="E268" s="10">
        <v>165</v>
      </c>
      <c r="F268" s="10">
        <f t="shared" si="4"/>
        <v>3300</v>
      </c>
    </row>
    <row r="269" spans="1:6" x14ac:dyDescent="0.25">
      <c r="A269" s="9"/>
      <c r="B269" s="9"/>
      <c r="D269" s="9"/>
      <c r="F269" s="8">
        <f>SUM(F268)</f>
        <v>3300</v>
      </c>
    </row>
    <row r="270" spans="1:6" x14ac:dyDescent="0.25">
      <c r="A270" s="9"/>
      <c r="B270" s="9"/>
      <c r="D270" s="9"/>
    </row>
    <row r="271" spans="1:6" x14ac:dyDescent="0.25">
      <c r="A271" s="9" t="s">
        <v>76</v>
      </c>
      <c r="B271" s="4">
        <v>45904</v>
      </c>
      <c r="C271" s="5">
        <v>120</v>
      </c>
      <c r="D271" s="9" t="s">
        <v>50</v>
      </c>
      <c r="E271" s="10">
        <v>122</v>
      </c>
      <c r="F271" s="10">
        <f t="shared" si="4"/>
        <v>14640</v>
      </c>
    </row>
    <row r="272" spans="1:6" x14ac:dyDescent="0.25">
      <c r="A272" s="9"/>
      <c r="B272" s="9"/>
      <c r="C272" s="5">
        <v>20</v>
      </c>
      <c r="D272" s="9" t="s">
        <v>14</v>
      </c>
      <c r="E272" s="10">
        <v>145</v>
      </c>
      <c r="F272" s="10">
        <f t="shared" si="4"/>
        <v>2900</v>
      </c>
    </row>
    <row r="273" spans="1:6" x14ac:dyDescent="0.25">
      <c r="A273" s="9"/>
      <c r="B273" s="9"/>
      <c r="C273" s="5">
        <v>210</v>
      </c>
      <c r="D273" s="9" t="s">
        <v>14</v>
      </c>
      <c r="E273" s="10">
        <v>145</v>
      </c>
      <c r="F273" s="10">
        <f t="shared" si="4"/>
        <v>30450</v>
      </c>
    </row>
    <row r="274" spans="1:6" x14ac:dyDescent="0.25">
      <c r="A274" s="9"/>
      <c r="B274" s="9"/>
      <c r="C274" s="5">
        <v>10</v>
      </c>
      <c r="D274" s="9" t="s">
        <v>98</v>
      </c>
      <c r="E274" s="10">
        <v>100</v>
      </c>
      <c r="F274" s="10">
        <f t="shared" si="4"/>
        <v>1000</v>
      </c>
    </row>
    <row r="275" spans="1:6" x14ac:dyDescent="0.25">
      <c r="A275" s="9"/>
      <c r="B275" s="9"/>
      <c r="D275" s="9"/>
      <c r="F275" s="8">
        <f>SUM(F271:F274)</f>
        <v>48990</v>
      </c>
    </row>
    <row r="276" spans="1:6" x14ac:dyDescent="0.25">
      <c r="A276" s="9"/>
      <c r="B276" s="9"/>
      <c r="D276" s="9"/>
    </row>
    <row r="277" spans="1:6" x14ac:dyDescent="0.25">
      <c r="A277" s="9" t="s">
        <v>76</v>
      </c>
      <c r="B277" s="4">
        <v>45904</v>
      </c>
      <c r="C277" s="5">
        <v>40</v>
      </c>
      <c r="D277" s="9" t="s">
        <v>50</v>
      </c>
      <c r="E277" s="10">
        <v>122</v>
      </c>
      <c r="F277" s="10">
        <f t="shared" si="4"/>
        <v>4880</v>
      </c>
    </row>
    <row r="278" spans="1:6" x14ac:dyDescent="0.25">
      <c r="A278" s="9"/>
      <c r="B278" s="9"/>
      <c r="D278" s="9"/>
      <c r="F278" s="8">
        <f>SUM(F277)</f>
        <v>4880</v>
      </c>
    </row>
    <row r="279" spans="1:6" x14ac:dyDescent="0.25">
      <c r="A279" s="9"/>
      <c r="B279" s="9"/>
      <c r="D279" s="9"/>
    </row>
    <row r="280" spans="1:6" x14ac:dyDescent="0.25">
      <c r="A280" s="9" t="s">
        <v>245</v>
      </c>
      <c r="B280" s="4">
        <v>45904</v>
      </c>
      <c r="C280" s="5">
        <v>60</v>
      </c>
      <c r="D280" s="9" t="s">
        <v>13</v>
      </c>
      <c r="E280" s="10">
        <v>148</v>
      </c>
      <c r="F280" s="10">
        <f t="shared" si="4"/>
        <v>8880</v>
      </c>
    </row>
    <row r="281" spans="1:6" x14ac:dyDescent="0.25">
      <c r="A281" s="9"/>
      <c r="B281" s="9"/>
      <c r="C281" s="5">
        <v>10</v>
      </c>
      <c r="D281" s="9" t="s">
        <v>14</v>
      </c>
      <c r="E281" s="10">
        <v>145</v>
      </c>
      <c r="F281" s="10">
        <f t="shared" si="4"/>
        <v>1450</v>
      </c>
    </row>
    <row r="282" spans="1:6" x14ac:dyDescent="0.25">
      <c r="A282" s="9"/>
      <c r="B282" s="9"/>
      <c r="D282" s="9"/>
      <c r="F282" s="8">
        <f>SUM(F280:F281)</f>
        <v>10330</v>
      </c>
    </row>
    <row r="283" spans="1:6" x14ac:dyDescent="0.25">
      <c r="A283" s="9"/>
      <c r="B283" s="9"/>
      <c r="D283" s="9"/>
    </row>
    <row r="284" spans="1:6" x14ac:dyDescent="0.25">
      <c r="A284" s="9" t="s">
        <v>245</v>
      </c>
      <c r="B284" s="4">
        <v>45904</v>
      </c>
      <c r="C284" s="5">
        <v>1000</v>
      </c>
      <c r="D284" s="9" t="s">
        <v>13</v>
      </c>
      <c r="E284" s="10">
        <v>148</v>
      </c>
      <c r="F284" s="10">
        <f t="shared" si="4"/>
        <v>148000</v>
      </c>
    </row>
    <row r="285" spans="1:6" x14ac:dyDescent="0.25">
      <c r="A285" s="9"/>
      <c r="B285" s="9"/>
      <c r="D285" s="9"/>
      <c r="F285" s="8">
        <f>SUM(F284)</f>
        <v>148000</v>
      </c>
    </row>
    <row r="286" spans="1:6" x14ac:dyDescent="0.25">
      <c r="A286" s="9"/>
      <c r="B286" s="9"/>
      <c r="D286" s="9"/>
    </row>
    <row r="287" spans="1:6" x14ac:dyDescent="0.25">
      <c r="A287" s="9" t="s">
        <v>913</v>
      </c>
      <c r="B287" s="4">
        <v>45904</v>
      </c>
      <c r="C287" s="5">
        <v>4</v>
      </c>
      <c r="D287" s="9" t="s">
        <v>13</v>
      </c>
      <c r="E287" s="10">
        <v>155</v>
      </c>
      <c r="F287" s="10">
        <f t="shared" si="4"/>
        <v>620</v>
      </c>
    </row>
    <row r="288" spans="1:6" x14ac:dyDescent="0.25">
      <c r="A288" s="9"/>
      <c r="B288" s="9"/>
      <c r="D288" s="9"/>
      <c r="F288" s="8">
        <f>SUM(F287)</f>
        <v>620</v>
      </c>
    </row>
    <row r="289" spans="1:6" x14ac:dyDescent="0.25">
      <c r="A289" s="9"/>
      <c r="B289" s="9"/>
      <c r="D289" s="9"/>
    </row>
    <row r="290" spans="1:6" x14ac:dyDescent="0.25">
      <c r="A290" s="9" t="s">
        <v>103</v>
      </c>
      <c r="B290" s="4">
        <v>45904</v>
      </c>
      <c r="C290" s="5">
        <v>4</v>
      </c>
      <c r="D290" s="9" t="s">
        <v>13</v>
      </c>
      <c r="E290" s="10">
        <v>155</v>
      </c>
      <c r="F290" s="10">
        <f t="shared" si="4"/>
        <v>620</v>
      </c>
    </row>
    <row r="291" spans="1:6" x14ac:dyDescent="0.25">
      <c r="A291" s="9"/>
      <c r="B291" s="9"/>
      <c r="D291" s="9"/>
      <c r="F291" s="8">
        <f>SUM(F290)</f>
        <v>620</v>
      </c>
    </row>
    <row r="292" spans="1:6" x14ac:dyDescent="0.25">
      <c r="A292" s="9"/>
      <c r="B292" s="9"/>
      <c r="D292" s="9"/>
    </row>
    <row r="293" spans="1:6" x14ac:dyDescent="0.25">
      <c r="A293" s="9" t="s">
        <v>914</v>
      </c>
      <c r="B293" s="4">
        <v>45904</v>
      </c>
      <c r="C293" s="5">
        <v>236</v>
      </c>
      <c r="D293" s="9" t="s">
        <v>14</v>
      </c>
      <c r="E293" s="10">
        <v>140</v>
      </c>
      <c r="F293" s="10">
        <f t="shared" si="4"/>
        <v>33040</v>
      </c>
    </row>
    <row r="294" spans="1:6" x14ac:dyDescent="0.25">
      <c r="A294" s="9"/>
      <c r="B294" s="9"/>
      <c r="C294" s="5">
        <v>110</v>
      </c>
      <c r="D294" s="9" t="s">
        <v>11</v>
      </c>
      <c r="E294" s="10">
        <v>133</v>
      </c>
      <c r="F294" s="10">
        <f t="shared" si="4"/>
        <v>14630</v>
      </c>
    </row>
    <row r="295" spans="1:6" x14ac:dyDescent="0.25">
      <c r="A295" s="9"/>
      <c r="B295" s="9"/>
      <c r="C295" s="5">
        <v>8</v>
      </c>
      <c r="D295" s="9" t="s">
        <v>915</v>
      </c>
      <c r="E295" s="10">
        <v>120</v>
      </c>
      <c r="F295" s="10">
        <f t="shared" si="4"/>
        <v>960</v>
      </c>
    </row>
    <row r="296" spans="1:6" x14ac:dyDescent="0.25">
      <c r="A296" s="9"/>
      <c r="B296" s="9"/>
      <c r="C296" s="5">
        <v>150</v>
      </c>
      <c r="D296" s="9" t="s">
        <v>49</v>
      </c>
      <c r="E296" s="10">
        <v>145</v>
      </c>
      <c r="F296" s="10">
        <f t="shared" si="4"/>
        <v>21750</v>
      </c>
    </row>
    <row r="297" spans="1:6" x14ac:dyDescent="0.25">
      <c r="A297" s="9"/>
      <c r="B297" s="9"/>
      <c r="D297" s="9"/>
      <c r="F297" s="8">
        <f>SUM(F293:F296)</f>
        <v>70380</v>
      </c>
    </row>
    <row r="298" spans="1:6" x14ac:dyDescent="0.25">
      <c r="A298" s="9"/>
      <c r="B298" s="9"/>
      <c r="D298" s="9"/>
    </row>
    <row r="299" spans="1:6" x14ac:dyDescent="0.25">
      <c r="A299" s="9" t="s">
        <v>720</v>
      </c>
      <c r="B299" s="4">
        <v>45904</v>
      </c>
      <c r="C299" s="5">
        <v>4</v>
      </c>
      <c r="D299" s="9" t="s">
        <v>8</v>
      </c>
      <c r="E299" s="10">
        <v>150</v>
      </c>
      <c r="F299" s="10">
        <f t="shared" si="4"/>
        <v>600</v>
      </c>
    </row>
    <row r="300" spans="1:6" x14ac:dyDescent="0.25">
      <c r="A300" s="9"/>
      <c r="B300" s="9"/>
      <c r="D300" s="9"/>
      <c r="F300" s="8">
        <f>SUM(F299)</f>
        <v>600</v>
      </c>
    </row>
    <row r="301" spans="1:6" x14ac:dyDescent="0.25">
      <c r="A301" s="9"/>
      <c r="B301" s="9"/>
      <c r="D301" s="9"/>
    </row>
    <row r="302" spans="1:6" x14ac:dyDescent="0.25">
      <c r="A302" s="9" t="s">
        <v>7</v>
      </c>
      <c r="B302" s="4">
        <v>45904</v>
      </c>
      <c r="C302" s="11">
        <v>1.5</v>
      </c>
      <c r="D302" s="9" t="s">
        <v>8</v>
      </c>
      <c r="E302" s="10">
        <v>170</v>
      </c>
      <c r="F302" s="10">
        <f t="shared" si="4"/>
        <v>255</v>
      </c>
    </row>
    <row r="303" spans="1:6" x14ac:dyDescent="0.25">
      <c r="A303" s="9"/>
      <c r="B303" s="9"/>
      <c r="C303" s="5">
        <v>1</v>
      </c>
      <c r="D303" s="9" t="s">
        <v>13</v>
      </c>
      <c r="E303" s="10">
        <v>160</v>
      </c>
      <c r="F303" s="10">
        <f t="shared" si="4"/>
        <v>160</v>
      </c>
    </row>
    <row r="304" spans="1:6" x14ac:dyDescent="0.25">
      <c r="A304" s="9"/>
      <c r="B304" s="9"/>
      <c r="D304" s="9"/>
      <c r="F304" s="8">
        <f>SUM(F302:F303)</f>
        <v>415</v>
      </c>
    </row>
    <row r="305" spans="1:6" x14ac:dyDescent="0.25">
      <c r="A305" s="9"/>
      <c r="B305" s="9"/>
      <c r="D305" s="9"/>
    </row>
    <row r="306" spans="1:6" x14ac:dyDescent="0.25">
      <c r="A306" s="9" t="s">
        <v>916</v>
      </c>
      <c r="B306" s="4">
        <v>45905</v>
      </c>
      <c r="C306" s="5">
        <v>5</v>
      </c>
      <c r="D306" s="9" t="s">
        <v>12</v>
      </c>
      <c r="E306" s="10">
        <v>145</v>
      </c>
      <c r="F306" s="10">
        <f t="shared" si="4"/>
        <v>725</v>
      </c>
    </row>
    <row r="307" spans="1:6" x14ac:dyDescent="0.25">
      <c r="A307" s="9"/>
      <c r="B307" s="9"/>
      <c r="D307" s="9"/>
      <c r="F307" s="8">
        <f>SUM(F306)</f>
        <v>725</v>
      </c>
    </row>
    <row r="308" spans="1:6" x14ac:dyDescent="0.25">
      <c r="A308" s="9"/>
      <c r="B308" s="9"/>
      <c r="D308" s="9"/>
    </row>
    <row r="309" spans="1:6" x14ac:dyDescent="0.25">
      <c r="A309" s="9" t="s">
        <v>15</v>
      </c>
      <c r="B309" s="4">
        <v>45905</v>
      </c>
      <c r="C309" s="5">
        <v>55</v>
      </c>
      <c r="D309" s="9" t="s">
        <v>561</v>
      </c>
      <c r="E309" s="10">
        <v>110</v>
      </c>
      <c r="F309" s="10">
        <f t="shared" si="4"/>
        <v>6050</v>
      </c>
    </row>
    <row r="310" spans="1:6" x14ac:dyDescent="0.25">
      <c r="A310" s="9"/>
      <c r="B310" s="9"/>
      <c r="D310" s="9"/>
      <c r="F310" s="8">
        <f>SUM(F309)</f>
        <v>6050</v>
      </c>
    </row>
    <row r="311" spans="1:6" x14ac:dyDescent="0.25">
      <c r="A311" s="9"/>
      <c r="B311" s="9"/>
      <c r="D311" s="9"/>
    </row>
    <row r="312" spans="1:6" x14ac:dyDescent="0.25">
      <c r="A312" s="9" t="s">
        <v>514</v>
      </c>
      <c r="B312" s="4">
        <v>45905</v>
      </c>
      <c r="C312" s="5">
        <v>15</v>
      </c>
      <c r="D312" s="9" t="s">
        <v>98</v>
      </c>
      <c r="E312" s="10">
        <v>110</v>
      </c>
      <c r="F312" s="10">
        <f t="shared" si="4"/>
        <v>1650</v>
      </c>
    </row>
    <row r="313" spans="1:6" x14ac:dyDescent="0.25">
      <c r="A313" s="9"/>
      <c r="B313" s="9"/>
      <c r="D313" s="9"/>
      <c r="F313" s="8">
        <f>SUM(F312)</f>
        <v>1650</v>
      </c>
    </row>
    <row r="314" spans="1:6" x14ac:dyDescent="0.25">
      <c r="A314" s="9"/>
      <c r="B314" s="9"/>
      <c r="D314" s="9"/>
    </row>
    <row r="315" spans="1:6" x14ac:dyDescent="0.25">
      <c r="A315" s="9" t="s">
        <v>673</v>
      </c>
      <c r="B315" s="4">
        <v>45905</v>
      </c>
      <c r="C315" s="5">
        <v>13</v>
      </c>
      <c r="D315" s="9" t="s">
        <v>13</v>
      </c>
      <c r="E315" s="10">
        <v>155</v>
      </c>
      <c r="F315" s="10">
        <f t="shared" si="4"/>
        <v>2015</v>
      </c>
    </row>
    <row r="316" spans="1:6" x14ac:dyDescent="0.25">
      <c r="A316" s="9"/>
      <c r="B316" s="9"/>
      <c r="C316" s="5">
        <v>10</v>
      </c>
      <c r="D316" s="9" t="s">
        <v>12</v>
      </c>
      <c r="E316" s="10">
        <v>145</v>
      </c>
      <c r="F316" s="10">
        <f t="shared" si="4"/>
        <v>1450</v>
      </c>
    </row>
    <row r="317" spans="1:6" x14ac:dyDescent="0.25">
      <c r="A317" s="9"/>
      <c r="B317" s="9"/>
      <c r="D317" s="9"/>
      <c r="F317" s="8">
        <f>SUM(F315:F316)</f>
        <v>3465</v>
      </c>
    </row>
    <row r="318" spans="1:6" x14ac:dyDescent="0.25">
      <c r="A318" s="9"/>
      <c r="B318" s="9"/>
      <c r="D318" s="9"/>
    </row>
    <row r="319" spans="1:6" x14ac:dyDescent="0.25">
      <c r="A319" s="9" t="s">
        <v>58</v>
      </c>
      <c r="B319" s="4">
        <v>45905</v>
      </c>
      <c r="C319" s="5">
        <v>8</v>
      </c>
      <c r="D319" s="9" t="s">
        <v>13</v>
      </c>
      <c r="E319" s="10">
        <v>150</v>
      </c>
      <c r="F319" s="10">
        <f t="shared" si="4"/>
        <v>1200</v>
      </c>
    </row>
    <row r="320" spans="1:6" x14ac:dyDescent="0.25">
      <c r="A320" s="9"/>
      <c r="B320" s="9"/>
      <c r="D320" s="9"/>
      <c r="F320" s="8">
        <f>SUM(F319)</f>
        <v>1200</v>
      </c>
    </row>
    <row r="321" spans="1:6" x14ac:dyDescent="0.25">
      <c r="A321" s="9"/>
      <c r="B321" s="9"/>
      <c r="D321" s="9"/>
    </row>
    <row r="322" spans="1:6" x14ac:dyDescent="0.25">
      <c r="A322" s="9" t="s">
        <v>442</v>
      </c>
      <c r="B322" s="4">
        <v>45905</v>
      </c>
      <c r="C322" s="5">
        <v>15</v>
      </c>
      <c r="D322" s="9" t="s">
        <v>13</v>
      </c>
      <c r="E322" s="10">
        <v>155</v>
      </c>
      <c r="F322" s="10">
        <f t="shared" si="4"/>
        <v>2325</v>
      </c>
    </row>
    <row r="323" spans="1:6" x14ac:dyDescent="0.25">
      <c r="A323" s="9"/>
      <c r="B323" s="9"/>
      <c r="D323" s="9"/>
      <c r="F323" s="8">
        <f>SUM(F322)</f>
        <v>2325</v>
      </c>
    </row>
    <row r="324" spans="1:6" x14ac:dyDescent="0.25">
      <c r="A324" s="9"/>
      <c r="B324" s="9"/>
      <c r="D324" s="9"/>
    </row>
    <row r="325" spans="1:6" x14ac:dyDescent="0.25">
      <c r="A325" s="9" t="s">
        <v>791</v>
      </c>
      <c r="B325" s="4">
        <v>45905</v>
      </c>
      <c r="C325" s="5">
        <v>10</v>
      </c>
      <c r="D325" s="9" t="s">
        <v>12</v>
      </c>
      <c r="E325" s="10">
        <v>145</v>
      </c>
      <c r="F325" s="10">
        <f t="shared" ref="F325:F386" si="5">+C325*E325</f>
        <v>1450</v>
      </c>
    </row>
    <row r="326" spans="1:6" x14ac:dyDescent="0.25">
      <c r="A326" s="9"/>
      <c r="B326" s="9"/>
      <c r="C326" s="5">
        <v>10</v>
      </c>
      <c r="D326" s="9" t="s">
        <v>22</v>
      </c>
      <c r="E326" s="10">
        <v>135</v>
      </c>
      <c r="F326" s="10">
        <f t="shared" si="5"/>
        <v>1350</v>
      </c>
    </row>
    <row r="327" spans="1:6" x14ac:dyDescent="0.25">
      <c r="A327" s="9"/>
      <c r="B327" s="9"/>
      <c r="C327" s="5">
        <v>10</v>
      </c>
      <c r="D327" s="9" t="s">
        <v>22</v>
      </c>
      <c r="E327" s="10">
        <v>135</v>
      </c>
      <c r="F327" s="10">
        <f t="shared" si="5"/>
        <v>1350</v>
      </c>
    </row>
    <row r="328" spans="1:6" x14ac:dyDescent="0.25">
      <c r="A328" s="9"/>
      <c r="B328" s="9"/>
      <c r="D328" s="9"/>
      <c r="F328" s="8">
        <f>SUM(F325:F327)</f>
        <v>4150</v>
      </c>
    </row>
    <row r="329" spans="1:6" x14ac:dyDescent="0.25">
      <c r="A329" s="9"/>
      <c r="B329" s="9"/>
      <c r="D329" s="9"/>
    </row>
    <row r="330" spans="1:6" x14ac:dyDescent="0.25">
      <c r="A330" s="9" t="s">
        <v>40</v>
      </c>
      <c r="B330" s="4">
        <v>45905</v>
      </c>
      <c r="C330" s="5">
        <v>25</v>
      </c>
      <c r="D330" s="9" t="s">
        <v>8</v>
      </c>
      <c r="E330" s="10">
        <v>160</v>
      </c>
      <c r="F330" s="10">
        <f t="shared" si="5"/>
        <v>4000</v>
      </c>
    </row>
    <row r="331" spans="1:6" x14ac:dyDescent="0.25">
      <c r="A331" s="9"/>
      <c r="B331" s="9"/>
      <c r="C331" s="5">
        <v>20</v>
      </c>
      <c r="D331" s="9" t="s">
        <v>917</v>
      </c>
      <c r="E331" s="10">
        <v>135</v>
      </c>
      <c r="F331" s="10">
        <f t="shared" si="5"/>
        <v>2700</v>
      </c>
    </row>
    <row r="332" spans="1:6" x14ac:dyDescent="0.25">
      <c r="A332" s="9"/>
      <c r="B332" s="9"/>
      <c r="C332" s="5">
        <v>20</v>
      </c>
      <c r="D332" s="9" t="s">
        <v>50</v>
      </c>
      <c r="E332" s="10">
        <v>130</v>
      </c>
      <c r="F332" s="10">
        <f t="shared" si="5"/>
        <v>2600</v>
      </c>
    </row>
    <row r="333" spans="1:6" x14ac:dyDescent="0.25">
      <c r="A333" s="9"/>
      <c r="B333" s="9"/>
      <c r="D333" s="9"/>
      <c r="F333" s="8">
        <f>SUM(F330:F332)</f>
        <v>9300</v>
      </c>
    </row>
    <row r="334" spans="1:6" x14ac:dyDescent="0.25">
      <c r="A334" s="9"/>
      <c r="B334" s="9"/>
      <c r="D334" s="9"/>
    </row>
    <row r="335" spans="1:6" x14ac:dyDescent="0.25">
      <c r="A335" s="9" t="s">
        <v>37</v>
      </c>
      <c r="B335" s="4">
        <v>45905</v>
      </c>
      <c r="C335" s="5">
        <v>10</v>
      </c>
      <c r="D335" s="9" t="s">
        <v>12</v>
      </c>
      <c r="E335" s="10">
        <v>150</v>
      </c>
      <c r="F335" s="10">
        <f t="shared" si="5"/>
        <v>1500</v>
      </c>
    </row>
    <row r="336" spans="1:6" x14ac:dyDescent="0.25">
      <c r="A336" s="9"/>
      <c r="B336" s="9"/>
      <c r="D336" s="9"/>
      <c r="F336" s="8">
        <f>SUM(F335)</f>
        <v>1500</v>
      </c>
    </row>
    <row r="337" spans="1:6" x14ac:dyDescent="0.25">
      <c r="A337" s="9"/>
      <c r="B337" s="9"/>
      <c r="D337" s="9"/>
    </row>
    <row r="338" spans="1:6" x14ac:dyDescent="0.25">
      <c r="A338" s="9" t="s">
        <v>106</v>
      </c>
      <c r="B338" s="4">
        <v>45905</v>
      </c>
      <c r="C338" s="5">
        <v>70</v>
      </c>
      <c r="D338" s="9" t="s">
        <v>12</v>
      </c>
      <c r="E338" s="10">
        <v>145</v>
      </c>
      <c r="F338" s="10">
        <f t="shared" si="5"/>
        <v>10150</v>
      </c>
    </row>
    <row r="339" spans="1:6" x14ac:dyDescent="0.25">
      <c r="A339" s="9"/>
      <c r="B339" s="9"/>
      <c r="D339" s="9"/>
      <c r="F339" s="8">
        <f>SUM(F338)</f>
        <v>10150</v>
      </c>
    </row>
    <row r="340" spans="1:6" x14ac:dyDescent="0.25">
      <c r="A340" s="9"/>
      <c r="B340" s="9"/>
      <c r="D340" s="9"/>
    </row>
    <row r="341" spans="1:6" x14ac:dyDescent="0.25">
      <c r="A341" s="9" t="s">
        <v>41</v>
      </c>
      <c r="B341" s="4">
        <v>45905</v>
      </c>
      <c r="C341" s="5">
        <v>30</v>
      </c>
      <c r="D341" s="9" t="s">
        <v>14</v>
      </c>
      <c r="E341" s="10">
        <v>140</v>
      </c>
      <c r="F341" s="10">
        <f t="shared" si="5"/>
        <v>4200</v>
      </c>
    </row>
    <row r="342" spans="1:6" x14ac:dyDescent="0.25">
      <c r="A342" s="9"/>
      <c r="B342" s="9"/>
      <c r="D342" s="9"/>
      <c r="F342" s="8">
        <f>SUM(F341)</f>
        <v>4200</v>
      </c>
    </row>
    <row r="343" spans="1:6" x14ac:dyDescent="0.25">
      <c r="A343" s="9"/>
      <c r="B343" s="9"/>
      <c r="D343" s="9"/>
    </row>
    <row r="344" spans="1:6" x14ac:dyDescent="0.25">
      <c r="A344" s="9" t="s">
        <v>18</v>
      </c>
      <c r="B344" s="4">
        <v>45905</v>
      </c>
      <c r="C344" s="5">
        <v>30</v>
      </c>
      <c r="D344" s="9" t="s">
        <v>11</v>
      </c>
      <c r="E344" s="10">
        <v>145</v>
      </c>
      <c r="F344" s="10">
        <f t="shared" si="5"/>
        <v>4350</v>
      </c>
    </row>
    <row r="345" spans="1:6" x14ac:dyDescent="0.25">
      <c r="A345" s="9"/>
      <c r="B345" s="9"/>
      <c r="D345" s="9"/>
      <c r="F345" s="8">
        <f>SUM(F344)</f>
        <v>4350</v>
      </c>
    </row>
    <row r="346" spans="1:6" x14ac:dyDescent="0.25">
      <c r="A346" s="9"/>
      <c r="B346" s="9"/>
      <c r="D346" s="9"/>
    </row>
    <row r="347" spans="1:6" x14ac:dyDescent="0.25">
      <c r="A347" s="9" t="s">
        <v>43</v>
      </c>
      <c r="B347" s="4">
        <v>45905</v>
      </c>
      <c r="C347" s="5">
        <v>30</v>
      </c>
      <c r="D347" s="9" t="s">
        <v>49</v>
      </c>
      <c r="E347" s="10">
        <v>155</v>
      </c>
      <c r="F347" s="10">
        <f t="shared" si="5"/>
        <v>4650</v>
      </c>
    </row>
    <row r="348" spans="1:6" x14ac:dyDescent="0.25">
      <c r="A348" s="9"/>
      <c r="B348" s="9"/>
      <c r="C348" s="5">
        <v>20</v>
      </c>
      <c r="D348" s="9" t="s">
        <v>14</v>
      </c>
      <c r="E348" s="10">
        <v>150</v>
      </c>
      <c r="F348" s="10">
        <f t="shared" si="5"/>
        <v>3000</v>
      </c>
    </row>
    <row r="349" spans="1:6" x14ac:dyDescent="0.25">
      <c r="A349" s="9"/>
      <c r="B349" s="9"/>
      <c r="D349" s="9"/>
      <c r="F349" s="8">
        <f>SUM(F347:F348)</f>
        <v>7650</v>
      </c>
    </row>
    <row r="350" spans="1:6" x14ac:dyDescent="0.25">
      <c r="A350" s="9"/>
      <c r="B350" s="9"/>
      <c r="D350" s="9"/>
    </row>
    <row r="351" spans="1:6" x14ac:dyDescent="0.25">
      <c r="A351" s="9" t="s">
        <v>918</v>
      </c>
      <c r="B351" s="4">
        <v>45905</v>
      </c>
      <c r="C351" s="5">
        <v>5</v>
      </c>
      <c r="D351" s="9" t="s">
        <v>14</v>
      </c>
      <c r="E351" s="10">
        <v>150</v>
      </c>
      <c r="F351" s="10">
        <f t="shared" si="5"/>
        <v>750</v>
      </c>
    </row>
    <row r="352" spans="1:6" x14ac:dyDescent="0.25">
      <c r="A352" s="9"/>
      <c r="B352" s="9"/>
      <c r="D352" s="9"/>
      <c r="F352" s="8">
        <f>SUM(F351)</f>
        <v>750</v>
      </c>
    </row>
    <row r="353" spans="1:6" x14ac:dyDescent="0.25">
      <c r="A353" s="9"/>
      <c r="B353" s="9"/>
      <c r="D353" s="9"/>
    </row>
    <row r="354" spans="1:6" x14ac:dyDescent="0.25">
      <c r="A354" s="9" t="s">
        <v>383</v>
      </c>
      <c r="B354" s="4">
        <v>45905</v>
      </c>
      <c r="C354" s="5">
        <v>20</v>
      </c>
      <c r="D354" s="9" t="s">
        <v>14</v>
      </c>
      <c r="E354" s="10">
        <v>150</v>
      </c>
      <c r="F354" s="10">
        <f t="shared" si="5"/>
        <v>3000</v>
      </c>
    </row>
    <row r="355" spans="1:6" x14ac:dyDescent="0.25">
      <c r="A355" s="9"/>
      <c r="B355" s="9"/>
      <c r="D355" s="9"/>
      <c r="F355" s="8">
        <f>SUM(F354)</f>
        <v>3000</v>
      </c>
    </row>
    <row r="356" spans="1:6" x14ac:dyDescent="0.25">
      <c r="A356" s="9"/>
      <c r="B356" s="9"/>
      <c r="D356" s="9"/>
    </row>
    <row r="357" spans="1:6" x14ac:dyDescent="0.25">
      <c r="A357" s="9" t="s">
        <v>44</v>
      </c>
      <c r="B357" s="4">
        <v>45905</v>
      </c>
      <c r="C357" s="5">
        <v>30</v>
      </c>
      <c r="D357" s="9" t="s">
        <v>14</v>
      </c>
      <c r="E357" s="10">
        <v>150</v>
      </c>
      <c r="F357" s="10">
        <f t="shared" si="5"/>
        <v>4500</v>
      </c>
    </row>
    <row r="358" spans="1:6" x14ac:dyDescent="0.25">
      <c r="A358" s="9"/>
      <c r="B358" s="9"/>
      <c r="D358" s="9"/>
      <c r="F358" s="8">
        <f>SUM(F357)</f>
        <v>4500</v>
      </c>
    </row>
    <row r="359" spans="1:6" x14ac:dyDescent="0.25">
      <c r="A359" s="9"/>
      <c r="B359" s="9"/>
      <c r="D359" s="9"/>
    </row>
    <row r="360" spans="1:6" x14ac:dyDescent="0.25">
      <c r="A360" s="9" t="s">
        <v>45</v>
      </c>
      <c r="B360" s="4">
        <v>45905</v>
      </c>
      <c r="C360" s="5">
        <v>3</v>
      </c>
      <c r="D360" s="9" t="s">
        <v>14</v>
      </c>
      <c r="E360" s="10">
        <v>150</v>
      </c>
      <c r="F360" s="10">
        <f t="shared" si="5"/>
        <v>450</v>
      </c>
    </row>
    <row r="361" spans="1:6" x14ac:dyDescent="0.25">
      <c r="A361" s="9"/>
      <c r="B361" s="9"/>
      <c r="D361" s="9"/>
      <c r="F361" s="8">
        <f>SUM(F360)</f>
        <v>450</v>
      </c>
    </row>
    <row r="362" spans="1:6" x14ac:dyDescent="0.25">
      <c r="A362" s="9"/>
      <c r="B362" s="9"/>
      <c r="D362" s="9"/>
    </row>
    <row r="363" spans="1:6" x14ac:dyDescent="0.25">
      <c r="A363" s="9" t="s">
        <v>145</v>
      </c>
      <c r="B363" s="4">
        <v>45905</v>
      </c>
      <c r="C363" s="5">
        <v>50</v>
      </c>
      <c r="D363" s="9" t="s">
        <v>14</v>
      </c>
      <c r="E363" s="10">
        <v>150</v>
      </c>
      <c r="F363" s="10">
        <f t="shared" si="5"/>
        <v>7500</v>
      </c>
    </row>
    <row r="364" spans="1:6" x14ac:dyDescent="0.25">
      <c r="A364" s="9"/>
      <c r="B364" s="9"/>
      <c r="D364" s="9"/>
      <c r="F364" s="8">
        <f>SUM(F363)</f>
        <v>7500</v>
      </c>
    </row>
    <row r="365" spans="1:6" x14ac:dyDescent="0.25">
      <c r="A365" s="9"/>
      <c r="B365" s="9"/>
      <c r="D365" s="9"/>
    </row>
    <row r="366" spans="1:6" x14ac:dyDescent="0.25">
      <c r="A366" s="9" t="s">
        <v>32</v>
      </c>
      <c r="B366" s="4">
        <v>45905</v>
      </c>
      <c r="C366" s="5">
        <v>10</v>
      </c>
      <c r="D366" s="9" t="s">
        <v>13</v>
      </c>
      <c r="E366" s="10">
        <v>150</v>
      </c>
      <c r="F366" s="10">
        <f t="shared" si="5"/>
        <v>1500</v>
      </c>
    </row>
    <row r="367" spans="1:6" x14ac:dyDescent="0.25">
      <c r="A367" s="9"/>
      <c r="B367" s="9"/>
      <c r="D367" s="9"/>
      <c r="F367" s="8">
        <f>SUM(F366)</f>
        <v>1500</v>
      </c>
    </row>
    <row r="368" spans="1:6" x14ac:dyDescent="0.25">
      <c r="A368" s="9"/>
      <c r="B368" s="9"/>
      <c r="D368" s="9"/>
    </row>
    <row r="369" spans="1:6" x14ac:dyDescent="0.25">
      <c r="A369" s="9" t="s">
        <v>837</v>
      </c>
      <c r="B369" s="4">
        <v>45905</v>
      </c>
      <c r="C369" s="5">
        <v>3</v>
      </c>
      <c r="D369" s="9" t="s">
        <v>13</v>
      </c>
      <c r="E369" s="10">
        <v>155</v>
      </c>
      <c r="F369" s="10">
        <f t="shared" si="5"/>
        <v>465</v>
      </c>
    </row>
    <row r="370" spans="1:6" x14ac:dyDescent="0.25">
      <c r="A370" s="9"/>
      <c r="B370" s="9"/>
      <c r="D370" s="9"/>
      <c r="F370" s="8">
        <f>SUM(F369)</f>
        <v>465</v>
      </c>
    </row>
    <row r="371" spans="1:6" x14ac:dyDescent="0.25">
      <c r="A371" s="9"/>
      <c r="B371" s="9"/>
      <c r="D371" s="9"/>
    </row>
    <row r="372" spans="1:6" x14ac:dyDescent="0.25">
      <c r="A372" s="9" t="s">
        <v>319</v>
      </c>
      <c r="B372" s="4">
        <v>45905</v>
      </c>
      <c r="C372" s="5">
        <v>10</v>
      </c>
      <c r="D372" s="9" t="s">
        <v>8</v>
      </c>
      <c r="E372" s="10">
        <v>160</v>
      </c>
      <c r="F372" s="10">
        <f t="shared" si="5"/>
        <v>1600</v>
      </c>
    </row>
    <row r="373" spans="1:6" x14ac:dyDescent="0.25">
      <c r="A373" s="9"/>
      <c r="B373" s="9"/>
      <c r="D373" s="9"/>
      <c r="F373" s="8">
        <f>SUM(F372)</f>
        <v>1600</v>
      </c>
    </row>
    <row r="374" spans="1:6" x14ac:dyDescent="0.25">
      <c r="A374" s="9"/>
      <c r="B374" s="9"/>
      <c r="D374" s="9"/>
    </row>
    <row r="375" spans="1:6" x14ac:dyDescent="0.25">
      <c r="A375" s="9" t="s">
        <v>160</v>
      </c>
      <c r="B375" s="4">
        <v>45905</v>
      </c>
      <c r="C375" s="5">
        <v>5</v>
      </c>
      <c r="D375" s="9" t="s">
        <v>13</v>
      </c>
      <c r="E375" s="10">
        <v>145</v>
      </c>
      <c r="F375" s="10">
        <f t="shared" si="5"/>
        <v>725</v>
      </c>
    </row>
    <row r="376" spans="1:6" x14ac:dyDescent="0.25">
      <c r="A376" s="9"/>
      <c r="B376" s="9"/>
      <c r="D376" s="9"/>
      <c r="F376" s="8">
        <f>SUM(F375)</f>
        <v>725</v>
      </c>
    </row>
    <row r="377" spans="1:6" x14ac:dyDescent="0.25">
      <c r="A377" s="9"/>
      <c r="B377" s="9"/>
      <c r="D377" s="9"/>
    </row>
    <row r="378" spans="1:6" x14ac:dyDescent="0.25">
      <c r="A378" s="9" t="s">
        <v>919</v>
      </c>
      <c r="B378" s="4">
        <v>45905</v>
      </c>
      <c r="C378" s="5">
        <v>5</v>
      </c>
      <c r="D378" s="9" t="s">
        <v>13</v>
      </c>
      <c r="E378" s="10">
        <v>150</v>
      </c>
      <c r="F378" s="10">
        <f t="shared" si="5"/>
        <v>750</v>
      </c>
    </row>
    <row r="379" spans="1:6" x14ac:dyDescent="0.25">
      <c r="A379" s="9"/>
      <c r="B379" s="9"/>
      <c r="D379" s="9"/>
      <c r="F379" s="8">
        <f>SUM(F378)</f>
        <v>750</v>
      </c>
    </row>
    <row r="380" spans="1:6" x14ac:dyDescent="0.25">
      <c r="A380" s="9"/>
      <c r="B380" s="9"/>
      <c r="D380" s="9"/>
    </row>
    <row r="381" spans="1:6" x14ac:dyDescent="0.25">
      <c r="A381" s="9" t="s">
        <v>112</v>
      </c>
      <c r="B381" s="4">
        <v>45905</v>
      </c>
      <c r="C381" s="5">
        <v>30</v>
      </c>
      <c r="D381" s="9" t="s">
        <v>11</v>
      </c>
      <c r="E381" s="10">
        <v>140</v>
      </c>
      <c r="F381" s="10">
        <f t="shared" si="5"/>
        <v>4200</v>
      </c>
    </row>
    <row r="382" spans="1:6" x14ac:dyDescent="0.25">
      <c r="A382" s="9"/>
      <c r="B382" s="9"/>
      <c r="C382" s="5">
        <v>20</v>
      </c>
      <c r="D382" s="9" t="s">
        <v>14</v>
      </c>
      <c r="E382" s="10">
        <v>145</v>
      </c>
      <c r="F382" s="10">
        <f t="shared" si="5"/>
        <v>2900</v>
      </c>
    </row>
    <row r="383" spans="1:6" x14ac:dyDescent="0.25">
      <c r="A383" s="9"/>
      <c r="B383" s="9"/>
      <c r="C383" s="5">
        <v>20</v>
      </c>
      <c r="D383" s="9" t="s">
        <v>50</v>
      </c>
      <c r="E383" s="10">
        <v>128</v>
      </c>
      <c r="F383" s="10">
        <f t="shared" si="5"/>
        <v>2560</v>
      </c>
    </row>
    <row r="384" spans="1:6" x14ac:dyDescent="0.25">
      <c r="A384" s="9"/>
      <c r="B384" s="9"/>
      <c r="D384" s="9"/>
      <c r="F384" s="8">
        <f>SUM(F381:F383)</f>
        <v>9660</v>
      </c>
    </row>
    <row r="385" spans="1:6" x14ac:dyDescent="0.25">
      <c r="A385" s="9"/>
      <c r="B385" s="9"/>
      <c r="D385" s="9"/>
    </row>
    <row r="386" spans="1:6" x14ac:dyDescent="0.25">
      <c r="A386" s="9" t="s">
        <v>44</v>
      </c>
      <c r="B386" s="4">
        <v>45905</v>
      </c>
      <c r="C386" s="5">
        <v>10</v>
      </c>
      <c r="D386" s="9" t="s">
        <v>8</v>
      </c>
      <c r="E386" s="10">
        <v>160</v>
      </c>
      <c r="F386" s="10">
        <f t="shared" si="5"/>
        <v>1600</v>
      </c>
    </row>
    <row r="387" spans="1:6" x14ac:dyDescent="0.25">
      <c r="A387" s="9"/>
      <c r="B387" s="9"/>
      <c r="D387" s="9"/>
      <c r="F387" s="8">
        <f>SUM(F386)</f>
        <v>1600</v>
      </c>
    </row>
    <row r="388" spans="1:6" x14ac:dyDescent="0.25">
      <c r="A388" s="9"/>
      <c r="B388" s="9"/>
      <c r="D388" s="9"/>
    </row>
    <row r="389" spans="1:6" x14ac:dyDescent="0.25">
      <c r="A389" s="9" t="s">
        <v>29</v>
      </c>
      <c r="B389" s="4">
        <v>45905</v>
      </c>
      <c r="C389" s="5">
        <v>2</v>
      </c>
      <c r="D389" s="9" t="s">
        <v>8</v>
      </c>
      <c r="E389" s="10">
        <v>170</v>
      </c>
      <c r="F389" s="10">
        <f t="shared" ref="F389:F449" si="6">+C389*E389</f>
        <v>340</v>
      </c>
    </row>
    <row r="390" spans="1:6" x14ac:dyDescent="0.25">
      <c r="A390" s="9"/>
      <c r="B390" s="9"/>
      <c r="C390" s="5">
        <v>1</v>
      </c>
      <c r="D390" s="9" t="s">
        <v>13</v>
      </c>
      <c r="E390" s="10">
        <v>160</v>
      </c>
      <c r="F390" s="10">
        <f t="shared" si="6"/>
        <v>160</v>
      </c>
    </row>
    <row r="391" spans="1:6" x14ac:dyDescent="0.25">
      <c r="A391" s="9"/>
      <c r="B391" s="9"/>
      <c r="C391" s="5">
        <v>2</v>
      </c>
      <c r="D391" s="9" t="s">
        <v>13</v>
      </c>
      <c r="E391" s="10">
        <v>140</v>
      </c>
      <c r="F391" s="10">
        <f t="shared" si="6"/>
        <v>280</v>
      </c>
    </row>
    <row r="392" spans="1:6" x14ac:dyDescent="0.25">
      <c r="A392" s="9"/>
      <c r="B392" s="9"/>
      <c r="C392" s="5">
        <v>1</v>
      </c>
      <c r="D392" s="9" t="s">
        <v>13</v>
      </c>
      <c r="E392" s="10">
        <v>150</v>
      </c>
      <c r="F392" s="10">
        <f t="shared" si="6"/>
        <v>150</v>
      </c>
    </row>
    <row r="393" spans="1:6" x14ac:dyDescent="0.25">
      <c r="A393" s="9"/>
      <c r="B393" s="9"/>
      <c r="D393" s="9"/>
      <c r="F393" s="8">
        <f>SUM(F389:F392)</f>
        <v>930</v>
      </c>
    </row>
    <row r="394" spans="1:6" x14ac:dyDescent="0.25">
      <c r="A394" s="9"/>
      <c r="B394" s="9"/>
      <c r="D394" s="9"/>
    </row>
    <row r="395" spans="1:6" x14ac:dyDescent="0.25">
      <c r="A395" s="9" t="s">
        <v>181</v>
      </c>
      <c r="B395" s="4">
        <v>45905</v>
      </c>
      <c r="C395" s="5">
        <v>1</v>
      </c>
      <c r="D395" s="9" t="s">
        <v>275</v>
      </c>
      <c r="E395" s="10">
        <v>110</v>
      </c>
      <c r="F395" s="10">
        <f t="shared" si="6"/>
        <v>110</v>
      </c>
    </row>
    <row r="396" spans="1:6" x14ac:dyDescent="0.25">
      <c r="A396" s="9"/>
      <c r="B396" s="9"/>
      <c r="D396" s="9"/>
      <c r="F396" s="8">
        <f>SUM(F395)</f>
        <v>110</v>
      </c>
    </row>
    <row r="397" spans="1:6" x14ac:dyDescent="0.25">
      <c r="A397" s="9"/>
      <c r="B397" s="9"/>
      <c r="D397" s="9"/>
    </row>
    <row r="398" spans="1:6" x14ac:dyDescent="0.25">
      <c r="A398" s="9" t="s">
        <v>612</v>
      </c>
      <c r="B398" s="4">
        <v>45906</v>
      </c>
      <c r="C398" s="5">
        <v>15</v>
      </c>
      <c r="D398" s="9" t="s">
        <v>13</v>
      </c>
      <c r="E398" s="10">
        <v>155</v>
      </c>
      <c r="F398" s="10">
        <f t="shared" si="6"/>
        <v>2325</v>
      </c>
    </row>
    <row r="399" spans="1:6" x14ac:dyDescent="0.25">
      <c r="A399" s="9"/>
      <c r="B399" s="9"/>
      <c r="D399" s="9"/>
      <c r="F399" s="8">
        <f>SUM(F398)</f>
        <v>2325</v>
      </c>
    </row>
    <row r="400" spans="1:6" x14ac:dyDescent="0.25">
      <c r="A400" s="9"/>
      <c r="B400" s="9"/>
      <c r="D400" s="9"/>
    </row>
    <row r="401" spans="1:6" x14ac:dyDescent="0.25">
      <c r="A401" s="9" t="s">
        <v>20</v>
      </c>
      <c r="B401" s="4">
        <v>45906</v>
      </c>
      <c r="C401" s="5">
        <v>20</v>
      </c>
      <c r="D401" s="9" t="s">
        <v>13</v>
      </c>
      <c r="E401" s="10">
        <v>155</v>
      </c>
      <c r="F401" s="10">
        <f t="shared" si="6"/>
        <v>3100</v>
      </c>
    </row>
    <row r="402" spans="1:6" x14ac:dyDescent="0.25">
      <c r="A402" s="9"/>
      <c r="B402" s="9"/>
      <c r="D402" s="9"/>
      <c r="F402" s="8">
        <f>SUM(F401)</f>
        <v>3100</v>
      </c>
    </row>
    <row r="403" spans="1:6" x14ac:dyDescent="0.25">
      <c r="A403" s="9"/>
      <c r="B403" s="9"/>
      <c r="D403" s="9"/>
    </row>
    <row r="404" spans="1:6" x14ac:dyDescent="0.25">
      <c r="A404" s="9" t="s">
        <v>907</v>
      </c>
      <c r="B404" s="4">
        <v>45906</v>
      </c>
      <c r="C404" s="5">
        <v>10</v>
      </c>
      <c r="D404" s="9" t="s">
        <v>13</v>
      </c>
      <c r="E404" s="10">
        <v>155</v>
      </c>
      <c r="F404" s="10">
        <f t="shared" si="6"/>
        <v>1550</v>
      </c>
    </row>
    <row r="405" spans="1:6" x14ac:dyDescent="0.25">
      <c r="A405" s="9"/>
      <c r="B405" s="9"/>
      <c r="D405" s="9"/>
      <c r="F405" s="8">
        <f>SUM(F404)</f>
        <v>1550</v>
      </c>
    </row>
    <row r="406" spans="1:6" x14ac:dyDescent="0.25">
      <c r="A406" s="9"/>
      <c r="B406" s="9"/>
      <c r="D406" s="9"/>
    </row>
    <row r="407" spans="1:6" x14ac:dyDescent="0.25">
      <c r="A407" s="9" t="s">
        <v>367</v>
      </c>
      <c r="B407" s="4">
        <v>45906</v>
      </c>
      <c r="C407" s="5">
        <v>10</v>
      </c>
      <c r="D407" s="9" t="s">
        <v>13</v>
      </c>
      <c r="E407" s="10">
        <v>155</v>
      </c>
      <c r="F407" s="10">
        <f t="shared" si="6"/>
        <v>1550</v>
      </c>
    </row>
    <row r="408" spans="1:6" x14ac:dyDescent="0.25">
      <c r="A408" s="9"/>
      <c r="B408" s="9"/>
      <c r="C408" s="5">
        <v>10</v>
      </c>
      <c r="D408" s="9" t="s">
        <v>187</v>
      </c>
      <c r="E408" s="10">
        <v>150</v>
      </c>
      <c r="F408" s="10">
        <f t="shared" si="6"/>
        <v>1500</v>
      </c>
    </row>
    <row r="409" spans="1:6" x14ac:dyDescent="0.25">
      <c r="A409" s="9"/>
      <c r="B409" s="9"/>
      <c r="D409" s="9"/>
      <c r="F409" s="8">
        <f>SUM(F407:F408)</f>
        <v>3050</v>
      </c>
    </row>
    <row r="410" spans="1:6" x14ac:dyDescent="0.25">
      <c r="A410" s="9"/>
      <c r="B410" s="9"/>
      <c r="D410" s="9"/>
    </row>
    <row r="411" spans="1:6" x14ac:dyDescent="0.25">
      <c r="A411" s="9" t="s">
        <v>21</v>
      </c>
      <c r="B411" s="4">
        <v>45906</v>
      </c>
      <c r="C411" s="5">
        <v>20</v>
      </c>
      <c r="D411" s="9" t="s">
        <v>13</v>
      </c>
      <c r="E411" s="10">
        <v>155</v>
      </c>
      <c r="F411" s="10">
        <f t="shared" si="6"/>
        <v>3100</v>
      </c>
    </row>
    <row r="412" spans="1:6" x14ac:dyDescent="0.25">
      <c r="A412" s="9"/>
      <c r="B412" s="9"/>
      <c r="C412" s="5">
        <v>20</v>
      </c>
      <c r="D412" s="9" t="s">
        <v>12</v>
      </c>
      <c r="E412" s="10">
        <v>145</v>
      </c>
      <c r="F412" s="10">
        <f t="shared" si="6"/>
        <v>2900</v>
      </c>
    </row>
    <row r="413" spans="1:6" x14ac:dyDescent="0.25">
      <c r="A413" s="9"/>
      <c r="B413" s="9"/>
      <c r="C413" s="5">
        <v>19</v>
      </c>
      <c r="D413" s="9" t="s">
        <v>22</v>
      </c>
      <c r="E413" s="10">
        <v>135</v>
      </c>
      <c r="F413" s="10">
        <f t="shared" si="6"/>
        <v>2565</v>
      </c>
    </row>
    <row r="414" spans="1:6" x14ac:dyDescent="0.25">
      <c r="A414" s="9"/>
      <c r="B414" s="9"/>
      <c r="D414" s="9"/>
      <c r="F414" s="8">
        <f>SUM(F411:F413)</f>
        <v>8565</v>
      </c>
    </row>
    <row r="415" spans="1:6" x14ac:dyDescent="0.25">
      <c r="A415" s="9"/>
      <c r="B415" s="9"/>
      <c r="D415" s="9"/>
    </row>
    <row r="416" spans="1:6" x14ac:dyDescent="0.25">
      <c r="A416" s="9" t="s">
        <v>17</v>
      </c>
      <c r="B416" s="4">
        <v>45906</v>
      </c>
      <c r="C416" s="5">
        <v>10</v>
      </c>
      <c r="D416" s="9" t="s">
        <v>13</v>
      </c>
      <c r="E416" s="10">
        <v>155</v>
      </c>
      <c r="F416" s="10">
        <f t="shared" si="6"/>
        <v>1550</v>
      </c>
    </row>
    <row r="417" spans="1:6" x14ac:dyDescent="0.25">
      <c r="A417" s="9"/>
      <c r="B417" s="9"/>
      <c r="D417" s="9"/>
      <c r="F417" s="8">
        <f>SUM(F416)</f>
        <v>1550</v>
      </c>
    </row>
    <row r="418" spans="1:6" x14ac:dyDescent="0.25">
      <c r="A418" s="9"/>
      <c r="B418" s="9"/>
      <c r="D418" s="9"/>
    </row>
    <row r="419" spans="1:6" x14ac:dyDescent="0.25">
      <c r="A419" s="9" t="s">
        <v>40</v>
      </c>
      <c r="B419" s="4">
        <v>45906</v>
      </c>
      <c r="C419" s="5">
        <v>10</v>
      </c>
      <c r="D419" s="9" t="s">
        <v>22</v>
      </c>
      <c r="E419" s="10">
        <v>135</v>
      </c>
      <c r="F419" s="10">
        <f t="shared" si="6"/>
        <v>1350</v>
      </c>
    </row>
    <row r="420" spans="1:6" x14ac:dyDescent="0.25">
      <c r="A420" s="9"/>
      <c r="B420" s="9"/>
      <c r="C420" s="5">
        <v>10</v>
      </c>
      <c r="D420" s="9" t="s">
        <v>50</v>
      </c>
      <c r="E420" s="10">
        <v>130</v>
      </c>
      <c r="F420" s="10">
        <f t="shared" si="6"/>
        <v>1300</v>
      </c>
    </row>
    <row r="421" spans="1:6" x14ac:dyDescent="0.25">
      <c r="A421" s="9"/>
      <c r="B421" s="9"/>
      <c r="C421" s="5">
        <v>7</v>
      </c>
      <c r="D421" s="9" t="s">
        <v>8</v>
      </c>
      <c r="E421" s="10">
        <v>165</v>
      </c>
      <c r="F421" s="10">
        <f t="shared" si="6"/>
        <v>1155</v>
      </c>
    </row>
    <row r="422" spans="1:6" x14ac:dyDescent="0.25">
      <c r="A422" s="9"/>
      <c r="B422" s="9"/>
      <c r="D422" s="9"/>
      <c r="F422" s="8">
        <f>SUM(F419:F421)</f>
        <v>3805</v>
      </c>
    </row>
    <row r="423" spans="1:6" x14ac:dyDescent="0.25">
      <c r="A423" s="9"/>
      <c r="B423" s="9"/>
      <c r="D423" s="9"/>
    </row>
    <row r="424" spans="1:6" x14ac:dyDescent="0.25">
      <c r="A424" s="9" t="s">
        <v>25</v>
      </c>
      <c r="B424" s="4">
        <v>45906</v>
      </c>
      <c r="C424" s="5">
        <v>60</v>
      </c>
      <c r="D424" s="9" t="s">
        <v>22</v>
      </c>
      <c r="E424" s="10">
        <v>135</v>
      </c>
      <c r="F424" s="10">
        <f t="shared" si="6"/>
        <v>8100</v>
      </c>
    </row>
    <row r="425" spans="1:6" x14ac:dyDescent="0.25">
      <c r="A425" s="9"/>
      <c r="B425" s="9"/>
      <c r="D425" s="9"/>
      <c r="F425" s="8">
        <f>SUM(F424)</f>
        <v>8100</v>
      </c>
    </row>
    <row r="426" spans="1:6" x14ac:dyDescent="0.25">
      <c r="A426" s="9"/>
      <c r="B426" s="9"/>
      <c r="D426" s="9"/>
    </row>
    <row r="427" spans="1:6" x14ac:dyDescent="0.25">
      <c r="A427" s="9" t="s">
        <v>140</v>
      </c>
      <c r="B427" s="4">
        <v>45906</v>
      </c>
      <c r="C427" s="5">
        <v>180</v>
      </c>
      <c r="D427" s="9" t="s">
        <v>13</v>
      </c>
      <c r="E427" s="10">
        <v>155</v>
      </c>
      <c r="F427" s="10">
        <f t="shared" si="6"/>
        <v>27900</v>
      </c>
    </row>
    <row r="428" spans="1:6" x14ac:dyDescent="0.25">
      <c r="A428" s="9"/>
      <c r="B428" s="9"/>
      <c r="C428" s="5">
        <v>150</v>
      </c>
      <c r="D428" s="9" t="s">
        <v>753</v>
      </c>
      <c r="E428" s="10">
        <v>145</v>
      </c>
      <c r="F428" s="10">
        <f t="shared" si="6"/>
        <v>21750</v>
      </c>
    </row>
    <row r="429" spans="1:6" x14ac:dyDescent="0.25">
      <c r="A429" s="9"/>
      <c r="B429" s="9"/>
      <c r="C429" s="5">
        <v>60</v>
      </c>
      <c r="D429" s="9" t="s">
        <v>49</v>
      </c>
      <c r="E429" s="10">
        <v>155</v>
      </c>
      <c r="F429" s="10">
        <f t="shared" si="6"/>
        <v>9300</v>
      </c>
    </row>
    <row r="430" spans="1:6" x14ac:dyDescent="0.25">
      <c r="A430" s="9"/>
      <c r="B430" s="9"/>
      <c r="C430" s="5">
        <v>50</v>
      </c>
      <c r="D430" s="9" t="s">
        <v>14</v>
      </c>
      <c r="E430" s="10">
        <v>150</v>
      </c>
      <c r="F430" s="10">
        <f t="shared" si="6"/>
        <v>7500</v>
      </c>
    </row>
    <row r="431" spans="1:6" x14ac:dyDescent="0.25">
      <c r="A431" s="9"/>
      <c r="B431" s="9"/>
      <c r="C431" s="5">
        <v>60</v>
      </c>
      <c r="D431" s="9" t="s">
        <v>920</v>
      </c>
      <c r="E431" s="10">
        <v>165</v>
      </c>
      <c r="F431" s="10">
        <f t="shared" si="6"/>
        <v>9900</v>
      </c>
    </row>
    <row r="432" spans="1:6" x14ac:dyDescent="0.25">
      <c r="A432" s="9"/>
      <c r="B432" s="9"/>
      <c r="D432" s="9"/>
      <c r="F432" s="8">
        <f>SUM(F427:F431)</f>
        <v>76350</v>
      </c>
    </row>
    <row r="433" spans="1:6" x14ac:dyDescent="0.25">
      <c r="A433" s="9"/>
      <c r="B433" s="9"/>
      <c r="D433" s="9"/>
    </row>
    <row r="434" spans="1:6" x14ac:dyDescent="0.25">
      <c r="A434" s="9" t="s">
        <v>68</v>
      </c>
      <c r="B434" s="4">
        <v>45906</v>
      </c>
      <c r="C434" s="5">
        <v>4</v>
      </c>
      <c r="D434" s="9" t="s">
        <v>13</v>
      </c>
      <c r="E434" s="10">
        <v>155</v>
      </c>
      <c r="F434" s="10">
        <f t="shared" si="6"/>
        <v>620</v>
      </c>
    </row>
    <row r="435" spans="1:6" x14ac:dyDescent="0.25">
      <c r="A435" s="9"/>
      <c r="B435" s="9"/>
      <c r="D435" s="9"/>
      <c r="F435" s="8">
        <f>SUM(F434)</f>
        <v>620</v>
      </c>
    </row>
    <row r="436" spans="1:6" x14ac:dyDescent="0.25">
      <c r="A436" s="9"/>
      <c r="B436" s="9"/>
      <c r="D436" s="9"/>
    </row>
    <row r="437" spans="1:6" x14ac:dyDescent="0.25">
      <c r="A437" s="9" t="s">
        <v>423</v>
      </c>
      <c r="B437" s="4">
        <v>45906</v>
      </c>
      <c r="C437" s="5">
        <v>6</v>
      </c>
      <c r="D437" s="9" t="s">
        <v>13</v>
      </c>
      <c r="E437" s="10">
        <v>155</v>
      </c>
      <c r="F437" s="10">
        <f t="shared" si="6"/>
        <v>930</v>
      </c>
    </row>
    <row r="438" spans="1:6" x14ac:dyDescent="0.25">
      <c r="A438" s="9"/>
      <c r="B438" s="9"/>
      <c r="D438" s="9"/>
      <c r="F438" s="8">
        <f>SUM(F437)</f>
        <v>930</v>
      </c>
    </row>
    <row r="439" spans="1:6" x14ac:dyDescent="0.25">
      <c r="A439" s="9"/>
      <c r="B439" s="9"/>
      <c r="D439" s="9"/>
    </row>
    <row r="440" spans="1:6" x14ac:dyDescent="0.25">
      <c r="A440" s="9" t="s">
        <v>127</v>
      </c>
      <c r="B440" s="4">
        <v>45906</v>
      </c>
      <c r="C440" s="5">
        <v>140</v>
      </c>
      <c r="D440" s="9" t="s">
        <v>13</v>
      </c>
      <c r="E440" s="10">
        <v>155</v>
      </c>
      <c r="F440" s="10">
        <f t="shared" si="6"/>
        <v>21700</v>
      </c>
    </row>
    <row r="441" spans="1:6" x14ac:dyDescent="0.25">
      <c r="A441" s="9"/>
      <c r="B441" s="9"/>
      <c r="D441" s="9"/>
      <c r="F441" s="8">
        <f>SUM(F440)</f>
        <v>21700</v>
      </c>
    </row>
    <row r="442" spans="1:6" x14ac:dyDescent="0.25">
      <c r="A442" s="9"/>
      <c r="B442" s="9"/>
      <c r="D442" s="9"/>
    </row>
    <row r="443" spans="1:6" x14ac:dyDescent="0.25">
      <c r="A443" s="9" t="s">
        <v>921</v>
      </c>
      <c r="B443" s="4">
        <v>45906</v>
      </c>
      <c r="C443" s="5">
        <v>60</v>
      </c>
      <c r="D443" s="9" t="s">
        <v>13</v>
      </c>
      <c r="E443" s="10">
        <v>155</v>
      </c>
      <c r="F443" s="10">
        <f t="shared" si="6"/>
        <v>9300</v>
      </c>
    </row>
    <row r="444" spans="1:6" x14ac:dyDescent="0.25">
      <c r="A444" s="9"/>
      <c r="B444" s="9"/>
      <c r="D444" s="9"/>
      <c r="F444" s="8">
        <f>SUM(F443)</f>
        <v>9300</v>
      </c>
    </row>
    <row r="445" spans="1:6" x14ac:dyDescent="0.25">
      <c r="A445" s="9"/>
      <c r="B445" s="9"/>
      <c r="D445" s="9"/>
    </row>
    <row r="446" spans="1:6" x14ac:dyDescent="0.25">
      <c r="A446" s="9" t="s">
        <v>306</v>
      </c>
      <c r="B446" s="4">
        <v>45906</v>
      </c>
      <c r="C446" s="5">
        <v>5</v>
      </c>
      <c r="D446" s="9" t="s">
        <v>13</v>
      </c>
      <c r="E446" s="10">
        <v>155</v>
      </c>
      <c r="F446" s="10">
        <f t="shared" si="6"/>
        <v>775</v>
      </c>
    </row>
    <row r="447" spans="1:6" x14ac:dyDescent="0.25">
      <c r="A447" s="9"/>
      <c r="B447" s="9"/>
      <c r="D447" s="9"/>
      <c r="F447" s="8">
        <f>SUM(F446)</f>
        <v>775</v>
      </c>
    </row>
    <row r="448" spans="1:6" x14ac:dyDescent="0.25">
      <c r="A448" s="9"/>
      <c r="B448" s="9"/>
      <c r="D448" s="9"/>
    </row>
    <row r="449" spans="1:6" x14ac:dyDescent="0.25">
      <c r="A449" s="9" t="s">
        <v>113</v>
      </c>
      <c r="B449" s="4">
        <v>45906</v>
      </c>
      <c r="C449" s="5">
        <v>20</v>
      </c>
      <c r="D449" s="9" t="s">
        <v>8</v>
      </c>
      <c r="E449" s="10">
        <v>165</v>
      </c>
      <c r="F449" s="10">
        <f t="shared" si="6"/>
        <v>3300</v>
      </c>
    </row>
    <row r="450" spans="1:6" x14ac:dyDescent="0.25">
      <c r="A450" s="9"/>
      <c r="B450" s="9"/>
      <c r="D450" s="9"/>
      <c r="F450" s="8">
        <f>SUM(F449)</f>
        <v>3300</v>
      </c>
    </row>
    <row r="451" spans="1:6" x14ac:dyDescent="0.25">
      <c r="A451" s="9"/>
      <c r="B451" s="9"/>
      <c r="D451" s="9"/>
    </row>
    <row r="452" spans="1:6" x14ac:dyDescent="0.25">
      <c r="A452" s="9" t="s">
        <v>245</v>
      </c>
      <c r="B452" s="4">
        <v>45906</v>
      </c>
      <c r="C452" s="5">
        <v>10</v>
      </c>
      <c r="D452" s="9" t="s">
        <v>14</v>
      </c>
      <c r="E452" s="10">
        <v>145</v>
      </c>
      <c r="F452" s="10">
        <f t="shared" ref="F452:F514" si="7">+C452*E452</f>
        <v>1450</v>
      </c>
    </row>
    <row r="453" spans="1:6" x14ac:dyDescent="0.25">
      <c r="A453" s="9"/>
      <c r="B453" s="9"/>
      <c r="D453" s="9"/>
      <c r="F453" s="8">
        <f>SUM(F452)</f>
        <v>1450</v>
      </c>
    </row>
    <row r="454" spans="1:6" x14ac:dyDescent="0.25">
      <c r="A454" s="9"/>
      <c r="B454" s="9"/>
      <c r="D454" s="9"/>
    </row>
    <row r="455" spans="1:6" x14ac:dyDescent="0.25">
      <c r="A455" s="9" t="s">
        <v>72</v>
      </c>
      <c r="B455" s="4">
        <v>45906</v>
      </c>
      <c r="C455" s="5">
        <v>370</v>
      </c>
      <c r="D455" s="9" t="s">
        <v>13</v>
      </c>
      <c r="E455" s="10">
        <v>145</v>
      </c>
      <c r="F455" s="10">
        <f t="shared" si="7"/>
        <v>53650</v>
      </c>
    </row>
    <row r="456" spans="1:6" x14ac:dyDescent="0.25">
      <c r="A456" s="9"/>
      <c r="B456" s="9"/>
      <c r="C456" s="5">
        <v>80</v>
      </c>
      <c r="D456" s="9" t="s">
        <v>12</v>
      </c>
      <c r="E456" s="10">
        <v>140</v>
      </c>
      <c r="F456" s="10">
        <f t="shared" si="7"/>
        <v>11200</v>
      </c>
    </row>
    <row r="457" spans="1:6" x14ac:dyDescent="0.25">
      <c r="A457" s="9"/>
      <c r="B457" s="9"/>
      <c r="C457" s="5">
        <v>20</v>
      </c>
      <c r="D457" s="9" t="s">
        <v>14</v>
      </c>
      <c r="E457" s="10">
        <v>140</v>
      </c>
      <c r="F457" s="10">
        <f t="shared" si="7"/>
        <v>2800</v>
      </c>
    </row>
    <row r="458" spans="1:6" x14ac:dyDescent="0.25">
      <c r="A458" s="9"/>
      <c r="B458" s="9"/>
      <c r="C458" s="5">
        <v>80</v>
      </c>
      <c r="D458" s="9" t="s">
        <v>11</v>
      </c>
      <c r="E458" s="10">
        <v>135</v>
      </c>
      <c r="F458" s="10">
        <f t="shared" si="7"/>
        <v>10800</v>
      </c>
    </row>
    <row r="459" spans="1:6" x14ac:dyDescent="0.25">
      <c r="A459" s="9"/>
      <c r="B459" s="9"/>
      <c r="D459" s="9"/>
      <c r="F459" s="8">
        <f>SUM(F455:F458)</f>
        <v>78450</v>
      </c>
    </row>
    <row r="460" spans="1:6" x14ac:dyDescent="0.25">
      <c r="A460" s="9"/>
      <c r="B460" s="9"/>
      <c r="D460" s="9"/>
    </row>
    <row r="461" spans="1:6" x14ac:dyDescent="0.25">
      <c r="A461" s="9" t="s">
        <v>88</v>
      </c>
      <c r="B461" s="4">
        <v>45906</v>
      </c>
      <c r="C461" s="5">
        <v>10</v>
      </c>
      <c r="D461" s="9" t="s">
        <v>14</v>
      </c>
      <c r="E461" s="10">
        <v>145</v>
      </c>
      <c r="F461" s="10">
        <f t="shared" si="7"/>
        <v>1450</v>
      </c>
    </row>
    <row r="462" spans="1:6" x14ac:dyDescent="0.25">
      <c r="A462" s="9"/>
      <c r="B462" s="9"/>
      <c r="D462" s="9"/>
      <c r="F462" s="8">
        <f>SUM(F461)</f>
        <v>1450</v>
      </c>
    </row>
    <row r="463" spans="1:6" x14ac:dyDescent="0.25">
      <c r="A463" s="9"/>
      <c r="B463" s="9"/>
      <c r="D463" s="9"/>
    </row>
    <row r="464" spans="1:6" x14ac:dyDescent="0.25">
      <c r="A464" s="9" t="s">
        <v>922</v>
      </c>
      <c r="B464" s="4">
        <v>45906</v>
      </c>
      <c r="C464" s="5">
        <v>4</v>
      </c>
      <c r="D464" s="9" t="s">
        <v>13</v>
      </c>
      <c r="E464" s="10">
        <v>140</v>
      </c>
      <c r="F464" s="10">
        <f t="shared" si="7"/>
        <v>560</v>
      </c>
    </row>
    <row r="465" spans="1:6" x14ac:dyDescent="0.25">
      <c r="A465" s="9"/>
      <c r="B465" s="9"/>
      <c r="D465" s="9"/>
      <c r="F465" s="8">
        <f>SUM(F464)</f>
        <v>560</v>
      </c>
    </row>
    <row r="466" spans="1:6" x14ac:dyDescent="0.25">
      <c r="A466" s="9"/>
      <c r="B466" s="9"/>
      <c r="D466" s="9"/>
    </row>
    <row r="467" spans="1:6" x14ac:dyDescent="0.25">
      <c r="A467" s="9" t="s">
        <v>65</v>
      </c>
      <c r="B467" s="4">
        <v>45906</v>
      </c>
      <c r="C467" s="5">
        <v>660</v>
      </c>
      <c r="D467" s="9" t="s">
        <v>12</v>
      </c>
      <c r="E467" s="10">
        <v>145</v>
      </c>
      <c r="F467" s="10">
        <f t="shared" si="7"/>
        <v>95700</v>
      </c>
    </row>
    <row r="468" spans="1:6" x14ac:dyDescent="0.25">
      <c r="A468" s="9"/>
      <c r="B468" s="9"/>
      <c r="C468" s="5">
        <v>500</v>
      </c>
      <c r="D468" s="9" t="s">
        <v>13</v>
      </c>
      <c r="E468" s="10">
        <v>150</v>
      </c>
      <c r="F468" s="10">
        <f t="shared" si="7"/>
        <v>75000</v>
      </c>
    </row>
    <row r="469" spans="1:6" x14ac:dyDescent="0.25">
      <c r="A469" s="9"/>
      <c r="B469" s="9"/>
      <c r="C469" s="5">
        <v>20</v>
      </c>
      <c r="D469" s="9" t="s">
        <v>50</v>
      </c>
      <c r="E469" s="10">
        <v>130</v>
      </c>
      <c r="F469" s="10">
        <f t="shared" si="7"/>
        <v>2600</v>
      </c>
    </row>
    <row r="470" spans="1:6" x14ac:dyDescent="0.25">
      <c r="A470" s="9"/>
      <c r="B470" s="9"/>
      <c r="C470" s="5">
        <v>150</v>
      </c>
      <c r="D470" s="9" t="s">
        <v>14</v>
      </c>
      <c r="E470" s="10">
        <v>150</v>
      </c>
      <c r="F470" s="10">
        <f t="shared" si="7"/>
        <v>22500</v>
      </c>
    </row>
    <row r="471" spans="1:6" x14ac:dyDescent="0.25">
      <c r="A471" s="9"/>
      <c r="B471" s="9"/>
      <c r="C471" s="5">
        <v>120</v>
      </c>
      <c r="D471" s="9" t="s">
        <v>11</v>
      </c>
      <c r="E471" s="10">
        <v>145</v>
      </c>
      <c r="F471" s="10">
        <f t="shared" si="7"/>
        <v>17400</v>
      </c>
    </row>
    <row r="472" spans="1:6" x14ac:dyDescent="0.25">
      <c r="A472" s="9"/>
      <c r="B472" s="9"/>
      <c r="C472" s="5">
        <v>73</v>
      </c>
      <c r="D472" s="9" t="s">
        <v>799</v>
      </c>
      <c r="E472" s="10">
        <v>130</v>
      </c>
      <c r="F472" s="10">
        <f t="shared" si="7"/>
        <v>9490</v>
      </c>
    </row>
    <row r="473" spans="1:6" x14ac:dyDescent="0.25">
      <c r="A473" s="9"/>
      <c r="B473" s="9"/>
      <c r="C473" s="5">
        <v>201</v>
      </c>
      <c r="D473" s="9" t="s">
        <v>22</v>
      </c>
      <c r="E473" s="10">
        <v>130</v>
      </c>
      <c r="F473" s="10">
        <f t="shared" si="7"/>
        <v>26130</v>
      </c>
    </row>
    <row r="474" spans="1:6" x14ac:dyDescent="0.25">
      <c r="A474" s="9"/>
      <c r="B474" s="9"/>
      <c r="D474" s="9"/>
      <c r="F474" s="8">
        <f>SUM(F467:F473)</f>
        <v>248820</v>
      </c>
    </row>
    <row r="475" spans="1:6" x14ac:dyDescent="0.25">
      <c r="A475" s="9"/>
      <c r="B475" s="9"/>
      <c r="D475" s="9"/>
    </row>
    <row r="476" spans="1:6" x14ac:dyDescent="0.25">
      <c r="A476" s="9" t="s">
        <v>29</v>
      </c>
      <c r="B476" s="4">
        <v>45906</v>
      </c>
      <c r="C476" s="5">
        <v>1</v>
      </c>
      <c r="D476" s="9" t="s">
        <v>13</v>
      </c>
      <c r="E476" s="10">
        <v>160</v>
      </c>
      <c r="F476" s="10">
        <f t="shared" si="7"/>
        <v>160</v>
      </c>
    </row>
    <row r="477" spans="1:6" x14ac:dyDescent="0.25">
      <c r="A477" s="9"/>
      <c r="B477" s="9"/>
      <c r="C477" s="5">
        <v>2</v>
      </c>
      <c r="D477" s="9" t="s">
        <v>13</v>
      </c>
      <c r="E477" s="10">
        <v>160</v>
      </c>
      <c r="F477" s="10">
        <f t="shared" si="7"/>
        <v>320</v>
      </c>
    </row>
    <row r="478" spans="1:6" x14ac:dyDescent="0.25">
      <c r="A478" s="9"/>
      <c r="B478" s="9"/>
      <c r="C478" s="5">
        <v>1</v>
      </c>
      <c r="D478" s="9" t="s">
        <v>13</v>
      </c>
      <c r="E478" s="10">
        <v>160</v>
      </c>
      <c r="F478" s="10">
        <f t="shared" si="7"/>
        <v>160</v>
      </c>
    </row>
    <row r="479" spans="1:6" x14ac:dyDescent="0.25">
      <c r="A479" s="9"/>
      <c r="B479" s="9"/>
      <c r="C479" s="11">
        <v>0.5</v>
      </c>
      <c r="D479" s="9" t="s">
        <v>8</v>
      </c>
      <c r="E479" s="10">
        <v>160</v>
      </c>
      <c r="F479" s="10">
        <f t="shared" si="7"/>
        <v>80</v>
      </c>
    </row>
    <row r="480" spans="1:6" x14ac:dyDescent="0.25">
      <c r="A480" s="9"/>
      <c r="B480" s="9"/>
      <c r="D480" s="9"/>
      <c r="F480" s="8">
        <f>SUM(F476:F479)</f>
        <v>720</v>
      </c>
    </row>
    <row r="481" spans="1:6" x14ac:dyDescent="0.25">
      <c r="A481" s="9"/>
      <c r="B481" s="9"/>
      <c r="D481" s="9"/>
    </row>
    <row r="482" spans="1:6" x14ac:dyDescent="0.25">
      <c r="A482" s="9" t="s">
        <v>724</v>
      </c>
      <c r="B482" s="4">
        <v>45908</v>
      </c>
      <c r="C482" s="5">
        <v>20</v>
      </c>
      <c r="D482" s="9" t="s">
        <v>98</v>
      </c>
      <c r="E482" s="10">
        <v>110</v>
      </c>
      <c r="F482" s="10">
        <f t="shared" si="7"/>
        <v>2200</v>
      </c>
    </row>
    <row r="483" spans="1:6" x14ac:dyDescent="0.25">
      <c r="A483" s="9"/>
      <c r="B483" s="9"/>
      <c r="D483" s="9"/>
      <c r="F483" s="8">
        <f>SUM(F482)</f>
        <v>2200</v>
      </c>
    </row>
    <row r="484" spans="1:6" x14ac:dyDescent="0.25">
      <c r="A484" s="9"/>
      <c r="B484" s="9"/>
      <c r="D484" s="9"/>
    </row>
    <row r="485" spans="1:6" x14ac:dyDescent="0.25">
      <c r="A485" s="9" t="s">
        <v>15</v>
      </c>
      <c r="B485" s="4">
        <v>45908</v>
      </c>
      <c r="C485" s="5">
        <v>60</v>
      </c>
      <c r="D485" s="9" t="s">
        <v>98</v>
      </c>
      <c r="E485" s="10">
        <v>110</v>
      </c>
      <c r="F485" s="10">
        <f t="shared" si="7"/>
        <v>6600</v>
      </c>
    </row>
    <row r="486" spans="1:6" x14ac:dyDescent="0.25">
      <c r="A486" s="9"/>
      <c r="B486" s="9"/>
      <c r="D486" s="9"/>
      <c r="F486" s="8">
        <f>SUM(F485)</f>
        <v>6600</v>
      </c>
    </row>
    <row r="487" spans="1:6" x14ac:dyDescent="0.25">
      <c r="A487" s="9"/>
      <c r="B487" s="9"/>
      <c r="D487" s="9"/>
    </row>
    <row r="488" spans="1:6" x14ac:dyDescent="0.25">
      <c r="A488" s="9" t="s">
        <v>79</v>
      </c>
      <c r="B488" s="4">
        <v>45908</v>
      </c>
      <c r="C488" s="5">
        <v>20</v>
      </c>
      <c r="D488" s="9" t="s">
        <v>13</v>
      </c>
      <c r="E488" s="10">
        <v>150</v>
      </c>
      <c r="F488" s="10">
        <f t="shared" si="7"/>
        <v>3000</v>
      </c>
    </row>
    <row r="489" spans="1:6" x14ac:dyDescent="0.25">
      <c r="A489" s="9"/>
      <c r="B489" s="9"/>
      <c r="D489" s="9"/>
      <c r="F489" s="8">
        <f>SUM(F488)</f>
        <v>3000</v>
      </c>
    </row>
    <row r="490" spans="1:6" x14ac:dyDescent="0.25">
      <c r="A490" s="9"/>
      <c r="B490" s="9"/>
      <c r="D490" s="9"/>
    </row>
    <row r="491" spans="1:6" x14ac:dyDescent="0.25">
      <c r="A491" s="9" t="s">
        <v>673</v>
      </c>
      <c r="B491" s="4">
        <v>45908</v>
      </c>
      <c r="C491" s="5">
        <v>10</v>
      </c>
      <c r="D491" s="9" t="s">
        <v>8</v>
      </c>
      <c r="E491" s="10">
        <v>165</v>
      </c>
      <c r="F491" s="10">
        <f t="shared" si="7"/>
        <v>1650</v>
      </c>
    </row>
    <row r="492" spans="1:6" x14ac:dyDescent="0.25">
      <c r="A492" s="9"/>
      <c r="B492" s="9"/>
      <c r="C492" s="5">
        <v>20</v>
      </c>
      <c r="D492" s="9" t="s">
        <v>13</v>
      </c>
      <c r="E492" s="10">
        <v>155</v>
      </c>
      <c r="F492" s="10">
        <f t="shared" si="7"/>
        <v>3100</v>
      </c>
    </row>
    <row r="493" spans="1:6" x14ac:dyDescent="0.25">
      <c r="A493" s="9"/>
      <c r="B493" s="9"/>
      <c r="C493" s="5">
        <v>10</v>
      </c>
      <c r="D493" s="9" t="s">
        <v>12</v>
      </c>
      <c r="E493" s="10">
        <v>145</v>
      </c>
      <c r="F493" s="10">
        <f t="shared" si="7"/>
        <v>1450</v>
      </c>
    </row>
    <row r="494" spans="1:6" x14ac:dyDescent="0.25">
      <c r="A494" s="9"/>
      <c r="B494" s="9"/>
      <c r="D494" s="9"/>
      <c r="F494" s="8">
        <f>SUM(F491:F493)</f>
        <v>6200</v>
      </c>
    </row>
    <row r="495" spans="1:6" x14ac:dyDescent="0.25">
      <c r="A495" s="9"/>
      <c r="B495" s="9"/>
      <c r="D495" s="9"/>
    </row>
    <row r="496" spans="1:6" x14ac:dyDescent="0.25">
      <c r="A496" s="9" t="s">
        <v>427</v>
      </c>
      <c r="B496" s="4">
        <v>45908</v>
      </c>
      <c r="C496" s="5">
        <v>15</v>
      </c>
      <c r="D496" s="9" t="s">
        <v>13</v>
      </c>
      <c r="E496" s="10">
        <v>155</v>
      </c>
      <c r="F496" s="10">
        <f t="shared" si="7"/>
        <v>2325</v>
      </c>
    </row>
    <row r="497" spans="1:6" x14ac:dyDescent="0.25">
      <c r="A497" s="9"/>
      <c r="B497" s="9"/>
      <c r="D497" s="9"/>
      <c r="F497" s="8">
        <f>SUM(F496)</f>
        <v>2325</v>
      </c>
    </row>
    <row r="498" spans="1:6" x14ac:dyDescent="0.25">
      <c r="A498" s="9"/>
      <c r="B498" s="9"/>
      <c r="D498" s="9"/>
    </row>
    <row r="499" spans="1:6" x14ac:dyDescent="0.25">
      <c r="A499" s="9" t="s">
        <v>20</v>
      </c>
      <c r="B499" s="4">
        <v>45908</v>
      </c>
      <c r="C499" s="5">
        <v>10</v>
      </c>
      <c r="D499" s="9" t="s">
        <v>403</v>
      </c>
      <c r="E499" s="10">
        <v>155</v>
      </c>
      <c r="F499" s="10">
        <f t="shared" si="7"/>
        <v>1550</v>
      </c>
    </row>
    <row r="500" spans="1:6" x14ac:dyDescent="0.25">
      <c r="A500" s="9"/>
      <c r="B500" s="9"/>
      <c r="D500" s="9"/>
      <c r="F500" s="8">
        <f>SUM(F499)</f>
        <v>1550</v>
      </c>
    </row>
    <row r="501" spans="1:6" x14ac:dyDescent="0.25">
      <c r="A501" s="9"/>
      <c r="B501" s="9"/>
      <c r="D501" s="9"/>
    </row>
    <row r="502" spans="1:6" x14ac:dyDescent="0.25">
      <c r="A502" s="9" t="s">
        <v>406</v>
      </c>
      <c r="B502" s="4">
        <v>45908</v>
      </c>
      <c r="C502" s="5">
        <v>20</v>
      </c>
      <c r="D502" s="9" t="s">
        <v>22</v>
      </c>
      <c r="E502" s="10">
        <v>135</v>
      </c>
      <c r="F502" s="10">
        <f t="shared" si="7"/>
        <v>2700</v>
      </c>
    </row>
    <row r="503" spans="1:6" x14ac:dyDescent="0.25">
      <c r="A503" s="9"/>
      <c r="B503" s="9"/>
      <c r="C503" s="5">
        <v>10</v>
      </c>
      <c r="D503" s="9" t="s">
        <v>13</v>
      </c>
      <c r="E503" s="10">
        <v>155</v>
      </c>
      <c r="F503" s="10">
        <f t="shared" si="7"/>
        <v>1550</v>
      </c>
    </row>
    <row r="504" spans="1:6" x14ac:dyDescent="0.25">
      <c r="A504" s="9"/>
      <c r="B504" s="9"/>
      <c r="C504" s="5">
        <v>5</v>
      </c>
      <c r="D504" s="9" t="s">
        <v>14</v>
      </c>
      <c r="E504" s="10">
        <v>150</v>
      </c>
      <c r="F504" s="10">
        <f t="shared" si="7"/>
        <v>750</v>
      </c>
    </row>
    <row r="505" spans="1:6" x14ac:dyDescent="0.25">
      <c r="A505" s="9"/>
      <c r="B505" s="9"/>
      <c r="D505" s="9"/>
      <c r="F505" s="8">
        <f>SUM(F502:F504)</f>
        <v>5000</v>
      </c>
    </row>
    <row r="506" spans="1:6" x14ac:dyDescent="0.25">
      <c r="A506" s="9"/>
      <c r="B506" s="9"/>
      <c r="D506" s="9"/>
    </row>
    <row r="507" spans="1:6" x14ac:dyDescent="0.25">
      <c r="A507" s="9" t="s">
        <v>57</v>
      </c>
      <c r="B507" s="4">
        <v>45908</v>
      </c>
      <c r="C507" s="5">
        <v>10</v>
      </c>
      <c r="D507" s="9" t="s">
        <v>13</v>
      </c>
      <c r="E507" s="10">
        <v>155</v>
      </c>
      <c r="F507" s="10">
        <f t="shared" si="7"/>
        <v>1550</v>
      </c>
    </row>
    <row r="508" spans="1:6" x14ac:dyDescent="0.25">
      <c r="A508" s="9"/>
      <c r="B508" s="9"/>
      <c r="D508" s="9"/>
      <c r="F508" s="8">
        <f>SUM(F507)</f>
        <v>1550</v>
      </c>
    </row>
    <row r="509" spans="1:6" x14ac:dyDescent="0.25">
      <c r="A509" s="9"/>
      <c r="B509" s="9"/>
      <c r="D509" s="9"/>
    </row>
    <row r="510" spans="1:6" x14ac:dyDescent="0.25">
      <c r="A510" s="9" t="s">
        <v>923</v>
      </c>
      <c r="B510" s="4">
        <v>45908</v>
      </c>
      <c r="C510" s="5">
        <v>20</v>
      </c>
      <c r="D510" s="9" t="s">
        <v>22</v>
      </c>
      <c r="E510" s="10">
        <v>135</v>
      </c>
      <c r="F510" s="10">
        <f t="shared" si="7"/>
        <v>2700</v>
      </c>
    </row>
    <row r="511" spans="1:6" x14ac:dyDescent="0.25">
      <c r="A511" s="9"/>
      <c r="B511" s="9"/>
      <c r="C511" s="5">
        <v>10</v>
      </c>
      <c r="D511" s="9" t="s">
        <v>13</v>
      </c>
      <c r="E511" s="10">
        <v>155</v>
      </c>
      <c r="F511" s="10">
        <f t="shared" si="7"/>
        <v>1550</v>
      </c>
    </row>
    <row r="512" spans="1:6" x14ac:dyDescent="0.25">
      <c r="A512" s="9"/>
      <c r="B512" s="9"/>
      <c r="D512" s="9"/>
      <c r="F512" s="8">
        <f>SUM(F510:F511)</f>
        <v>4250</v>
      </c>
    </row>
    <row r="513" spans="1:6" x14ac:dyDescent="0.25">
      <c r="A513" s="9"/>
      <c r="B513" s="9"/>
      <c r="D513" s="9"/>
    </row>
    <row r="514" spans="1:6" x14ac:dyDescent="0.25">
      <c r="A514" s="9" t="s">
        <v>40</v>
      </c>
      <c r="B514" s="4">
        <v>45908</v>
      </c>
      <c r="C514" s="5">
        <v>20</v>
      </c>
      <c r="D514" s="9" t="s">
        <v>22</v>
      </c>
      <c r="E514" s="10">
        <v>135</v>
      </c>
      <c r="F514" s="10">
        <f t="shared" si="7"/>
        <v>2700</v>
      </c>
    </row>
    <row r="515" spans="1:6" x14ac:dyDescent="0.25">
      <c r="A515" s="9"/>
      <c r="B515" s="9"/>
      <c r="C515" s="5">
        <v>15</v>
      </c>
      <c r="D515" s="9" t="s">
        <v>12</v>
      </c>
      <c r="E515" s="10">
        <v>145</v>
      </c>
      <c r="F515" s="10">
        <f t="shared" ref="F515:F577" si="8">+C515*E515</f>
        <v>2175</v>
      </c>
    </row>
    <row r="516" spans="1:6" x14ac:dyDescent="0.25">
      <c r="A516" s="9"/>
      <c r="B516" s="9"/>
      <c r="C516" s="5">
        <v>15</v>
      </c>
      <c r="D516" s="9" t="s">
        <v>13</v>
      </c>
      <c r="E516" s="10">
        <v>155</v>
      </c>
      <c r="F516" s="10">
        <f t="shared" si="8"/>
        <v>2325</v>
      </c>
    </row>
    <row r="517" spans="1:6" x14ac:dyDescent="0.25">
      <c r="A517" s="9"/>
      <c r="B517" s="9"/>
      <c r="D517" s="9"/>
      <c r="F517" s="8">
        <f>SUM(F514:F516)</f>
        <v>7200</v>
      </c>
    </row>
    <row r="518" spans="1:6" x14ac:dyDescent="0.25">
      <c r="A518" s="9"/>
      <c r="B518" s="9"/>
      <c r="D518" s="9"/>
    </row>
    <row r="519" spans="1:6" x14ac:dyDescent="0.25">
      <c r="A519" s="9" t="s">
        <v>924</v>
      </c>
      <c r="B519" s="4">
        <v>45908</v>
      </c>
      <c r="C519" s="5">
        <v>30</v>
      </c>
      <c r="D519" s="9" t="s">
        <v>22</v>
      </c>
      <c r="E519" s="10">
        <v>135</v>
      </c>
      <c r="F519" s="10">
        <f t="shared" si="8"/>
        <v>4050</v>
      </c>
    </row>
    <row r="520" spans="1:6" x14ac:dyDescent="0.25">
      <c r="A520" s="9"/>
      <c r="B520" s="9"/>
      <c r="D520" s="9"/>
      <c r="F520" s="8">
        <f>SUM(F519)</f>
        <v>4050</v>
      </c>
    </row>
    <row r="521" spans="1:6" x14ac:dyDescent="0.25">
      <c r="A521" s="9"/>
      <c r="B521" s="9"/>
      <c r="D521" s="9"/>
    </row>
    <row r="522" spans="1:6" x14ac:dyDescent="0.25">
      <c r="A522" s="9" t="s">
        <v>18</v>
      </c>
      <c r="B522" s="4">
        <v>45908</v>
      </c>
      <c r="C522" s="5">
        <v>5</v>
      </c>
      <c r="D522" s="9" t="s">
        <v>13</v>
      </c>
      <c r="E522" s="10">
        <v>155</v>
      </c>
      <c r="F522" s="10">
        <f t="shared" si="8"/>
        <v>775</v>
      </c>
    </row>
    <row r="523" spans="1:6" x14ac:dyDescent="0.25">
      <c r="A523" s="9"/>
      <c r="B523" s="9"/>
      <c r="D523" s="9"/>
      <c r="F523" s="8">
        <f>SUM(F522)</f>
        <v>775</v>
      </c>
    </row>
    <row r="524" spans="1:6" x14ac:dyDescent="0.25">
      <c r="A524" s="9"/>
      <c r="B524" s="9"/>
      <c r="D524" s="9"/>
    </row>
    <row r="525" spans="1:6" x14ac:dyDescent="0.25">
      <c r="A525" s="9" t="s">
        <v>591</v>
      </c>
      <c r="B525" s="4">
        <v>45908</v>
      </c>
      <c r="C525" s="5">
        <v>1</v>
      </c>
      <c r="D525" s="9" t="s">
        <v>8</v>
      </c>
      <c r="E525" s="10">
        <v>165</v>
      </c>
      <c r="F525" s="10">
        <f t="shared" si="8"/>
        <v>165</v>
      </c>
    </row>
    <row r="526" spans="1:6" x14ac:dyDescent="0.25">
      <c r="A526" s="9"/>
      <c r="B526" s="9"/>
      <c r="C526" s="5">
        <v>1</v>
      </c>
      <c r="D526" s="9" t="s">
        <v>14</v>
      </c>
      <c r="E526" s="10">
        <v>150</v>
      </c>
      <c r="F526" s="10">
        <f t="shared" si="8"/>
        <v>150</v>
      </c>
    </row>
    <row r="527" spans="1:6" x14ac:dyDescent="0.25">
      <c r="A527" s="9"/>
      <c r="B527" s="9"/>
      <c r="C527" s="5">
        <v>3</v>
      </c>
      <c r="D527" s="9" t="s">
        <v>449</v>
      </c>
      <c r="E527" s="10">
        <v>150</v>
      </c>
      <c r="F527" s="10">
        <f t="shared" si="8"/>
        <v>450</v>
      </c>
    </row>
    <row r="528" spans="1:6" x14ac:dyDescent="0.25">
      <c r="A528" s="9"/>
      <c r="B528" s="9"/>
      <c r="D528" s="9"/>
      <c r="F528" s="8">
        <f>SUM(F525:F527)</f>
        <v>765</v>
      </c>
    </row>
    <row r="529" spans="1:6" x14ac:dyDescent="0.25">
      <c r="A529" s="9"/>
      <c r="B529" s="9"/>
      <c r="D529" s="9"/>
    </row>
    <row r="530" spans="1:6" x14ac:dyDescent="0.25">
      <c r="A530" s="9" t="s">
        <v>151</v>
      </c>
      <c r="B530" s="4">
        <v>45908</v>
      </c>
      <c r="C530" s="5">
        <v>20</v>
      </c>
      <c r="D530" s="9" t="s">
        <v>22</v>
      </c>
      <c r="E530" s="10">
        <v>130</v>
      </c>
      <c r="F530" s="10">
        <f t="shared" si="8"/>
        <v>2600</v>
      </c>
    </row>
    <row r="531" spans="1:6" x14ac:dyDescent="0.25">
      <c r="A531" s="9"/>
      <c r="B531" s="9"/>
      <c r="D531" s="9"/>
      <c r="F531" s="8">
        <f>SUM(F530)</f>
        <v>2600</v>
      </c>
    </row>
    <row r="532" spans="1:6" x14ac:dyDescent="0.25">
      <c r="A532" s="9"/>
      <c r="B532" s="9"/>
      <c r="D532" s="9"/>
    </row>
    <row r="533" spans="1:6" x14ac:dyDescent="0.25">
      <c r="A533" s="9" t="s">
        <v>780</v>
      </c>
      <c r="B533" s="4">
        <v>45908</v>
      </c>
      <c r="C533" s="5">
        <v>5</v>
      </c>
      <c r="D533" s="9" t="s">
        <v>14</v>
      </c>
      <c r="E533" s="10">
        <v>150</v>
      </c>
      <c r="F533" s="10">
        <f t="shared" si="8"/>
        <v>750</v>
      </c>
    </row>
    <row r="534" spans="1:6" x14ac:dyDescent="0.25">
      <c r="A534" s="9"/>
      <c r="B534" s="9"/>
      <c r="D534" s="9"/>
      <c r="F534" s="8">
        <f>SUM(F533)</f>
        <v>750</v>
      </c>
    </row>
    <row r="535" spans="1:6" x14ac:dyDescent="0.25">
      <c r="A535" s="9"/>
      <c r="B535" s="9"/>
      <c r="D535" s="9"/>
    </row>
    <row r="536" spans="1:6" x14ac:dyDescent="0.25">
      <c r="A536" s="9" t="s">
        <v>41</v>
      </c>
      <c r="B536" s="4">
        <v>45908</v>
      </c>
      <c r="C536" s="5">
        <v>40</v>
      </c>
      <c r="D536" s="9" t="s">
        <v>14</v>
      </c>
      <c r="E536" s="10">
        <v>140</v>
      </c>
      <c r="F536" s="10">
        <f t="shared" si="8"/>
        <v>5600</v>
      </c>
    </row>
    <row r="537" spans="1:6" x14ac:dyDescent="0.25">
      <c r="A537" s="9"/>
      <c r="B537" s="9"/>
      <c r="D537" s="9"/>
      <c r="F537" s="8">
        <f>SUM(F536)</f>
        <v>5600</v>
      </c>
    </row>
    <row r="538" spans="1:6" x14ac:dyDescent="0.25">
      <c r="A538" s="9"/>
      <c r="B538" s="9"/>
      <c r="D538" s="9"/>
    </row>
    <row r="539" spans="1:6" x14ac:dyDescent="0.25">
      <c r="A539" s="9" t="s">
        <v>81</v>
      </c>
      <c r="B539" s="4">
        <v>45908</v>
      </c>
      <c r="C539" s="5">
        <v>10</v>
      </c>
      <c r="D539" s="9" t="s">
        <v>11</v>
      </c>
      <c r="E539" s="10">
        <v>145</v>
      </c>
      <c r="F539" s="10">
        <f t="shared" si="8"/>
        <v>1450</v>
      </c>
    </row>
    <row r="540" spans="1:6" x14ac:dyDescent="0.25">
      <c r="A540" s="9"/>
      <c r="B540" s="9"/>
      <c r="C540" s="5">
        <v>20</v>
      </c>
      <c r="D540" s="9" t="s">
        <v>14</v>
      </c>
      <c r="E540" s="10">
        <v>150</v>
      </c>
      <c r="F540" s="10">
        <f t="shared" si="8"/>
        <v>3000</v>
      </c>
    </row>
    <row r="541" spans="1:6" x14ac:dyDescent="0.25">
      <c r="A541" s="9"/>
      <c r="B541" s="9"/>
      <c r="D541" s="9"/>
      <c r="F541" s="8">
        <f>SUM(F539:F540)</f>
        <v>4450</v>
      </c>
    </row>
    <row r="542" spans="1:6" x14ac:dyDescent="0.25">
      <c r="A542" s="9"/>
      <c r="B542" s="9"/>
      <c r="D542" s="9"/>
    </row>
    <row r="543" spans="1:6" x14ac:dyDescent="0.25">
      <c r="A543" s="9" t="s">
        <v>44</v>
      </c>
      <c r="B543" s="4">
        <v>45908</v>
      </c>
      <c r="C543" s="5">
        <v>50</v>
      </c>
      <c r="D543" s="9" t="s">
        <v>14</v>
      </c>
      <c r="E543" s="10">
        <v>150</v>
      </c>
      <c r="F543" s="10">
        <f t="shared" si="8"/>
        <v>7500</v>
      </c>
    </row>
    <row r="544" spans="1:6" x14ac:dyDescent="0.25">
      <c r="A544" s="9"/>
      <c r="B544" s="9"/>
      <c r="D544" s="9"/>
      <c r="F544" s="8">
        <f>SUM(F543)</f>
        <v>7500</v>
      </c>
    </row>
    <row r="545" spans="1:6" x14ac:dyDescent="0.25">
      <c r="A545" s="9"/>
      <c r="B545" s="9"/>
      <c r="D545" s="9"/>
    </row>
    <row r="546" spans="1:6" x14ac:dyDescent="0.25">
      <c r="A546" s="9" t="s">
        <v>43</v>
      </c>
      <c r="B546" s="4">
        <v>45908</v>
      </c>
      <c r="C546" s="5">
        <v>30</v>
      </c>
      <c r="D546" s="9" t="s">
        <v>8</v>
      </c>
      <c r="E546" s="10">
        <v>155</v>
      </c>
      <c r="F546" s="10">
        <f t="shared" si="8"/>
        <v>4650</v>
      </c>
    </row>
    <row r="547" spans="1:6" x14ac:dyDescent="0.25">
      <c r="A547" s="9"/>
      <c r="B547" s="9"/>
      <c r="C547" s="5">
        <v>10</v>
      </c>
      <c r="D547" s="9" t="s">
        <v>13</v>
      </c>
      <c r="E547" s="10">
        <v>150</v>
      </c>
      <c r="F547" s="10">
        <f t="shared" si="8"/>
        <v>1500</v>
      </c>
    </row>
    <row r="548" spans="1:6" x14ac:dyDescent="0.25">
      <c r="A548" s="9"/>
      <c r="B548" s="9"/>
      <c r="C548" s="5">
        <v>10</v>
      </c>
      <c r="D548" s="9" t="s">
        <v>14</v>
      </c>
      <c r="E548" s="10">
        <v>150</v>
      </c>
      <c r="F548" s="10">
        <f t="shared" si="8"/>
        <v>1500</v>
      </c>
    </row>
    <row r="549" spans="1:6" x14ac:dyDescent="0.25">
      <c r="A549" s="9"/>
      <c r="B549" s="9"/>
      <c r="D549" s="9"/>
      <c r="F549" s="8">
        <f>SUM(F546:F548)</f>
        <v>7650</v>
      </c>
    </row>
    <row r="550" spans="1:6" x14ac:dyDescent="0.25">
      <c r="A550" s="9"/>
      <c r="B550" s="9"/>
      <c r="D550" s="9"/>
    </row>
    <row r="551" spans="1:6" x14ac:dyDescent="0.25">
      <c r="A551" s="9" t="s">
        <v>918</v>
      </c>
      <c r="B551" s="4">
        <v>45908</v>
      </c>
      <c r="C551" s="5">
        <v>10</v>
      </c>
      <c r="D551" s="9" t="s">
        <v>14</v>
      </c>
      <c r="E551" s="10">
        <v>150</v>
      </c>
      <c r="F551" s="10">
        <f t="shared" si="8"/>
        <v>1500</v>
      </c>
    </row>
    <row r="552" spans="1:6" x14ac:dyDescent="0.25">
      <c r="A552" s="9"/>
      <c r="B552" s="9"/>
      <c r="D552" s="9"/>
      <c r="F552" s="8">
        <f>SUM(F551)</f>
        <v>1500</v>
      </c>
    </row>
    <row r="553" spans="1:6" x14ac:dyDescent="0.25">
      <c r="A553" s="9"/>
      <c r="B553" s="9"/>
      <c r="D553" s="9"/>
    </row>
    <row r="554" spans="1:6" x14ac:dyDescent="0.25">
      <c r="A554" s="9" t="s">
        <v>383</v>
      </c>
      <c r="B554" s="4">
        <v>45908</v>
      </c>
      <c r="C554" s="5">
        <v>20</v>
      </c>
      <c r="D554" s="9" t="s">
        <v>14</v>
      </c>
      <c r="E554" s="10">
        <v>150</v>
      </c>
      <c r="F554" s="10">
        <f t="shared" si="8"/>
        <v>3000</v>
      </c>
    </row>
    <row r="555" spans="1:6" x14ac:dyDescent="0.25">
      <c r="A555" s="9"/>
      <c r="B555" s="9"/>
      <c r="D555" s="9"/>
      <c r="F555" s="8">
        <f>SUM(F554)</f>
        <v>3000</v>
      </c>
    </row>
    <row r="556" spans="1:6" x14ac:dyDescent="0.25">
      <c r="A556" s="9"/>
      <c r="B556" s="9"/>
      <c r="D556" s="9"/>
    </row>
    <row r="557" spans="1:6" x14ac:dyDescent="0.25">
      <c r="A557" s="9" t="s">
        <v>47</v>
      </c>
      <c r="B557" s="4">
        <v>45908</v>
      </c>
      <c r="C557" s="5">
        <v>34</v>
      </c>
      <c r="D557" s="9" t="s">
        <v>121</v>
      </c>
      <c r="E557" s="10">
        <v>150</v>
      </c>
      <c r="F557" s="10">
        <f t="shared" si="8"/>
        <v>5100</v>
      </c>
    </row>
    <row r="558" spans="1:6" x14ac:dyDescent="0.25">
      <c r="A558" s="9"/>
      <c r="B558" s="9"/>
      <c r="D558" s="9"/>
      <c r="F558" s="8">
        <f>SUM(F557)</f>
        <v>5100</v>
      </c>
    </row>
    <row r="559" spans="1:6" x14ac:dyDescent="0.25">
      <c r="A559" s="9"/>
      <c r="B559" s="9"/>
      <c r="D559" s="9"/>
    </row>
    <row r="560" spans="1:6" x14ac:dyDescent="0.25">
      <c r="A560" s="9" t="s">
        <v>174</v>
      </c>
      <c r="B560" s="4">
        <v>45908</v>
      </c>
      <c r="C560" s="5">
        <v>120</v>
      </c>
      <c r="D560" s="9" t="s">
        <v>12</v>
      </c>
      <c r="E560" s="10">
        <v>145</v>
      </c>
      <c r="F560" s="10">
        <f t="shared" si="8"/>
        <v>17400</v>
      </c>
    </row>
    <row r="561" spans="1:6" x14ac:dyDescent="0.25">
      <c r="A561" s="9"/>
      <c r="B561" s="9"/>
      <c r="C561" s="5">
        <v>30</v>
      </c>
      <c r="D561" s="9" t="s">
        <v>22</v>
      </c>
      <c r="E561" s="10">
        <v>130</v>
      </c>
      <c r="F561" s="10">
        <f t="shared" si="8"/>
        <v>3900</v>
      </c>
    </row>
    <row r="562" spans="1:6" x14ac:dyDescent="0.25">
      <c r="A562" s="9"/>
      <c r="B562" s="9"/>
      <c r="D562" s="9"/>
      <c r="F562" s="8">
        <f>SUM(F560:F561)</f>
        <v>21300</v>
      </c>
    </row>
    <row r="563" spans="1:6" x14ac:dyDescent="0.25">
      <c r="A563" s="9"/>
      <c r="B563" s="9"/>
      <c r="D563" s="9"/>
    </row>
    <row r="564" spans="1:6" x14ac:dyDescent="0.25">
      <c r="A564" s="9" t="s">
        <v>906</v>
      </c>
      <c r="B564" s="4">
        <v>45908</v>
      </c>
      <c r="C564" s="5">
        <v>48</v>
      </c>
      <c r="D564" s="9" t="s">
        <v>14</v>
      </c>
      <c r="E564" s="10">
        <v>140</v>
      </c>
      <c r="F564" s="10">
        <f t="shared" si="8"/>
        <v>6720</v>
      </c>
    </row>
    <row r="565" spans="1:6" x14ac:dyDescent="0.25">
      <c r="A565" s="9"/>
      <c r="B565" s="9"/>
      <c r="C565" s="5">
        <v>13</v>
      </c>
      <c r="D565" s="9" t="s">
        <v>22</v>
      </c>
      <c r="E565" s="10">
        <v>120</v>
      </c>
      <c r="F565" s="10">
        <f t="shared" si="8"/>
        <v>1560</v>
      </c>
    </row>
    <row r="566" spans="1:6" x14ac:dyDescent="0.25">
      <c r="A566" s="9"/>
      <c r="B566" s="9"/>
      <c r="C566" s="5">
        <v>154</v>
      </c>
      <c r="D566" s="9" t="s">
        <v>11</v>
      </c>
      <c r="E566" s="10">
        <v>133</v>
      </c>
      <c r="F566" s="10">
        <f t="shared" si="8"/>
        <v>20482</v>
      </c>
    </row>
    <row r="567" spans="1:6" x14ac:dyDescent="0.25">
      <c r="A567" s="9"/>
      <c r="B567" s="9"/>
      <c r="C567" s="5">
        <v>5</v>
      </c>
      <c r="D567" s="9" t="s">
        <v>49</v>
      </c>
      <c r="E567" s="10">
        <v>150</v>
      </c>
      <c r="F567" s="10">
        <f t="shared" si="8"/>
        <v>750</v>
      </c>
    </row>
    <row r="568" spans="1:6" x14ac:dyDescent="0.25">
      <c r="A568" s="9"/>
      <c r="B568" s="9"/>
      <c r="D568" s="9"/>
      <c r="F568" s="8">
        <f>SUM(F564:F567)</f>
        <v>29512</v>
      </c>
    </row>
    <row r="569" spans="1:6" x14ac:dyDescent="0.25">
      <c r="A569" s="9"/>
      <c r="B569" s="9"/>
      <c r="D569" s="9"/>
    </row>
    <row r="570" spans="1:6" x14ac:dyDescent="0.25">
      <c r="A570" s="9" t="s">
        <v>925</v>
      </c>
      <c r="B570" s="4">
        <v>45908</v>
      </c>
      <c r="C570" s="5">
        <v>20</v>
      </c>
      <c r="D570" s="9" t="s">
        <v>12</v>
      </c>
      <c r="E570" s="10">
        <v>140</v>
      </c>
      <c r="F570" s="10">
        <f t="shared" si="8"/>
        <v>2800</v>
      </c>
    </row>
    <row r="571" spans="1:6" x14ac:dyDescent="0.25">
      <c r="A571" s="9"/>
      <c r="B571" s="9"/>
      <c r="D571" s="9"/>
      <c r="F571" s="8">
        <f>SUM(F570)</f>
        <v>2800</v>
      </c>
    </row>
    <row r="572" spans="1:6" x14ac:dyDescent="0.25">
      <c r="A572" s="9"/>
      <c r="B572" s="9"/>
      <c r="D572" s="9"/>
    </row>
    <row r="573" spans="1:6" x14ac:dyDescent="0.25">
      <c r="A573" s="9" t="s">
        <v>553</v>
      </c>
      <c r="B573" s="4">
        <v>45908</v>
      </c>
      <c r="C573" s="5">
        <v>10</v>
      </c>
      <c r="D573" s="9" t="s">
        <v>8</v>
      </c>
      <c r="E573" s="10">
        <v>150</v>
      </c>
      <c r="F573" s="10">
        <f t="shared" si="8"/>
        <v>1500</v>
      </c>
    </row>
    <row r="574" spans="1:6" x14ac:dyDescent="0.25">
      <c r="A574" s="9"/>
      <c r="B574" s="9"/>
      <c r="D574" s="9"/>
      <c r="F574" s="8">
        <f>SUM(F573)</f>
        <v>1500</v>
      </c>
    </row>
    <row r="575" spans="1:6" x14ac:dyDescent="0.25">
      <c r="A575" s="9"/>
      <c r="B575" s="9"/>
      <c r="D575" s="9"/>
    </row>
    <row r="576" spans="1:6" x14ac:dyDescent="0.25">
      <c r="A576" s="9" t="s">
        <v>89</v>
      </c>
      <c r="B576" s="4">
        <v>45908</v>
      </c>
      <c r="C576" s="5">
        <v>20</v>
      </c>
      <c r="D576" s="9" t="s">
        <v>13</v>
      </c>
      <c r="E576" s="10">
        <v>145</v>
      </c>
      <c r="F576" s="10">
        <f t="shared" si="8"/>
        <v>2900</v>
      </c>
    </row>
    <row r="577" spans="1:6" x14ac:dyDescent="0.25">
      <c r="A577" s="9"/>
      <c r="B577" s="9"/>
      <c r="C577" s="5">
        <v>60</v>
      </c>
      <c r="D577" s="9" t="s">
        <v>12</v>
      </c>
      <c r="E577" s="10">
        <v>140</v>
      </c>
      <c r="F577" s="10">
        <f t="shared" si="8"/>
        <v>8400</v>
      </c>
    </row>
    <row r="578" spans="1:6" x14ac:dyDescent="0.25">
      <c r="A578" s="9"/>
      <c r="B578" s="9"/>
      <c r="D578" s="9"/>
      <c r="F578" s="8">
        <f>SUM(F576:F577)</f>
        <v>11300</v>
      </c>
    </row>
    <row r="579" spans="1:6" x14ac:dyDescent="0.25">
      <c r="A579" s="9"/>
      <c r="B579" s="9"/>
      <c r="D579" s="9"/>
    </row>
    <row r="580" spans="1:6" x14ac:dyDescent="0.25">
      <c r="A580" s="9" t="s">
        <v>926</v>
      </c>
      <c r="B580" s="4">
        <v>45908</v>
      </c>
      <c r="C580" s="5">
        <v>10</v>
      </c>
      <c r="D580" s="9" t="s">
        <v>14</v>
      </c>
      <c r="E580" s="10">
        <v>145</v>
      </c>
      <c r="F580" s="10">
        <f t="shared" ref="F580:F641" si="9">+C580*E580</f>
        <v>1450</v>
      </c>
    </row>
    <row r="581" spans="1:6" x14ac:dyDescent="0.25">
      <c r="A581" s="9"/>
      <c r="B581" s="9"/>
      <c r="D581" s="9"/>
      <c r="F581" s="8">
        <f>SUM(F580)</f>
        <v>1450</v>
      </c>
    </row>
    <row r="582" spans="1:6" x14ac:dyDescent="0.25">
      <c r="A582" s="9"/>
      <c r="B582" s="9"/>
      <c r="D582" s="9"/>
    </row>
    <row r="583" spans="1:6" x14ac:dyDescent="0.25">
      <c r="A583" s="9" t="s">
        <v>32</v>
      </c>
      <c r="B583" s="4">
        <v>45908</v>
      </c>
      <c r="C583" s="5">
        <v>10</v>
      </c>
      <c r="D583" s="9" t="s">
        <v>13</v>
      </c>
      <c r="E583" s="10">
        <v>150</v>
      </c>
      <c r="F583" s="10">
        <f t="shared" si="9"/>
        <v>1500</v>
      </c>
    </row>
    <row r="584" spans="1:6" x14ac:dyDescent="0.25">
      <c r="A584" s="9"/>
      <c r="B584" s="9"/>
      <c r="D584" s="9"/>
      <c r="F584" s="8">
        <f>SUM(F583)</f>
        <v>1500</v>
      </c>
    </row>
    <row r="585" spans="1:6" x14ac:dyDescent="0.25">
      <c r="A585" s="9"/>
      <c r="B585" s="9"/>
      <c r="D585" s="9"/>
    </row>
    <row r="586" spans="1:6" x14ac:dyDescent="0.25">
      <c r="A586" s="9" t="s">
        <v>184</v>
      </c>
      <c r="B586" s="4">
        <v>45908</v>
      </c>
      <c r="C586" s="5">
        <v>7</v>
      </c>
      <c r="D586" s="9" t="s">
        <v>13</v>
      </c>
      <c r="E586" s="10">
        <v>155</v>
      </c>
      <c r="F586" s="10">
        <f t="shared" si="9"/>
        <v>1085</v>
      </c>
    </row>
    <row r="587" spans="1:6" x14ac:dyDescent="0.25">
      <c r="A587" s="9"/>
      <c r="B587" s="9"/>
      <c r="D587" s="9"/>
      <c r="F587" s="8">
        <f>SUM(F586)</f>
        <v>1085</v>
      </c>
    </row>
    <row r="588" spans="1:6" x14ac:dyDescent="0.25">
      <c r="A588" s="9"/>
      <c r="B588" s="9"/>
      <c r="D588" s="9"/>
    </row>
    <row r="589" spans="1:6" x14ac:dyDescent="0.25">
      <c r="A589" s="9" t="s">
        <v>719</v>
      </c>
      <c r="B589" s="4">
        <v>45908</v>
      </c>
      <c r="C589" s="5">
        <v>2</v>
      </c>
      <c r="D589" s="9" t="s">
        <v>8</v>
      </c>
      <c r="E589" s="10">
        <v>170</v>
      </c>
      <c r="F589" s="10">
        <f t="shared" si="9"/>
        <v>340</v>
      </c>
    </row>
    <row r="590" spans="1:6" x14ac:dyDescent="0.25">
      <c r="A590" s="9"/>
      <c r="B590" s="9"/>
      <c r="D590" s="9"/>
      <c r="F590" s="8">
        <f>SUM(F589)</f>
        <v>340</v>
      </c>
    </row>
    <row r="591" spans="1:6" x14ac:dyDescent="0.25">
      <c r="A591" s="9"/>
      <c r="B591" s="9"/>
      <c r="D591" s="9"/>
    </row>
    <row r="592" spans="1:6" x14ac:dyDescent="0.25">
      <c r="A592" s="9" t="s">
        <v>76</v>
      </c>
      <c r="B592" s="4">
        <v>45908</v>
      </c>
      <c r="C592" s="5">
        <v>280</v>
      </c>
      <c r="D592" s="9" t="s">
        <v>187</v>
      </c>
      <c r="E592" s="10">
        <v>143</v>
      </c>
      <c r="F592" s="10">
        <f t="shared" si="9"/>
        <v>40040</v>
      </c>
    </row>
    <row r="593" spans="1:6" x14ac:dyDescent="0.25">
      <c r="A593" s="9"/>
      <c r="B593" s="9"/>
      <c r="C593" s="5">
        <v>330</v>
      </c>
      <c r="D593" s="9" t="s">
        <v>11</v>
      </c>
      <c r="E593" s="10">
        <v>137</v>
      </c>
      <c r="F593" s="10">
        <f t="shared" si="9"/>
        <v>45210</v>
      </c>
    </row>
    <row r="594" spans="1:6" x14ac:dyDescent="0.25">
      <c r="A594" s="9"/>
      <c r="B594" s="9"/>
      <c r="C594" s="5">
        <v>250</v>
      </c>
      <c r="D594" s="9" t="s">
        <v>13</v>
      </c>
      <c r="E594" s="10">
        <v>145</v>
      </c>
      <c r="F594" s="10">
        <f t="shared" si="9"/>
        <v>36250</v>
      </c>
    </row>
    <row r="595" spans="1:6" x14ac:dyDescent="0.25">
      <c r="A595" s="9"/>
      <c r="B595" s="9"/>
      <c r="C595" s="5">
        <v>60</v>
      </c>
      <c r="D595" s="9" t="s">
        <v>12</v>
      </c>
      <c r="E595" s="10">
        <v>140</v>
      </c>
      <c r="F595" s="10">
        <f t="shared" si="9"/>
        <v>8400</v>
      </c>
    </row>
    <row r="596" spans="1:6" x14ac:dyDescent="0.25">
      <c r="A596" s="9"/>
      <c r="B596" s="9"/>
      <c r="D596" s="9"/>
      <c r="F596" s="8">
        <f>SUM(F592:F595)</f>
        <v>129900</v>
      </c>
    </row>
    <row r="597" spans="1:6" x14ac:dyDescent="0.25">
      <c r="A597" s="9"/>
      <c r="B597" s="9"/>
      <c r="D597" s="9"/>
    </row>
    <row r="598" spans="1:6" x14ac:dyDescent="0.25">
      <c r="A598" s="9" t="s">
        <v>76</v>
      </c>
      <c r="B598" s="4">
        <v>45908</v>
      </c>
      <c r="C598" s="5">
        <v>118</v>
      </c>
      <c r="D598" s="9" t="s">
        <v>50</v>
      </c>
      <c r="E598" s="10">
        <v>122</v>
      </c>
      <c r="F598" s="10">
        <f t="shared" si="9"/>
        <v>14396</v>
      </c>
    </row>
    <row r="599" spans="1:6" x14ac:dyDescent="0.25">
      <c r="A599" s="9"/>
      <c r="B599" s="9"/>
      <c r="D599" s="9"/>
      <c r="F599" s="8">
        <f>SUM(F598)</f>
        <v>14396</v>
      </c>
    </row>
    <row r="600" spans="1:6" x14ac:dyDescent="0.25">
      <c r="A600" s="9"/>
      <c r="B600" s="9"/>
      <c r="D600" s="9"/>
    </row>
    <row r="601" spans="1:6" x14ac:dyDescent="0.25">
      <c r="A601" s="9" t="s">
        <v>29</v>
      </c>
      <c r="B601" s="4">
        <v>45908</v>
      </c>
      <c r="C601" s="5">
        <v>1</v>
      </c>
      <c r="D601" s="9" t="s">
        <v>49</v>
      </c>
      <c r="E601" s="10">
        <v>170</v>
      </c>
      <c r="F601" s="10">
        <f t="shared" si="9"/>
        <v>170</v>
      </c>
    </row>
    <row r="602" spans="1:6" x14ac:dyDescent="0.25">
      <c r="A602" s="9"/>
      <c r="B602" s="9"/>
      <c r="C602" s="5">
        <v>2</v>
      </c>
      <c r="D602" s="9" t="s">
        <v>49</v>
      </c>
      <c r="E602" s="10">
        <v>170</v>
      </c>
      <c r="F602" s="10">
        <f t="shared" si="9"/>
        <v>340</v>
      </c>
    </row>
    <row r="603" spans="1:6" x14ac:dyDescent="0.25">
      <c r="A603" s="9"/>
      <c r="B603" s="9"/>
      <c r="C603" s="5">
        <v>1</v>
      </c>
      <c r="D603" s="9" t="s">
        <v>12</v>
      </c>
      <c r="E603" s="10">
        <v>150</v>
      </c>
      <c r="F603" s="10">
        <f t="shared" si="9"/>
        <v>150</v>
      </c>
    </row>
    <row r="604" spans="1:6" x14ac:dyDescent="0.25">
      <c r="A604" s="9"/>
      <c r="B604" s="9"/>
      <c r="C604" s="5">
        <v>9</v>
      </c>
      <c r="D604" s="9" t="s">
        <v>110</v>
      </c>
      <c r="E604" s="10">
        <v>3.3333333333300001</v>
      </c>
      <c r="F604" s="10">
        <f t="shared" si="9"/>
        <v>29.999999999970001</v>
      </c>
    </row>
    <row r="605" spans="1:6" x14ac:dyDescent="0.25">
      <c r="A605" s="9"/>
      <c r="B605" s="9"/>
      <c r="C605" s="5">
        <v>4</v>
      </c>
      <c r="D605" s="9" t="s">
        <v>13</v>
      </c>
      <c r="E605" s="10">
        <v>140</v>
      </c>
      <c r="F605" s="10">
        <f t="shared" si="9"/>
        <v>560</v>
      </c>
    </row>
    <row r="606" spans="1:6" x14ac:dyDescent="0.25">
      <c r="A606" s="9"/>
      <c r="B606" s="9"/>
      <c r="D606" s="9"/>
      <c r="F606" s="8">
        <f>SUM(F601:F605)</f>
        <v>1249.99999999997</v>
      </c>
    </row>
    <row r="607" spans="1:6" x14ac:dyDescent="0.25">
      <c r="A607" s="9"/>
      <c r="B607" s="9"/>
      <c r="D607" s="9"/>
    </row>
    <row r="608" spans="1:6" x14ac:dyDescent="0.25">
      <c r="A608" s="9" t="s">
        <v>7</v>
      </c>
      <c r="B608" s="4">
        <v>45908</v>
      </c>
      <c r="C608" s="5">
        <v>2</v>
      </c>
      <c r="D608" s="9" t="s">
        <v>12</v>
      </c>
      <c r="E608" s="10">
        <v>140</v>
      </c>
      <c r="F608" s="10">
        <f t="shared" si="9"/>
        <v>280</v>
      </c>
    </row>
    <row r="609" spans="1:6" x14ac:dyDescent="0.25">
      <c r="A609" s="9"/>
      <c r="B609" s="9"/>
      <c r="D609" s="9"/>
      <c r="F609" s="8">
        <f>SUM(F608)</f>
        <v>280</v>
      </c>
    </row>
    <row r="610" spans="1:6" x14ac:dyDescent="0.25">
      <c r="A610" s="9"/>
      <c r="B610" s="9"/>
      <c r="D610" s="9"/>
    </row>
    <row r="611" spans="1:6" x14ac:dyDescent="0.25">
      <c r="A611" s="9" t="s">
        <v>151</v>
      </c>
      <c r="B611" s="4">
        <v>45909</v>
      </c>
      <c r="C611" s="5">
        <v>100</v>
      </c>
      <c r="D611" s="9" t="s">
        <v>13</v>
      </c>
      <c r="E611" s="10">
        <v>145</v>
      </c>
      <c r="F611" s="10">
        <f t="shared" si="9"/>
        <v>14500</v>
      </c>
    </row>
    <row r="612" spans="1:6" x14ac:dyDescent="0.25">
      <c r="A612" s="9"/>
      <c r="B612" s="9"/>
      <c r="C612" s="5">
        <v>30</v>
      </c>
      <c r="D612" s="9" t="s">
        <v>11</v>
      </c>
      <c r="E612" s="10">
        <v>140</v>
      </c>
      <c r="F612" s="10">
        <f t="shared" si="9"/>
        <v>4200</v>
      </c>
    </row>
    <row r="613" spans="1:6" x14ac:dyDescent="0.25">
      <c r="A613" s="9"/>
      <c r="B613" s="9"/>
      <c r="C613" s="5">
        <v>30</v>
      </c>
      <c r="D613" s="9" t="s">
        <v>14</v>
      </c>
      <c r="E613" s="10">
        <v>145</v>
      </c>
      <c r="F613" s="10">
        <f t="shared" si="9"/>
        <v>4350</v>
      </c>
    </row>
    <row r="614" spans="1:6" x14ac:dyDescent="0.25">
      <c r="A614" s="9"/>
      <c r="B614" s="9"/>
      <c r="D614" s="9"/>
      <c r="F614" s="8">
        <f>SUM(F611:F613)</f>
        <v>23050</v>
      </c>
    </row>
    <row r="615" spans="1:6" x14ac:dyDescent="0.25">
      <c r="A615" s="9"/>
      <c r="B615" s="9"/>
      <c r="D615" s="9"/>
    </row>
    <row r="616" spans="1:6" x14ac:dyDescent="0.25">
      <c r="A616" s="9" t="s">
        <v>62</v>
      </c>
      <c r="B616" s="4">
        <v>45909</v>
      </c>
      <c r="C616" s="5">
        <v>60</v>
      </c>
      <c r="D616" s="9" t="s">
        <v>8</v>
      </c>
      <c r="E616" s="10">
        <v>165</v>
      </c>
      <c r="F616" s="10">
        <f t="shared" si="9"/>
        <v>9900</v>
      </c>
    </row>
    <row r="617" spans="1:6" x14ac:dyDescent="0.25">
      <c r="A617" s="9"/>
      <c r="B617" s="9"/>
      <c r="D617" s="9"/>
      <c r="F617" s="8">
        <f>SUM(F616)</f>
        <v>9900</v>
      </c>
    </row>
    <row r="618" spans="1:6" x14ac:dyDescent="0.25">
      <c r="A618" s="9"/>
      <c r="B618" s="9"/>
      <c r="D618" s="9"/>
    </row>
    <row r="619" spans="1:6" x14ac:dyDescent="0.25">
      <c r="A619" s="9" t="s">
        <v>60</v>
      </c>
      <c r="B619" s="4">
        <v>45909</v>
      </c>
      <c r="C619" s="5">
        <v>15</v>
      </c>
      <c r="D619" s="9" t="s">
        <v>13</v>
      </c>
      <c r="E619" s="10">
        <v>155</v>
      </c>
      <c r="F619" s="10">
        <f t="shared" si="9"/>
        <v>2325</v>
      </c>
    </row>
    <row r="620" spans="1:6" x14ac:dyDescent="0.25">
      <c r="A620" s="9"/>
      <c r="B620" s="9"/>
      <c r="D620" s="9"/>
      <c r="F620" s="8">
        <f>SUM(F619)</f>
        <v>2325</v>
      </c>
    </row>
    <row r="621" spans="1:6" x14ac:dyDescent="0.25">
      <c r="A621" s="9"/>
      <c r="B621" s="9"/>
      <c r="D621" s="9"/>
    </row>
    <row r="622" spans="1:6" x14ac:dyDescent="0.25">
      <c r="A622" s="9" t="s">
        <v>927</v>
      </c>
      <c r="B622" s="4">
        <v>45909</v>
      </c>
      <c r="C622" s="5">
        <v>10</v>
      </c>
      <c r="D622" s="9" t="s">
        <v>13</v>
      </c>
      <c r="E622" s="10">
        <v>155</v>
      </c>
      <c r="F622" s="10">
        <f t="shared" si="9"/>
        <v>1550</v>
      </c>
    </row>
    <row r="623" spans="1:6" x14ac:dyDescent="0.25">
      <c r="A623" s="9"/>
      <c r="B623" s="9"/>
      <c r="D623" s="9"/>
      <c r="F623" s="8">
        <f>SUM(F622)</f>
        <v>1550</v>
      </c>
    </row>
    <row r="624" spans="1:6" x14ac:dyDescent="0.25">
      <c r="A624" s="9"/>
      <c r="B624" s="9"/>
      <c r="D624" s="9"/>
    </row>
    <row r="625" spans="1:6" x14ac:dyDescent="0.25">
      <c r="A625" s="9" t="s">
        <v>44</v>
      </c>
      <c r="B625" s="4">
        <v>45909</v>
      </c>
      <c r="C625" s="5">
        <v>100</v>
      </c>
      <c r="D625" s="9" t="s">
        <v>13</v>
      </c>
      <c r="E625" s="10">
        <v>147</v>
      </c>
      <c r="F625" s="10">
        <f t="shared" si="9"/>
        <v>14700</v>
      </c>
    </row>
    <row r="626" spans="1:6" x14ac:dyDescent="0.25">
      <c r="A626" s="9"/>
      <c r="B626" s="9"/>
      <c r="D626" s="9"/>
      <c r="F626" s="8">
        <f>SUM(F625)</f>
        <v>14700</v>
      </c>
    </row>
    <row r="627" spans="1:6" x14ac:dyDescent="0.25">
      <c r="A627" s="9"/>
      <c r="B627" s="9"/>
      <c r="D627" s="9"/>
    </row>
    <row r="628" spans="1:6" x14ac:dyDescent="0.25">
      <c r="A628" s="9" t="s">
        <v>245</v>
      </c>
      <c r="B628" s="4">
        <v>45909</v>
      </c>
      <c r="C628" s="5">
        <v>10</v>
      </c>
      <c r="D628" s="9" t="s">
        <v>14</v>
      </c>
      <c r="E628" s="10">
        <v>145</v>
      </c>
      <c r="F628" s="10">
        <f t="shared" si="9"/>
        <v>1450</v>
      </c>
    </row>
    <row r="629" spans="1:6" x14ac:dyDescent="0.25">
      <c r="A629" s="9"/>
      <c r="B629" s="9"/>
      <c r="D629" s="9"/>
      <c r="F629" s="8">
        <f>SUM(F628)</f>
        <v>1450</v>
      </c>
    </row>
    <row r="630" spans="1:6" x14ac:dyDescent="0.25">
      <c r="A630" s="9"/>
      <c r="B630" s="9"/>
      <c r="D630" s="9"/>
    </row>
    <row r="631" spans="1:6" x14ac:dyDescent="0.25">
      <c r="A631" s="9" t="s">
        <v>7</v>
      </c>
      <c r="B631" s="4">
        <v>45909</v>
      </c>
      <c r="C631" s="5">
        <v>10</v>
      </c>
      <c r="D631" s="9" t="s">
        <v>13</v>
      </c>
      <c r="E631" s="10">
        <v>140</v>
      </c>
      <c r="F631" s="10">
        <f t="shared" si="9"/>
        <v>1400</v>
      </c>
    </row>
    <row r="632" spans="1:6" x14ac:dyDescent="0.25">
      <c r="A632" s="9"/>
      <c r="B632" s="9"/>
      <c r="C632" s="5">
        <v>3</v>
      </c>
      <c r="D632" s="9" t="s">
        <v>8</v>
      </c>
      <c r="E632" s="10">
        <v>140</v>
      </c>
      <c r="F632" s="10">
        <f t="shared" si="9"/>
        <v>420</v>
      </c>
    </row>
    <row r="633" spans="1:6" x14ac:dyDescent="0.25">
      <c r="A633" s="9"/>
      <c r="B633" s="9"/>
      <c r="C633" s="5">
        <v>1</v>
      </c>
      <c r="D633" s="9" t="s">
        <v>8</v>
      </c>
      <c r="E633" s="10">
        <v>170</v>
      </c>
      <c r="F633" s="10">
        <f t="shared" si="9"/>
        <v>170</v>
      </c>
    </row>
    <row r="634" spans="1:6" x14ac:dyDescent="0.25">
      <c r="A634" s="9"/>
      <c r="B634" s="9"/>
      <c r="C634" s="5">
        <v>6</v>
      </c>
      <c r="D634" s="9" t="s">
        <v>928</v>
      </c>
      <c r="E634" s="10">
        <v>5</v>
      </c>
      <c r="F634" s="10">
        <f t="shared" si="9"/>
        <v>30</v>
      </c>
    </row>
    <row r="635" spans="1:6" x14ac:dyDescent="0.25">
      <c r="A635" s="9"/>
      <c r="B635" s="9"/>
      <c r="C635" s="5">
        <v>1</v>
      </c>
      <c r="D635" s="9" t="s">
        <v>12</v>
      </c>
      <c r="E635" s="10">
        <v>150</v>
      </c>
      <c r="F635" s="10">
        <f t="shared" si="9"/>
        <v>150</v>
      </c>
    </row>
    <row r="636" spans="1:6" x14ac:dyDescent="0.25">
      <c r="A636" s="9"/>
      <c r="B636" s="9"/>
      <c r="D636" s="9"/>
      <c r="F636" s="8">
        <f>SUM(F631:F635)</f>
        <v>2170</v>
      </c>
    </row>
    <row r="637" spans="1:6" x14ac:dyDescent="0.25">
      <c r="A637" s="9"/>
      <c r="B637" s="9"/>
      <c r="D637" s="9"/>
    </row>
    <row r="638" spans="1:6" x14ac:dyDescent="0.25">
      <c r="A638" s="9" t="s">
        <v>29</v>
      </c>
      <c r="B638" s="4">
        <v>45909</v>
      </c>
      <c r="C638" s="5">
        <v>1</v>
      </c>
      <c r="D638" s="9" t="s">
        <v>12</v>
      </c>
      <c r="E638" s="10">
        <v>150</v>
      </c>
      <c r="F638" s="10">
        <f t="shared" si="9"/>
        <v>150</v>
      </c>
    </row>
    <row r="639" spans="1:6" x14ac:dyDescent="0.25">
      <c r="A639" s="9"/>
      <c r="B639" s="9"/>
      <c r="D639" s="9"/>
      <c r="F639" s="8">
        <f>SUM(F638)</f>
        <v>150</v>
      </c>
    </row>
    <row r="640" spans="1:6" x14ac:dyDescent="0.25">
      <c r="A640" s="9"/>
      <c r="B640" s="9"/>
      <c r="D640" s="9"/>
    </row>
    <row r="641" spans="1:6" x14ac:dyDescent="0.25">
      <c r="A641" s="9" t="s">
        <v>181</v>
      </c>
      <c r="B641" s="4">
        <v>45909</v>
      </c>
      <c r="C641" s="5">
        <v>3</v>
      </c>
      <c r="D641" s="9" t="s">
        <v>929</v>
      </c>
      <c r="E641" s="10">
        <v>170</v>
      </c>
      <c r="F641" s="10">
        <f t="shared" si="9"/>
        <v>510</v>
      </c>
    </row>
    <row r="642" spans="1:6" x14ac:dyDescent="0.25">
      <c r="A642" s="9"/>
      <c r="B642" s="9"/>
      <c r="D642" s="9"/>
      <c r="F642" s="8">
        <f>SUM(F641)</f>
        <v>510</v>
      </c>
    </row>
    <row r="643" spans="1:6" x14ac:dyDescent="0.25">
      <c r="A643" s="9"/>
      <c r="B643" s="9"/>
      <c r="D643" s="9"/>
    </row>
    <row r="644" spans="1:6" x14ac:dyDescent="0.25">
      <c r="A644" s="9" t="s">
        <v>514</v>
      </c>
      <c r="B644" s="4">
        <v>45910</v>
      </c>
      <c r="C644" s="5">
        <v>20</v>
      </c>
      <c r="D644" s="9" t="s">
        <v>98</v>
      </c>
      <c r="E644" s="10">
        <v>110</v>
      </c>
      <c r="F644" s="10">
        <f t="shared" ref="F644:F705" si="10">+C644*E644</f>
        <v>2200</v>
      </c>
    </row>
    <row r="645" spans="1:6" x14ac:dyDescent="0.25">
      <c r="A645" s="9"/>
      <c r="B645" s="9"/>
      <c r="D645" s="9"/>
      <c r="F645" s="8">
        <f>SUM(F644)</f>
        <v>2200</v>
      </c>
    </row>
    <row r="646" spans="1:6" x14ac:dyDescent="0.25">
      <c r="A646" s="9"/>
      <c r="B646" s="9"/>
      <c r="D646" s="9"/>
    </row>
    <row r="647" spans="1:6" x14ac:dyDescent="0.25">
      <c r="A647" s="9" t="s">
        <v>15</v>
      </c>
      <c r="B647" s="4">
        <v>45910</v>
      </c>
      <c r="C647" s="5">
        <v>60</v>
      </c>
      <c r="D647" s="9" t="s">
        <v>98</v>
      </c>
      <c r="E647" s="10">
        <v>110</v>
      </c>
      <c r="F647" s="10">
        <f t="shared" si="10"/>
        <v>6600</v>
      </c>
    </row>
    <row r="648" spans="1:6" x14ac:dyDescent="0.25">
      <c r="A648" s="9"/>
      <c r="B648" s="9"/>
      <c r="D648" s="9"/>
      <c r="F648" s="8">
        <f>SUM(F647)</f>
        <v>6600</v>
      </c>
    </row>
    <row r="649" spans="1:6" x14ac:dyDescent="0.25">
      <c r="A649" s="9"/>
      <c r="B649" s="9"/>
      <c r="D649" s="9"/>
    </row>
    <row r="650" spans="1:6" x14ac:dyDescent="0.25">
      <c r="A650" s="9" t="s">
        <v>442</v>
      </c>
      <c r="B650" s="4">
        <v>45910</v>
      </c>
      <c r="C650" s="5">
        <v>15</v>
      </c>
      <c r="D650" s="9" t="s">
        <v>479</v>
      </c>
      <c r="E650" s="10">
        <v>155</v>
      </c>
      <c r="F650" s="10">
        <f t="shared" si="10"/>
        <v>2325</v>
      </c>
    </row>
    <row r="651" spans="1:6" x14ac:dyDescent="0.25">
      <c r="A651" s="9"/>
      <c r="B651" s="9"/>
      <c r="D651" s="9"/>
      <c r="F651" s="8">
        <f>SUM(F650)</f>
        <v>2325</v>
      </c>
    </row>
    <row r="652" spans="1:6" x14ac:dyDescent="0.25">
      <c r="A652" s="9"/>
      <c r="B652" s="9"/>
      <c r="D652" s="9"/>
    </row>
    <row r="653" spans="1:6" x14ac:dyDescent="0.25">
      <c r="A653" s="9" t="s">
        <v>923</v>
      </c>
      <c r="B653" s="4">
        <v>45910</v>
      </c>
      <c r="C653" s="5">
        <v>20</v>
      </c>
      <c r="D653" s="9" t="s">
        <v>13</v>
      </c>
      <c r="E653" s="10">
        <v>155</v>
      </c>
      <c r="F653" s="10">
        <f t="shared" si="10"/>
        <v>3100</v>
      </c>
    </row>
    <row r="654" spans="1:6" x14ac:dyDescent="0.25">
      <c r="A654" s="9"/>
      <c r="B654" s="9"/>
      <c r="C654" s="5">
        <v>10</v>
      </c>
      <c r="D654" s="9" t="s">
        <v>12</v>
      </c>
      <c r="E654" s="10">
        <v>145</v>
      </c>
      <c r="F654" s="10">
        <f t="shared" si="10"/>
        <v>1450</v>
      </c>
    </row>
    <row r="655" spans="1:6" x14ac:dyDescent="0.25">
      <c r="A655" s="9"/>
      <c r="B655" s="9"/>
      <c r="C655" s="5">
        <v>10</v>
      </c>
      <c r="D655" s="9" t="s">
        <v>22</v>
      </c>
      <c r="E655" s="10">
        <v>140</v>
      </c>
      <c r="F655" s="10">
        <f t="shared" si="10"/>
        <v>1400</v>
      </c>
    </row>
    <row r="656" spans="1:6" x14ac:dyDescent="0.25">
      <c r="A656" s="9"/>
      <c r="B656" s="9"/>
      <c r="D656" s="9"/>
      <c r="F656" s="8">
        <f>SUM(F653:F655)</f>
        <v>5950</v>
      </c>
    </row>
    <row r="657" spans="1:6" x14ac:dyDescent="0.25">
      <c r="A657" s="9"/>
      <c r="B657" s="9"/>
      <c r="D657" s="9"/>
    </row>
    <row r="658" spans="1:6" x14ac:dyDescent="0.25">
      <c r="A658" s="9" t="s">
        <v>20</v>
      </c>
      <c r="B658" s="4">
        <v>45910</v>
      </c>
      <c r="C658" s="5">
        <v>20</v>
      </c>
      <c r="D658" s="9" t="s">
        <v>13</v>
      </c>
      <c r="E658" s="10">
        <v>155</v>
      </c>
      <c r="F658" s="10">
        <f t="shared" si="10"/>
        <v>3100</v>
      </c>
    </row>
    <row r="659" spans="1:6" x14ac:dyDescent="0.25">
      <c r="A659" s="9"/>
      <c r="B659" s="9"/>
      <c r="D659" s="9"/>
      <c r="F659" s="8">
        <f>SUM(F658)</f>
        <v>3100</v>
      </c>
    </row>
    <row r="660" spans="1:6" x14ac:dyDescent="0.25">
      <c r="A660" s="9"/>
      <c r="B660" s="9"/>
      <c r="D660" s="9"/>
    </row>
    <row r="661" spans="1:6" x14ac:dyDescent="0.25">
      <c r="A661" s="9" t="s">
        <v>17</v>
      </c>
      <c r="B661" s="4">
        <v>45910</v>
      </c>
      <c r="C661" s="5">
        <v>10</v>
      </c>
      <c r="D661" s="9" t="s">
        <v>222</v>
      </c>
      <c r="E661" s="10">
        <v>155</v>
      </c>
      <c r="F661" s="10">
        <f t="shared" si="10"/>
        <v>1550</v>
      </c>
    </row>
    <row r="662" spans="1:6" x14ac:dyDescent="0.25">
      <c r="A662" s="9"/>
      <c r="B662" s="9"/>
      <c r="D662" s="9"/>
      <c r="F662" s="8">
        <f>SUM(F661)</f>
        <v>1550</v>
      </c>
    </row>
    <row r="663" spans="1:6" x14ac:dyDescent="0.25">
      <c r="A663" s="9"/>
      <c r="B663" s="9"/>
      <c r="D663" s="9"/>
    </row>
    <row r="664" spans="1:6" x14ac:dyDescent="0.25">
      <c r="A664" s="9" t="s">
        <v>673</v>
      </c>
      <c r="B664" s="4">
        <v>45910</v>
      </c>
      <c r="C664" s="5">
        <v>20</v>
      </c>
      <c r="D664" s="9" t="s">
        <v>13</v>
      </c>
      <c r="E664" s="10">
        <v>155</v>
      </c>
      <c r="F664" s="10">
        <f t="shared" si="10"/>
        <v>3100</v>
      </c>
    </row>
    <row r="665" spans="1:6" x14ac:dyDescent="0.25">
      <c r="A665" s="9"/>
      <c r="B665" s="9"/>
      <c r="C665" s="5">
        <v>25</v>
      </c>
      <c r="D665" s="9" t="s">
        <v>12</v>
      </c>
      <c r="E665" s="10">
        <v>145</v>
      </c>
      <c r="F665" s="10">
        <f t="shared" si="10"/>
        <v>3625</v>
      </c>
    </row>
    <row r="666" spans="1:6" x14ac:dyDescent="0.25">
      <c r="A666" s="9"/>
      <c r="B666" s="9"/>
      <c r="C666" s="5">
        <v>10</v>
      </c>
      <c r="D666" s="9" t="s">
        <v>8</v>
      </c>
      <c r="E666" s="10">
        <v>165</v>
      </c>
      <c r="F666" s="10">
        <f t="shared" si="10"/>
        <v>1650</v>
      </c>
    </row>
    <row r="667" spans="1:6" x14ac:dyDescent="0.25">
      <c r="A667" s="9"/>
      <c r="B667" s="9"/>
      <c r="C667" s="5">
        <v>10</v>
      </c>
      <c r="D667" s="9" t="s">
        <v>374</v>
      </c>
      <c r="E667" s="10">
        <v>130</v>
      </c>
      <c r="F667" s="10">
        <f t="shared" si="10"/>
        <v>1300</v>
      </c>
    </row>
    <row r="668" spans="1:6" x14ac:dyDescent="0.25">
      <c r="A668" s="9"/>
      <c r="B668" s="9"/>
      <c r="D668" s="9"/>
      <c r="F668" s="8">
        <f>SUM(F664:F667)</f>
        <v>9675</v>
      </c>
    </row>
    <row r="669" spans="1:6" x14ac:dyDescent="0.25">
      <c r="A669" s="9"/>
      <c r="B669" s="9"/>
      <c r="D669" s="9"/>
    </row>
    <row r="670" spans="1:6" x14ac:dyDescent="0.25">
      <c r="A670" s="9" t="s">
        <v>471</v>
      </c>
      <c r="B670" s="4">
        <v>45910</v>
      </c>
      <c r="C670" s="5">
        <v>10</v>
      </c>
      <c r="D670" s="9" t="s">
        <v>14</v>
      </c>
      <c r="E670" s="10">
        <v>150</v>
      </c>
      <c r="F670" s="10">
        <f t="shared" si="10"/>
        <v>1500</v>
      </c>
    </row>
    <row r="671" spans="1:6" x14ac:dyDescent="0.25">
      <c r="A671" s="9"/>
      <c r="B671" s="9"/>
      <c r="D671" s="9"/>
      <c r="F671" s="8">
        <f>SUM(F670)</f>
        <v>1500</v>
      </c>
    </row>
    <row r="672" spans="1:6" x14ac:dyDescent="0.25">
      <c r="A672" s="9"/>
      <c r="B672" s="9"/>
      <c r="D672" s="9"/>
    </row>
    <row r="673" spans="1:6" x14ac:dyDescent="0.25">
      <c r="A673" s="9" t="s">
        <v>367</v>
      </c>
      <c r="B673" s="4">
        <v>45910</v>
      </c>
      <c r="C673" s="5">
        <v>15</v>
      </c>
      <c r="D673" s="9" t="s">
        <v>13</v>
      </c>
      <c r="E673" s="10">
        <v>155</v>
      </c>
      <c r="F673" s="10">
        <f t="shared" si="10"/>
        <v>2325</v>
      </c>
    </row>
    <row r="674" spans="1:6" x14ac:dyDescent="0.25">
      <c r="A674" s="9"/>
      <c r="B674" s="9"/>
      <c r="D674" s="9"/>
      <c r="F674" s="8">
        <f>SUM(F673)</f>
        <v>2325</v>
      </c>
    </row>
    <row r="675" spans="1:6" x14ac:dyDescent="0.25">
      <c r="A675" s="9"/>
      <c r="B675" s="9"/>
      <c r="D675" s="9"/>
    </row>
    <row r="676" spans="1:6" x14ac:dyDescent="0.25">
      <c r="A676" s="9" t="s">
        <v>37</v>
      </c>
      <c r="B676" s="4">
        <v>45910</v>
      </c>
      <c r="C676" s="5">
        <v>15</v>
      </c>
      <c r="D676" s="9" t="s">
        <v>12</v>
      </c>
      <c r="E676" s="10">
        <v>150</v>
      </c>
      <c r="F676" s="10">
        <f t="shared" si="10"/>
        <v>2250</v>
      </c>
    </row>
    <row r="677" spans="1:6" x14ac:dyDescent="0.25">
      <c r="A677" s="9"/>
      <c r="B677" s="9"/>
      <c r="D677" s="9"/>
      <c r="F677" s="8">
        <f>SUM(F676)</f>
        <v>2250</v>
      </c>
    </row>
    <row r="678" spans="1:6" x14ac:dyDescent="0.25">
      <c r="A678" s="9"/>
      <c r="B678" s="9"/>
      <c r="D678" s="9"/>
    </row>
    <row r="679" spans="1:6" x14ac:dyDescent="0.25">
      <c r="A679" s="9" t="s">
        <v>924</v>
      </c>
      <c r="B679" s="4">
        <v>45910</v>
      </c>
      <c r="C679" s="5">
        <v>30</v>
      </c>
      <c r="D679" s="9" t="s">
        <v>13</v>
      </c>
      <c r="E679" s="10">
        <v>155</v>
      </c>
      <c r="F679" s="10">
        <f t="shared" si="10"/>
        <v>4650</v>
      </c>
    </row>
    <row r="680" spans="1:6" x14ac:dyDescent="0.25">
      <c r="A680" s="9"/>
      <c r="B680" s="9"/>
      <c r="D680" s="9"/>
      <c r="F680" s="8">
        <f>SUM(F679)</f>
        <v>4650</v>
      </c>
    </row>
    <row r="681" spans="1:6" x14ac:dyDescent="0.25">
      <c r="A681" s="9"/>
      <c r="B681" s="9"/>
      <c r="D681" s="9"/>
    </row>
    <row r="682" spans="1:6" x14ac:dyDescent="0.25">
      <c r="A682" s="9" t="s">
        <v>107</v>
      </c>
      <c r="B682" s="4">
        <v>45910</v>
      </c>
      <c r="C682" s="5">
        <v>64</v>
      </c>
      <c r="D682" s="9" t="s">
        <v>11</v>
      </c>
      <c r="E682" s="10">
        <v>140</v>
      </c>
      <c r="F682" s="10">
        <f t="shared" si="10"/>
        <v>8960</v>
      </c>
    </row>
    <row r="683" spans="1:6" x14ac:dyDescent="0.25">
      <c r="A683" s="9"/>
      <c r="B683" s="9"/>
      <c r="D683" s="9"/>
      <c r="F683" s="8">
        <f>SUM(F682)</f>
        <v>8960</v>
      </c>
    </row>
    <row r="684" spans="1:6" x14ac:dyDescent="0.25">
      <c r="A684" s="9"/>
      <c r="B684" s="9"/>
      <c r="D684" s="9"/>
    </row>
    <row r="685" spans="1:6" x14ac:dyDescent="0.25">
      <c r="A685" s="9" t="s">
        <v>41</v>
      </c>
      <c r="B685" s="4">
        <v>45910</v>
      </c>
      <c r="C685" s="5">
        <v>40</v>
      </c>
      <c r="D685" s="9" t="s">
        <v>14</v>
      </c>
      <c r="E685" s="10">
        <v>140</v>
      </c>
      <c r="F685" s="10">
        <f t="shared" si="10"/>
        <v>5600</v>
      </c>
    </row>
    <row r="686" spans="1:6" x14ac:dyDescent="0.25">
      <c r="A686" s="9"/>
      <c r="B686" s="9"/>
      <c r="D686" s="9"/>
      <c r="F686" s="8">
        <f>SUM(F685)</f>
        <v>5600</v>
      </c>
    </row>
    <row r="687" spans="1:6" x14ac:dyDescent="0.25">
      <c r="A687" s="9"/>
      <c r="B687" s="9"/>
      <c r="D687" s="9"/>
    </row>
    <row r="688" spans="1:6" x14ac:dyDescent="0.25">
      <c r="A688" s="9" t="s">
        <v>18</v>
      </c>
      <c r="B688" s="4">
        <v>45910</v>
      </c>
      <c r="C688" s="5">
        <v>10</v>
      </c>
      <c r="D688" s="9" t="s">
        <v>13</v>
      </c>
      <c r="E688" s="10">
        <v>155</v>
      </c>
      <c r="F688" s="10">
        <f t="shared" si="10"/>
        <v>1550</v>
      </c>
    </row>
    <row r="689" spans="1:6" s="9" customFormat="1" x14ac:dyDescent="0.25">
      <c r="C689" s="5">
        <v>20</v>
      </c>
      <c r="D689" s="9" t="s">
        <v>14</v>
      </c>
      <c r="E689" s="10">
        <v>150</v>
      </c>
      <c r="F689" s="10">
        <f t="shared" si="10"/>
        <v>3000</v>
      </c>
    </row>
    <row r="690" spans="1:6" x14ac:dyDescent="0.25">
      <c r="A690" s="9"/>
      <c r="B690" s="9"/>
      <c r="D690" s="9"/>
      <c r="F690" s="8">
        <f>SUM(F688:F689)</f>
        <v>4550</v>
      </c>
    </row>
    <row r="691" spans="1:6" x14ac:dyDescent="0.25">
      <c r="A691" s="9"/>
      <c r="B691" s="9"/>
      <c r="D691" s="9"/>
    </row>
    <row r="692" spans="1:6" x14ac:dyDescent="0.25">
      <c r="A692" s="9" t="s">
        <v>44</v>
      </c>
      <c r="B692" s="4">
        <v>45910</v>
      </c>
      <c r="C692" s="5">
        <v>40</v>
      </c>
      <c r="D692" s="9" t="s">
        <v>14</v>
      </c>
      <c r="E692" s="10">
        <v>150</v>
      </c>
      <c r="F692" s="10">
        <f t="shared" si="10"/>
        <v>6000</v>
      </c>
    </row>
    <row r="693" spans="1:6" x14ac:dyDescent="0.25">
      <c r="A693" s="9"/>
      <c r="B693" s="9"/>
      <c r="D693" s="9"/>
      <c r="F693" s="8">
        <f>SUM(F692)</f>
        <v>6000</v>
      </c>
    </row>
    <row r="694" spans="1:6" x14ac:dyDescent="0.25">
      <c r="A694" s="9"/>
      <c r="B694" s="9"/>
      <c r="D694" s="9"/>
    </row>
    <row r="695" spans="1:6" x14ac:dyDescent="0.25">
      <c r="A695" s="9" t="s">
        <v>43</v>
      </c>
      <c r="B695" s="4">
        <v>45910</v>
      </c>
      <c r="C695" s="5">
        <v>20</v>
      </c>
      <c r="D695" s="9" t="s">
        <v>49</v>
      </c>
      <c r="E695" s="10">
        <v>155</v>
      </c>
      <c r="F695" s="10">
        <f t="shared" si="10"/>
        <v>3100</v>
      </c>
    </row>
    <row r="696" spans="1:6" x14ac:dyDescent="0.25">
      <c r="A696" s="9"/>
      <c r="B696" s="9"/>
      <c r="C696" s="5">
        <v>20</v>
      </c>
      <c r="D696" s="9" t="s">
        <v>14</v>
      </c>
      <c r="E696" s="10">
        <v>150</v>
      </c>
      <c r="F696" s="10">
        <f t="shared" si="10"/>
        <v>3000</v>
      </c>
    </row>
    <row r="697" spans="1:6" x14ac:dyDescent="0.25">
      <c r="A697" s="9"/>
      <c r="B697" s="9"/>
      <c r="D697" s="9"/>
      <c r="F697" s="8">
        <f>SUM(F695:F696)</f>
        <v>6100</v>
      </c>
    </row>
    <row r="698" spans="1:6" x14ac:dyDescent="0.25">
      <c r="A698" s="9"/>
      <c r="B698" s="9"/>
      <c r="D698" s="9"/>
    </row>
    <row r="699" spans="1:6" x14ac:dyDescent="0.25">
      <c r="A699" s="9" t="s">
        <v>785</v>
      </c>
      <c r="B699" s="4">
        <v>45910</v>
      </c>
      <c r="C699" s="5">
        <v>20</v>
      </c>
      <c r="D699" s="9" t="s">
        <v>14</v>
      </c>
      <c r="E699" s="10">
        <v>150</v>
      </c>
      <c r="F699" s="10">
        <f t="shared" si="10"/>
        <v>3000</v>
      </c>
    </row>
    <row r="700" spans="1:6" x14ac:dyDescent="0.25">
      <c r="A700" s="9"/>
      <c r="B700" s="9"/>
      <c r="D700" s="9"/>
      <c r="F700" s="8">
        <f>SUM(F699)</f>
        <v>3000</v>
      </c>
    </row>
    <row r="701" spans="1:6" x14ac:dyDescent="0.25">
      <c r="A701" s="9"/>
      <c r="B701" s="9"/>
      <c r="D701" s="9"/>
    </row>
    <row r="702" spans="1:6" x14ac:dyDescent="0.25">
      <c r="A702" s="9" t="s">
        <v>45</v>
      </c>
      <c r="B702" s="4">
        <v>45910</v>
      </c>
      <c r="C702" s="5">
        <v>5</v>
      </c>
      <c r="D702" s="9" t="s">
        <v>14</v>
      </c>
      <c r="E702" s="10">
        <v>150</v>
      </c>
      <c r="F702" s="10">
        <f t="shared" si="10"/>
        <v>750</v>
      </c>
    </row>
    <row r="703" spans="1:6" x14ac:dyDescent="0.25">
      <c r="A703" s="9"/>
      <c r="B703" s="9"/>
      <c r="D703" s="9"/>
      <c r="F703" s="8">
        <f>SUM(F702)</f>
        <v>750</v>
      </c>
    </row>
    <row r="704" spans="1:6" x14ac:dyDescent="0.25">
      <c r="A704" s="9"/>
      <c r="B704" s="9"/>
      <c r="D704" s="9"/>
    </row>
    <row r="705" spans="1:6" x14ac:dyDescent="0.25">
      <c r="A705" s="9" t="s">
        <v>145</v>
      </c>
      <c r="B705" s="4">
        <v>45910</v>
      </c>
      <c r="C705" s="5">
        <v>50</v>
      </c>
      <c r="D705" s="9" t="s">
        <v>14</v>
      </c>
      <c r="E705" s="10">
        <v>150</v>
      </c>
      <c r="F705" s="10">
        <f t="shared" si="10"/>
        <v>7500</v>
      </c>
    </row>
    <row r="706" spans="1:6" x14ac:dyDescent="0.25">
      <c r="A706" s="9"/>
      <c r="B706" s="9"/>
      <c r="D706" s="9"/>
      <c r="F706" s="8">
        <f>SUM(F705)</f>
        <v>7500</v>
      </c>
    </row>
    <row r="707" spans="1:6" x14ac:dyDescent="0.25">
      <c r="A707" s="9"/>
      <c r="B707" s="9"/>
      <c r="D707" s="9"/>
    </row>
    <row r="708" spans="1:6" x14ac:dyDescent="0.25">
      <c r="A708" s="9" t="s">
        <v>292</v>
      </c>
      <c r="B708" s="4">
        <v>45910</v>
      </c>
      <c r="C708" s="5">
        <v>4</v>
      </c>
      <c r="D708" s="9" t="s">
        <v>8</v>
      </c>
      <c r="E708" s="10">
        <v>155</v>
      </c>
      <c r="F708" s="10">
        <f t="shared" ref="F708:F770" si="11">+C708*E708</f>
        <v>620</v>
      </c>
    </row>
    <row r="709" spans="1:6" x14ac:dyDescent="0.25">
      <c r="A709" s="9"/>
      <c r="B709" s="9"/>
      <c r="D709" s="9"/>
      <c r="F709" s="8">
        <f>SUM(F708)</f>
        <v>620</v>
      </c>
    </row>
    <row r="710" spans="1:6" x14ac:dyDescent="0.25">
      <c r="A710" s="9"/>
      <c r="B710" s="9"/>
      <c r="D710" s="9"/>
    </row>
    <row r="711" spans="1:6" x14ac:dyDescent="0.25">
      <c r="A711" s="9" t="s">
        <v>76</v>
      </c>
      <c r="B711" s="4">
        <v>45910</v>
      </c>
      <c r="C711" s="5">
        <v>141</v>
      </c>
      <c r="D711" s="9" t="s">
        <v>14</v>
      </c>
      <c r="E711" s="10">
        <v>140</v>
      </c>
      <c r="F711" s="10">
        <f t="shared" si="11"/>
        <v>19740</v>
      </c>
    </row>
    <row r="712" spans="1:6" x14ac:dyDescent="0.25">
      <c r="A712" s="9"/>
      <c r="B712" s="9"/>
      <c r="C712" s="5">
        <v>31</v>
      </c>
      <c r="D712" s="9" t="s">
        <v>11</v>
      </c>
      <c r="E712" s="10">
        <v>135</v>
      </c>
      <c r="F712" s="10">
        <f t="shared" si="11"/>
        <v>4185</v>
      </c>
    </row>
    <row r="713" spans="1:6" x14ac:dyDescent="0.25">
      <c r="A713" s="9"/>
      <c r="B713" s="9"/>
      <c r="C713" s="5">
        <v>19</v>
      </c>
      <c r="D713" s="9" t="s">
        <v>49</v>
      </c>
      <c r="E713" s="10">
        <v>150</v>
      </c>
      <c r="F713" s="10">
        <f t="shared" si="11"/>
        <v>2850</v>
      </c>
    </row>
    <row r="714" spans="1:6" x14ac:dyDescent="0.25">
      <c r="A714" s="9"/>
      <c r="B714" s="9"/>
      <c r="C714" s="5">
        <v>42</v>
      </c>
      <c r="D714" s="9" t="s">
        <v>50</v>
      </c>
      <c r="E714" s="10">
        <v>115</v>
      </c>
      <c r="F714" s="10">
        <f t="shared" si="11"/>
        <v>4830</v>
      </c>
    </row>
    <row r="715" spans="1:6" x14ac:dyDescent="0.25">
      <c r="A715" s="9"/>
      <c r="B715" s="9"/>
      <c r="C715" s="5">
        <v>56</v>
      </c>
      <c r="D715" s="9" t="s">
        <v>22</v>
      </c>
      <c r="E715" s="10">
        <v>120</v>
      </c>
      <c r="F715" s="10">
        <f t="shared" si="11"/>
        <v>6720</v>
      </c>
    </row>
    <row r="716" spans="1:6" x14ac:dyDescent="0.25">
      <c r="A716" s="9"/>
      <c r="B716" s="9"/>
      <c r="D716" s="9"/>
      <c r="F716" s="8">
        <f>SUM(F711:F715)</f>
        <v>38325</v>
      </c>
    </row>
    <row r="717" spans="1:6" x14ac:dyDescent="0.25">
      <c r="A717" s="9"/>
      <c r="B717" s="9"/>
      <c r="D717" s="9"/>
    </row>
    <row r="718" spans="1:6" x14ac:dyDescent="0.25">
      <c r="A718" s="9" t="s">
        <v>151</v>
      </c>
      <c r="B718" s="4">
        <v>45910</v>
      </c>
      <c r="C718" s="5">
        <v>108</v>
      </c>
      <c r="D718" s="9" t="s">
        <v>22</v>
      </c>
      <c r="E718" s="10">
        <v>133</v>
      </c>
      <c r="F718" s="10">
        <f t="shared" si="11"/>
        <v>14364</v>
      </c>
    </row>
    <row r="719" spans="1:6" x14ac:dyDescent="0.25">
      <c r="A719" s="9"/>
      <c r="B719" s="9"/>
      <c r="C719" s="5">
        <v>20</v>
      </c>
      <c r="D719" s="9" t="s">
        <v>50</v>
      </c>
      <c r="E719" s="10">
        <v>130</v>
      </c>
      <c r="F719" s="10">
        <f t="shared" si="11"/>
        <v>2600</v>
      </c>
    </row>
    <row r="720" spans="1:6" x14ac:dyDescent="0.25">
      <c r="A720" s="9"/>
      <c r="B720" s="9"/>
      <c r="D720" s="9"/>
      <c r="F720" s="8">
        <f>SUM(F718:F719)</f>
        <v>16964</v>
      </c>
    </row>
    <row r="721" spans="1:6" x14ac:dyDescent="0.25">
      <c r="A721" s="9"/>
      <c r="B721" s="9"/>
      <c r="D721" s="9"/>
    </row>
    <row r="722" spans="1:6" x14ac:dyDescent="0.25">
      <c r="A722" s="9" t="s">
        <v>810</v>
      </c>
      <c r="B722" s="4">
        <v>45910</v>
      </c>
      <c r="C722" s="5">
        <v>2</v>
      </c>
      <c r="D722" s="9" t="s">
        <v>13</v>
      </c>
      <c r="E722" s="10">
        <v>155</v>
      </c>
      <c r="F722" s="10">
        <f t="shared" si="11"/>
        <v>310</v>
      </c>
    </row>
    <row r="723" spans="1:6" x14ac:dyDescent="0.25">
      <c r="A723" s="9"/>
      <c r="B723" s="9"/>
      <c r="D723" s="9"/>
      <c r="F723" s="8">
        <f>SUM(F722)</f>
        <v>310</v>
      </c>
    </row>
    <row r="724" spans="1:6" x14ac:dyDescent="0.25">
      <c r="A724" s="9"/>
      <c r="B724" s="9"/>
      <c r="D724" s="9"/>
    </row>
    <row r="725" spans="1:6" x14ac:dyDescent="0.25">
      <c r="A725" s="9" t="s">
        <v>95</v>
      </c>
      <c r="B725" s="4">
        <v>45910</v>
      </c>
      <c r="C725" s="5">
        <v>20</v>
      </c>
      <c r="D725" s="9" t="s">
        <v>13</v>
      </c>
      <c r="E725" s="10">
        <v>155</v>
      </c>
      <c r="F725" s="10">
        <f t="shared" si="11"/>
        <v>3100</v>
      </c>
    </row>
    <row r="726" spans="1:6" x14ac:dyDescent="0.25">
      <c r="A726" s="9"/>
      <c r="B726" s="9"/>
      <c r="D726" s="9"/>
      <c r="F726" s="8">
        <f>SUM(F725)</f>
        <v>3100</v>
      </c>
    </row>
    <row r="727" spans="1:6" x14ac:dyDescent="0.25">
      <c r="A727" s="9"/>
      <c r="B727" s="9"/>
      <c r="D727" s="9"/>
    </row>
    <row r="728" spans="1:6" x14ac:dyDescent="0.25">
      <c r="A728" s="9" t="s">
        <v>930</v>
      </c>
      <c r="B728" s="4">
        <v>45910</v>
      </c>
      <c r="C728" s="5">
        <v>5</v>
      </c>
      <c r="D728" s="9" t="s">
        <v>488</v>
      </c>
      <c r="E728" s="10">
        <v>155</v>
      </c>
      <c r="F728" s="10">
        <f t="shared" si="11"/>
        <v>775</v>
      </c>
    </row>
    <row r="729" spans="1:6" x14ac:dyDescent="0.25">
      <c r="A729" s="9"/>
      <c r="B729" s="9"/>
      <c r="D729" s="9"/>
      <c r="F729" s="8">
        <f>SUM(F728)</f>
        <v>775</v>
      </c>
    </row>
    <row r="730" spans="1:6" x14ac:dyDescent="0.25">
      <c r="A730" s="9"/>
      <c r="B730" s="9"/>
      <c r="D730" s="9"/>
    </row>
    <row r="731" spans="1:6" x14ac:dyDescent="0.25">
      <c r="A731" s="9" t="s">
        <v>88</v>
      </c>
      <c r="B731" s="4">
        <v>45910</v>
      </c>
      <c r="C731" s="5">
        <v>6</v>
      </c>
      <c r="D731" s="9" t="s">
        <v>13</v>
      </c>
      <c r="E731" s="10">
        <v>155</v>
      </c>
      <c r="F731" s="10">
        <f t="shared" si="11"/>
        <v>930</v>
      </c>
    </row>
    <row r="732" spans="1:6" x14ac:dyDescent="0.25">
      <c r="A732" s="9"/>
      <c r="B732" s="9"/>
      <c r="C732" s="5">
        <v>6</v>
      </c>
      <c r="D732" s="9" t="s">
        <v>14</v>
      </c>
      <c r="E732" s="10">
        <v>145</v>
      </c>
      <c r="F732" s="10">
        <f t="shared" si="11"/>
        <v>870</v>
      </c>
    </row>
    <row r="733" spans="1:6" x14ac:dyDescent="0.25">
      <c r="A733" s="9"/>
      <c r="B733" s="9"/>
      <c r="D733" s="9"/>
      <c r="F733" s="8">
        <f>SUM(F731:F732)</f>
        <v>1800</v>
      </c>
    </row>
    <row r="734" spans="1:6" x14ac:dyDescent="0.25">
      <c r="A734" s="9"/>
      <c r="B734" s="9"/>
      <c r="D734" s="9"/>
    </row>
    <row r="735" spans="1:6" x14ac:dyDescent="0.25">
      <c r="A735" s="9" t="s">
        <v>72</v>
      </c>
      <c r="B735" s="4">
        <v>45910</v>
      </c>
      <c r="C735" s="5">
        <v>190</v>
      </c>
      <c r="D735" s="9" t="s">
        <v>13</v>
      </c>
      <c r="E735" s="10">
        <v>145</v>
      </c>
      <c r="F735" s="10">
        <f t="shared" si="11"/>
        <v>27550</v>
      </c>
    </row>
    <row r="736" spans="1:6" x14ac:dyDescent="0.25">
      <c r="A736" s="9"/>
      <c r="B736" s="9"/>
      <c r="C736" s="5">
        <v>160</v>
      </c>
      <c r="D736" s="9" t="s">
        <v>12</v>
      </c>
      <c r="E736" s="10">
        <v>140</v>
      </c>
      <c r="F736" s="10">
        <f t="shared" si="11"/>
        <v>22400</v>
      </c>
    </row>
    <row r="737" spans="1:6" x14ac:dyDescent="0.25">
      <c r="A737" s="9"/>
      <c r="B737" s="9"/>
      <c r="C737" s="5">
        <v>10</v>
      </c>
      <c r="D737" s="9" t="s">
        <v>14</v>
      </c>
      <c r="E737" s="10">
        <v>140</v>
      </c>
      <c r="F737" s="10">
        <f t="shared" si="11"/>
        <v>1400</v>
      </c>
    </row>
    <row r="738" spans="1:6" x14ac:dyDescent="0.25">
      <c r="A738" s="9"/>
      <c r="B738" s="9"/>
      <c r="C738" s="5">
        <v>90</v>
      </c>
      <c r="D738" s="9" t="s">
        <v>11</v>
      </c>
      <c r="E738" s="10">
        <v>135</v>
      </c>
      <c r="F738" s="10">
        <f t="shared" si="11"/>
        <v>12150</v>
      </c>
    </row>
    <row r="739" spans="1:6" x14ac:dyDescent="0.25">
      <c r="A739" s="9"/>
      <c r="B739" s="9"/>
      <c r="D739" s="9"/>
      <c r="F739" s="8">
        <f>SUM(F735:F738)</f>
        <v>63500</v>
      </c>
    </row>
    <row r="740" spans="1:6" x14ac:dyDescent="0.25">
      <c r="A740" s="9"/>
      <c r="B740" s="9"/>
      <c r="D740" s="9"/>
    </row>
    <row r="741" spans="1:6" x14ac:dyDescent="0.25">
      <c r="A741" s="9" t="s">
        <v>76</v>
      </c>
      <c r="B741" s="4">
        <v>45910</v>
      </c>
      <c r="C741" s="5">
        <v>150</v>
      </c>
      <c r="D741" s="9" t="s">
        <v>13</v>
      </c>
      <c r="F741" s="10">
        <f t="shared" si="11"/>
        <v>0</v>
      </c>
    </row>
    <row r="742" spans="1:6" x14ac:dyDescent="0.25">
      <c r="A742" s="9"/>
      <c r="B742" s="9"/>
      <c r="C742" s="5">
        <v>50</v>
      </c>
      <c r="D742" s="9" t="s">
        <v>12</v>
      </c>
      <c r="F742" s="10">
        <f t="shared" si="11"/>
        <v>0</v>
      </c>
    </row>
    <row r="743" spans="1:6" x14ac:dyDescent="0.25">
      <c r="A743" s="9"/>
      <c r="B743" s="9"/>
      <c r="C743" s="5">
        <v>100</v>
      </c>
      <c r="D743" s="9" t="s">
        <v>14</v>
      </c>
      <c r="F743" s="10">
        <f t="shared" si="11"/>
        <v>0</v>
      </c>
    </row>
    <row r="744" spans="1:6" x14ac:dyDescent="0.25">
      <c r="A744" s="9"/>
      <c r="B744" s="9"/>
      <c r="C744" s="5">
        <v>150</v>
      </c>
      <c r="D744" s="9" t="s">
        <v>50</v>
      </c>
      <c r="F744" s="10">
        <f t="shared" si="11"/>
        <v>0</v>
      </c>
    </row>
    <row r="745" spans="1:6" x14ac:dyDescent="0.25">
      <c r="A745" s="9"/>
      <c r="B745" s="9"/>
      <c r="D745" s="9"/>
      <c r="F745" s="8">
        <f>SUM(F741:F744)</f>
        <v>0</v>
      </c>
    </row>
    <row r="746" spans="1:6" x14ac:dyDescent="0.25">
      <c r="A746" s="9"/>
      <c r="B746" s="9"/>
      <c r="D746" s="9"/>
    </row>
    <row r="747" spans="1:6" x14ac:dyDescent="0.25">
      <c r="A747" s="9" t="s">
        <v>32</v>
      </c>
      <c r="B747" s="4">
        <v>45910</v>
      </c>
      <c r="C747" s="5">
        <v>10</v>
      </c>
      <c r="D747" s="9" t="s">
        <v>13</v>
      </c>
      <c r="E747" s="10">
        <v>150</v>
      </c>
      <c r="F747" s="10">
        <f t="shared" si="11"/>
        <v>1500</v>
      </c>
    </row>
    <row r="748" spans="1:6" x14ac:dyDescent="0.25">
      <c r="A748" s="9"/>
      <c r="B748" s="9"/>
      <c r="D748" s="9"/>
      <c r="F748" s="8">
        <f>SUM(F747)</f>
        <v>1500</v>
      </c>
    </row>
    <row r="749" spans="1:6" x14ac:dyDescent="0.25">
      <c r="A749" s="9"/>
      <c r="B749" s="9"/>
      <c r="D749" s="9"/>
    </row>
    <row r="750" spans="1:6" x14ac:dyDescent="0.25">
      <c r="A750" s="9" t="s">
        <v>29</v>
      </c>
      <c r="B750" s="4">
        <v>45910</v>
      </c>
      <c r="C750" s="5">
        <v>2</v>
      </c>
      <c r="D750" s="9" t="s">
        <v>98</v>
      </c>
      <c r="E750" s="10">
        <v>110</v>
      </c>
      <c r="F750" s="10">
        <f t="shared" si="11"/>
        <v>220</v>
      </c>
    </row>
    <row r="751" spans="1:6" x14ac:dyDescent="0.25">
      <c r="A751" s="9"/>
      <c r="B751" s="9"/>
      <c r="C751" s="5">
        <v>1</v>
      </c>
      <c r="D751" s="9" t="s">
        <v>13</v>
      </c>
      <c r="E751" s="10">
        <v>160</v>
      </c>
      <c r="F751" s="10">
        <f t="shared" si="11"/>
        <v>160</v>
      </c>
    </row>
    <row r="752" spans="1:6" x14ac:dyDescent="0.25">
      <c r="A752" s="9"/>
      <c r="B752" s="9"/>
      <c r="D752" s="9"/>
      <c r="F752" s="8">
        <f>SUM(F750:F751)</f>
        <v>380</v>
      </c>
    </row>
    <row r="753" spans="1:6" x14ac:dyDescent="0.25">
      <c r="A753" s="9"/>
      <c r="B753" s="9"/>
      <c r="D753" s="9"/>
    </row>
    <row r="754" spans="1:6" x14ac:dyDescent="0.25">
      <c r="A754" s="9" t="s">
        <v>181</v>
      </c>
      <c r="B754" s="4">
        <v>45910</v>
      </c>
      <c r="C754" s="5">
        <v>2</v>
      </c>
      <c r="D754" s="9" t="s">
        <v>8</v>
      </c>
      <c r="E754" s="10">
        <v>170</v>
      </c>
      <c r="F754" s="10">
        <f t="shared" si="11"/>
        <v>340</v>
      </c>
    </row>
    <row r="755" spans="1:6" x14ac:dyDescent="0.25">
      <c r="A755" s="9"/>
      <c r="B755" s="9"/>
      <c r="C755" s="5">
        <v>2</v>
      </c>
      <c r="D755" s="9" t="s">
        <v>13</v>
      </c>
      <c r="E755" s="10">
        <v>160</v>
      </c>
      <c r="F755" s="10">
        <f t="shared" si="11"/>
        <v>320</v>
      </c>
    </row>
    <row r="756" spans="1:6" x14ac:dyDescent="0.25">
      <c r="A756" s="9"/>
      <c r="B756" s="9"/>
      <c r="D756" s="9"/>
      <c r="F756" s="8">
        <f>SUM(F754:F755)</f>
        <v>660</v>
      </c>
    </row>
    <row r="757" spans="1:6" x14ac:dyDescent="0.25">
      <c r="A757" s="9"/>
      <c r="B757" s="9"/>
      <c r="D757" s="9"/>
    </row>
    <row r="758" spans="1:6" x14ac:dyDescent="0.25">
      <c r="A758" s="9" t="s">
        <v>931</v>
      </c>
      <c r="B758" s="4">
        <v>45911</v>
      </c>
      <c r="C758" s="5">
        <v>4</v>
      </c>
      <c r="D758" s="9" t="s">
        <v>13</v>
      </c>
      <c r="E758" s="10">
        <v>155</v>
      </c>
      <c r="F758" s="10">
        <f t="shared" si="11"/>
        <v>620</v>
      </c>
    </row>
    <row r="759" spans="1:6" x14ac:dyDescent="0.25">
      <c r="A759" s="9"/>
      <c r="B759" s="9"/>
      <c r="D759" s="9"/>
      <c r="F759" s="8">
        <f>SUM(F758)</f>
        <v>620</v>
      </c>
    </row>
    <row r="760" spans="1:6" x14ac:dyDescent="0.25">
      <c r="A760" s="9"/>
      <c r="B760" s="9"/>
      <c r="D760" s="9"/>
    </row>
    <row r="761" spans="1:6" x14ac:dyDescent="0.25">
      <c r="A761" s="9" t="s">
        <v>837</v>
      </c>
      <c r="B761" s="4">
        <v>45911</v>
      </c>
      <c r="C761" s="5">
        <v>3</v>
      </c>
      <c r="D761" s="9" t="s">
        <v>479</v>
      </c>
      <c r="E761" s="10">
        <v>160</v>
      </c>
      <c r="F761" s="10">
        <f t="shared" si="11"/>
        <v>480</v>
      </c>
    </row>
    <row r="762" spans="1:6" x14ac:dyDescent="0.25">
      <c r="A762" s="9"/>
      <c r="B762" s="9"/>
      <c r="D762" s="9"/>
      <c r="F762" s="8">
        <f>SUM(F761)</f>
        <v>480</v>
      </c>
    </row>
    <row r="763" spans="1:6" x14ac:dyDescent="0.25">
      <c r="A763" s="9"/>
      <c r="B763" s="9"/>
      <c r="D763" s="9"/>
    </row>
    <row r="764" spans="1:6" x14ac:dyDescent="0.25">
      <c r="A764" s="9" t="s">
        <v>487</v>
      </c>
      <c r="B764" s="4">
        <v>45911</v>
      </c>
      <c r="C764" s="5">
        <v>6</v>
      </c>
      <c r="D764" s="9" t="s">
        <v>12</v>
      </c>
      <c r="E764" s="10">
        <v>145</v>
      </c>
      <c r="F764" s="10">
        <f t="shared" si="11"/>
        <v>870</v>
      </c>
    </row>
    <row r="765" spans="1:6" x14ac:dyDescent="0.25">
      <c r="A765" s="9"/>
      <c r="B765" s="9"/>
      <c r="D765" s="9"/>
      <c r="F765" s="8">
        <f>SUM(F764)</f>
        <v>870</v>
      </c>
    </row>
    <row r="766" spans="1:6" x14ac:dyDescent="0.25">
      <c r="A766" s="9"/>
      <c r="B766" s="9"/>
      <c r="D766" s="9"/>
    </row>
    <row r="767" spans="1:6" x14ac:dyDescent="0.25">
      <c r="A767" s="9" t="s">
        <v>141</v>
      </c>
      <c r="B767" s="4">
        <v>45911</v>
      </c>
      <c r="C767" s="5">
        <v>4</v>
      </c>
      <c r="D767" s="9" t="s">
        <v>13</v>
      </c>
      <c r="E767" s="10">
        <v>155</v>
      </c>
      <c r="F767" s="10">
        <f t="shared" si="11"/>
        <v>620</v>
      </c>
    </row>
    <row r="768" spans="1:6" x14ac:dyDescent="0.25">
      <c r="A768" s="9"/>
      <c r="B768" s="9"/>
      <c r="D768" s="9"/>
      <c r="F768" s="8">
        <f>SUM(F767)</f>
        <v>620</v>
      </c>
    </row>
    <row r="769" spans="1:6" x14ac:dyDescent="0.25">
      <c r="A769" s="9"/>
      <c r="B769" s="9"/>
      <c r="D769" s="9"/>
    </row>
    <row r="770" spans="1:6" x14ac:dyDescent="0.25">
      <c r="A770" s="9" t="s">
        <v>932</v>
      </c>
      <c r="B770" s="4">
        <v>45911</v>
      </c>
      <c r="C770" s="5">
        <v>5</v>
      </c>
      <c r="D770" s="9" t="s">
        <v>12</v>
      </c>
      <c r="E770" s="10">
        <v>145</v>
      </c>
      <c r="F770" s="10">
        <f t="shared" si="11"/>
        <v>725</v>
      </c>
    </row>
    <row r="771" spans="1:6" x14ac:dyDescent="0.25">
      <c r="A771" s="9"/>
      <c r="B771" s="9"/>
      <c r="D771" s="9"/>
      <c r="F771" s="8">
        <f>SUM(F770)</f>
        <v>725</v>
      </c>
    </row>
    <row r="772" spans="1:6" x14ac:dyDescent="0.25">
      <c r="A772" s="9"/>
      <c r="B772" s="9"/>
      <c r="D772" s="9"/>
    </row>
    <row r="773" spans="1:6" x14ac:dyDescent="0.25">
      <c r="A773" s="9" t="s">
        <v>32</v>
      </c>
      <c r="B773" s="4">
        <v>45911</v>
      </c>
      <c r="C773" s="5">
        <v>30</v>
      </c>
      <c r="D773" s="9" t="s">
        <v>13</v>
      </c>
      <c r="E773" s="10">
        <v>150</v>
      </c>
      <c r="F773" s="10">
        <f t="shared" ref="F773:F834" si="12">+C773*E773</f>
        <v>4500</v>
      </c>
    </row>
    <row r="774" spans="1:6" x14ac:dyDescent="0.25">
      <c r="A774" s="9"/>
      <c r="B774" s="9"/>
      <c r="D774" s="9"/>
      <c r="F774" s="8">
        <f>SUM(F773)</f>
        <v>4500</v>
      </c>
    </row>
    <row r="775" spans="1:6" x14ac:dyDescent="0.25">
      <c r="A775" s="9"/>
      <c r="B775" s="9"/>
      <c r="D775" s="9"/>
    </row>
    <row r="776" spans="1:6" x14ac:dyDescent="0.25">
      <c r="A776" s="9" t="s">
        <v>720</v>
      </c>
      <c r="B776" s="4">
        <v>45911</v>
      </c>
      <c r="C776" s="5">
        <v>10</v>
      </c>
      <c r="D776" s="9" t="s">
        <v>8</v>
      </c>
      <c r="E776" s="10">
        <v>150</v>
      </c>
      <c r="F776" s="10">
        <f t="shared" si="12"/>
        <v>1500</v>
      </c>
    </row>
    <row r="777" spans="1:6" x14ac:dyDescent="0.25">
      <c r="A777" s="9"/>
      <c r="B777" s="9"/>
      <c r="D777" s="9"/>
      <c r="F777" s="8">
        <f>SUM(F776)</f>
        <v>1500</v>
      </c>
    </row>
    <row r="778" spans="1:6" x14ac:dyDescent="0.25">
      <c r="A778" s="9"/>
      <c r="B778" s="9"/>
      <c r="D778" s="9"/>
    </row>
    <row r="779" spans="1:6" x14ac:dyDescent="0.25">
      <c r="A779" s="9" t="s">
        <v>89</v>
      </c>
      <c r="B779" s="4">
        <v>45911</v>
      </c>
      <c r="C779" s="5">
        <v>20</v>
      </c>
      <c r="D779" s="9" t="s">
        <v>13</v>
      </c>
      <c r="E779" s="10">
        <v>145</v>
      </c>
      <c r="F779" s="10">
        <f t="shared" si="12"/>
        <v>2900</v>
      </c>
    </row>
    <row r="780" spans="1:6" x14ac:dyDescent="0.25">
      <c r="A780" s="9"/>
      <c r="B780" s="9"/>
      <c r="C780" s="5">
        <v>40</v>
      </c>
      <c r="D780" s="9" t="s">
        <v>12</v>
      </c>
      <c r="E780" s="10">
        <v>140</v>
      </c>
      <c r="F780" s="10">
        <f t="shared" si="12"/>
        <v>5600</v>
      </c>
    </row>
    <row r="781" spans="1:6" x14ac:dyDescent="0.25">
      <c r="A781" s="9"/>
      <c r="B781" s="9"/>
      <c r="D781" s="9"/>
      <c r="F781" s="8">
        <f>SUM(F779:F780)</f>
        <v>8500</v>
      </c>
    </row>
    <row r="782" spans="1:6" x14ac:dyDescent="0.25">
      <c r="A782" s="9"/>
      <c r="B782" s="9"/>
      <c r="D782" s="9"/>
    </row>
    <row r="783" spans="1:6" x14ac:dyDescent="0.25">
      <c r="A783" s="9" t="s">
        <v>933</v>
      </c>
      <c r="B783" s="4">
        <v>45911</v>
      </c>
      <c r="C783" s="5">
        <v>30</v>
      </c>
      <c r="D783" s="9" t="s">
        <v>13</v>
      </c>
      <c r="E783" s="10">
        <v>155</v>
      </c>
      <c r="F783" s="10">
        <f t="shared" si="12"/>
        <v>4650</v>
      </c>
    </row>
    <row r="784" spans="1:6" x14ac:dyDescent="0.25">
      <c r="A784" s="9"/>
      <c r="B784" s="9"/>
      <c r="D784" s="9"/>
      <c r="F784" s="8">
        <f>SUM(F783)</f>
        <v>4650</v>
      </c>
    </row>
    <row r="785" spans="1:6" x14ac:dyDescent="0.25">
      <c r="A785" s="9"/>
      <c r="B785" s="9"/>
      <c r="D785" s="9"/>
    </row>
    <row r="786" spans="1:6" x14ac:dyDescent="0.25">
      <c r="A786" s="9" t="s">
        <v>151</v>
      </c>
      <c r="B786" s="4">
        <v>45911</v>
      </c>
      <c r="C786" s="5">
        <v>83</v>
      </c>
      <c r="D786" s="9" t="s">
        <v>22</v>
      </c>
      <c r="E786" s="10">
        <v>133</v>
      </c>
      <c r="F786" s="10">
        <f t="shared" si="12"/>
        <v>11039</v>
      </c>
    </row>
    <row r="787" spans="1:6" x14ac:dyDescent="0.25">
      <c r="A787" s="9"/>
      <c r="B787" s="9"/>
      <c r="D787" s="9"/>
      <c r="F787" s="8">
        <f>SUM(F786)</f>
        <v>11039</v>
      </c>
    </row>
    <row r="788" spans="1:6" x14ac:dyDescent="0.25">
      <c r="A788" s="9"/>
      <c r="B788" s="9"/>
      <c r="D788" s="9"/>
    </row>
    <row r="789" spans="1:6" x14ac:dyDescent="0.25">
      <c r="A789" s="9" t="s">
        <v>117</v>
      </c>
      <c r="B789" s="4">
        <v>45911</v>
      </c>
      <c r="C789" s="5">
        <v>5</v>
      </c>
      <c r="D789" s="9" t="s">
        <v>13</v>
      </c>
      <c r="E789" s="10">
        <v>160</v>
      </c>
      <c r="F789" s="10">
        <f t="shared" si="12"/>
        <v>800</v>
      </c>
    </row>
    <row r="790" spans="1:6" x14ac:dyDescent="0.25">
      <c r="A790" s="9"/>
      <c r="B790" s="9"/>
      <c r="D790" s="9"/>
      <c r="F790" s="8">
        <f>SUM(F789)</f>
        <v>800</v>
      </c>
    </row>
    <row r="791" spans="1:6" x14ac:dyDescent="0.25">
      <c r="A791" s="9"/>
      <c r="B791" s="9"/>
      <c r="D791" s="9"/>
    </row>
    <row r="792" spans="1:6" x14ac:dyDescent="0.25">
      <c r="A792" s="9" t="s">
        <v>65</v>
      </c>
      <c r="B792" s="4">
        <v>45911</v>
      </c>
      <c r="C792" s="5">
        <v>250</v>
      </c>
      <c r="D792" s="9" t="s">
        <v>12</v>
      </c>
      <c r="E792" s="10">
        <v>145</v>
      </c>
      <c r="F792" s="10">
        <f t="shared" si="12"/>
        <v>36250</v>
      </c>
    </row>
    <row r="793" spans="1:6" x14ac:dyDescent="0.25">
      <c r="A793" s="9"/>
      <c r="B793" s="9"/>
      <c r="C793" s="5">
        <v>150</v>
      </c>
      <c r="D793" s="9" t="s">
        <v>13</v>
      </c>
      <c r="E793" s="10">
        <v>150</v>
      </c>
      <c r="F793" s="10">
        <f t="shared" si="12"/>
        <v>22500</v>
      </c>
    </row>
    <row r="794" spans="1:6" x14ac:dyDescent="0.25">
      <c r="A794" s="9"/>
      <c r="B794" s="9"/>
      <c r="C794" s="5">
        <v>30</v>
      </c>
      <c r="D794" s="9" t="s">
        <v>50</v>
      </c>
      <c r="E794" s="10">
        <v>135</v>
      </c>
      <c r="F794" s="10">
        <f t="shared" si="12"/>
        <v>4050</v>
      </c>
    </row>
    <row r="795" spans="1:6" x14ac:dyDescent="0.25">
      <c r="A795" s="9"/>
      <c r="B795" s="9"/>
      <c r="C795" s="5">
        <v>20</v>
      </c>
      <c r="D795" s="9" t="s">
        <v>11</v>
      </c>
      <c r="E795" s="10">
        <v>145</v>
      </c>
      <c r="F795" s="10">
        <f t="shared" si="12"/>
        <v>2900</v>
      </c>
    </row>
    <row r="796" spans="1:6" x14ac:dyDescent="0.25">
      <c r="A796" s="9"/>
      <c r="B796" s="9"/>
      <c r="D796" s="9"/>
      <c r="F796" s="8">
        <f>SUM(F792:F795)</f>
        <v>65700</v>
      </c>
    </row>
    <row r="797" spans="1:6" x14ac:dyDescent="0.25">
      <c r="A797" s="9"/>
      <c r="B797" s="9"/>
      <c r="D797" s="9"/>
    </row>
    <row r="798" spans="1:6" x14ac:dyDescent="0.25">
      <c r="A798" s="9" t="s">
        <v>76</v>
      </c>
      <c r="B798" s="4">
        <v>45911</v>
      </c>
      <c r="C798" s="5">
        <v>100</v>
      </c>
      <c r="D798" s="9" t="s">
        <v>713</v>
      </c>
      <c r="F798" s="10">
        <f t="shared" si="12"/>
        <v>0</v>
      </c>
    </row>
    <row r="799" spans="1:6" x14ac:dyDescent="0.25">
      <c r="A799" s="9"/>
      <c r="B799" s="9"/>
      <c r="C799" s="5">
        <v>30</v>
      </c>
      <c r="D799" s="9" t="s">
        <v>934</v>
      </c>
      <c r="F799" s="10">
        <f t="shared" si="12"/>
        <v>0</v>
      </c>
    </row>
    <row r="800" spans="1:6" x14ac:dyDescent="0.25">
      <c r="A800" s="9"/>
      <c r="B800" s="9"/>
      <c r="C800" s="5">
        <v>10</v>
      </c>
      <c r="D800" s="9" t="s">
        <v>49</v>
      </c>
      <c r="F800" s="10">
        <f t="shared" si="12"/>
        <v>0</v>
      </c>
    </row>
    <row r="801" spans="1:6" x14ac:dyDescent="0.25">
      <c r="A801" s="9"/>
      <c r="B801" s="9"/>
      <c r="D801" s="9"/>
      <c r="F801" s="8">
        <f>SUM(F798:F800)</f>
        <v>0</v>
      </c>
    </row>
    <row r="802" spans="1:6" x14ac:dyDescent="0.25">
      <c r="A802" s="9"/>
      <c r="B802" s="9"/>
      <c r="D802" s="9"/>
    </row>
    <row r="803" spans="1:6" x14ac:dyDescent="0.25">
      <c r="A803" s="9" t="s">
        <v>919</v>
      </c>
      <c r="B803" s="4">
        <v>45911</v>
      </c>
      <c r="C803" s="5">
        <v>5</v>
      </c>
      <c r="D803" s="9" t="s">
        <v>13</v>
      </c>
      <c r="E803" s="10">
        <v>150</v>
      </c>
      <c r="F803" s="10">
        <f t="shared" si="12"/>
        <v>750</v>
      </c>
    </row>
    <row r="804" spans="1:6" x14ac:dyDescent="0.25">
      <c r="A804" s="9"/>
      <c r="B804" s="9"/>
      <c r="D804" s="9"/>
      <c r="F804" s="8">
        <f>SUM(F803)</f>
        <v>750</v>
      </c>
    </row>
    <row r="805" spans="1:6" x14ac:dyDescent="0.25">
      <c r="A805" s="9"/>
      <c r="B805" s="9"/>
      <c r="D805" s="9"/>
    </row>
    <row r="806" spans="1:6" x14ac:dyDescent="0.25">
      <c r="A806" s="9" t="s">
        <v>245</v>
      </c>
      <c r="B806" s="4">
        <v>45911</v>
      </c>
      <c r="C806" s="5">
        <v>10</v>
      </c>
      <c r="D806" s="9" t="s">
        <v>14</v>
      </c>
      <c r="E806" s="10">
        <v>145</v>
      </c>
      <c r="F806" s="10">
        <f t="shared" si="12"/>
        <v>1450</v>
      </c>
    </row>
    <row r="807" spans="1:6" x14ac:dyDescent="0.25">
      <c r="A807" s="9"/>
      <c r="B807" s="9"/>
      <c r="D807" s="9"/>
      <c r="F807" s="8">
        <f>SUM(F806)</f>
        <v>1450</v>
      </c>
    </row>
    <row r="808" spans="1:6" x14ac:dyDescent="0.25">
      <c r="A808" s="9"/>
      <c r="B808" s="9"/>
      <c r="D808" s="9"/>
    </row>
    <row r="809" spans="1:6" x14ac:dyDescent="0.25">
      <c r="A809" s="9" t="s">
        <v>935</v>
      </c>
      <c r="B809" s="4">
        <v>45911</v>
      </c>
      <c r="C809" s="5">
        <v>5</v>
      </c>
      <c r="D809" s="9" t="s">
        <v>98</v>
      </c>
      <c r="E809" s="10">
        <v>110</v>
      </c>
      <c r="F809" s="10">
        <f t="shared" si="12"/>
        <v>550</v>
      </c>
    </row>
    <row r="810" spans="1:6" x14ac:dyDescent="0.25">
      <c r="A810" s="9"/>
      <c r="B810" s="9"/>
      <c r="C810" s="5">
        <v>1</v>
      </c>
      <c r="D810" s="9" t="s">
        <v>13</v>
      </c>
      <c r="E810" s="10">
        <v>170</v>
      </c>
      <c r="F810" s="10">
        <f t="shared" si="12"/>
        <v>170</v>
      </c>
    </row>
    <row r="811" spans="1:6" x14ac:dyDescent="0.25">
      <c r="A811" s="9"/>
      <c r="B811" s="9"/>
      <c r="C811" s="5">
        <v>6</v>
      </c>
      <c r="D811" s="9" t="s">
        <v>936</v>
      </c>
      <c r="E811" s="10">
        <v>140</v>
      </c>
      <c r="F811" s="10">
        <f t="shared" si="12"/>
        <v>840</v>
      </c>
    </row>
    <row r="812" spans="1:6" x14ac:dyDescent="0.25">
      <c r="A812" s="9"/>
      <c r="B812" s="9"/>
      <c r="D812" s="9"/>
      <c r="F812" s="8">
        <f>SUM(F809:F811)</f>
        <v>1560</v>
      </c>
    </row>
    <row r="813" spans="1:6" x14ac:dyDescent="0.25">
      <c r="A813" s="9"/>
      <c r="B813" s="9"/>
      <c r="D813" s="9"/>
    </row>
    <row r="814" spans="1:6" x14ac:dyDescent="0.25">
      <c r="A814" s="9" t="s">
        <v>181</v>
      </c>
      <c r="B814" s="4">
        <v>45911</v>
      </c>
      <c r="C814" s="5">
        <v>3</v>
      </c>
      <c r="D814" s="9" t="s">
        <v>13</v>
      </c>
      <c r="E814" s="10">
        <v>160</v>
      </c>
      <c r="F814" s="10">
        <f t="shared" si="12"/>
        <v>480</v>
      </c>
    </row>
    <row r="815" spans="1:6" x14ac:dyDescent="0.25">
      <c r="A815" s="9"/>
      <c r="B815" s="9"/>
      <c r="C815" s="5">
        <v>2</v>
      </c>
      <c r="D815" s="9" t="s">
        <v>8</v>
      </c>
      <c r="E815" s="10">
        <v>170</v>
      </c>
      <c r="F815" s="10">
        <f t="shared" si="12"/>
        <v>340</v>
      </c>
    </row>
    <row r="816" spans="1:6" x14ac:dyDescent="0.25">
      <c r="A816" s="9"/>
      <c r="B816" s="9"/>
      <c r="D816" s="9"/>
      <c r="F816" s="8">
        <f>SUM(F814:F815)</f>
        <v>820</v>
      </c>
    </row>
    <row r="817" spans="1:6" x14ac:dyDescent="0.25">
      <c r="A817" s="9"/>
      <c r="B817" s="9"/>
      <c r="D817" s="9"/>
    </row>
    <row r="818" spans="1:6" x14ac:dyDescent="0.25">
      <c r="A818" s="9" t="s">
        <v>724</v>
      </c>
      <c r="B818" s="4">
        <v>45912</v>
      </c>
      <c r="C818" s="5">
        <v>10</v>
      </c>
      <c r="D818" s="9" t="s">
        <v>937</v>
      </c>
      <c r="E818" s="10">
        <v>110</v>
      </c>
      <c r="F818" s="10">
        <f t="shared" si="12"/>
        <v>1100</v>
      </c>
    </row>
    <row r="819" spans="1:6" x14ac:dyDescent="0.25">
      <c r="A819" s="9"/>
      <c r="B819" s="9"/>
      <c r="D819" s="9"/>
      <c r="F819" s="8">
        <f>SUM(F818)</f>
        <v>1100</v>
      </c>
    </row>
    <row r="820" spans="1:6" x14ac:dyDescent="0.25">
      <c r="A820" s="9"/>
      <c r="B820" s="9"/>
      <c r="D820" s="9"/>
    </row>
    <row r="821" spans="1:6" x14ac:dyDescent="0.25">
      <c r="A821" s="9" t="s">
        <v>938</v>
      </c>
      <c r="B821" s="4">
        <v>45912</v>
      </c>
      <c r="C821" s="5">
        <v>47</v>
      </c>
      <c r="D821" s="9" t="s">
        <v>98</v>
      </c>
      <c r="E821" s="10">
        <v>110</v>
      </c>
      <c r="F821" s="10">
        <f t="shared" si="12"/>
        <v>5170</v>
      </c>
    </row>
    <row r="822" spans="1:6" x14ac:dyDescent="0.25">
      <c r="A822" s="9"/>
      <c r="B822" s="9"/>
      <c r="D822" s="9"/>
      <c r="F822" s="8">
        <f>SUM(F821)</f>
        <v>5170</v>
      </c>
    </row>
    <row r="823" spans="1:6" x14ac:dyDescent="0.25">
      <c r="A823" s="9"/>
      <c r="B823" s="9"/>
      <c r="D823" s="9"/>
    </row>
    <row r="824" spans="1:6" x14ac:dyDescent="0.25">
      <c r="A824" s="9" t="s">
        <v>673</v>
      </c>
      <c r="B824" s="4">
        <v>45912</v>
      </c>
      <c r="C824" s="5">
        <v>30</v>
      </c>
      <c r="D824" s="9" t="s">
        <v>50</v>
      </c>
      <c r="E824" s="10">
        <v>130</v>
      </c>
      <c r="F824" s="10">
        <f t="shared" si="12"/>
        <v>3900</v>
      </c>
    </row>
    <row r="825" spans="1:6" x14ac:dyDescent="0.25">
      <c r="A825" s="9"/>
      <c r="B825" s="9"/>
      <c r="C825" s="5">
        <v>30</v>
      </c>
      <c r="D825" s="9" t="s">
        <v>12</v>
      </c>
      <c r="E825" s="10">
        <v>145</v>
      </c>
      <c r="F825" s="10">
        <f t="shared" si="12"/>
        <v>4350</v>
      </c>
    </row>
    <row r="826" spans="1:6" x14ac:dyDescent="0.25">
      <c r="A826" s="9"/>
      <c r="B826" s="9"/>
      <c r="C826" s="5">
        <v>20</v>
      </c>
      <c r="D826" s="9" t="s">
        <v>939</v>
      </c>
      <c r="E826" s="10">
        <v>155</v>
      </c>
      <c r="F826" s="10">
        <f t="shared" si="12"/>
        <v>3100</v>
      </c>
    </row>
    <row r="827" spans="1:6" x14ac:dyDescent="0.25">
      <c r="A827" s="9"/>
      <c r="B827" s="9"/>
      <c r="C827" s="5">
        <v>10</v>
      </c>
      <c r="D827" s="9" t="s">
        <v>14</v>
      </c>
      <c r="E827" s="10">
        <v>150</v>
      </c>
      <c r="F827" s="10">
        <f t="shared" si="12"/>
        <v>1500</v>
      </c>
    </row>
    <row r="828" spans="1:6" x14ac:dyDescent="0.25">
      <c r="A828" s="9"/>
      <c r="B828" s="9"/>
      <c r="C828" s="5">
        <v>10</v>
      </c>
      <c r="D828" s="9" t="s">
        <v>49</v>
      </c>
      <c r="E828" s="10">
        <v>165</v>
      </c>
      <c r="F828" s="10">
        <f t="shared" si="12"/>
        <v>1650</v>
      </c>
    </row>
    <row r="829" spans="1:6" x14ac:dyDescent="0.25">
      <c r="A829" s="9"/>
      <c r="B829" s="9"/>
      <c r="D829" s="9"/>
      <c r="F829" s="8">
        <f>SUM(F824:F828)</f>
        <v>14500</v>
      </c>
    </row>
    <row r="830" spans="1:6" x14ac:dyDescent="0.25">
      <c r="A830" s="9"/>
      <c r="B830" s="9"/>
      <c r="D830" s="9"/>
    </row>
    <row r="831" spans="1:6" x14ac:dyDescent="0.25">
      <c r="A831" s="9" t="s">
        <v>367</v>
      </c>
      <c r="B831" s="4">
        <v>45912</v>
      </c>
      <c r="C831" s="5">
        <v>5</v>
      </c>
      <c r="D831" s="9" t="s">
        <v>13</v>
      </c>
      <c r="E831" s="10">
        <v>155</v>
      </c>
      <c r="F831" s="10">
        <f t="shared" si="12"/>
        <v>775</v>
      </c>
    </row>
    <row r="832" spans="1:6" x14ac:dyDescent="0.25">
      <c r="A832" s="9"/>
      <c r="B832" s="9"/>
      <c r="D832" s="9"/>
      <c r="F832" s="8">
        <f>SUM(F831)</f>
        <v>775</v>
      </c>
    </row>
    <row r="833" spans="1:6" x14ac:dyDescent="0.25">
      <c r="A833" s="9"/>
      <c r="B833" s="9"/>
      <c r="D833" s="9"/>
    </row>
    <row r="834" spans="1:6" x14ac:dyDescent="0.25">
      <c r="A834" s="9" t="s">
        <v>37</v>
      </c>
      <c r="B834" s="4">
        <v>45912</v>
      </c>
      <c r="C834" s="5">
        <v>10</v>
      </c>
      <c r="D834" s="9" t="s">
        <v>12</v>
      </c>
      <c r="E834" s="10">
        <v>150</v>
      </c>
      <c r="F834" s="10">
        <f t="shared" si="12"/>
        <v>1500</v>
      </c>
    </row>
    <row r="835" spans="1:6" x14ac:dyDescent="0.25">
      <c r="A835" s="9"/>
      <c r="B835" s="9"/>
      <c r="D835" s="9"/>
      <c r="F835" s="8">
        <f>SUM(F834)</f>
        <v>1500</v>
      </c>
    </row>
    <row r="836" spans="1:6" x14ac:dyDescent="0.25">
      <c r="A836" s="9"/>
      <c r="B836" s="9"/>
      <c r="D836" s="9"/>
      <c r="F836" s="13"/>
    </row>
    <row r="837" spans="1:6" x14ac:dyDescent="0.25">
      <c r="A837" s="9" t="s">
        <v>40</v>
      </c>
      <c r="B837" s="4">
        <v>45912</v>
      </c>
      <c r="C837" s="5">
        <v>20</v>
      </c>
      <c r="D837" s="9" t="s">
        <v>8</v>
      </c>
      <c r="E837" s="10">
        <v>165</v>
      </c>
      <c r="F837" s="10">
        <f t="shared" ref="F837:F896" si="13">+C837*E837</f>
        <v>3300</v>
      </c>
    </row>
    <row r="838" spans="1:6" x14ac:dyDescent="0.25">
      <c r="A838" s="9"/>
      <c r="B838" s="9"/>
      <c r="C838" s="5">
        <v>10</v>
      </c>
      <c r="D838" s="9" t="s">
        <v>12</v>
      </c>
      <c r="E838" s="10">
        <v>145</v>
      </c>
      <c r="F838" s="10">
        <f t="shared" si="13"/>
        <v>1450</v>
      </c>
    </row>
    <row r="839" spans="1:6" x14ac:dyDescent="0.25">
      <c r="A839" s="9"/>
      <c r="B839" s="9"/>
      <c r="D839" s="9"/>
      <c r="F839" s="8">
        <f>SUM(F837:F838)</f>
        <v>4750</v>
      </c>
    </row>
    <row r="840" spans="1:6" x14ac:dyDescent="0.25">
      <c r="A840" s="9"/>
      <c r="B840" s="9"/>
      <c r="D840" s="9"/>
    </row>
    <row r="841" spans="1:6" x14ac:dyDescent="0.25">
      <c r="A841" s="9" t="s">
        <v>151</v>
      </c>
      <c r="B841" s="4">
        <v>45912</v>
      </c>
      <c r="C841" s="5">
        <v>40</v>
      </c>
      <c r="D841" s="9" t="s">
        <v>14</v>
      </c>
      <c r="E841" s="10">
        <v>145</v>
      </c>
      <c r="F841" s="10">
        <f t="shared" si="13"/>
        <v>5800</v>
      </c>
    </row>
    <row r="842" spans="1:6" x14ac:dyDescent="0.25">
      <c r="A842" s="9"/>
      <c r="B842" s="9"/>
      <c r="C842" s="5">
        <v>40</v>
      </c>
      <c r="D842" s="9" t="s">
        <v>11</v>
      </c>
      <c r="E842" s="10">
        <v>140</v>
      </c>
      <c r="F842" s="10">
        <f t="shared" si="13"/>
        <v>5600</v>
      </c>
    </row>
    <row r="843" spans="1:6" x14ac:dyDescent="0.25">
      <c r="A843" s="9"/>
      <c r="B843" s="9"/>
      <c r="D843" s="9"/>
      <c r="F843" s="8">
        <f>SUM(F841:F842)</f>
        <v>11400</v>
      </c>
    </row>
    <row r="844" spans="1:6" x14ac:dyDescent="0.25">
      <c r="A844" s="9"/>
      <c r="B844" s="9"/>
      <c r="D844" s="9"/>
    </row>
    <row r="845" spans="1:6" x14ac:dyDescent="0.25">
      <c r="A845" s="9" t="s">
        <v>106</v>
      </c>
      <c r="B845" s="4">
        <v>45912</v>
      </c>
      <c r="C845" s="5">
        <v>70</v>
      </c>
      <c r="D845" s="9" t="s">
        <v>12</v>
      </c>
      <c r="E845" s="10">
        <v>145</v>
      </c>
      <c r="F845" s="10">
        <f t="shared" si="13"/>
        <v>10150</v>
      </c>
    </row>
    <row r="846" spans="1:6" x14ac:dyDescent="0.25">
      <c r="A846" s="9"/>
      <c r="B846" s="9"/>
      <c r="D846" s="9"/>
      <c r="F846" s="8">
        <f>SUM(F845)</f>
        <v>10150</v>
      </c>
    </row>
    <row r="847" spans="1:6" x14ac:dyDescent="0.25">
      <c r="A847" s="9"/>
      <c r="B847" s="9"/>
      <c r="D847" s="9"/>
    </row>
    <row r="848" spans="1:6" x14ac:dyDescent="0.25">
      <c r="A848" s="9" t="s">
        <v>41</v>
      </c>
      <c r="B848" s="4">
        <v>45912</v>
      </c>
      <c r="C848" s="5">
        <v>25</v>
      </c>
      <c r="D848" s="9" t="s">
        <v>14</v>
      </c>
      <c r="E848" s="10">
        <v>140</v>
      </c>
      <c r="F848" s="10">
        <f t="shared" si="13"/>
        <v>3500</v>
      </c>
    </row>
    <row r="849" spans="1:6" x14ac:dyDescent="0.25">
      <c r="A849" s="9"/>
      <c r="B849" s="9"/>
      <c r="D849" s="9"/>
      <c r="F849" s="8">
        <f>SUM(F848)</f>
        <v>3500</v>
      </c>
    </row>
    <row r="850" spans="1:6" x14ac:dyDescent="0.25">
      <c r="A850" s="9"/>
      <c r="B850" s="9"/>
      <c r="D850" s="9"/>
    </row>
    <row r="851" spans="1:6" x14ac:dyDescent="0.25">
      <c r="A851" s="9" t="s">
        <v>43</v>
      </c>
      <c r="B851" s="4">
        <v>45912</v>
      </c>
      <c r="C851" s="5">
        <v>10</v>
      </c>
      <c r="D851" s="9" t="s">
        <v>13</v>
      </c>
      <c r="E851" s="10">
        <v>155</v>
      </c>
      <c r="F851" s="10">
        <f t="shared" si="13"/>
        <v>1550</v>
      </c>
    </row>
    <row r="852" spans="1:6" x14ac:dyDescent="0.25">
      <c r="A852" s="9"/>
      <c r="B852" s="9"/>
      <c r="C852" s="5">
        <v>17</v>
      </c>
      <c r="D852" s="9" t="s">
        <v>49</v>
      </c>
      <c r="E852" s="10">
        <v>155</v>
      </c>
      <c r="F852" s="10">
        <f t="shared" si="13"/>
        <v>2635</v>
      </c>
    </row>
    <row r="853" spans="1:6" x14ac:dyDescent="0.25">
      <c r="A853" s="9"/>
      <c r="B853" s="9"/>
      <c r="C853" s="5">
        <v>23</v>
      </c>
      <c r="D853" s="9" t="s">
        <v>14</v>
      </c>
      <c r="E853" s="10">
        <v>150</v>
      </c>
      <c r="F853" s="10">
        <f t="shared" si="13"/>
        <v>3450</v>
      </c>
    </row>
    <row r="854" spans="1:6" x14ac:dyDescent="0.25">
      <c r="A854" s="9"/>
      <c r="B854" s="9"/>
      <c r="D854" s="9"/>
      <c r="F854" s="8">
        <f>SUM(F851:F853)</f>
        <v>7635</v>
      </c>
    </row>
    <row r="855" spans="1:6" x14ac:dyDescent="0.25">
      <c r="A855" s="9"/>
      <c r="B855" s="9"/>
      <c r="D855" s="9"/>
    </row>
    <row r="856" spans="1:6" x14ac:dyDescent="0.25">
      <c r="A856" s="9" t="s">
        <v>44</v>
      </c>
      <c r="B856" s="4">
        <v>45912</v>
      </c>
      <c r="C856" s="5">
        <v>60</v>
      </c>
      <c r="D856" s="9" t="s">
        <v>14</v>
      </c>
      <c r="E856" s="10">
        <v>150</v>
      </c>
      <c r="F856" s="10">
        <f t="shared" si="13"/>
        <v>9000</v>
      </c>
    </row>
    <row r="857" spans="1:6" x14ac:dyDescent="0.25">
      <c r="A857" s="9"/>
      <c r="B857" s="9"/>
      <c r="D857" s="9"/>
      <c r="F857" s="8">
        <f>SUM(F856)</f>
        <v>9000</v>
      </c>
    </row>
    <row r="858" spans="1:6" x14ac:dyDescent="0.25">
      <c r="A858" s="9"/>
      <c r="B858" s="9"/>
      <c r="D858" s="9"/>
    </row>
    <row r="859" spans="1:6" x14ac:dyDescent="0.25">
      <c r="A859" s="9" t="s">
        <v>18</v>
      </c>
      <c r="B859" s="4">
        <v>45912</v>
      </c>
      <c r="C859" s="5">
        <v>30</v>
      </c>
      <c r="D859" s="9" t="s">
        <v>14</v>
      </c>
      <c r="E859" s="10">
        <v>150</v>
      </c>
      <c r="F859" s="10">
        <f t="shared" si="13"/>
        <v>4500</v>
      </c>
    </row>
    <row r="860" spans="1:6" x14ac:dyDescent="0.25">
      <c r="A860" s="9"/>
      <c r="B860" s="9"/>
      <c r="C860" s="5">
        <v>24</v>
      </c>
      <c r="D860" s="9" t="s">
        <v>940</v>
      </c>
      <c r="E860" s="10">
        <v>135</v>
      </c>
      <c r="F860" s="10">
        <f t="shared" si="13"/>
        <v>3240</v>
      </c>
    </row>
    <row r="861" spans="1:6" x14ac:dyDescent="0.25">
      <c r="A861" s="9"/>
      <c r="B861" s="9"/>
      <c r="D861" s="9"/>
      <c r="F861" s="8">
        <f>SUM(F859:F860)</f>
        <v>7740</v>
      </c>
    </row>
    <row r="862" spans="1:6" x14ac:dyDescent="0.25">
      <c r="A862" s="9"/>
      <c r="B862" s="9"/>
      <c r="D862" s="9"/>
    </row>
    <row r="863" spans="1:6" x14ac:dyDescent="0.25">
      <c r="A863" s="9" t="s">
        <v>42</v>
      </c>
      <c r="B863" s="4">
        <v>45912</v>
      </c>
      <c r="C863" s="5">
        <v>11</v>
      </c>
      <c r="D863" s="9" t="s">
        <v>387</v>
      </c>
      <c r="E863" s="10">
        <v>150</v>
      </c>
      <c r="F863" s="10">
        <f t="shared" si="13"/>
        <v>1650</v>
      </c>
    </row>
    <row r="864" spans="1:6" x14ac:dyDescent="0.25">
      <c r="A864" s="9"/>
      <c r="B864" s="9"/>
      <c r="D864" s="9"/>
      <c r="F864" s="8">
        <f>SUM(F863)</f>
        <v>1650</v>
      </c>
    </row>
    <row r="865" spans="1:6" x14ac:dyDescent="0.25">
      <c r="A865" s="9"/>
      <c r="B865" s="9"/>
      <c r="D865" s="9"/>
    </row>
    <row r="866" spans="1:6" x14ac:dyDescent="0.25">
      <c r="A866" s="9" t="s">
        <v>46</v>
      </c>
      <c r="B866" s="4">
        <v>45912</v>
      </c>
      <c r="C866" s="5">
        <v>20</v>
      </c>
      <c r="D866" s="9" t="s">
        <v>14</v>
      </c>
      <c r="E866" s="10">
        <v>150</v>
      </c>
      <c r="F866" s="10">
        <f t="shared" si="13"/>
        <v>3000</v>
      </c>
    </row>
    <row r="867" spans="1:6" x14ac:dyDescent="0.25">
      <c r="A867" s="9"/>
      <c r="B867" s="9"/>
      <c r="D867" s="9"/>
      <c r="F867" s="8">
        <f>SUM(F866)</f>
        <v>3000</v>
      </c>
    </row>
    <row r="868" spans="1:6" x14ac:dyDescent="0.25">
      <c r="A868" s="9"/>
      <c r="B868" s="9"/>
      <c r="D868" s="9"/>
    </row>
    <row r="869" spans="1:6" x14ac:dyDescent="0.25">
      <c r="A869" s="9" t="s">
        <v>76</v>
      </c>
      <c r="B869" s="4">
        <v>45912</v>
      </c>
      <c r="C869" s="5">
        <v>11</v>
      </c>
      <c r="D869" s="9" t="s">
        <v>49</v>
      </c>
      <c r="F869" s="10">
        <f t="shared" si="13"/>
        <v>0</v>
      </c>
    </row>
    <row r="870" spans="1:6" x14ac:dyDescent="0.25">
      <c r="A870" s="9"/>
      <c r="B870" s="9"/>
      <c r="C870" s="5">
        <v>166</v>
      </c>
      <c r="D870" s="9" t="s">
        <v>14</v>
      </c>
      <c r="F870" s="10">
        <f t="shared" si="13"/>
        <v>0</v>
      </c>
    </row>
    <row r="871" spans="1:6" x14ac:dyDescent="0.25">
      <c r="A871" s="9"/>
      <c r="B871" s="9"/>
      <c r="C871" s="5">
        <v>41</v>
      </c>
      <c r="D871" s="9" t="s">
        <v>11</v>
      </c>
      <c r="F871" s="10">
        <f t="shared" si="13"/>
        <v>0</v>
      </c>
    </row>
    <row r="872" spans="1:6" x14ac:dyDescent="0.25">
      <c r="A872" s="9"/>
      <c r="B872" s="9"/>
      <c r="C872" s="5">
        <v>53</v>
      </c>
      <c r="D872" s="9" t="s">
        <v>50</v>
      </c>
      <c r="F872" s="10">
        <f t="shared" si="13"/>
        <v>0</v>
      </c>
    </row>
    <row r="873" spans="1:6" x14ac:dyDescent="0.25">
      <c r="A873" s="9"/>
      <c r="B873" s="9"/>
      <c r="C873" s="5">
        <v>72</v>
      </c>
      <c r="D873" s="9" t="s">
        <v>22</v>
      </c>
      <c r="F873" s="10">
        <f t="shared" si="13"/>
        <v>0</v>
      </c>
    </row>
    <row r="874" spans="1:6" x14ac:dyDescent="0.25">
      <c r="A874" s="9"/>
      <c r="B874" s="9"/>
      <c r="D874" s="9"/>
      <c r="F874" s="8">
        <f>SUM(F869:F873)</f>
        <v>0</v>
      </c>
    </row>
    <row r="875" spans="1:6" x14ac:dyDescent="0.25">
      <c r="A875" s="9"/>
      <c r="B875" s="9"/>
      <c r="D875" s="9"/>
    </row>
    <row r="876" spans="1:6" x14ac:dyDescent="0.25">
      <c r="A876" s="9" t="s">
        <v>47</v>
      </c>
      <c r="B876" s="4">
        <v>45912</v>
      </c>
      <c r="C876" s="5">
        <v>20</v>
      </c>
      <c r="D876" s="9" t="s">
        <v>11</v>
      </c>
      <c r="E876" s="10">
        <v>140</v>
      </c>
      <c r="F876" s="10">
        <f t="shared" si="13"/>
        <v>2800</v>
      </c>
    </row>
    <row r="877" spans="1:6" x14ac:dyDescent="0.25">
      <c r="A877" s="9"/>
      <c r="B877" s="9"/>
      <c r="D877" s="9"/>
      <c r="F877" s="8">
        <f>SUM(F876)</f>
        <v>2800</v>
      </c>
    </row>
    <row r="878" spans="1:6" x14ac:dyDescent="0.25">
      <c r="A878" s="9"/>
      <c r="B878" s="9"/>
      <c r="D878" s="9"/>
    </row>
    <row r="879" spans="1:6" x14ac:dyDescent="0.25">
      <c r="A879" s="9" t="s">
        <v>941</v>
      </c>
      <c r="B879" s="4">
        <v>45912</v>
      </c>
      <c r="C879" s="5">
        <v>20</v>
      </c>
      <c r="D879" s="9" t="s">
        <v>8</v>
      </c>
      <c r="E879" s="10">
        <v>165</v>
      </c>
      <c r="F879" s="10">
        <f t="shared" si="13"/>
        <v>3300</v>
      </c>
    </row>
    <row r="880" spans="1:6" x14ac:dyDescent="0.25">
      <c r="A880" s="9"/>
      <c r="B880" s="9"/>
      <c r="D880" s="9"/>
      <c r="F880" s="8">
        <f>SUM(F879)</f>
        <v>3300</v>
      </c>
    </row>
    <row r="881" spans="1:6" x14ac:dyDescent="0.25">
      <c r="A881" s="9"/>
      <c r="B881" s="9"/>
      <c r="D881" s="9"/>
    </row>
    <row r="882" spans="1:6" x14ac:dyDescent="0.25">
      <c r="A882" s="9" t="s">
        <v>181</v>
      </c>
      <c r="B882" s="4">
        <v>45912</v>
      </c>
      <c r="C882" s="5">
        <v>4</v>
      </c>
      <c r="D882" s="9" t="s">
        <v>13</v>
      </c>
      <c r="E882" s="10">
        <v>160</v>
      </c>
      <c r="F882" s="10">
        <f t="shared" si="13"/>
        <v>640</v>
      </c>
    </row>
    <row r="883" spans="1:6" x14ac:dyDescent="0.25">
      <c r="A883" s="9"/>
      <c r="B883" s="9"/>
      <c r="D883" s="9"/>
      <c r="F883" s="8">
        <f>SUM(F882)</f>
        <v>640</v>
      </c>
    </row>
    <row r="884" spans="1:6" x14ac:dyDescent="0.25">
      <c r="A884" s="9"/>
      <c r="B884" s="9"/>
      <c r="D884" s="9"/>
    </row>
    <row r="885" spans="1:6" x14ac:dyDescent="0.25">
      <c r="A885" s="9" t="s">
        <v>76</v>
      </c>
      <c r="B885" s="4">
        <v>45912</v>
      </c>
      <c r="C885" s="5">
        <v>100</v>
      </c>
      <c r="D885" s="9" t="s">
        <v>11</v>
      </c>
      <c r="F885" s="10">
        <f t="shared" si="13"/>
        <v>0</v>
      </c>
    </row>
    <row r="886" spans="1:6" x14ac:dyDescent="0.25">
      <c r="A886" s="9"/>
      <c r="B886" s="9"/>
      <c r="C886" s="5">
        <v>150</v>
      </c>
      <c r="D886" s="9" t="s">
        <v>14</v>
      </c>
      <c r="F886" s="10">
        <f t="shared" si="13"/>
        <v>0</v>
      </c>
    </row>
    <row r="887" spans="1:6" x14ac:dyDescent="0.25">
      <c r="A887" s="9"/>
      <c r="B887" s="9"/>
      <c r="C887" s="5">
        <v>110</v>
      </c>
      <c r="D887" s="9" t="s">
        <v>49</v>
      </c>
      <c r="F887" s="10">
        <f t="shared" si="13"/>
        <v>0</v>
      </c>
    </row>
    <row r="888" spans="1:6" x14ac:dyDescent="0.25">
      <c r="A888" s="9"/>
      <c r="B888" s="9"/>
      <c r="D888" s="9"/>
      <c r="F888" s="8">
        <f>SUM(F885:F887)</f>
        <v>0</v>
      </c>
    </row>
    <row r="889" spans="1:6" x14ac:dyDescent="0.25">
      <c r="A889" s="9"/>
      <c r="B889" s="9"/>
      <c r="D889" s="9"/>
    </row>
    <row r="890" spans="1:6" x14ac:dyDescent="0.25">
      <c r="A890" s="9" t="s">
        <v>29</v>
      </c>
      <c r="B890" s="4">
        <v>45912</v>
      </c>
      <c r="C890" s="5">
        <v>2</v>
      </c>
      <c r="D890" s="9" t="s">
        <v>22</v>
      </c>
      <c r="E890" s="10">
        <v>130</v>
      </c>
      <c r="F890" s="10">
        <f t="shared" si="13"/>
        <v>260</v>
      </c>
    </row>
    <row r="891" spans="1:6" x14ac:dyDescent="0.25">
      <c r="A891" s="9"/>
      <c r="B891" s="9"/>
      <c r="C891" s="5">
        <v>1</v>
      </c>
      <c r="D891" s="9" t="s">
        <v>13</v>
      </c>
      <c r="E891" s="10">
        <v>160</v>
      </c>
      <c r="F891" s="10">
        <f t="shared" si="13"/>
        <v>160</v>
      </c>
    </row>
    <row r="892" spans="1:6" x14ac:dyDescent="0.25">
      <c r="A892" s="9"/>
      <c r="B892" s="9"/>
      <c r="C892" s="5">
        <v>1</v>
      </c>
      <c r="D892" s="9" t="s">
        <v>49</v>
      </c>
      <c r="E892" s="10">
        <v>170</v>
      </c>
      <c r="F892" s="10">
        <f t="shared" si="13"/>
        <v>170</v>
      </c>
    </row>
    <row r="893" spans="1:6" x14ac:dyDescent="0.25">
      <c r="A893" s="9"/>
      <c r="B893" s="9"/>
      <c r="D893" s="9"/>
      <c r="F893" s="8">
        <f>SUM(F890:F892)</f>
        <v>590</v>
      </c>
    </row>
    <row r="894" spans="1:6" x14ac:dyDescent="0.25">
      <c r="A894" s="9"/>
      <c r="B894" s="9"/>
      <c r="D894" s="9"/>
    </row>
    <row r="895" spans="1:6" x14ac:dyDescent="0.25">
      <c r="A895" s="9" t="s">
        <v>181</v>
      </c>
      <c r="B895" s="4">
        <v>45912</v>
      </c>
      <c r="C895" s="5">
        <v>2</v>
      </c>
      <c r="D895" s="9" t="s">
        <v>12</v>
      </c>
      <c r="E895" s="10">
        <v>140</v>
      </c>
      <c r="F895" s="10">
        <f t="shared" si="13"/>
        <v>280</v>
      </c>
    </row>
    <row r="896" spans="1:6" x14ac:dyDescent="0.25">
      <c r="A896" s="9"/>
      <c r="B896" s="9"/>
      <c r="C896" s="5">
        <v>1</v>
      </c>
      <c r="D896" s="9" t="s">
        <v>641</v>
      </c>
      <c r="E896" s="10">
        <v>140</v>
      </c>
      <c r="F896" s="10">
        <f t="shared" si="13"/>
        <v>140</v>
      </c>
    </row>
    <row r="897" spans="1:6" x14ac:dyDescent="0.25">
      <c r="A897" s="9"/>
      <c r="B897" s="9"/>
      <c r="D897" s="9"/>
      <c r="F897" s="8">
        <f>SUM(F895:F896)</f>
        <v>420</v>
      </c>
    </row>
    <row r="898" spans="1:6" x14ac:dyDescent="0.25">
      <c r="A898" s="9"/>
      <c r="B898" s="9"/>
      <c r="D898" s="9"/>
    </row>
    <row r="899" spans="1:6" x14ac:dyDescent="0.25">
      <c r="A899" s="9" t="s">
        <v>367</v>
      </c>
      <c r="B899" s="4">
        <v>45913</v>
      </c>
      <c r="C899" s="5">
        <v>10</v>
      </c>
      <c r="D899" s="9" t="s">
        <v>13</v>
      </c>
      <c r="E899" s="10">
        <v>155</v>
      </c>
      <c r="F899" s="10">
        <f t="shared" ref="F899:F962" si="14">+C899*E899</f>
        <v>1550</v>
      </c>
    </row>
    <row r="900" spans="1:6" x14ac:dyDescent="0.25">
      <c r="A900" s="9"/>
      <c r="B900" s="9"/>
      <c r="D900" s="9"/>
      <c r="F900" s="8">
        <f>SUM(F899)</f>
        <v>1550</v>
      </c>
    </row>
    <row r="901" spans="1:6" x14ac:dyDescent="0.25">
      <c r="A901" s="9"/>
      <c r="B901" s="9"/>
      <c r="D901" s="9"/>
    </row>
    <row r="902" spans="1:6" x14ac:dyDescent="0.25">
      <c r="A902" s="9" t="s">
        <v>40</v>
      </c>
      <c r="B902" s="4">
        <v>45913</v>
      </c>
      <c r="C902" s="5">
        <v>10</v>
      </c>
      <c r="D902" s="9" t="s">
        <v>8</v>
      </c>
      <c r="E902" s="10">
        <v>165</v>
      </c>
      <c r="F902" s="10">
        <f t="shared" si="14"/>
        <v>1650</v>
      </c>
    </row>
    <row r="903" spans="1:6" x14ac:dyDescent="0.25">
      <c r="A903" s="9"/>
      <c r="B903" s="9"/>
      <c r="C903" s="5">
        <v>10</v>
      </c>
      <c r="D903" s="9" t="s">
        <v>50</v>
      </c>
      <c r="E903" s="10">
        <v>130</v>
      </c>
      <c r="F903" s="10">
        <f t="shared" si="14"/>
        <v>1300</v>
      </c>
    </row>
    <row r="904" spans="1:6" x14ac:dyDescent="0.25">
      <c r="A904" s="9"/>
      <c r="B904" s="9"/>
      <c r="C904" s="5">
        <v>10</v>
      </c>
      <c r="D904" s="9" t="s">
        <v>12</v>
      </c>
      <c r="E904" s="10">
        <v>145</v>
      </c>
      <c r="F904" s="10">
        <f t="shared" si="14"/>
        <v>1450</v>
      </c>
    </row>
    <row r="905" spans="1:6" x14ac:dyDescent="0.25">
      <c r="A905" s="9"/>
      <c r="B905" s="9"/>
      <c r="D905" s="9"/>
      <c r="F905" s="8">
        <f>SUM(F902:F904)</f>
        <v>4400</v>
      </c>
    </row>
    <row r="906" spans="1:6" x14ac:dyDescent="0.25">
      <c r="A906" s="9"/>
      <c r="B906" s="9"/>
      <c r="D906" s="9"/>
    </row>
    <row r="907" spans="1:6" x14ac:dyDescent="0.25">
      <c r="A907" s="9" t="s">
        <v>923</v>
      </c>
      <c r="B907" s="4">
        <v>45913</v>
      </c>
      <c r="C907" s="5">
        <v>20</v>
      </c>
      <c r="D907" s="9" t="s">
        <v>13</v>
      </c>
      <c r="E907" s="10">
        <v>155</v>
      </c>
      <c r="F907" s="10">
        <f t="shared" si="14"/>
        <v>3100</v>
      </c>
    </row>
    <row r="908" spans="1:6" x14ac:dyDescent="0.25">
      <c r="A908" s="9"/>
      <c r="B908" s="9"/>
      <c r="D908" s="9"/>
      <c r="F908" s="8">
        <f>SUM(F907)</f>
        <v>3100</v>
      </c>
    </row>
    <row r="909" spans="1:6" x14ac:dyDescent="0.25">
      <c r="A909" s="9"/>
      <c r="B909" s="9"/>
      <c r="D909" s="9"/>
    </row>
    <row r="910" spans="1:6" x14ac:dyDescent="0.25">
      <c r="A910" s="9" t="s">
        <v>280</v>
      </c>
      <c r="B910" s="4">
        <v>45913</v>
      </c>
      <c r="C910" s="5">
        <v>10</v>
      </c>
      <c r="D910" s="9" t="s">
        <v>13</v>
      </c>
      <c r="E910" s="10">
        <v>155</v>
      </c>
      <c r="F910" s="10">
        <f t="shared" si="14"/>
        <v>1550</v>
      </c>
    </row>
    <row r="911" spans="1:6" x14ac:dyDescent="0.25">
      <c r="A911" s="9"/>
      <c r="B911" s="9"/>
      <c r="D911" s="9"/>
      <c r="F911" s="8">
        <f>SUM(F910)</f>
        <v>1550</v>
      </c>
    </row>
    <row r="912" spans="1:6" x14ac:dyDescent="0.25">
      <c r="A912" s="9"/>
      <c r="B912" s="9"/>
      <c r="D912" s="9"/>
    </row>
    <row r="913" spans="1:6" x14ac:dyDescent="0.25">
      <c r="A913" s="9" t="s">
        <v>661</v>
      </c>
      <c r="B913" s="4">
        <v>45913</v>
      </c>
      <c r="C913" s="5">
        <v>6</v>
      </c>
      <c r="D913" s="9" t="s">
        <v>13</v>
      </c>
      <c r="E913" s="10">
        <v>160</v>
      </c>
      <c r="F913" s="10">
        <f t="shared" si="14"/>
        <v>960</v>
      </c>
    </row>
    <row r="914" spans="1:6" s="9" customFormat="1" x14ac:dyDescent="0.25">
      <c r="C914" s="5"/>
      <c r="E914" s="10"/>
      <c r="F914" s="8">
        <f>SUM(F913)</f>
        <v>960</v>
      </c>
    </row>
    <row r="915" spans="1:6" s="9" customFormat="1" x14ac:dyDescent="0.25">
      <c r="C915" s="5"/>
      <c r="E915" s="10"/>
      <c r="F915" s="10"/>
    </row>
    <row r="916" spans="1:6" s="9" customFormat="1" x14ac:dyDescent="0.25">
      <c r="A916" s="9" t="s">
        <v>140</v>
      </c>
      <c r="B916" s="4">
        <v>45913</v>
      </c>
      <c r="C916" s="5">
        <v>230</v>
      </c>
      <c r="D916" s="9" t="s">
        <v>13</v>
      </c>
      <c r="E916" s="10">
        <v>155</v>
      </c>
      <c r="F916" s="10">
        <f t="shared" si="14"/>
        <v>35650</v>
      </c>
    </row>
    <row r="917" spans="1:6" s="9" customFormat="1" x14ac:dyDescent="0.25">
      <c r="C917" s="5">
        <v>30</v>
      </c>
      <c r="D917" s="9" t="s">
        <v>12</v>
      </c>
      <c r="E917" s="10">
        <v>145</v>
      </c>
      <c r="F917" s="10">
        <f t="shared" si="14"/>
        <v>4350</v>
      </c>
    </row>
    <row r="918" spans="1:6" s="9" customFormat="1" x14ac:dyDescent="0.25">
      <c r="C918" s="5">
        <v>50</v>
      </c>
      <c r="D918" s="9" t="s">
        <v>11</v>
      </c>
      <c r="E918" s="10">
        <v>140</v>
      </c>
      <c r="F918" s="10">
        <f t="shared" si="14"/>
        <v>7000</v>
      </c>
    </row>
    <row r="919" spans="1:6" s="9" customFormat="1" x14ac:dyDescent="0.25">
      <c r="C919" s="5">
        <v>150</v>
      </c>
      <c r="D919" s="9" t="s">
        <v>14</v>
      </c>
      <c r="E919" s="10">
        <v>150</v>
      </c>
      <c r="F919" s="10">
        <f t="shared" si="14"/>
        <v>22500</v>
      </c>
    </row>
    <row r="920" spans="1:6" s="9" customFormat="1" x14ac:dyDescent="0.25">
      <c r="C920" s="5">
        <v>50</v>
      </c>
      <c r="D920" s="9" t="s">
        <v>49</v>
      </c>
      <c r="E920" s="10">
        <v>155</v>
      </c>
      <c r="F920" s="10">
        <f t="shared" si="14"/>
        <v>7750</v>
      </c>
    </row>
    <row r="921" spans="1:6" s="9" customFormat="1" x14ac:dyDescent="0.25">
      <c r="C921" s="5">
        <v>50</v>
      </c>
      <c r="D921" s="9" t="s">
        <v>8</v>
      </c>
      <c r="E921" s="10">
        <v>165</v>
      </c>
      <c r="F921" s="10">
        <f t="shared" si="14"/>
        <v>8250</v>
      </c>
    </row>
    <row r="922" spans="1:6" x14ac:dyDescent="0.25">
      <c r="A922" s="9"/>
      <c r="B922" s="9"/>
      <c r="D922" s="9"/>
      <c r="F922" s="8">
        <f>SUM(F916:F921)</f>
        <v>85500</v>
      </c>
    </row>
    <row r="923" spans="1:6" x14ac:dyDescent="0.25">
      <c r="A923" s="9"/>
      <c r="B923" s="9"/>
      <c r="D923" s="9"/>
    </row>
    <row r="924" spans="1:6" x14ac:dyDescent="0.25">
      <c r="A924" s="9" t="s">
        <v>26</v>
      </c>
      <c r="B924" s="4">
        <v>45913</v>
      </c>
      <c r="C924" s="5">
        <v>20</v>
      </c>
      <c r="D924" s="9" t="s">
        <v>14</v>
      </c>
      <c r="E924" s="10">
        <v>145</v>
      </c>
      <c r="F924" s="10">
        <f t="shared" si="14"/>
        <v>2900</v>
      </c>
    </row>
    <row r="925" spans="1:6" x14ac:dyDescent="0.25">
      <c r="A925" s="9"/>
      <c r="B925" s="9"/>
      <c r="D925" s="9"/>
      <c r="F925" s="8">
        <f>SUM(F924)</f>
        <v>2900</v>
      </c>
    </row>
    <row r="926" spans="1:6" x14ac:dyDescent="0.25">
      <c r="A926" s="9"/>
      <c r="B926" s="9"/>
      <c r="D926" s="9"/>
    </row>
    <row r="927" spans="1:6" x14ac:dyDescent="0.25">
      <c r="A927" s="9" t="s">
        <v>160</v>
      </c>
      <c r="B927" s="4">
        <v>45913</v>
      </c>
      <c r="C927" s="5">
        <v>5</v>
      </c>
      <c r="D927" s="9" t="s">
        <v>12</v>
      </c>
      <c r="E927" s="10">
        <v>145</v>
      </c>
      <c r="F927" s="10">
        <f t="shared" si="14"/>
        <v>725</v>
      </c>
    </row>
    <row r="928" spans="1:6" x14ac:dyDescent="0.25">
      <c r="A928" s="9"/>
      <c r="B928" s="9"/>
      <c r="D928" s="9"/>
      <c r="F928" s="8">
        <f>SUM(F927)</f>
        <v>725</v>
      </c>
    </row>
    <row r="929" spans="1:6" x14ac:dyDescent="0.25">
      <c r="A929" s="9"/>
      <c r="B929" s="9"/>
      <c r="D929" s="9"/>
    </row>
    <row r="930" spans="1:6" x14ac:dyDescent="0.25">
      <c r="A930" s="9" t="s">
        <v>60</v>
      </c>
      <c r="B930" s="4">
        <v>45913</v>
      </c>
      <c r="C930" s="5">
        <v>20</v>
      </c>
      <c r="D930" s="9" t="s">
        <v>13</v>
      </c>
      <c r="E930" s="10">
        <v>160</v>
      </c>
      <c r="F930" s="10">
        <f t="shared" si="14"/>
        <v>3200</v>
      </c>
    </row>
    <row r="931" spans="1:6" x14ac:dyDescent="0.25">
      <c r="A931" s="9"/>
      <c r="B931" s="9"/>
      <c r="D931" s="9"/>
      <c r="F931" s="8">
        <f>SUM(F930)</f>
        <v>3200</v>
      </c>
    </row>
    <row r="932" spans="1:6" x14ac:dyDescent="0.25">
      <c r="A932" s="9"/>
      <c r="B932" s="9"/>
      <c r="D932" s="9"/>
    </row>
    <row r="933" spans="1:6" x14ac:dyDescent="0.25">
      <c r="A933" s="9" t="s">
        <v>72</v>
      </c>
      <c r="B933" s="4">
        <v>45913</v>
      </c>
      <c r="C933" s="5">
        <v>250</v>
      </c>
      <c r="D933" s="9" t="s">
        <v>13</v>
      </c>
      <c r="E933" s="10">
        <v>150</v>
      </c>
      <c r="F933" s="10">
        <f t="shared" si="14"/>
        <v>37500</v>
      </c>
    </row>
    <row r="934" spans="1:6" x14ac:dyDescent="0.25">
      <c r="A934" s="9"/>
      <c r="B934" s="9"/>
      <c r="C934" s="5">
        <v>100</v>
      </c>
      <c r="D934" s="9" t="s">
        <v>12</v>
      </c>
      <c r="E934" s="10">
        <v>145</v>
      </c>
      <c r="F934" s="10">
        <f t="shared" si="14"/>
        <v>14500</v>
      </c>
    </row>
    <row r="935" spans="1:6" x14ac:dyDescent="0.25">
      <c r="A935" s="9"/>
      <c r="B935" s="9"/>
      <c r="C935" s="5">
        <v>20</v>
      </c>
      <c r="D935" s="9" t="s">
        <v>14</v>
      </c>
      <c r="E935" s="10">
        <v>140</v>
      </c>
      <c r="F935" s="10">
        <f t="shared" si="14"/>
        <v>2800</v>
      </c>
    </row>
    <row r="936" spans="1:6" x14ac:dyDescent="0.25">
      <c r="A936" s="9"/>
      <c r="B936" s="9"/>
      <c r="C936" s="5">
        <v>100</v>
      </c>
      <c r="D936" s="9" t="s">
        <v>11</v>
      </c>
      <c r="E936" s="10">
        <v>135</v>
      </c>
      <c r="F936" s="10">
        <f t="shared" si="14"/>
        <v>13500</v>
      </c>
    </row>
    <row r="937" spans="1:6" x14ac:dyDescent="0.25">
      <c r="A937" s="9"/>
      <c r="B937" s="9"/>
      <c r="D937" s="9"/>
      <c r="F937" s="8">
        <f>SUM(F933:F936)</f>
        <v>68300</v>
      </c>
    </row>
    <row r="938" spans="1:6" x14ac:dyDescent="0.25">
      <c r="A938" s="9"/>
      <c r="B938" s="9"/>
      <c r="D938" s="9"/>
    </row>
    <row r="939" spans="1:6" x14ac:dyDescent="0.25">
      <c r="A939" s="9" t="s">
        <v>943</v>
      </c>
      <c r="B939" s="4">
        <v>45913</v>
      </c>
      <c r="C939" s="5">
        <v>10</v>
      </c>
      <c r="D939" s="9" t="s">
        <v>8</v>
      </c>
      <c r="E939" s="10">
        <v>160</v>
      </c>
      <c r="F939" s="10">
        <f t="shared" si="14"/>
        <v>1600</v>
      </c>
    </row>
    <row r="940" spans="1:6" x14ac:dyDescent="0.25">
      <c r="A940" s="9"/>
      <c r="B940" s="9"/>
      <c r="D940" s="9"/>
      <c r="F940" s="8">
        <f>SUM(F939)</f>
        <v>1600</v>
      </c>
    </row>
    <row r="941" spans="1:6" x14ac:dyDescent="0.25">
      <c r="A941" s="9"/>
      <c r="B941" s="9"/>
      <c r="D941" s="9"/>
    </row>
    <row r="942" spans="1:6" x14ac:dyDescent="0.25">
      <c r="A942" s="9" t="s">
        <v>906</v>
      </c>
      <c r="B942" s="4">
        <v>45913</v>
      </c>
      <c r="C942" s="5">
        <v>50</v>
      </c>
      <c r="D942" s="9" t="s">
        <v>49</v>
      </c>
      <c r="F942" s="10">
        <f t="shared" si="14"/>
        <v>0</v>
      </c>
    </row>
    <row r="943" spans="1:6" x14ac:dyDescent="0.25">
      <c r="A943" s="9"/>
      <c r="B943" s="9"/>
      <c r="C943" s="5">
        <v>70</v>
      </c>
      <c r="D943" s="9" t="s">
        <v>13</v>
      </c>
      <c r="F943" s="10">
        <f t="shared" si="14"/>
        <v>0</v>
      </c>
    </row>
    <row r="944" spans="1:6" x14ac:dyDescent="0.25">
      <c r="A944" s="9"/>
      <c r="B944" s="9"/>
      <c r="C944" s="5">
        <v>102</v>
      </c>
      <c r="D944" s="9" t="s">
        <v>356</v>
      </c>
      <c r="F944" s="10">
        <f t="shared" si="14"/>
        <v>0</v>
      </c>
    </row>
    <row r="945" spans="1:6" x14ac:dyDescent="0.25">
      <c r="A945" s="9"/>
      <c r="B945" s="9"/>
      <c r="C945" s="5">
        <v>113</v>
      </c>
      <c r="D945" s="9" t="s">
        <v>258</v>
      </c>
      <c r="F945" s="10">
        <f t="shared" si="14"/>
        <v>0</v>
      </c>
    </row>
    <row r="946" spans="1:6" x14ac:dyDescent="0.25">
      <c r="A946" s="9"/>
      <c r="B946" s="9"/>
      <c r="D946" s="9"/>
      <c r="F946" s="8">
        <f>SUM(F942:F945)</f>
        <v>0</v>
      </c>
    </row>
    <row r="947" spans="1:6" x14ac:dyDescent="0.25">
      <c r="A947" s="9"/>
      <c r="B947" s="9"/>
      <c r="D947" s="9"/>
    </row>
    <row r="948" spans="1:6" x14ac:dyDescent="0.25">
      <c r="A948" s="9" t="s">
        <v>29</v>
      </c>
      <c r="B948" s="4">
        <v>45913</v>
      </c>
      <c r="C948" s="5">
        <v>1</v>
      </c>
      <c r="D948" s="9" t="s">
        <v>13</v>
      </c>
      <c r="E948" s="10">
        <v>160</v>
      </c>
      <c r="F948" s="10">
        <f t="shared" si="14"/>
        <v>160</v>
      </c>
    </row>
    <row r="949" spans="1:6" s="9" customFormat="1" x14ac:dyDescent="0.25">
      <c r="C949" s="5"/>
      <c r="E949" s="10"/>
      <c r="F949" s="8">
        <f>SUM(F948)</f>
        <v>160</v>
      </c>
    </row>
    <row r="950" spans="1:6" s="9" customFormat="1" x14ac:dyDescent="0.25">
      <c r="C950" s="5"/>
      <c r="E950" s="10"/>
      <c r="F950" s="10"/>
    </row>
    <row r="951" spans="1:6" s="9" customFormat="1" x14ac:dyDescent="0.25">
      <c r="A951" s="9" t="s">
        <v>7</v>
      </c>
      <c r="B951" s="4">
        <v>45913</v>
      </c>
      <c r="C951" s="5">
        <v>2</v>
      </c>
      <c r="D951" s="9" t="s">
        <v>13</v>
      </c>
      <c r="E951" s="10">
        <v>160</v>
      </c>
      <c r="F951" s="10">
        <f t="shared" si="14"/>
        <v>320</v>
      </c>
    </row>
    <row r="952" spans="1:6" s="9" customFormat="1" x14ac:dyDescent="0.25">
      <c r="C952" s="5"/>
      <c r="E952" s="10"/>
      <c r="F952" s="8">
        <f>SUM(F951)</f>
        <v>320</v>
      </c>
    </row>
    <row r="953" spans="1:6" s="9" customFormat="1" x14ac:dyDescent="0.25">
      <c r="C953" s="5"/>
      <c r="E953" s="10"/>
      <c r="F953" s="10"/>
    </row>
    <row r="954" spans="1:6" s="9" customFormat="1" x14ac:dyDescent="0.25">
      <c r="A954" s="9" t="s">
        <v>305</v>
      </c>
      <c r="B954" s="4">
        <v>45914</v>
      </c>
      <c r="C954" s="5">
        <v>80</v>
      </c>
      <c r="D954" s="9" t="s">
        <v>13</v>
      </c>
      <c r="E954" s="10"/>
      <c r="F954" s="10">
        <f t="shared" si="14"/>
        <v>0</v>
      </c>
    </row>
    <row r="955" spans="1:6" s="9" customFormat="1" x14ac:dyDescent="0.25">
      <c r="C955" s="5">
        <v>63</v>
      </c>
      <c r="D955" s="9" t="s">
        <v>12</v>
      </c>
      <c r="E955" s="10"/>
      <c r="F955" s="10">
        <f t="shared" si="14"/>
        <v>0</v>
      </c>
    </row>
    <row r="956" spans="1:6" s="9" customFormat="1" x14ac:dyDescent="0.25">
      <c r="C956" s="5">
        <v>12</v>
      </c>
      <c r="D956" s="9" t="s">
        <v>286</v>
      </c>
      <c r="E956" s="10"/>
      <c r="F956" s="10">
        <f t="shared" si="14"/>
        <v>0</v>
      </c>
    </row>
    <row r="957" spans="1:6" s="9" customFormat="1" x14ac:dyDescent="0.25">
      <c r="C957" s="5">
        <v>122</v>
      </c>
      <c r="D957" s="9" t="s">
        <v>944</v>
      </c>
      <c r="E957" s="10"/>
      <c r="F957" s="10">
        <f t="shared" si="14"/>
        <v>0</v>
      </c>
    </row>
    <row r="958" spans="1:6" s="9" customFormat="1" x14ac:dyDescent="0.25">
      <c r="C958" s="5"/>
      <c r="E958" s="10"/>
      <c r="F958" s="8">
        <f>SUM(F954:F957)</f>
        <v>0</v>
      </c>
    </row>
    <row r="959" spans="1:6" x14ac:dyDescent="0.25">
      <c r="A959" s="9"/>
      <c r="B959" s="9"/>
      <c r="D959" s="9"/>
    </row>
    <row r="960" spans="1:6" x14ac:dyDescent="0.25">
      <c r="A960" s="9" t="s">
        <v>181</v>
      </c>
      <c r="B960" s="4">
        <v>45914</v>
      </c>
      <c r="C960" s="5">
        <v>1</v>
      </c>
      <c r="D960" s="9" t="s">
        <v>13</v>
      </c>
      <c r="E960" s="10">
        <v>160</v>
      </c>
      <c r="F960" s="10">
        <f t="shared" si="14"/>
        <v>160</v>
      </c>
    </row>
    <row r="961" spans="1:6" x14ac:dyDescent="0.25">
      <c r="A961" s="9"/>
      <c r="B961" s="9"/>
      <c r="C961" s="5">
        <v>1</v>
      </c>
      <c r="D961" s="9" t="s">
        <v>78</v>
      </c>
      <c r="E961" s="10">
        <v>110</v>
      </c>
      <c r="F961" s="10">
        <f t="shared" si="14"/>
        <v>110</v>
      </c>
    </row>
    <row r="962" spans="1:6" x14ac:dyDescent="0.25">
      <c r="A962" s="9"/>
      <c r="B962" s="9"/>
      <c r="C962" s="5">
        <v>3</v>
      </c>
      <c r="D962" s="9" t="s">
        <v>168</v>
      </c>
      <c r="E962" s="10">
        <v>150</v>
      </c>
      <c r="F962" s="10">
        <f t="shared" si="14"/>
        <v>450</v>
      </c>
    </row>
    <row r="963" spans="1:6" x14ac:dyDescent="0.25">
      <c r="A963" s="9"/>
      <c r="B963" s="9"/>
      <c r="D963" s="9"/>
      <c r="F963" s="8">
        <f>SUM(F960:F962)</f>
        <v>720</v>
      </c>
    </row>
    <row r="964" spans="1:6" x14ac:dyDescent="0.25">
      <c r="A964" s="9"/>
      <c r="B964" s="9"/>
      <c r="D964" s="9"/>
    </row>
    <row r="965" spans="1:6" x14ac:dyDescent="0.25">
      <c r="A965" s="9" t="s">
        <v>15</v>
      </c>
      <c r="B965" s="4">
        <v>45915</v>
      </c>
      <c r="C965" s="5">
        <v>40</v>
      </c>
      <c r="D965" s="9" t="s">
        <v>98</v>
      </c>
      <c r="E965" s="10">
        <v>110</v>
      </c>
      <c r="F965" s="10">
        <f t="shared" ref="F965:F1026" si="15">+C965*E965</f>
        <v>4400</v>
      </c>
    </row>
    <row r="966" spans="1:6" x14ac:dyDescent="0.25">
      <c r="A966" s="9"/>
      <c r="B966" s="9"/>
      <c r="D966" s="9"/>
      <c r="F966" s="8">
        <f>SUM(F965)</f>
        <v>4400</v>
      </c>
    </row>
    <row r="967" spans="1:6" x14ac:dyDescent="0.25">
      <c r="A967" s="9"/>
      <c r="B967" s="9"/>
      <c r="D967" s="9"/>
    </row>
    <row r="968" spans="1:6" x14ac:dyDescent="0.25">
      <c r="A968" s="9" t="s">
        <v>79</v>
      </c>
      <c r="B968" s="4">
        <v>45915</v>
      </c>
      <c r="C968" s="5">
        <v>20</v>
      </c>
      <c r="D968" s="9" t="s">
        <v>13</v>
      </c>
      <c r="E968" s="10">
        <v>150</v>
      </c>
      <c r="F968" s="10">
        <f t="shared" si="15"/>
        <v>3000</v>
      </c>
    </row>
    <row r="969" spans="1:6" x14ac:dyDescent="0.25">
      <c r="A969" s="9"/>
      <c r="B969" s="9"/>
      <c r="D969" s="9"/>
      <c r="F969" s="8">
        <f>SUM(F968)</f>
        <v>3000</v>
      </c>
    </row>
    <row r="970" spans="1:6" x14ac:dyDescent="0.25">
      <c r="A970" s="9"/>
      <c r="B970" s="9"/>
      <c r="D970" s="9"/>
    </row>
    <row r="971" spans="1:6" x14ac:dyDescent="0.25">
      <c r="A971" s="9" t="s">
        <v>366</v>
      </c>
      <c r="B971" s="4">
        <v>45915</v>
      </c>
      <c r="C971" s="5">
        <v>7</v>
      </c>
      <c r="D971" s="9" t="s">
        <v>13</v>
      </c>
      <c r="E971" s="10">
        <v>155</v>
      </c>
      <c r="F971" s="10">
        <f t="shared" si="15"/>
        <v>1085</v>
      </c>
    </row>
    <row r="972" spans="1:6" x14ac:dyDescent="0.25">
      <c r="A972" s="9"/>
      <c r="B972" s="9"/>
      <c r="D972" s="9"/>
      <c r="F972" s="8">
        <f>SUM(F971)</f>
        <v>1085</v>
      </c>
    </row>
    <row r="973" spans="1:6" x14ac:dyDescent="0.25">
      <c r="A973" s="9"/>
      <c r="B973" s="9"/>
      <c r="D973" s="9"/>
    </row>
    <row r="974" spans="1:6" x14ac:dyDescent="0.25">
      <c r="A974" s="9" t="s">
        <v>18</v>
      </c>
      <c r="B974" s="4">
        <v>45915</v>
      </c>
      <c r="C974" s="5">
        <v>5</v>
      </c>
      <c r="D974" s="9" t="s">
        <v>13</v>
      </c>
      <c r="E974" s="10">
        <v>155</v>
      </c>
      <c r="F974" s="10">
        <f t="shared" si="15"/>
        <v>775</v>
      </c>
    </row>
    <row r="975" spans="1:6" x14ac:dyDescent="0.25">
      <c r="A975" s="9"/>
      <c r="B975" s="9"/>
      <c r="D975" s="9"/>
      <c r="F975" s="8">
        <f>SUM(F974)</f>
        <v>775</v>
      </c>
    </row>
    <row r="976" spans="1:6" x14ac:dyDescent="0.25">
      <c r="A976" s="9"/>
      <c r="B976" s="9"/>
      <c r="D976" s="9"/>
    </row>
    <row r="977" spans="1:6" x14ac:dyDescent="0.25">
      <c r="A977" s="9" t="s">
        <v>40</v>
      </c>
      <c r="B977" s="4">
        <v>45915</v>
      </c>
      <c r="C977" s="5">
        <v>20</v>
      </c>
      <c r="D977" s="9" t="s">
        <v>8</v>
      </c>
      <c r="E977" s="10">
        <v>165</v>
      </c>
      <c r="F977" s="10">
        <f t="shared" si="15"/>
        <v>3300</v>
      </c>
    </row>
    <row r="978" spans="1:6" x14ac:dyDescent="0.25">
      <c r="A978" s="9"/>
      <c r="B978" s="9"/>
      <c r="C978" s="5">
        <v>15</v>
      </c>
      <c r="D978" s="9" t="s">
        <v>13</v>
      </c>
      <c r="E978" s="10">
        <v>155</v>
      </c>
      <c r="F978" s="10">
        <f t="shared" si="15"/>
        <v>2325</v>
      </c>
    </row>
    <row r="979" spans="1:6" x14ac:dyDescent="0.25">
      <c r="A979" s="9"/>
      <c r="B979" s="9"/>
      <c r="C979" s="5">
        <v>10</v>
      </c>
      <c r="D979" s="9" t="s">
        <v>945</v>
      </c>
      <c r="E979" s="10">
        <v>145</v>
      </c>
      <c r="F979" s="10">
        <f t="shared" si="15"/>
        <v>1450</v>
      </c>
    </row>
    <row r="980" spans="1:6" x14ac:dyDescent="0.25">
      <c r="A980" s="9"/>
      <c r="B980" s="9"/>
      <c r="D980" s="9"/>
      <c r="F980" s="8">
        <f>SUM(F977:F979)</f>
        <v>7075</v>
      </c>
    </row>
    <row r="981" spans="1:6" s="9" customFormat="1" x14ac:dyDescent="0.25">
      <c r="C981" s="5"/>
      <c r="E981" s="10"/>
      <c r="F981" s="10"/>
    </row>
    <row r="982" spans="1:6" s="9" customFormat="1" x14ac:dyDescent="0.25">
      <c r="A982" s="9" t="s">
        <v>23</v>
      </c>
      <c r="B982" s="4">
        <v>45915</v>
      </c>
      <c r="C982" s="5">
        <v>10</v>
      </c>
      <c r="D982" s="9" t="s">
        <v>8</v>
      </c>
      <c r="E982" s="10">
        <v>165</v>
      </c>
      <c r="F982" s="10">
        <f t="shared" si="15"/>
        <v>1650</v>
      </c>
    </row>
    <row r="983" spans="1:6" s="9" customFormat="1" x14ac:dyDescent="0.25">
      <c r="C983" s="5">
        <v>15</v>
      </c>
      <c r="D983" s="9" t="s">
        <v>13</v>
      </c>
      <c r="E983" s="10">
        <v>155</v>
      </c>
      <c r="F983" s="10">
        <f t="shared" si="15"/>
        <v>2325</v>
      </c>
    </row>
    <row r="984" spans="1:6" x14ac:dyDescent="0.25">
      <c r="A984" s="9"/>
      <c r="B984" s="9"/>
      <c r="C984" s="5">
        <v>15</v>
      </c>
      <c r="D984" s="9" t="s">
        <v>12</v>
      </c>
      <c r="E984" s="10">
        <v>145</v>
      </c>
      <c r="F984" s="10">
        <f t="shared" si="15"/>
        <v>2175</v>
      </c>
    </row>
    <row r="985" spans="1:6" x14ac:dyDescent="0.25">
      <c r="A985" s="9"/>
      <c r="B985" s="9"/>
      <c r="C985" s="5">
        <v>10</v>
      </c>
      <c r="D985" s="9" t="s">
        <v>14</v>
      </c>
      <c r="E985" s="10">
        <v>150</v>
      </c>
      <c r="F985" s="10">
        <f t="shared" si="15"/>
        <v>1500</v>
      </c>
    </row>
    <row r="986" spans="1:6" x14ac:dyDescent="0.25">
      <c r="A986" s="9"/>
      <c r="B986" s="9"/>
      <c r="C986" s="5">
        <v>10</v>
      </c>
      <c r="D986" s="9" t="s">
        <v>22</v>
      </c>
      <c r="E986" s="10">
        <v>140</v>
      </c>
      <c r="F986" s="10">
        <f t="shared" si="15"/>
        <v>1400</v>
      </c>
    </row>
    <row r="987" spans="1:6" x14ac:dyDescent="0.25">
      <c r="A987" s="9"/>
      <c r="B987" s="9"/>
      <c r="D987" s="9"/>
      <c r="F987" s="8">
        <f>SUM(F982:F986)</f>
        <v>9050</v>
      </c>
    </row>
    <row r="988" spans="1:6" x14ac:dyDescent="0.25">
      <c r="A988" s="9"/>
      <c r="B988" s="9"/>
      <c r="D988" s="9"/>
    </row>
    <row r="989" spans="1:6" s="9" customFormat="1" x14ac:dyDescent="0.25">
      <c r="A989" s="9" t="s">
        <v>367</v>
      </c>
      <c r="B989" s="4">
        <v>45915</v>
      </c>
      <c r="C989" s="5">
        <v>10</v>
      </c>
      <c r="D989" s="9" t="s">
        <v>13</v>
      </c>
      <c r="E989" s="10">
        <v>155</v>
      </c>
      <c r="F989" s="10">
        <f t="shared" si="15"/>
        <v>1550</v>
      </c>
    </row>
    <row r="990" spans="1:6" s="9" customFormat="1" x14ac:dyDescent="0.25">
      <c r="C990" s="5"/>
      <c r="E990" s="10"/>
      <c r="F990" s="8">
        <f>SUM(F989)</f>
        <v>1550</v>
      </c>
    </row>
    <row r="991" spans="1:6" s="9" customFormat="1" x14ac:dyDescent="0.25">
      <c r="C991" s="5"/>
      <c r="E991" s="10"/>
      <c r="F991" s="10"/>
    </row>
    <row r="992" spans="1:6" s="9" customFormat="1" x14ac:dyDescent="0.25">
      <c r="A992" s="9" t="s">
        <v>471</v>
      </c>
      <c r="B992" s="4">
        <v>45915</v>
      </c>
      <c r="C992" s="5">
        <v>10</v>
      </c>
      <c r="D992" s="9" t="s">
        <v>14</v>
      </c>
      <c r="E992" s="10">
        <v>150</v>
      </c>
      <c r="F992" s="10">
        <f t="shared" si="15"/>
        <v>1500</v>
      </c>
    </row>
    <row r="993" spans="1:6" s="9" customFormat="1" x14ac:dyDescent="0.25">
      <c r="C993" s="5">
        <v>10</v>
      </c>
      <c r="D993" s="9" t="s">
        <v>22</v>
      </c>
      <c r="E993" s="10">
        <v>140</v>
      </c>
      <c r="F993" s="10">
        <f t="shared" si="15"/>
        <v>1400</v>
      </c>
    </row>
    <row r="994" spans="1:6" s="9" customFormat="1" x14ac:dyDescent="0.25">
      <c r="C994" s="5"/>
      <c r="E994" s="10"/>
      <c r="F994" s="8">
        <f>SUM(F992:F993)</f>
        <v>2900</v>
      </c>
    </row>
    <row r="995" spans="1:6" s="9" customFormat="1" x14ac:dyDescent="0.25">
      <c r="C995" s="5"/>
      <c r="E995" s="10"/>
      <c r="F995" s="10"/>
    </row>
    <row r="996" spans="1:6" s="9" customFormat="1" x14ac:dyDescent="0.25">
      <c r="A996" s="9" t="s">
        <v>20</v>
      </c>
      <c r="B996" s="4">
        <v>45915</v>
      </c>
      <c r="C996" s="5">
        <v>10</v>
      </c>
      <c r="D996" s="9" t="s">
        <v>13</v>
      </c>
      <c r="E996" s="10">
        <v>155</v>
      </c>
      <c r="F996" s="10">
        <f t="shared" si="15"/>
        <v>1550</v>
      </c>
    </row>
    <row r="997" spans="1:6" s="9" customFormat="1" x14ac:dyDescent="0.25">
      <c r="C997" s="5"/>
      <c r="E997" s="10"/>
      <c r="F997" s="8">
        <f>SUM(F996)</f>
        <v>1550</v>
      </c>
    </row>
    <row r="998" spans="1:6" s="9" customFormat="1" x14ac:dyDescent="0.25">
      <c r="C998" s="5"/>
      <c r="E998" s="10"/>
      <c r="F998" s="10"/>
    </row>
    <row r="999" spans="1:6" s="9" customFormat="1" x14ac:dyDescent="0.25">
      <c r="A999" s="9" t="s">
        <v>427</v>
      </c>
      <c r="B999" s="4">
        <v>45915</v>
      </c>
      <c r="C999" s="5">
        <v>10</v>
      </c>
      <c r="D999" s="9" t="s">
        <v>13</v>
      </c>
      <c r="E999" s="10">
        <v>155</v>
      </c>
      <c r="F999" s="10">
        <f t="shared" si="15"/>
        <v>1550</v>
      </c>
    </row>
    <row r="1000" spans="1:6" s="9" customFormat="1" x14ac:dyDescent="0.25">
      <c r="C1000" s="5"/>
      <c r="E1000" s="10"/>
      <c r="F1000" s="8">
        <f>SUM(F999)</f>
        <v>1550</v>
      </c>
    </row>
    <row r="1001" spans="1:6" s="9" customFormat="1" x14ac:dyDescent="0.25">
      <c r="C1001" s="5"/>
      <c r="E1001" s="10"/>
      <c r="F1001" s="10"/>
    </row>
    <row r="1002" spans="1:6" s="9" customFormat="1" x14ac:dyDescent="0.25">
      <c r="A1002" s="9" t="s">
        <v>673</v>
      </c>
      <c r="B1002" s="4">
        <v>45915</v>
      </c>
      <c r="C1002" s="5">
        <v>20</v>
      </c>
      <c r="D1002" s="9" t="s">
        <v>13</v>
      </c>
      <c r="E1002" s="10">
        <v>155</v>
      </c>
      <c r="F1002" s="10">
        <f t="shared" si="15"/>
        <v>3100</v>
      </c>
    </row>
    <row r="1003" spans="1:6" s="9" customFormat="1" x14ac:dyDescent="0.25">
      <c r="C1003" s="5">
        <v>20</v>
      </c>
      <c r="D1003" s="9" t="s">
        <v>12</v>
      </c>
      <c r="E1003" s="10">
        <v>145</v>
      </c>
      <c r="F1003" s="10">
        <f t="shared" si="15"/>
        <v>2900</v>
      </c>
    </row>
    <row r="1004" spans="1:6" s="9" customFormat="1" x14ac:dyDescent="0.25">
      <c r="C1004" s="5"/>
      <c r="E1004" s="10"/>
      <c r="F1004" s="8">
        <f>SUM(F1002:F1003)</f>
        <v>6000</v>
      </c>
    </row>
    <row r="1005" spans="1:6" x14ac:dyDescent="0.25">
      <c r="A1005" s="9"/>
      <c r="B1005" s="9"/>
      <c r="D1005" s="9"/>
    </row>
    <row r="1006" spans="1:6" x14ac:dyDescent="0.25">
      <c r="A1006" s="9" t="s">
        <v>780</v>
      </c>
      <c r="B1006" s="4">
        <v>45915</v>
      </c>
      <c r="C1006" s="5">
        <v>5</v>
      </c>
      <c r="D1006" s="9" t="s">
        <v>14</v>
      </c>
      <c r="E1006" s="10">
        <v>155</v>
      </c>
      <c r="F1006" s="10">
        <f t="shared" si="15"/>
        <v>775</v>
      </c>
    </row>
    <row r="1007" spans="1:6" x14ac:dyDescent="0.25">
      <c r="A1007" s="9"/>
      <c r="B1007" s="9"/>
      <c r="D1007" s="9"/>
      <c r="F1007" s="8">
        <f>SUM(F1006)</f>
        <v>775</v>
      </c>
    </row>
    <row r="1008" spans="1:6" x14ac:dyDescent="0.25">
      <c r="A1008" s="9"/>
      <c r="B1008" s="9"/>
      <c r="D1008" s="9"/>
    </row>
    <row r="1009" spans="1:6" x14ac:dyDescent="0.25">
      <c r="A1009" s="9" t="s">
        <v>41</v>
      </c>
      <c r="B1009" s="4">
        <v>45915</v>
      </c>
      <c r="C1009" s="5">
        <v>30</v>
      </c>
      <c r="D1009" s="9" t="s">
        <v>14</v>
      </c>
      <c r="E1009" s="10">
        <v>140</v>
      </c>
      <c r="F1009" s="10">
        <f t="shared" si="15"/>
        <v>4200</v>
      </c>
    </row>
    <row r="1010" spans="1:6" x14ac:dyDescent="0.25">
      <c r="A1010" s="9"/>
      <c r="B1010" s="9"/>
      <c r="C1010" s="5">
        <v>50</v>
      </c>
      <c r="D1010" s="9" t="s">
        <v>14</v>
      </c>
      <c r="E1010" s="10">
        <v>145</v>
      </c>
      <c r="F1010" s="10">
        <f t="shared" si="15"/>
        <v>7250</v>
      </c>
    </row>
    <row r="1011" spans="1:6" x14ac:dyDescent="0.25">
      <c r="A1011" s="9"/>
      <c r="B1011" s="9"/>
      <c r="D1011" s="9"/>
      <c r="F1011" s="8">
        <f>SUM(F1009:F1010)</f>
        <v>11450</v>
      </c>
    </row>
    <row r="1012" spans="1:6" x14ac:dyDescent="0.25">
      <c r="A1012" s="9"/>
      <c r="B1012" s="9"/>
      <c r="D1012" s="9"/>
    </row>
    <row r="1013" spans="1:6" x14ac:dyDescent="0.25">
      <c r="A1013" s="9" t="s">
        <v>85</v>
      </c>
      <c r="B1013" s="4">
        <v>45915</v>
      </c>
      <c r="C1013" s="5">
        <v>70</v>
      </c>
      <c r="D1013" s="9" t="s">
        <v>14</v>
      </c>
      <c r="E1013" s="10">
        <v>150</v>
      </c>
      <c r="F1013" s="10">
        <f t="shared" si="15"/>
        <v>10500</v>
      </c>
    </row>
    <row r="1014" spans="1:6" x14ac:dyDescent="0.25">
      <c r="A1014" s="9"/>
      <c r="B1014" s="9"/>
      <c r="D1014" s="9"/>
      <c r="F1014" s="8">
        <f>SUM(F1013)</f>
        <v>10500</v>
      </c>
    </row>
    <row r="1015" spans="1:6" x14ac:dyDescent="0.25">
      <c r="A1015" s="9"/>
      <c r="B1015" s="9"/>
      <c r="D1015" s="9"/>
    </row>
    <row r="1016" spans="1:6" x14ac:dyDescent="0.25">
      <c r="A1016" s="9" t="s">
        <v>46</v>
      </c>
      <c r="B1016" s="4">
        <v>45915</v>
      </c>
      <c r="C1016" s="5">
        <v>25</v>
      </c>
      <c r="D1016" s="9" t="s">
        <v>14</v>
      </c>
      <c r="E1016" s="10">
        <v>150</v>
      </c>
      <c r="F1016" s="10">
        <f t="shared" si="15"/>
        <v>3750</v>
      </c>
    </row>
    <row r="1017" spans="1:6" x14ac:dyDescent="0.25">
      <c r="A1017" s="9"/>
      <c r="B1017" s="9"/>
      <c r="D1017" s="9"/>
      <c r="F1017" s="8">
        <f>SUM(F1016)</f>
        <v>3750</v>
      </c>
    </row>
    <row r="1018" spans="1:6" x14ac:dyDescent="0.25">
      <c r="A1018" s="9"/>
      <c r="B1018" s="9"/>
      <c r="D1018" s="9"/>
    </row>
    <row r="1019" spans="1:6" x14ac:dyDescent="0.25">
      <c r="A1019" s="9" t="s">
        <v>47</v>
      </c>
      <c r="B1019" s="4">
        <v>45915</v>
      </c>
      <c r="C1019" s="5">
        <v>10</v>
      </c>
      <c r="D1019" s="9" t="s">
        <v>14</v>
      </c>
      <c r="E1019" s="10">
        <v>150</v>
      </c>
      <c r="F1019" s="10">
        <f t="shared" si="15"/>
        <v>1500</v>
      </c>
    </row>
    <row r="1020" spans="1:6" x14ac:dyDescent="0.25">
      <c r="A1020" s="9"/>
      <c r="B1020" s="9"/>
      <c r="C1020" s="5">
        <v>20</v>
      </c>
      <c r="D1020" s="9" t="s">
        <v>11</v>
      </c>
      <c r="E1020" s="10">
        <v>140</v>
      </c>
      <c r="F1020" s="10">
        <f t="shared" si="15"/>
        <v>2800</v>
      </c>
    </row>
    <row r="1021" spans="1:6" x14ac:dyDescent="0.25">
      <c r="A1021" s="9"/>
      <c r="B1021" s="9"/>
      <c r="D1021" s="9"/>
      <c r="F1021" s="8">
        <f>SUM(F1019:F1020)</f>
        <v>4300</v>
      </c>
    </row>
    <row r="1022" spans="1:6" x14ac:dyDescent="0.25">
      <c r="A1022" s="9"/>
      <c r="B1022" s="9"/>
      <c r="D1022" s="9"/>
    </row>
    <row r="1023" spans="1:6" x14ac:dyDescent="0.25">
      <c r="A1023" s="9" t="s">
        <v>253</v>
      </c>
      <c r="B1023" s="4">
        <v>45915</v>
      </c>
      <c r="C1023" s="5">
        <v>13</v>
      </c>
      <c r="D1023" s="9" t="s">
        <v>14</v>
      </c>
      <c r="E1023" s="10">
        <v>150</v>
      </c>
      <c r="F1023" s="10">
        <f t="shared" si="15"/>
        <v>1950</v>
      </c>
    </row>
    <row r="1024" spans="1:6" x14ac:dyDescent="0.25">
      <c r="A1024" s="9"/>
      <c r="B1024" s="9"/>
      <c r="D1024" s="9"/>
      <c r="F1024" s="8">
        <f>SUM(F1023)</f>
        <v>1950</v>
      </c>
    </row>
    <row r="1025" spans="1:6" x14ac:dyDescent="0.25">
      <c r="A1025" s="9"/>
      <c r="B1025" s="9"/>
      <c r="D1025" s="9"/>
    </row>
    <row r="1026" spans="1:6" x14ac:dyDescent="0.25">
      <c r="A1026" s="9" t="s">
        <v>164</v>
      </c>
      <c r="B1026" s="4">
        <v>45915</v>
      </c>
      <c r="C1026" s="5">
        <v>5</v>
      </c>
      <c r="D1026" s="9" t="s">
        <v>8</v>
      </c>
      <c r="E1026" s="10">
        <v>170</v>
      </c>
      <c r="F1026" s="10">
        <f t="shared" si="15"/>
        <v>850</v>
      </c>
    </row>
    <row r="1027" spans="1:6" x14ac:dyDescent="0.25">
      <c r="A1027" s="9"/>
      <c r="B1027" s="9"/>
      <c r="D1027" s="9"/>
      <c r="F1027" s="8">
        <f>SUM(F1026)</f>
        <v>850</v>
      </c>
    </row>
    <row r="1028" spans="1:6" x14ac:dyDescent="0.25">
      <c r="A1028" s="9"/>
      <c r="B1028" s="9"/>
      <c r="D1028" s="9"/>
    </row>
    <row r="1029" spans="1:6" x14ac:dyDescent="0.25">
      <c r="A1029" s="9" t="s">
        <v>7</v>
      </c>
      <c r="B1029" s="4">
        <v>45915</v>
      </c>
      <c r="C1029" s="5">
        <v>3</v>
      </c>
      <c r="D1029" s="9" t="s">
        <v>13</v>
      </c>
      <c r="E1029" s="10">
        <v>160</v>
      </c>
      <c r="F1029" s="10">
        <f t="shared" ref="F1029:F1088" si="16">+C1029*E1029</f>
        <v>480</v>
      </c>
    </row>
    <row r="1030" spans="1:6" x14ac:dyDescent="0.25">
      <c r="A1030" s="9"/>
      <c r="B1030" s="9"/>
      <c r="D1030" s="9"/>
      <c r="F1030" s="8">
        <f>SUM(F1029)</f>
        <v>480</v>
      </c>
    </row>
    <row r="1031" spans="1:6" x14ac:dyDescent="0.25">
      <c r="A1031" s="9"/>
      <c r="B1031" s="9"/>
      <c r="D1031" s="9"/>
    </row>
    <row r="1032" spans="1:6" x14ac:dyDescent="0.25">
      <c r="A1032" s="9" t="s">
        <v>184</v>
      </c>
      <c r="B1032" s="4">
        <v>45915</v>
      </c>
      <c r="C1032" s="5">
        <v>7</v>
      </c>
      <c r="D1032" s="9" t="s">
        <v>13</v>
      </c>
      <c r="E1032" s="10">
        <v>160</v>
      </c>
      <c r="F1032" s="10">
        <f t="shared" si="16"/>
        <v>1120</v>
      </c>
    </row>
    <row r="1033" spans="1:6" x14ac:dyDescent="0.25">
      <c r="A1033" s="9"/>
      <c r="B1033" s="9"/>
      <c r="D1033" s="9"/>
      <c r="F1033" s="8">
        <f>SUM(F1032)</f>
        <v>1120</v>
      </c>
    </row>
    <row r="1034" spans="1:6" x14ac:dyDescent="0.25">
      <c r="A1034" s="9"/>
      <c r="B1034" s="9"/>
      <c r="D1034" s="9"/>
    </row>
    <row r="1035" spans="1:6" x14ac:dyDescent="0.25">
      <c r="A1035" s="9" t="s">
        <v>423</v>
      </c>
      <c r="B1035" s="4">
        <v>45915</v>
      </c>
      <c r="C1035" s="5">
        <v>5</v>
      </c>
      <c r="D1035" s="9" t="s">
        <v>13</v>
      </c>
      <c r="E1035" s="10">
        <v>160</v>
      </c>
      <c r="F1035" s="10">
        <f t="shared" si="16"/>
        <v>800</v>
      </c>
    </row>
    <row r="1036" spans="1:6" x14ac:dyDescent="0.25">
      <c r="A1036" s="9"/>
      <c r="B1036" s="9"/>
      <c r="C1036" s="5">
        <v>5</v>
      </c>
      <c r="D1036" s="9" t="s">
        <v>22</v>
      </c>
      <c r="E1036" s="10">
        <v>135</v>
      </c>
      <c r="F1036" s="10">
        <f t="shared" si="16"/>
        <v>675</v>
      </c>
    </row>
    <row r="1037" spans="1:6" x14ac:dyDescent="0.25">
      <c r="A1037" s="9"/>
      <c r="B1037" s="9"/>
      <c r="D1037" s="9"/>
      <c r="F1037" s="8">
        <f>SUM(F1035:F1036)</f>
        <v>1475</v>
      </c>
    </row>
    <row r="1038" spans="1:6" x14ac:dyDescent="0.25">
      <c r="A1038" s="9"/>
      <c r="B1038" s="9"/>
      <c r="D1038" s="9"/>
    </row>
    <row r="1039" spans="1:6" x14ac:dyDescent="0.25">
      <c r="A1039" s="9" t="s">
        <v>88</v>
      </c>
      <c r="B1039" s="4">
        <v>45915</v>
      </c>
      <c r="C1039" s="5">
        <v>10</v>
      </c>
      <c r="D1039" s="9" t="s">
        <v>14</v>
      </c>
      <c r="E1039" s="10">
        <v>145</v>
      </c>
      <c r="F1039" s="10">
        <f t="shared" si="16"/>
        <v>1450</v>
      </c>
    </row>
    <row r="1040" spans="1:6" x14ac:dyDescent="0.25">
      <c r="A1040" s="9"/>
      <c r="B1040" s="9"/>
      <c r="C1040" s="5">
        <v>6</v>
      </c>
      <c r="D1040" s="9" t="s">
        <v>13</v>
      </c>
      <c r="E1040" s="10">
        <v>160</v>
      </c>
      <c r="F1040" s="10">
        <f t="shared" si="16"/>
        <v>960</v>
      </c>
    </row>
    <row r="1041" spans="1:6" x14ac:dyDescent="0.25">
      <c r="A1041" s="9"/>
      <c r="B1041" s="9"/>
      <c r="D1041" s="9"/>
      <c r="F1041" s="8">
        <f>SUM(F1039:F1040)</f>
        <v>2410</v>
      </c>
    </row>
    <row r="1042" spans="1:6" x14ac:dyDescent="0.25">
      <c r="A1042" s="9"/>
      <c r="B1042" s="9"/>
      <c r="D1042" s="9"/>
    </row>
    <row r="1043" spans="1:6" x14ac:dyDescent="0.25">
      <c r="A1043" s="9" t="s">
        <v>89</v>
      </c>
      <c r="B1043" s="4">
        <v>45915</v>
      </c>
      <c r="C1043" s="5">
        <v>40</v>
      </c>
      <c r="D1043" s="9" t="s">
        <v>12</v>
      </c>
      <c r="E1043" s="10">
        <v>140</v>
      </c>
      <c r="F1043" s="10">
        <f t="shared" si="16"/>
        <v>5600</v>
      </c>
    </row>
    <row r="1044" spans="1:6" x14ac:dyDescent="0.25">
      <c r="A1044" s="9"/>
      <c r="B1044" s="9"/>
      <c r="C1044" s="5">
        <v>10</v>
      </c>
      <c r="D1044" s="9" t="s">
        <v>11</v>
      </c>
      <c r="E1044" s="10">
        <v>140</v>
      </c>
      <c r="F1044" s="10">
        <f t="shared" si="16"/>
        <v>1400</v>
      </c>
    </row>
    <row r="1045" spans="1:6" x14ac:dyDescent="0.25">
      <c r="A1045" s="9"/>
      <c r="B1045" s="9"/>
      <c r="D1045" s="9"/>
      <c r="F1045" s="8">
        <f>SUM(F1043:F1044)</f>
        <v>7000</v>
      </c>
    </row>
    <row r="1046" spans="1:6" x14ac:dyDescent="0.25">
      <c r="A1046" s="9"/>
      <c r="B1046" s="9"/>
      <c r="D1046" s="9"/>
    </row>
    <row r="1047" spans="1:6" x14ac:dyDescent="0.25">
      <c r="A1047" s="9" t="s">
        <v>117</v>
      </c>
      <c r="B1047" s="4">
        <v>45915</v>
      </c>
      <c r="C1047" s="5">
        <v>5</v>
      </c>
      <c r="D1047" s="9" t="s">
        <v>13</v>
      </c>
      <c r="E1047" s="10">
        <v>160</v>
      </c>
      <c r="F1047" s="10">
        <f t="shared" si="16"/>
        <v>800</v>
      </c>
    </row>
    <row r="1048" spans="1:6" x14ac:dyDescent="0.25">
      <c r="A1048" s="9"/>
      <c r="B1048" s="9"/>
      <c r="D1048" s="9"/>
      <c r="F1048" s="8">
        <f>SUM(F1047)</f>
        <v>800</v>
      </c>
    </row>
    <row r="1049" spans="1:6" x14ac:dyDescent="0.25">
      <c r="A1049" s="9"/>
      <c r="B1049" s="9"/>
      <c r="D1049" s="9"/>
    </row>
    <row r="1050" spans="1:6" x14ac:dyDescent="0.25">
      <c r="A1050" s="9" t="s">
        <v>103</v>
      </c>
      <c r="B1050" s="4">
        <v>45915</v>
      </c>
      <c r="C1050" s="5">
        <v>4</v>
      </c>
      <c r="D1050" s="9" t="s">
        <v>13</v>
      </c>
      <c r="E1050" s="10">
        <v>160</v>
      </c>
      <c r="F1050" s="10">
        <f t="shared" si="16"/>
        <v>640</v>
      </c>
    </row>
    <row r="1051" spans="1:6" x14ac:dyDescent="0.25">
      <c r="A1051" s="9"/>
      <c r="B1051" s="9"/>
      <c r="D1051" s="9"/>
      <c r="F1051" s="8">
        <f>SUM(F1050)</f>
        <v>640</v>
      </c>
    </row>
    <row r="1052" spans="1:6" x14ac:dyDescent="0.25">
      <c r="A1052" s="9"/>
      <c r="B1052" s="9"/>
      <c r="D1052" s="9"/>
    </row>
    <row r="1053" spans="1:6" x14ac:dyDescent="0.25">
      <c r="A1053" s="9" t="s">
        <v>27</v>
      </c>
      <c r="B1053" s="4">
        <v>45915</v>
      </c>
      <c r="C1053" s="5">
        <v>3</v>
      </c>
      <c r="D1053" s="9" t="s">
        <v>13</v>
      </c>
      <c r="E1053" s="10">
        <v>160</v>
      </c>
      <c r="F1053" s="10">
        <f t="shared" si="16"/>
        <v>480</v>
      </c>
    </row>
    <row r="1054" spans="1:6" x14ac:dyDescent="0.25">
      <c r="A1054" s="9"/>
      <c r="B1054" s="9"/>
      <c r="D1054" s="9"/>
      <c r="F1054" s="8">
        <f>SUM(F1053)</f>
        <v>480</v>
      </c>
    </row>
    <row r="1055" spans="1:6" x14ac:dyDescent="0.25">
      <c r="A1055" s="9"/>
      <c r="B1055" s="9"/>
      <c r="D1055" s="9"/>
    </row>
    <row r="1056" spans="1:6" x14ac:dyDescent="0.25">
      <c r="A1056" s="9" t="s">
        <v>946</v>
      </c>
      <c r="B1056" s="4">
        <v>45915</v>
      </c>
      <c r="C1056" s="5">
        <v>4</v>
      </c>
      <c r="D1056" s="9" t="s">
        <v>13</v>
      </c>
      <c r="E1056" s="10">
        <v>160</v>
      </c>
      <c r="F1056" s="10">
        <f t="shared" si="16"/>
        <v>640</v>
      </c>
    </row>
    <row r="1057" spans="1:6" x14ac:dyDescent="0.25">
      <c r="A1057" s="9"/>
      <c r="B1057" s="9"/>
      <c r="D1057" s="9"/>
      <c r="E1057" s="8"/>
      <c r="F1057" s="8">
        <f>SUM(F1056)</f>
        <v>640</v>
      </c>
    </row>
    <row r="1058" spans="1:6" x14ac:dyDescent="0.25">
      <c r="A1058" s="9"/>
      <c r="B1058" s="9"/>
      <c r="D1058" s="9"/>
    </row>
    <row r="1059" spans="1:6" x14ac:dyDescent="0.25">
      <c r="A1059" s="9" t="s">
        <v>330</v>
      </c>
      <c r="B1059" s="4">
        <v>45915</v>
      </c>
      <c r="C1059" s="5">
        <v>100</v>
      </c>
      <c r="D1059" s="9" t="s">
        <v>14</v>
      </c>
      <c r="F1059" s="10">
        <f t="shared" si="16"/>
        <v>0</v>
      </c>
    </row>
    <row r="1060" spans="1:6" x14ac:dyDescent="0.25">
      <c r="A1060" s="9"/>
      <c r="B1060" s="9"/>
      <c r="C1060" s="5">
        <v>100</v>
      </c>
      <c r="D1060" s="9" t="s">
        <v>11</v>
      </c>
      <c r="F1060" s="10">
        <f t="shared" si="16"/>
        <v>0</v>
      </c>
    </row>
    <row r="1061" spans="1:6" x14ac:dyDescent="0.25">
      <c r="A1061" s="9"/>
      <c r="B1061" s="9"/>
      <c r="D1061" s="9"/>
      <c r="F1061" s="8">
        <f>SUM(F1059:F1060)</f>
        <v>0</v>
      </c>
    </row>
    <row r="1062" spans="1:6" x14ac:dyDescent="0.25">
      <c r="A1062" s="9"/>
      <c r="B1062" s="9"/>
      <c r="D1062" s="9"/>
    </row>
    <row r="1063" spans="1:6" x14ac:dyDescent="0.25">
      <c r="A1063" s="9" t="s">
        <v>76</v>
      </c>
      <c r="B1063" s="4">
        <v>45915</v>
      </c>
      <c r="C1063" s="5">
        <v>260</v>
      </c>
      <c r="D1063" s="9" t="s">
        <v>11</v>
      </c>
      <c r="F1063" s="10">
        <f t="shared" si="16"/>
        <v>0</v>
      </c>
    </row>
    <row r="1064" spans="1:6" x14ac:dyDescent="0.25">
      <c r="A1064" s="9"/>
      <c r="B1064" s="9"/>
      <c r="C1064" s="5">
        <v>470</v>
      </c>
      <c r="D1064" s="9" t="s">
        <v>14</v>
      </c>
      <c r="F1064" s="10">
        <f t="shared" si="16"/>
        <v>0</v>
      </c>
    </row>
    <row r="1065" spans="1:6" x14ac:dyDescent="0.25">
      <c r="A1065" s="9"/>
      <c r="B1065" s="9"/>
      <c r="D1065" s="9"/>
      <c r="F1065" s="8">
        <f>SUM(F1063:F1064)</f>
        <v>0</v>
      </c>
    </row>
    <row r="1066" spans="1:6" x14ac:dyDescent="0.25">
      <c r="A1066" s="9"/>
      <c r="B1066" s="9"/>
      <c r="D1066" s="9"/>
    </row>
    <row r="1067" spans="1:6" x14ac:dyDescent="0.25">
      <c r="A1067" s="9" t="s">
        <v>29</v>
      </c>
      <c r="B1067" s="4">
        <v>45915</v>
      </c>
      <c r="C1067" s="5">
        <v>2</v>
      </c>
      <c r="D1067" s="9" t="s">
        <v>12</v>
      </c>
      <c r="E1067" s="10">
        <v>140</v>
      </c>
      <c r="F1067" s="10">
        <f t="shared" si="16"/>
        <v>280</v>
      </c>
    </row>
    <row r="1068" spans="1:6" x14ac:dyDescent="0.25">
      <c r="A1068" s="9"/>
      <c r="B1068" s="9"/>
      <c r="C1068" s="5">
        <v>10</v>
      </c>
      <c r="D1068" s="9" t="s">
        <v>22</v>
      </c>
      <c r="E1068" s="10">
        <v>135</v>
      </c>
      <c r="F1068" s="10">
        <f t="shared" si="16"/>
        <v>1350</v>
      </c>
    </row>
    <row r="1069" spans="1:6" x14ac:dyDescent="0.25">
      <c r="A1069" s="9"/>
      <c r="B1069" s="9"/>
      <c r="C1069" s="5">
        <v>2</v>
      </c>
      <c r="D1069" s="9" t="s">
        <v>492</v>
      </c>
      <c r="E1069" s="10">
        <v>150</v>
      </c>
      <c r="F1069" s="10">
        <f t="shared" si="16"/>
        <v>300</v>
      </c>
    </row>
    <row r="1070" spans="1:6" x14ac:dyDescent="0.25">
      <c r="A1070" s="9"/>
      <c r="B1070" s="9"/>
      <c r="D1070" s="9"/>
      <c r="F1070" s="8">
        <f>SUM(F1067:F1069)</f>
        <v>1930</v>
      </c>
    </row>
    <row r="1071" spans="1:6" x14ac:dyDescent="0.25">
      <c r="A1071" s="9"/>
      <c r="B1071" s="9"/>
      <c r="D1071" s="9"/>
    </row>
    <row r="1072" spans="1:6" x14ac:dyDescent="0.25">
      <c r="A1072" s="9" t="s">
        <v>181</v>
      </c>
      <c r="B1072" s="4">
        <v>45915</v>
      </c>
      <c r="C1072" s="5">
        <v>2</v>
      </c>
      <c r="D1072" s="9" t="s">
        <v>12</v>
      </c>
      <c r="E1072" s="10">
        <v>150</v>
      </c>
      <c r="F1072" s="10">
        <f t="shared" si="16"/>
        <v>300</v>
      </c>
    </row>
    <row r="1073" spans="1:6" x14ac:dyDescent="0.25">
      <c r="A1073" s="9"/>
      <c r="B1073" s="9"/>
      <c r="C1073" s="5">
        <v>1</v>
      </c>
      <c r="D1073" s="9" t="s">
        <v>12</v>
      </c>
      <c r="E1073" s="10">
        <v>150</v>
      </c>
      <c r="F1073" s="10">
        <f t="shared" si="16"/>
        <v>150</v>
      </c>
    </row>
    <row r="1074" spans="1:6" x14ac:dyDescent="0.25">
      <c r="A1074" s="9"/>
      <c r="B1074" s="9"/>
      <c r="C1074" s="5">
        <v>1</v>
      </c>
      <c r="D1074" s="9" t="s">
        <v>225</v>
      </c>
      <c r="E1074" s="10">
        <v>150</v>
      </c>
      <c r="F1074" s="10">
        <f t="shared" si="16"/>
        <v>150</v>
      </c>
    </row>
    <row r="1075" spans="1:6" x14ac:dyDescent="0.25">
      <c r="A1075" s="9"/>
      <c r="B1075" s="9"/>
      <c r="D1075" s="9"/>
      <c r="F1075" s="8">
        <f>SUM(F1072:F1074)</f>
        <v>600</v>
      </c>
    </row>
    <row r="1076" spans="1:6" x14ac:dyDescent="0.25">
      <c r="A1076" s="9"/>
      <c r="B1076" s="9"/>
      <c r="D1076" s="9"/>
    </row>
    <row r="1077" spans="1:6" s="9" customFormat="1" x14ac:dyDescent="0.25">
      <c r="A1077" s="9" t="s">
        <v>292</v>
      </c>
      <c r="B1077" s="4">
        <v>45916</v>
      </c>
      <c r="C1077" s="5">
        <v>4</v>
      </c>
      <c r="D1077" s="9" t="s">
        <v>8</v>
      </c>
      <c r="E1077" s="10">
        <v>155</v>
      </c>
      <c r="F1077" s="10">
        <f t="shared" si="16"/>
        <v>620</v>
      </c>
    </row>
    <row r="1078" spans="1:6" s="9" customFormat="1" x14ac:dyDescent="0.25">
      <c r="C1078" s="5">
        <v>4</v>
      </c>
      <c r="D1078" s="9" t="s">
        <v>947</v>
      </c>
      <c r="E1078" s="10">
        <v>140</v>
      </c>
      <c r="F1078" s="10">
        <f t="shared" si="16"/>
        <v>560</v>
      </c>
    </row>
    <row r="1079" spans="1:6" s="9" customFormat="1" x14ac:dyDescent="0.25">
      <c r="C1079" s="5"/>
      <c r="E1079" s="10"/>
      <c r="F1079" s="8">
        <f>SUM(F1077:F1078)</f>
        <v>1180</v>
      </c>
    </row>
    <row r="1080" spans="1:6" s="9" customFormat="1" x14ac:dyDescent="0.25">
      <c r="C1080" s="5"/>
      <c r="E1080" s="10"/>
      <c r="F1080" s="10"/>
    </row>
    <row r="1081" spans="1:6" s="9" customFormat="1" x14ac:dyDescent="0.25">
      <c r="A1081" s="9" t="s">
        <v>44</v>
      </c>
      <c r="B1081" s="4">
        <v>45916</v>
      </c>
      <c r="C1081" s="5">
        <v>100</v>
      </c>
      <c r="D1081" s="9" t="s">
        <v>13</v>
      </c>
      <c r="E1081" s="10">
        <v>150</v>
      </c>
      <c r="F1081" s="10">
        <f t="shared" si="16"/>
        <v>15000</v>
      </c>
    </row>
    <row r="1082" spans="1:6" s="9" customFormat="1" x14ac:dyDescent="0.25">
      <c r="C1082" s="5"/>
      <c r="E1082" s="10"/>
      <c r="F1082" s="8">
        <f>SUM(F1081)</f>
        <v>15000</v>
      </c>
    </row>
    <row r="1083" spans="1:6" s="9" customFormat="1" x14ac:dyDescent="0.25">
      <c r="C1083" s="5"/>
      <c r="E1083" s="10"/>
      <c r="F1083" s="10"/>
    </row>
    <row r="1084" spans="1:6" s="9" customFormat="1" x14ac:dyDescent="0.25">
      <c r="A1084" s="9" t="s">
        <v>76</v>
      </c>
      <c r="B1084" s="4">
        <v>45916</v>
      </c>
      <c r="C1084" s="5">
        <v>10</v>
      </c>
      <c r="D1084" s="9" t="s">
        <v>8</v>
      </c>
      <c r="E1084" s="10"/>
      <c r="F1084" s="10">
        <f t="shared" si="16"/>
        <v>0</v>
      </c>
    </row>
    <row r="1085" spans="1:6" s="9" customFormat="1" x14ac:dyDescent="0.25">
      <c r="C1085" s="5">
        <v>160</v>
      </c>
      <c r="D1085" s="9" t="s">
        <v>13</v>
      </c>
      <c r="E1085" s="10"/>
      <c r="F1085" s="10">
        <f t="shared" si="16"/>
        <v>0</v>
      </c>
    </row>
    <row r="1086" spans="1:6" s="9" customFormat="1" x14ac:dyDescent="0.25">
      <c r="C1086" s="5">
        <v>36</v>
      </c>
      <c r="D1086" s="9" t="s">
        <v>12</v>
      </c>
      <c r="E1086" s="10"/>
      <c r="F1086" s="10">
        <f t="shared" si="16"/>
        <v>0</v>
      </c>
    </row>
    <row r="1087" spans="1:6" s="9" customFormat="1" x14ac:dyDescent="0.25">
      <c r="C1087" s="5">
        <v>37</v>
      </c>
      <c r="D1087" s="9" t="s">
        <v>50</v>
      </c>
      <c r="E1087" s="10"/>
      <c r="F1087" s="10">
        <f t="shared" si="16"/>
        <v>0</v>
      </c>
    </row>
    <row r="1088" spans="1:6" s="9" customFormat="1" x14ac:dyDescent="0.25">
      <c r="C1088" s="5">
        <v>52</v>
      </c>
      <c r="D1088" s="9" t="s">
        <v>948</v>
      </c>
      <c r="E1088" s="10"/>
      <c r="F1088" s="10">
        <f t="shared" si="16"/>
        <v>0</v>
      </c>
    </row>
    <row r="1089" spans="1:6" x14ac:dyDescent="0.25">
      <c r="A1089" s="9"/>
      <c r="B1089" s="9"/>
      <c r="D1089" s="9"/>
      <c r="F1089" s="8">
        <f>SUM(F1084:F1088)</f>
        <v>0</v>
      </c>
    </row>
    <row r="1090" spans="1:6" x14ac:dyDescent="0.25">
      <c r="A1090" s="9"/>
      <c r="B1090" s="9"/>
      <c r="D1090" s="9"/>
    </row>
    <row r="1091" spans="1:6" x14ac:dyDescent="0.25">
      <c r="A1091" s="9" t="s">
        <v>87</v>
      </c>
      <c r="B1091" s="4">
        <v>45916</v>
      </c>
      <c r="C1091" s="5">
        <v>2</v>
      </c>
      <c r="D1091" s="9" t="s">
        <v>449</v>
      </c>
      <c r="E1091" s="10">
        <v>160</v>
      </c>
      <c r="F1091" s="10">
        <f t="shared" ref="F1091:F1152" si="17">+C1091*E1091</f>
        <v>320</v>
      </c>
    </row>
    <row r="1092" spans="1:6" x14ac:dyDescent="0.25">
      <c r="A1092" s="9"/>
      <c r="B1092" s="9"/>
      <c r="C1092" s="5">
        <v>2</v>
      </c>
      <c r="D1092" s="9" t="s">
        <v>22</v>
      </c>
      <c r="E1092" s="10">
        <v>130</v>
      </c>
      <c r="F1092" s="10">
        <f t="shared" si="17"/>
        <v>260</v>
      </c>
    </row>
    <row r="1093" spans="1:6" x14ac:dyDescent="0.25">
      <c r="A1093" s="9"/>
      <c r="B1093" s="9"/>
      <c r="D1093" s="9"/>
      <c r="F1093" s="8">
        <f>SUM(F1091:F1092)</f>
        <v>580</v>
      </c>
    </row>
    <row r="1094" spans="1:6" x14ac:dyDescent="0.25">
      <c r="A1094" s="9"/>
      <c r="B1094" s="9"/>
      <c r="D1094" s="9"/>
    </row>
    <row r="1095" spans="1:6" x14ac:dyDescent="0.25">
      <c r="A1095" s="9" t="s">
        <v>949</v>
      </c>
      <c r="B1095" s="4">
        <v>45916</v>
      </c>
      <c r="C1095" s="5">
        <v>4</v>
      </c>
      <c r="D1095" s="9" t="s">
        <v>12</v>
      </c>
      <c r="E1095" s="10">
        <v>145</v>
      </c>
      <c r="F1095" s="10">
        <f t="shared" si="17"/>
        <v>580</v>
      </c>
    </row>
    <row r="1096" spans="1:6" x14ac:dyDescent="0.25">
      <c r="A1096" s="9"/>
      <c r="B1096" s="9"/>
      <c r="D1096" s="9"/>
      <c r="F1096" s="8">
        <f>SUM(F1095)</f>
        <v>580</v>
      </c>
    </row>
    <row r="1097" spans="1:6" x14ac:dyDescent="0.25">
      <c r="A1097" s="9"/>
      <c r="B1097" s="9"/>
      <c r="D1097" s="9"/>
    </row>
    <row r="1098" spans="1:6" x14ac:dyDescent="0.25">
      <c r="A1098" s="9" t="s">
        <v>853</v>
      </c>
      <c r="B1098" s="4">
        <v>45916</v>
      </c>
      <c r="C1098" s="5">
        <v>3</v>
      </c>
      <c r="D1098" s="9" t="s">
        <v>488</v>
      </c>
      <c r="E1098" s="10">
        <v>160</v>
      </c>
      <c r="F1098" s="10">
        <f t="shared" si="17"/>
        <v>480</v>
      </c>
    </row>
    <row r="1099" spans="1:6" x14ac:dyDescent="0.25">
      <c r="A1099" s="9"/>
      <c r="B1099" s="9"/>
      <c r="D1099" s="9"/>
      <c r="F1099" s="8">
        <f>SUM(F1098)</f>
        <v>480</v>
      </c>
    </row>
    <row r="1100" spans="1:6" x14ac:dyDescent="0.25">
      <c r="A1100" s="9"/>
      <c r="B1100" s="9"/>
      <c r="D1100" s="9"/>
    </row>
    <row r="1101" spans="1:6" x14ac:dyDescent="0.25">
      <c r="A1101" s="9" t="s">
        <v>174</v>
      </c>
      <c r="B1101" s="4">
        <v>45916</v>
      </c>
      <c r="C1101" s="5">
        <v>60</v>
      </c>
      <c r="D1101" s="9" t="s">
        <v>852</v>
      </c>
      <c r="E1101" s="10">
        <v>145</v>
      </c>
      <c r="F1101" s="10">
        <f t="shared" si="17"/>
        <v>8700</v>
      </c>
    </row>
    <row r="1102" spans="1:6" x14ac:dyDescent="0.25">
      <c r="A1102" s="9"/>
      <c r="B1102" s="9"/>
      <c r="C1102" s="5">
        <v>59</v>
      </c>
      <c r="D1102" s="9" t="s">
        <v>22</v>
      </c>
      <c r="E1102" s="10">
        <v>130</v>
      </c>
      <c r="F1102" s="10">
        <f t="shared" si="17"/>
        <v>7670</v>
      </c>
    </row>
    <row r="1103" spans="1:6" x14ac:dyDescent="0.25">
      <c r="A1103" s="9"/>
      <c r="B1103" s="9"/>
      <c r="D1103" s="9"/>
      <c r="F1103" s="8">
        <f>SUM(F1101:F1102)</f>
        <v>16370</v>
      </c>
    </row>
    <row r="1104" spans="1:6" x14ac:dyDescent="0.25">
      <c r="A1104" s="9"/>
      <c r="B1104" s="9"/>
      <c r="D1104" s="9"/>
    </row>
    <row r="1105" spans="1:6" x14ac:dyDescent="0.25">
      <c r="A1105" s="9" t="s">
        <v>632</v>
      </c>
      <c r="B1105" s="4">
        <v>45916</v>
      </c>
      <c r="C1105" s="5">
        <v>60</v>
      </c>
      <c r="D1105" s="9" t="s">
        <v>13</v>
      </c>
      <c r="E1105" s="10">
        <v>160</v>
      </c>
      <c r="F1105" s="10">
        <f t="shared" si="17"/>
        <v>9600</v>
      </c>
    </row>
    <row r="1106" spans="1:6" x14ac:dyDescent="0.25">
      <c r="A1106" s="9"/>
      <c r="B1106" s="9"/>
      <c r="D1106" s="9"/>
      <c r="F1106" s="8">
        <f>SUM(F1105)</f>
        <v>9600</v>
      </c>
    </row>
    <row r="1107" spans="1:6" x14ac:dyDescent="0.25">
      <c r="A1107" s="9"/>
      <c r="B1107" s="9"/>
      <c r="D1107" s="9"/>
    </row>
    <row r="1108" spans="1:6" x14ac:dyDescent="0.25">
      <c r="A1108" s="9" t="s">
        <v>112</v>
      </c>
      <c r="B1108" s="4">
        <v>45916</v>
      </c>
      <c r="C1108" s="5">
        <v>40</v>
      </c>
      <c r="D1108" s="9" t="s">
        <v>14</v>
      </c>
      <c r="E1108" s="10">
        <v>145</v>
      </c>
      <c r="F1108" s="10">
        <f t="shared" si="17"/>
        <v>5800</v>
      </c>
    </row>
    <row r="1109" spans="1:6" x14ac:dyDescent="0.25">
      <c r="A1109" s="9"/>
      <c r="B1109" s="9"/>
      <c r="C1109" s="5">
        <v>20</v>
      </c>
      <c r="D1109" s="9" t="s">
        <v>11</v>
      </c>
      <c r="E1109" s="10">
        <v>140</v>
      </c>
      <c r="F1109" s="10">
        <f t="shared" si="17"/>
        <v>2800</v>
      </c>
    </row>
    <row r="1110" spans="1:6" x14ac:dyDescent="0.25">
      <c r="A1110" s="9"/>
      <c r="B1110" s="9"/>
      <c r="C1110" s="5">
        <v>20</v>
      </c>
      <c r="D1110" s="9" t="s">
        <v>50</v>
      </c>
      <c r="E1110" s="10">
        <v>133</v>
      </c>
      <c r="F1110" s="10">
        <f t="shared" si="17"/>
        <v>2660</v>
      </c>
    </row>
    <row r="1111" spans="1:6" x14ac:dyDescent="0.25">
      <c r="A1111" s="9"/>
      <c r="B1111" s="9"/>
      <c r="C1111" s="5">
        <v>75</v>
      </c>
      <c r="D1111" s="9" t="s">
        <v>22</v>
      </c>
      <c r="E1111" s="10">
        <v>130</v>
      </c>
      <c r="F1111" s="10">
        <f t="shared" si="17"/>
        <v>9750</v>
      </c>
    </row>
    <row r="1112" spans="1:6" x14ac:dyDescent="0.25">
      <c r="A1112" s="9"/>
      <c r="B1112" s="9"/>
      <c r="D1112" s="9"/>
      <c r="F1112" s="8">
        <f>SUM(F1108:F1111)</f>
        <v>21010</v>
      </c>
    </row>
    <row r="1113" spans="1:6" x14ac:dyDescent="0.25">
      <c r="A1113" s="9"/>
      <c r="B1113" s="9"/>
      <c r="D1113" s="9"/>
    </row>
    <row r="1114" spans="1:6" x14ac:dyDescent="0.25">
      <c r="A1114" s="9" t="s">
        <v>113</v>
      </c>
      <c r="B1114" s="4">
        <v>45916</v>
      </c>
      <c r="C1114" s="5">
        <v>20</v>
      </c>
      <c r="D1114" s="9" t="s">
        <v>8</v>
      </c>
      <c r="E1114" s="10">
        <v>165</v>
      </c>
      <c r="F1114" s="10">
        <f t="shared" si="17"/>
        <v>3300</v>
      </c>
    </row>
    <row r="1115" spans="1:6" x14ac:dyDescent="0.25">
      <c r="A1115" s="9"/>
      <c r="B1115" s="9"/>
      <c r="D1115" s="9"/>
      <c r="F1115" s="8">
        <f>SUM(F1114)</f>
        <v>3300</v>
      </c>
    </row>
    <row r="1116" spans="1:6" x14ac:dyDescent="0.25">
      <c r="A1116" s="9"/>
      <c r="B1116" s="9"/>
      <c r="D1116" s="9"/>
    </row>
    <row r="1117" spans="1:6" x14ac:dyDescent="0.25">
      <c r="A1117" s="9" t="s">
        <v>950</v>
      </c>
      <c r="B1117" s="4">
        <v>45916</v>
      </c>
      <c r="C1117" s="5">
        <v>10</v>
      </c>
      <c r="D1117" s="9" t="s">
        <v>8</v>
      </c>
      <c r="E1117" s="10">
        <v>165</v>
      </c>
      <c r="F1117" s="10">
        <f t="shared" si="17"/>
        <v>1650</v>
      </c>
    </row>
    <row r="1118" spans="1:6" x14ac:dyDescent="0.25">
      <c r="A1118" s="9"/>
      <c r="B1118" s="9"/>
      <c r="D1118" s="9"/>
      <c r="F1118" s="8">
        <f>SUM(F1117)</f>
        <v>1650</v>
      </c>
    </row>
    <row r="1119" spans="1:6" s="9" customFormat="1" x14ac:dyDescent="0.25">
      <c r="C1119" s="5"/>
      <c r="E1119" s="10"/>
      <c r="F1119" s="10"/>
    </row>
    <row r="1120" spans="1:6" s="9" customFormat="1" x14ac:dyDescent="0.25">
      <c r="A1120" s="9" t="s">
        <v>26</v>
      </c>
      <c r="B1120" s="4">
        <v>45916</v>
      </c>
      <c r="C1120" s="5">
        <v>10</v>
      </c>
      <c r="D1120" s="9" t="s">
        <v>14</v>
      </c>
      <c r="E1120" s="10">
        <v>145</v>
      </c>
      <c r="F1120" s="10">
        <f t="shared" si="17"/>
        <v>1450</v>
      </c>
    </row>
    <row r="1121" spans="1:6" s="9" customFormat="1" x14ac:dyDescent="0.25">
      <c r="C1121" s="5"/>
      <c r="E1121" s="10"/>
      <c r="F1121" s="8">
        <f>SUM(F1120)</f>
        <v>1450</v>
      </c>
    </row>
    <row r="1122" spans="1:6" x14ac:dyDescent="0.25">
      <c r="A1122" s="9"/>
      <c r="B1122" s="9"/>
      <c r="D1122" s="9"/>
    </row>
    <row r="1123" spans="1:6" x14ac:dyDescent="0.25">
      <c r="A1123" s="9" t="s">
        <v>101</v>
      </c>
      <c r="B1123" s="4">
        <v>45916</v>
      </c>
      <c r="C1123" s="5">
        <v>1</v>
      </c>
      <c r="D1123" s="9" t="s">
        <v>13</v>
      </c>
      <c r="E1123" s="10">
        <v>160</v>
      </c>
      <c r="F1123" s="10">
        <f t="shared" si="17"/>
        <v>160</v>
      </c>
    </row>
    <row r="1124" spans="1:6" x14ac:dyDescent="0.25">
      <c r="A1124" s="9"/>
      <c r="B1124" s="9"/>
      <c r="C1124" s="5">
        <v>1</v>
      </c>
      <c r="D1124" s="9" t="s">
        <v>12</v>
      </c>
      <c r="E1124" s="10">
        <v>1540</v>
      </c>
      <c r="F1124" s="10">
        <f t="shared" si="17"/>
        <v>1540</v>
      </c>
    </row>
    <row r="1125" spans="1:6" x14ac:dyDescent="0.25">
      <c r="A1125" s="9"/>
      <c r="B1125" s="9"/>
      <c r="C1125" s="5">
        <v>1</v>
      </c>
      <c r="D1125" s="9" t="s">
        <v>91</v>
      </c>
      <c r="E1125" s="10">
        <v>110</v>
      </c>
      <c r="F1125" s="10">
        <f t="shared" si="17"/>
        <v>110</v>
      </c>
    </row>
    <row r="1126" spans="1:6" x14ac:dyDescent="0.25">
      <c r="A1126" s="9"/>
      <c r="B1126" s="9"/>
      <c r="C1126" s="5">
        <v>1</v>
      </c>
      <c r="D1126" s="9" t="s">
        <v>8</v>
      </c>
      <c r="E1126" s="10">
        <v>170</v>
      </c>
      <c r="F1126" s="10">
        <f t="shared" si="17"/>
        <v>170</v>
      </c>
    </row>
    <row r="1127" spans="1:6" x14ac:dyDescent="0.25">
      <c r="A1127" s="9"/>
      <c r="B1127" s="9"/>
      <c r="C1127" s="5">
        <v>1</v>
      </c>
      <c r="D1127" s="9" t="s">
        <v>12</v>
      </c>
      <c r="E1127" s="10">
        <v>150</v>
      </c>
      <c r="F1127" s="10">
        <f t="shared" si="17"/>
        <v>150</v>
      </c>
    </row>
    <row r="1128" spans="1:6" x14ac:dyDescent="0.25">
      <c r="A1128" s="9"/>
      <c r="B1128" s="9"/>
      <c r="C1128" s="5">
        <v>1</v>
      </c>
      <c r="D1128" s="9" t="s">
        <v>13</v>
      </c>
      <c r="E1128" s="10">
        <v>160</v>
      </c>
      <c r="F1128" s="10">
        <f t="shared" si="17"/>
        <v>160</v>
      </c>
    </row>
    <row r="1129" spans="1:6" x14ac:dyDescent="0.25">
      <c r="A1129" s="9"/>
      <c r="B1129" s="9"/>
      <c r="C1129" s="5">
        <v>1</v>
      </c>
      <c r="D1129" s="9" t="s">
        <v>8</v>
      </c>
      <c r="E1129" s="10">
        <v>170</v>
      </c>
      <c r="F1129" s="10">
        <f t="shared" si="17"/>
        <v>170</v>
      </c>
    </row>
    <row r="1130" spans="1:6" x14ac:dyDescent="0.25">
      <c r="A1130" s="9"/>
      <c r="B1130" s="9"/>
      <c r="D1130" s="9"/>
      <c r="F1130" s="8">
        <f>SUM(F1123:F1129)</f>
        <v>2460</v>
      </c>
    </row>
    <row r="1131" spans="1:6" x14ac:dyDescent="0.25">
      <c r="A1131" s="9"/>
      <c r="B1131" s="9"/>
      <c r="D1131" s="9"/>
    </row>
    <row r="1132" spans="1:6" x14ac:dyDescent="0.25">
      <c r="A1132" s="9" t="s">
        <v>7</v>
      </c>
      <c r="B1132" s="4">
        <v>45916</v>
      </c>
      <c r="C1132" s="5">
        <v>6</v>
      </c>
      <c r="D1132" s="9" t="s">
        <v>12</v>
      </c>
      <c r="E1132" s="10">
        <v>150</v>
      </c>
      <c r="F1132" s="10">
        <f t="shared" si="17"/>
        <v>900</v>
      </c>
    </row>
    <row r="1133" spans="1:6" x14ac:dyDescent="0.25">
      <c r="A1133" s="9"/>
      <c r="B1133" s="9"/>
      <c r="C1133" s="5">
        <v>1</v>
      </c>
      <c r="D1133" s="9" t="s">
        <v>8</v>
      </c>
      <c r="E1133" s="10">
        <v>170</v>
      </c>
      <c r="F1133" s="10">
        <f t="shared" si="17"/>
        <v>170</v>
      </c>
    </row>
    <row r="1134" spans="1:6" x14ac:dyDescent="0.25">
      <c r="A1134" s="9"/>
      <c r="B1134" s="9"/>
      <c r="C1134" s="5">
        <v>15</v>
      </c>
      <c r="D1134" s="9" t="s">
        <v>161</v>
      </c>
      <c r="E1134" s="10">
        <v>140</v>
      </c>
      <c r="F1134" s="10">
        <f t="shared" si="17"/>
        <v>2100</v>
      </c>
    </row>
    <row r="1135" spans="1:6" x14ac:dyDescent="0.25">
      <c r="A1135" s="9"/>
      <c r="B1135" s="9"/>
      <c r="D1135" s="9"/>
      <c r="F1135" s="8">
        <f>SUM(F1132:F1134)</f>
        <v>3170</v>
      </c>
    </row>
    <row r="1136" spans="1:6" x14ac:dyDescent="0.25">
      <c r="A1136" s="9"/>
      <c r="B1136" s="9"/>
      <c r="D1136" s="9"/>
    </row>
    <row r="1137" spans="1:6" x14ac:dyDescent="0.25">
      <c r="A1137" s="9" t="s">
        <v>827</v>
      </c>
      <c r="B1137" s="4">
        <v>45917</v>
      </c>
      <c r="C1137" s="5">
        <v>10</v>
      </c>
      <c r="D1137" s="9" t="s">
        <v>98</v>
      </c>
      <c r="E1137" s="10">
        <v>110</v>
      </c>
      <c r="F1137" s="10">
        <f t="shared" si="17"/>
        <v>1100</v>
      </c>
    </row>
    <row r="1138" spans="1:6" x14ac:dyDescent="0.25">
      <c r="A1138" s="9"/>
      <c r="B1138" s="9"/>
      <c r="D1138" s="9"/>
      <c r="F1138" s="8">
        <f>SUM(F1137)</f>
        <v>1100</v>
      </c>
    </row>
    <row r="1139" spans="1:6" x14ac:dyDescent="0.25">
      <c r="A1139" s="9"/>
      <c r="B1139" s="9"/>
      <c r="D1139" s="9"/>
    </row>
    <row r="1140" spans="1:6" x14ac:dyDescent="0.25">
      <c r="A1140" s="9" t="s">
        <v>780</v>
      </c>
      <c r="B1140" s="4">
        <v>45917</v>
      </c>
      <c r="C1140" s="5">
        <v>5</v>
      </c>
      <c r="D1140" s="9" t="s">
        <v>14</v>
      </c>
      <c r="E1140" s="10">
        <v>150</v>
      </c>
      <c r="F1140" s="10">
        <f t="shared" si="17"/>
        <v>750</v>
      </c>
    </row>
    <row r="1141" spans="1:6" x14ac:dyDescent="0.25">
      <c r="A1141" s="9"/>
      <c r="B1141" s="9"/>
      <c r="D1141" s="9"/>
      <c r="F1141" s="8">
        <f>SUM(F1140)</f>
        <v>750</v>
      </c>
    </row>
    <row r="1142" spans="1:6" x14ac:dyDescent="0.25">
      <c r="A1142" s="9"/>
      <c r="B1142" s="9"/>
      <c r="D1142" s="9"/>
    </row>
    <row r="1143" spans="1:6" x14ac:dyDescent="0.25">
      <c r="A1143" s="9" t="s">
        <v>130</v>
      </c>
      <c r="B1143" s="4">
        <v>45917</v>
      </c>
      <c r="C1143" s="5">
        <v>30</v>
      </c>
      <c r="D1143" s="9" t="s">
        <v>14</v>
      </c>
      <c r="E1143" s="10">
        <v>140</v>
      </c>
      <c r="F1143" s="10">
        <f t="shared" si="17"/>
        <v>4200</v>
      </c>
    </row>
    <row r="1144" spans="1:6" x14ac:dyDescent="0.25">
      <c r="A1144" s="9"/>
      <c r="B1144" s="9"/>
      <c r="D1144" s="9"/>
      <c r="F1144" s="8">
        <f>SUM(F1143)</f>
        <v>4200</v>
      </c>
    </row>
    <row r="1145" spans="1:6" x14ac:dyDescent="0.25">
      <c r="A1145" s="9"/>
      <c r="B1145" s="9"/>
      <c r="D1145" s="9"/>
    </row>
    <row r="1146" spans="1:6" x14ac:dyDescent="0.25">
      <c r="A1146" s="9" t="s">
        <v>107</v>
      </c>
      <c r="B1146" s="4">
        <v>45917</v>
      </c>
      <c r="C1146" s="5">
        <v>48</v>
      </c>
      <c r="D1146" s="9" t="s">
        <v>878</v>
      </c>
      <c r="E1146" s="10">
        <v>140</v>
      </c>
      <c r="F1146" s="10">
        <f t="shared" si="17"/>
        <v>6720</v>
      </c>
    </row>
    <row r="1147" spans="1:6" x14ac:dyDescent="0.25">
      <c r="A1147" s="9"/>
      <c r="B1147" s="9"/>
      <c r="D1147" s="9"/>
      <c r="F1147" s="8">
        <f>SUM(F1146)</f>
        <v>6720</v>
      </c>
    </row>
    <row r="1148" spans="1:6" x14ac:dyDescent="0.25">
      <c r="A1148" s="9"/>
      <c r="B1148" s="9"/>
      <c r="D1148" s="9"/>
    </row>
    <row r="1149" spans="1:6" x14ac:dyDescent="0.25">
      <c r="A1149" s="9" t="s">
        <v>262</v>
      </c>
      <c r="B1149" s="4">
        <v>45917</v>
      </c>
      <c r="C1149" s="5">
        <v>40</v>
      </c>
      <c r="D1149" s="9" t="s">
        <v>14</v>
      </c>
      <c r="E1149" s="10">
        <v>40</v>
      </c>
      <c r="F1149" s="10">
        <f>+C1149*E1149</f>
        <v>1600</v>
      </c>
    </row>
    <row r="1150" spans="1:6" x14ac:dyDescent="0.25">
      <c r="A1150" s="9"/>
      <c r="B1150" s="9"/>
      <c r="D1150" s="9"/>
      <c r="F1150" s="8">
        <f>SUM(F1149)</f>
        <v>1600</v>
      </c>
    </row>
    <row r="1151" spans="1:6" x14ac:dyDescent="0.25">
      <c r="A1151" s="9"/>
      <c r="B1151" s="9"/>
      <c r="D1151" s="9"/>
    </row>
    <row r="1152" spans="1:6" x14ac:dyDescent="0.25">
      <c r="A1152" s="9" t="s">
        <v>44</v>
      </c>
      <c r="B1152" s="4">
        <v>45917</v>
      </c>
      <c r="C1152" s="5">
        <v>70</v>
      </c>
      <c r="D1152" s="9" t="s">
        <v>14</v>
      </c>
      <c r="E1152" s="10">
        <v>150</v>
      </c>
      <c r="F1152" s="10">
        <f t="shared" si="17"/>
        <v>10500</v>
      </c>
    </row>
    <row r="1153" spans="1:6" x14ac:dyDescent="0.25">
      <c r="A1153" s="9"/>
      <c r="B1153" s="9"/>
      <c r="D1153" s="9"/>
      <c r="F1153" s="8">
        <f>SUM(F1152)</f>
        <v>10500</v>
      </c>
    </row>
    <row r="1154" spans="1:6" x14ac:dyDescent="0.25">
      <c r="A1154" s="9"/>
      <c r="B1154" s="9"/>
      <c r="D1154" s="9"/>
    </row>
    <row r="1155" spans="1:6" x14ac:dyDescent="0.25">
      <c r="A1155" s="9" t="s">
        <v>18</v>
      </c>
      <c r="B1155" s="4">
        <v>45917</v>
      </c>
      <c r="C1155" s="5">
        <v>20</v>
      </c>
      <c r="D1155" s="9" t="s">
        <v>14</v>
      </c>
      <c r="E1155" s="10">
        <v>150</v>
      </c>
      <c r="F1155" s="10">
        <f t="shared" ref="F1155:F1193" si="18">+C1155*E1155</f>
        <v>3000</v>
      </c>
    </row>
    <row r="1156" spans="1:6" x14ac:dyDescent="0.25">
      <c r="A1156" s="9"/>
      <c r="B1156" s="9"/>
      <c r="C1156" s="5">
        <v>10</v>
      </c>
      <c r="D1156" s="9" t="s">
        <v>12</v>
      </c>
      <c r="E1156" s="10">
        <v>145</v>
      </c>
      <c r="F1156" s="10">
        <f t="shared" si="18"/>
        <v>1450</v>
      </c>
    </row>
    <row r="1157" spans="1:6" x14ac:dyDescent="0.25">
      <c r="A1157" s="9"/>
      <c r="B1157" s="9"/>
      <c r="C1157" s="5">
        <v>30</v>
      </c>
      <c r="D1157" s="9" t="s">
        <v>50</v>
      </c>
      <c r="E1157" s="10">
        <v>135</v>
      </c>
      <c r="F1157" s="10">
        <f t="shared" si="18"/>
        <v>4050</v>
      </c>
    </row>
    <row r="1158" spans="1:6" x14ac:dyDescent="0.25">
      <c r="A1158" s="9"/>
      <c r="B1158" s="9"/>
      <c r="D1158" s="9"/>
      <c r="F1158" s="8">
        <f>SUM(F1155:F1157)</f>
        <v>8500</v>
      </c>
    </row>
    <row r="1159" spans="1:6" x14ac:dyDescent="0.25">
      <c r="A1159" s="9"/>
      <c r="B1159" s="9"/>
      <c r="D1159" s="9"/>
    </row>
    <row r="1160" spans="1:6" x14ac:dyDescent="0.25">
      <c r="A1160" s="9" t="s">
        <v>46</v>
      </c>
      <c r="B1160" s="4">
        <v>45917</v>
      </c>
      <c r="C1160" s="5">
        <v>20</v>
      </c>
      <c r="D1160" s="9" t="s">
        <v>187</v>
      </c>
      <c r="E1160" s="10">
        <v>150</v>
      </c>
      <c r="F1160" s="10">
        <f t="shared" si="18"/>
        <v>3000</v>
      </c>
    </row>
    <row r="1161" spans="1:6" x14ac:dyDescent="0.25">
      <c r="A1161" s="9"/>
      <c r="B1161" s="9"/>
      <c r="C1161" s="5">
        <v>5</v>
      </c>
      <c r="D1161" s="9" t="s">
        <v>11</v>
      </c>
      <c r="E1161" s="10">
        <v>145</v>
      </c>
      <c r="F1161" s="10">
        <f t="shared" si="18"/>
        <v>725</v>
      </c>
    </row>
    <row r="1162" spans="1:6" x14ac:dyDescent="0.25">
      <c r="A1162" s="9"/>
      <c r="B1162" s="9"/>
      <c r="D1162" s="9"/>
      <c r="F1162" s="8">
        <f>SUM(F1160:F1161)</f>
        <v>3725</v>
      </c>
    </row>
    <row r="1163" spans="1:6" x14ac:dyDescent="0.25">
      <c r="A1163" s="9"/>
      <c r="B1163" s="9"/>
      <c r="D1163" s="9"/>
    </row>
    <row r="1164" spans="1:6" x14ac:dyDescent="0.25">
      <c r="A1164" s="9" t="s">
        <v>951</v>
      </c>
      <c r="B1164" s="4">
        <v>45917</v>
      </c>
      <c r="C1164" s="5">
        <v>16</v>
      </c>
      <c r="D1164" s="9" t="s">
        <v>11</v>
      </c>
      <c r="E1164" s="10">
        <v>140</v>
      </c>
      <c r="F1164" s="10">
        <f t="shared" si="18"/>
        <v>2240</v>
      </c>
    </row>
    <row r="1165" spans="1:6" x14ac:dyDescent="0.25">
      <c r="A1165" s="9"/>
      <c r="B1165" s="9"/>
      <c r="D1165" s="9"/>
      <c r="F1165" s="8">
        <f>SUM(F1164)</f>
        <v>2240</v>
      </c>
    </row>
    <row r="1166" spans="1:6" x14ac:dyDescent="0.25">
      <c r="A1166" s="9"/>
      <c r="B1166" s="9"/>
      <c r="D1166" s="9"/>
    </row>
    <row r="1167" spans="1:6" x14ac:dyDescent="0.25">
      <c r="A1167" s="9" t="s">
        <v>684</v>
      </c>
      <c r="B1167" s="4">
        <v>45917</v>
      </c>
      <c r="C1167" s="5">
        <v>4</v>
      </c>
      <c r="D1167" s="9" t="s">
        <v>8</v>
      </c>
      <c r="E1167" s="10">
        <v>140</v>
      </c>
      <c r="F1167" s="10">
        <f t="shared" si="18"/>
        <v>560</v>
      </c>
    </row>
    <row r="1168" spans="1:6" x14ac:dyDescent="0.25">
      <c r="A1168" s="9"/>
      <c r="B1168" s="9"/>
      <c r="D1168" s="9"/>
      <c r="F1168" s="8">
        <f>SUM(F1167)</f>
        <v>560</v>
      </c>
    </row>
    <row r="1169" spans="1:6" x14ac:dyDescent="0.25">
      <c r="A1169" s="9"/>
      <c r="B1169" s="9"/>
      <c r="D1169" s="9"/>
    </row>
    <row r="1170" spans="1:6" x14ac:dyDescent="0.25">
      <c r="A1170" s="9" t="s">
        <v>72</v>
      </c>
      <c r="B1170" s="4">
        <v>45917</v>
      </c>
      <c r="C1170" s="5">
        <v>160</v>
      </c>
      <c r="D1170" s="9" t="s">
        <v>13</v>
      </c>
      <c r="E1170" s="10">
        <v>150</v>
      </c>
      <c r="F1170" s="10">
        <f t="shared" si="18"/>
        <v>24000</v>
      </c>
    </row>
    <row r="1171" spans="1:6" x14ac:dyDescent="0.25">
      <c r="A1171" s="9"/>
      <c r="B1171" s="9"/>
      <c r="C1171" s="5">
        <v>190</v>
      </c>
      <c r="D1171" s="9" t="s">
        <v>12</v>
      </c>
      <c r="E1171" s="10">
        <v>145</v>
      </c>
      <c r="F1171" s="10">
        <f t="shared" si="18"/>
        <v>27550</v>
      </c>
    </row>
    <row r="1172" spans="1:6" x14ac:dyDescent="0.25">
      <c r="A1172" s="9"/>
      <c r="B1172" s="9"/>
      <c r="C1172" s="5">
        <v>10</v>
      </c>
      <c r="D1172" s="9" t="s">
        <v>14</v>
      </c>
      <c r="E1172" s="10">
        <v>140</v>
      </c>
      <c r="F1172" s="10">
        <f t="shared" si="18"/>
        <v>1400</v>
      </c>
    </row>
    <row r="1173" spans="1:6" x14ac:dyDescent="0.25">
      <c r="A1173" s="9"/>
      <c r="B1173" s="9"/>
      <c r="C1173" s="5">
        <v>90</v>
      </c>
      <c r="D1173" s="9" t="s">
        <v>11</v>
      </c>
      <c r="E1173" s="10">
        <v>135</v>
      </c>
      <c r="F1173" s="10">
        <f t="shared" si="18"/>
        <v>12150</v>
      </c>
    </row>
    <row r="1174" spans="1:6" x14ac:dyDescent="0.25">
      <c r="A1174" s="9"/>
      <c r="B1174" s="9"/>
      <c r="D1174" s="9"/>
      <c r="F1174" s="8">
        <f>SUM(F1170:F1173)</f>
        <v>65100</v>
      </c>
    </row>
    <row r="1175" spans="1:6" x14ac:dyDescent="0.25">
      <c r="A1175" s="9"/>
      <c r="B1175" s="9"/>
      <c r="D1175" s="9"/>
    </row>
    <row r="1176" spans="1:6" x14ac:dyDescent="0.25">
      <c r="A1176" s="9" t="s">
        <v>245</v>
      </c>
      <c r="B1176" s="4">
        <v>45917</v>
      </c>
      <c r="C1176" s="5">
        <v>10</v>
      </c>
      <c r="D1176" s="9" t="s">
        <v>14</v>
      </c>
      <c r="E1176" s="10">
        <v>145</v>
      </c>
      <c r="F1176" s="10">
        <f t="shared" si="18"/>
        <v>1450</v>
      </c>
    </row>
    <row r="1177" spans="1:6" x14ac:dyDescent="0.25">
      <c r="A1177" s="9"/>
      <c r="B1177" s="9"/>
      <c r="D1177" s="9"/>
      <c r="F1177" s="8">
        <f>SUM(F1176)</f>
        <v>1450</v>
      </c>
    </row>
    <row r="1178" spans="1:6" x14ac:dyDescent="0.25">
      <c r="A1178" s="9"/>
      <c r="B1178" s="9"/>
      <c r="D1178" s="9"/>
    </row>
    <row r="1179" spans="1:6" x14ac:dyDescent="0.25">
      <c r="A1179" s="9" t="s">
        <v>29</v>
      </c>
      <c r="B1179" s="4">
        <v>45917</v>
      </c>
      <c r="C1179" s="5">
        <v>10</v>
      </c>
      <c r="D1179" s="9" t="s">
        <v>13</v>
      </c>
      <c r="E1179" s="10">
        <v>150</v>
      </c>
      <c r="F1179" s="10">
        <f t="shared" si="18"/>
        <v>1500</v>
      </c>
    </row>
    <row r="1180" spans="1:6" x14ac:dyDescent="0.25">
      <c r="A1180" s="9"/>
      <c r="B1180" s="9"/>
      <c r="C1180" s="5">
        <v>1</v>
      </c>
      <c r="D1180" s="9" t="s">
        <v>22</v>
      </c>
      <c r="E1180" s="10">
        <v>130</v>
      </c>
      <c r="F1180" s="10">
        <f t="shared" si="18"/>
        <v>130</v>
      </c>
    </row>
    <row r="1181" spans="1:6" x14ac:dyDescent="0.25">
      <c r="A1181" s="9"/>
      <c r="B1181" s="9"/>
      <c r="C1181" s="5">
        <v>1</v>
      </c>
      <c r="D1181" s="9" t="s">
        <v>8</v>
      </c>
      <c r="E1181" s="10">
        <v>140</v>
      </c>
      <c r="F1181" s="10">
        <f t="shared" si="18"/>
        <v>140</v>
      </c>
    </row>
    <row r="1182" spans="1:6" s="9" customFormat="1" x14ac:dyDescent="0.25">
      <c r="C1182" s="5">
        <v>3</v>
      </c>
      <c r="D1182" s="9" t="s">
        <v>12</v>
      </c>
      <c r="E1182" s="10">
        <v>150</v>
      </c>
      <c r="F1182" s="10">
        <f t="shared" si="18"/>
        <v>450</v>
      </c>
    </row>
    <row r="1183" spans="1:6" s="9" customFormat="1" x14ac:dyDescent="0.25">
      <c r="C1183" s="5"/>
      <c r="E1183" s="10"/>
      <c r="F1183" s="8">
        <f>SUM(F1179:F1182)</f>
        <v>2220</v>
      </c>
    </row>
    <row r="1184" spans="1:6" s="9" customFormat="1" x14ac:dyDescent="0.25">
      <c r="C1184" s="5"/>
      <c r="E1184" s="10"/>
      <c r="F1184" s="10"/>
    </row>
    <row r="1185" spans="1:6" s="9" customFormat="1" x14ac:dyDescent="0.25">
      <c r="A1185" s="9" t="s">
        <v>181</v>
      </c>
      <c r="B1185" s="4">
        <v>45917</v>
      </c>
      <c r="C1185" s="5">
        <v>9</v>
      </c>
      <c r="D1185" s="9" t="s">
        <v>110</v>
      </c>
      <c r="E1185" s="10">
        <v>3.3333330000000001</v>
      </c>
      <c r="F1185" s="10">
        <f t="shared" si="18"/>
        <v>29.999997</v>
      </c>
    </row>
    <row r="1186" spans="1:6" s="9" customFormat="1" x14ac:dyDescent="0.25">
      <c r="C1186" s="5"/>
      <c r="E1186" s="10"/>
      <c r="F1186" s="8">
        <f>SUM(F1185)</f>
        <v>29.999997</v>
      </c>
    </row>
    <row r="1187" spans="1:6" s="9" customFormat="1" x14ac:dyDescent="0.25">
      <c r="C1187" s="5"/>
      <c r="E1187" s="10"/>
      <c r="F1187" s="10"/>
    </row>
    <row r="1188" spans="1:6" s="9" customFormat="1" x14ac:dyDescent="0.25">
      <c r="A1188" s="9" t="s">
        <v>952</v>
      </c>
      <c r="B1188" s="4">
        <v>45918</v>
      </c>
      <c r="C1188" s="5">
        <v>20</v>
      </c>
      <c r="D1188" s="9" t="s">
        <v>8</v>
      </c>
      <c r="E1188" s="10">
        <v>165</v>
      </c>
      <c r="F1188" s="10">
        <f t="shared" si="18"/>
        <v>3300</v>
      </c>
    </row>
    <row r="1189" spans="1:6" s="9" customFormat="1" x14ac:dyDescent="0.25">
      <c r="C1189" s="5"/>
      <c r="E1189" s="10"/>
      <c r="F1189" s="8">
        <f>SUM(F1188)</f>
        <v>3300</v>
      </c>
    </row>
    <row r="1190" spans="1:6" s="9" customFormat="1" x14ac:dyDescent="0.25">
      <c r="C1190" s="5"/>
      <c r="E1190" s="10"/>
      <c r="F1190" s="10"/>
    </row>
    <row r="1191" spans="1:6" s="9" customFormat="1" x14ac:dyDescent="0.25">
      <c r="A1191" s="9" t="s">
        <v>923</v>
      </c>
      <c r="B1191" s="4">
        <v>45918</v>
      </c>
      <c r="C1191" s="5">
        <v>20</v>
      </c>
      <c r="D1191" s="9" t="s">
        <v>22</v>
      </c>
      <c r="E1191" s="10">
        <v>145</v>
      </c>
      <c r="F1191" s="10">
        <f t="shared" si="18"/>
        <v>2900</v>
      </c>
    </row>
    <row r="1192" spans="1:6" s="9" customFormat="1" x14ac:dyDescent="0.25">
      <c r="C1192" s="5">
        <v>20</v>
      </c>
      <c r="D1192" s="9" t="s">
        <v>12</v>
      </c>
      <c r="E1192" s="10">
        <v>150</v>
      </c>
      <c r="F1192" s="10">
        <f t="shared" si="18"/>
        <v>3000</v>
      </c>
    </row>
    <row r="1193" spans="1:6" s="9" customFormat="1" x14ac:dyDescent="0.25">
      <c r="C1193" s="5">
        <v>20</v>
      </c>
      <c r="D1193" s="9" t="s">
        <v>13</v>
      </c>
      <c r="E1193" s="10">
        <v>160</v>
      </c>
      <c r="F1193" s="10">
        <f t="shared" si="18"/>
        <v>3200</v>
      </c>
    </row>
    <row r="1194" spans="1:6" s="9" customFormat="1" x14ac:dyDescent="0.25">
      <c r="C1194" s="5"/>
      <c r="E1194" s="10"/>
      <c r="F1194" s="8">
        <f>SUM(F1191:F1193)</f>
        <v>9100</v>
      </c>
    </row>
    <row r="1195" spans="1:6" s="9" customFormat="1" x14ac:dyDescent="0.25">
      <c r="C1195" s="5"/>
      <c r="E1195" s="10"/>
      <c r="F1195" s="10"/>
    </row>
    <row r="1196" spans="1:6" s="9" customFormat="1" x14ac:dyDescent="0.25">
      <c r="A1196" s="9" t="s">
        <v>37</v>
      </c>
      <c r="B1196" s="4">
        <v>45918</v>
      </c>
      <c r="C1196" s="5">
        <v>15</v>
      </c>
      <c r="D1196" s="9" t="s">
        <v>12</v>
      </c>
      <c r="E1196" s="10">
        <v>150</v>
      </c>
      <c r="F1196" s="10">
        <f>+C1196*E1196</f>
        <v>2250</v>
      </c>
    </row>
    <row r="1197" spans="1:6" s="9" customFormat="1" x14ac:dyDescent="0.25">
      <c r="C1197" s="5"/>
      <c r="E1197" s="10"/>
      <c r="F1197" s="8">
        <f>SUM(F1196)</f>
        <v>2250</v>
      </c>
    </row>
    <row r="1198" spans="1:6" s="9" customFormat="1" x14ac:dyDescent="0.25">
      <c r="C1198" s="5"/>
      <c r="E1198" s="10"/>
      <c r="F1198" s="10"/>
    </row>
    <row r="1199" spans="1:6" s="9" customFormat="1" x14ac:dyDescent="0.25">
      <c r="A1199" s="9" t="s">
        <v>661</v>
      </c>
      <c r="B1199" s="4">
        <v>45918</v>
      </c>
      <c r="C1199" s="5">
        <v>6</v>
      </c>
      <c r="D1199" s="9" t="s">
        <v>13</v>
      </c>
      <c r="E1199" s="10">
        <v>160</v>
      </c>
      <c r="F1199" s="10">
        <f>+C1199*E1199</f>
        <v>960</v>
      </c>
    </row>
    <row r="1200" spans="1:6" s="9" customFormat="1" x14ac:dyDescent="0.25">
      <c r="C1200" s="5"/>
      <c r="E1200" s="10"/>
      <c r="F1200" s="8">
        <f>SUM(F1199)</f>
        <v>960</v>
      </c>
    </row>
    <row r="1201" spans="1:6" s="9" customFormat="1" x14ac:dyDescent="0.25">
      <c r="C1201" s="5"/>
      <c r="E1201" s="10"/>
      <c r="F1201" s="10"/>
    </row>
    <row r="1202" spans="1:6" s="9" customFormat="1" x14ac:dyDescent="0.25">
      <c r="A1202" s="9" t="s">
        <v>545</v>
      </c>
      <c r="B1202" s="4">
        <v>45918</v>
      </c>
      <c r="C1202" s="5">
        <v>20</v>
      </c>
      <c r="D1202" s="9" t="s">
        <v>13</v>
      </c>
      <c r="E1202" s="10">
        <v>150</v>
      </c>
      <c r="F1202" s="10">
        <f>+C1202*E1202</f>
        <v>3000</v>
      </c>
    </row>
    <row r="1203" spans="1:6" s="9" customFormat="1" x14ac:dyDescent="0.25">
      <c r="C1203" s="5">
        <v>50</v>
      </c>
      <c r="D1203" s="9" t="s">
        <v>12</v>
      </c>
      <c r="E1203" s="10">
        <v>140</v>
      </c>
      <c r="F1203" s="10">
        <f>+C1203*E1203</f>
        <v>7000</v>
      </c>
    </row>
    <row r="1204" spans="1:6" s="9" customFormat="1" x14ac:dyDescent="0.25">
      <c r="C1204" s="5">
        <v>20</v>
      </c>
      <c r="D1204" s="9" t="s">
        <v>11</v>
      </c>
      <c r="E1204" s="10">
        <v>140</v>
      </c>
      <c r="F1204" s="10">
        <f>+C1204*E1204</f>
        <v>2800</v>
      </c>
    </row>
    <row r="1205" spans="1:6" s="9" customFormat="1" x14ac:dyDescent="0.25">
      <c r="C1205" s="5"/>
      <c r="E1205" s="10"/>
      <c r="F1205" s="8">
        <f>SUM(F1202:F1204)</f>
        <v>12800</v>
      </c>
    </row>
    <row r="1206" spans="1:6" s="9" customFormat="1" x14ac:dyDescent="0.25">
      <c r="C1206" s="5"/>
      <c r="E1206" s="10"/>
      <c r="F1206" s="10"/>
    </row>
    <row r="1207" spans="1:6" s="9" customFormat="1" x14ac:dyDescent="0.25">
      <c r="A1207" s="9" t="s">
        <v>487</v>
      </c>
      <c r="B1207" s="4">
        <v>45918</v>
      </c>
      <c r="C1207" s="5">
        <v>7</v>
      </c>
      <c r="D1207" s="9" t="s">
        <v>12</v>
      </c>
      <c r="E1207" s="10">
        <v>150</v>
      </c>
      <c r="F1207" s="10">
        <f>+C1207*E1207</f>
        <v>1050</v>
      </c>
    </row>
    <row r="1208" spans="1:6" s="9" customFormat="1" x14ac:dyDescent="0.25">
      <c r="C1208" s="5"/>
      <c r="E1208" s="10"/>
      <c r="F1208" s="8">
        <f>SUM(F1207)</f>
        <v>1050</v>
      </c>
    </row>
    <row r="1209" spans="1:6" s="9" customFormat="1" x14ac:dyDescent="0.25">
      <c r="C1209" s="5"/>
      <c r="E1209" s="10"/>
      <c r="F1209" s="10"/>
    </row>
    <row r="1210" spans="1:6" s="9" customFormat="1" x14ac:dyDescent="0.25">
      <c r="A1210" s="9" t="s">
        <v>160</v>
      </c>
      <c r="B1210" s="4">
        <v>45918</v>
      </c>
      <c r="C1210" s="5">
        <v>5</v>
      </c>
      <c r="D1210" s="9" t="s">
        <v>12</v>
      </c>
      <c r="E1210" s="10">
        <v>150</v>
      </c>
      <c r="F1210" s="10">
        <f>+C1210*E1210</f>
        <v>750</v>
      </c>
    </row>
    <row r="1211" spans="1:6" s="9" customFormat="1" x14ac:dyDescent="0.25">
      <c r="C1211" s="5"/>
      <c r="E1211" s="10"/>
      <c r="F1211" s="8">
        <f>SUM(F1210)</f>
        <v>750</v>
      </c>
    </row>
    <row r="1212" spans="1:6" s="9" customFormat="1" x14ac:dyDescent="0.25">
      <c r="C1212" s="5"/>
      <c r="E1212" s="10"/>
      <c r="F1212" s="10"/>
    </row>
    <row r="1213" spans="1:6" s="9" customFormat="1" x14ac:dyDescent="0.25">
      <c r="A1213" s="9" t="s">
        <v>117</v>
      </c>
      <c r="B1213" s="4">
        <v>45918</v>
      </c>
      <c r="C1213" s="5">
        <v>5</v>
      </c>
      <c r="D1213" s="9" t="s">
        <v>13</v>
      </c>
      <c r="E1213" s="10">
        <v>160</v>
      </c>
      <c r="F1213" s="10">
        <f>+C1213*E1213</f>
        <v>800</v>
      </c>
    </row>
    <row r="1214" spans="1:6" x14ac:dyDescent="0.25">
      <c r="A1214" s="9"/>
      <c r="B1214" s="9"/>
      <c r="D1214" s="9"/>
      <c r="F1214" s="8">
        <f>SUM(F1213)</f>
        <v>800</v>
      </c>
    </row>
    <row r="1215" spans="1:6" x14ac:dyDescent="0.25">
      <c r="A1215" s="9"/>
      <c r="B1215" s="9"/>
      <c r="D1215" s="9"/>
    </row>
    <row r="1216" spans="1:6" x14ac:dyDescent="0.25">
      <c r="A1216" s="9" t="s">
        <v>88</v>
      </c>
      <c r="B1216" s="4">
        <v>45918</v>
      </c>
      <c r="C1216" s="5">
        <v>6</v>
      </c>
      <c r="D1216" s="9" t="s">
        <v>13</v>
      </c>
      <c r="E1216" s="10">
        <v>160</v>
      </c>
      <c r="F1216" s="10">
        <f>+C1216*E1216</f>
        <v>960</v>
      </c>
    </row>
    <row r="1217" spans="1:6" x14ac:dyDescent="0.25">
      <c r="A1217" s="9"/>
      <c r="B1217" s="9"/>
      <c r="C1217" s="5">
        <v>6</v>
      </c>
      <c r="D1217" s="9" t="s">
        <v>14</v>
      </c>
      <c r="E1217" s="10">
        <v>150</v>
      </c>
      <c r="F1217" s="10">
        <f>+C1217*E1217</f>
        <v>900</v>
      </c>
    </row>
    <row r="1218" spans="1:6" x14ac:dyDescent="0.25">
      <c r="A1218" s="9"/>
      <c r="B1218" s="9"/>
      <c r="D1218" s="9"/>
      <c r="F1218" s="8">
        <f>SUM(F1216:F1217)</f>
        <v>1860</v>
      </c>
    </row>
    <row r="1219" spans="1:6" x14ac:dyDescent="0.25">
      <c r="A1219" s="9"/>
      <c r="B1219" s="9"/>
      <c r="D1219" s="9"/>
    </row>
    <row r="1220" spans="1:6" x14ac:dyDescent="0.25">
      <c r="A1220" s="9" t="s">
        <v>205</v>
      </c>
      <c r="B1220" s="4">
        <v>45918</v>
      </c>
      <c r="C1220" s="5">
        <v>10</v>
      </c>
      <c r="D1220" s="9" t="s">
        <v>13</v>
      </c>
      <c r="E1220" s="10">
        <v>140</v>
      </c>
      <c r="F1220" s="10">
        <f t="shared" ref="F1220:F1280" si="19">+C1220*E1220</f>
        <v>1400</v>
      </c>
    </row>
    <row r="1221" spans="1:6" x14ac:dyDescent="0.25">
      <c r="A1221" s="9"/>
      <c r="B1221" s="9"/>
      <c r="D1221" s="9"/>
      <c r="F1221" s="8">
        <f>SUM(F1220)</f>
        <v>1400</v>
      </c>
    </row>
    <row r="1222" spans="1:6" x14ac:dyDescent="0.25">
      <c r="A1222" s="9"/>
      <c r="B1222" s="9"/>
      <c r="D1222" s="9"/>
    </row>
    <row r="1223" spans="1:6" x14ac:dyDescent="0.25">
      <c r="A1223" s="9" t="s">
        <v>32</v>
      </c>
      <c r="B1223" s="4">
        <v>45918</v>
      </c>
      <c r="C1223" s="5">
        <v>30</v>
      </c>
      <c r="D1223" s="9" t="s">
        <v>13</v>
      </c>
      <c r="E1223" s="10">
        <v>150</v>
      </c>
      <c r="F1223" s="10">
        <f t="shared" si="19"/>
        <v>4500</v>
      </c>
    </row>
    <row r="1224" spans="1:6" x14ac:dyDescent="0.25">
      <c r="A1224" s="9"/>
      <c r="B1224" s="9"/>
      <c r="D1224" s="9"/>
      <c r="F1224" s="8">
        <f>SUM(F1223)</f>
        <v>4500</v>
      </c>
    </row>
    <row r="1225" spans="1:6" x14ac:dyDescent="0.25">
      <c r="A1225" s="9"/>
      <c r="B1225" s="9"/>
      <c r="D1225" s="9"/>
    </row>
    <row r="1226" spans="1:6" x14ac:dyDescent="0.25">
      <c r="A1226" s="9" t="s">
        <v>65</v>
      </c>
      <c r="B1226" s="4">
        <v>45918</v>
      </c>
      <c r="C1226" s="5">
        <v>290</v>
      </c>
      <c r="D1226" s="9" t="s">
        <v>12</v>
      </c>
      <c r="F1226" s="10">
        <f t="shared" si="19"/>
        <v>0</v>
      </c>
    </row>
    <row r="1227" spans="1:6" x14ac:dyDescent="0.25">
      <c r="A1227" s="9"/>
      <c r="B1227" s="9"/>
      <c r="C1227" s="5">
        <v>125</v>
      </c>
      <c r="D1227" s="9" t="s">
        <v>22</v>
      </c>
      <c r="F1227" s="10">
        <f t="shared" si="19"/>
        <v>0</v>
      </c>
    </row>
    <row r="1228" spans="1:6" x14ac:dyDescent="0.25">
      <c r="A1228" s="9"/>
      <c r="B1228" s="9"/>
      <c r="D1228" s="9"/>
      <c r="F1228" s="8">
        <f>SUM(F1226:F1227)</f>
        <v>0</v>
      </c>
    </row>
    <row r="1229" spans="1:6" x14ac:dyDescent="0.25">
      <c r="A1229" s="9"/>
      <c r="B1229" s="9"/>
      <c r="D1229" s="9"/>
    </row>
    <row r="1230" spans="1:6" x14ac:dyDescent="0.25">
      <c r="A1230" s="9" t="s">
        <v>245</v>
      </c>
      <c r="B1230" s="4">
        <v>45918</v>
      </c>
      <c r="C1230" s="5">
        <v>10</v>
      </c>
      <c r="D1230" s="9" t="s">
        <v>14</v>
      </c>
      <c r="E1230" s="10">
        <v>145</v>
      </c>
      <c r="F1230" s="10">
        <f t="shared" si="19"/>
        <v>1450</v>
      </c>
    </row>
    <row r="1231" spans="1:6" x14ac:dyDescent="0.25">
      <c r="A1231" s="9"/>
      <c r="B1231" s="9"/>
      <c r="D1231" s="9"/>
      <c r="F1231" s="8">
        <f>SUM(F1230)</f>
        <v>1450</v>
      </c>
    </row>
    <row r="1232" spans="1:6" x14ac:dyDescent="0.25">
      <c r="A1232" s="9"/>
      <c r="B1232" s="9"/>
      <c r="D1232" s="9"/>
    </row>
    <row r="1233" spans="1:6" x14ac:dyDescent="0.25">
      <c r="A1233" s="9" t="s">
        <v>76</v>
      </c>
      <c r="B1233" s="4">
        <v>45918</v>
      </c>
      <c r="C1233" s="5">
        <v>20</v>
      </c>
      <c r="D1233" s="9" t="s">
        <v>14</v>
      </c>
      <c r="F1233" s="10">
        <f t="shared" si="19"/>
        <v>0</v>
      </c>
    </row>
    <row r="1234" spans="1:6" x14ac:dyDescent="0.25">
      <c r="A1234" s="9"/>
      <c r="B1234" s="9"/>
      <c r="C1234" s="5">
        <v>54</v>
      </c>
      <c r="D1234" s="9" t="s">
        <v>953</v>
      </c>
      <c r="F1234" s="10">
        <f t="shared" si="19"/>
        <v>0</v>
      </c>
    </row>
    <row r="1235" spans="1:6" s="9" customFormat="1" x14ac:dyDescent="0.25">
      <c r="C1235" s="5">
        <v>300</v>
      </c>
      <c r="D1235" s="9" t="s">
        <v>50</v>
      </c>
      <c r="E1235" s="10"/>
      <c r="F1235" s="10">
        <f t="shared" si="19"/>
        <v>0</v>
      </c>
    </row>
    <row r="1236" spans="1:6" s="9" customFormat="1" x14ac:dyDescent="0.25">
      <c r="C1236" s="5"/>
      <c r="E1236" s="10"/>
      <c r="F1236" s="8">
        <f>SUM(F1233:F1235)</f>
        <v>0</v>
      </c>
    </row>
    <row r="1237" spans="1:6" s="9" customFormat="1" x14ac:dyDescent="0.25">
      <c r="C1237" s="5"/>
      <c r="E1237" s="10"/>
      <c r="F1237" s="10"/>
    </row>
    <row r="1238" spans="1:6" s="9" customFormat="1" x14ac:dyDescent="0.25">
      <c r="A1238" s="9" t="s">
        <v>954</v>
      </c>
      <c r="B1238" s="4">
        <v>45918</v>
      </c>
      <c r="C1238" s="5">
        <v>5</v>
      </c>
      <c r="D1238" s="9" t="s">
        <v>13</v>
      </c>
      <c r="E1238" s="10">
        <v>160</v>
      </c>
      <c r="F1238" s="10">
        <f t="shared" si="19"/>
        <v>800</v>
      </c>
    </row>
    <row r="1239" spans="1:6" s="9" customFormat="1" x14ac:dyDescent="0.25">
      <c r="C1239" s="5"/>
      <c r="E1239" s="10"/>
      <c r="F1239" s="8">
        <f>SUM(F1238)</f>
        <v>800</v>
      </c>
    </row>
    <row r="1240" spans="1:6" s="9" customFormat="1" x14ac:dyDescent="0.25">
      <c r="C1240" s="5"/>
      <c r="E1240" s="10"/>
      <c r="F1240" s="10"/>
    </row>
    <row r="1241" spans="1:6" s="9" customFormat="1" x14ac:dyDescent="0.25">
      <c r="A1241" s="9" t="s">
        <v>7</v>
      </c>
      <c r="B1241" s="4">
        <v>45918</v>
      </c>
      <c r="C1241" s="5">
        <v>3</v>
      </c>
      <c r="D1241" s="9" t="s">
        <v>955</v>
      </c>
      <c r="E1241" s="10">
        <v>110</v>
      </c>
      <c r="F1241" s="10">
        <f t="shared" si="19"/>
        <v>330</v>
      </c>
    </row>
    <row r="1242" spans="1:6" s="9" customFormat="1" x14ac:dyDescent="0.25">
      <c r="C1242" s="5">
        <v>1</v>
      </c>
      <c r="D1242" s="9" t="s">
        <v>13</v>
      </c>
      <c r="E1242" s="10">
        <v>170</v>
      </c>
      <c r="F1242" s="10">
        <f t="shared" si="19"/>
        <v>170</v>
      </c>
    </row>
    <row r="1243" spans="1:6" s="9" customFormat="1" x14ac:dyDescent="0.25">
      <c r="C1243" s="5">
        <v>10</v>
      </c>
      <c r="D1243" s="9" t="s">
        <v>168</v>
      </c>
      <c r="E1243" s="10">
        <v>150</v>
      </c>
      <c r="F1243" s="10">
        <f t="shared" si="19"/>
        <v>1500</v>
      </c>
    </row>
    <row r="1244" spans="1:6" s="9" customFormat="1" x14ac:dyDescent="0.25">
      <c r="C1244" s="5"/>
      <c r="E1244" s="10"/>
      <c r="F1244" s="8">
        <f>SUM(F1241:F1243)</f>
        <v>2000</v>
      </c>
    </row>
    <row r="1245" spans="1:6" s="9" customFormat="1" x14ac:dyDescent="0.25">
      <c r="C1245" s="5"/>
      <c r="E1245" s="10"/>
      <c r="F1245" s="10"/>
    </row>
    <row r="1246" spans="1:6" s="9" customFormat="1" x14ac:dyDescent="0.25">
      <c r="A1246" s="9" t="s">
        <v>181</v>
      </c>
      <c r="B1246" s="4">
        <v>45918</v>
      </c>
      <c r="C1246" s="5">
        <v>2</v>
      </c>
      <c r="D1246" s="9" t="s">
        <v>8</v>
      </c>
      <c r="E1246" s="10">
        <v>170</v>
      </c>
      <c r="F1246" s="10">
        <f t="shared" si="19"/>
        <v>340</v>
      </c>
    </row>
    <row r="1247" spans="1:6" s="9" customFormat="1" x14ac:dyDescent="0.25">
      <c r="C1247" s="5">
        <v>2</v>
      </c>
      <c r="D1247" s="9" t="s">
        <v>12</v>
      </c>
      <c r="E1247" s="10">
        <v>150</v>
      </c>
      <c r="F1247" s="10">
        <f t="shared" si="19"/>
        <v>300</v>
      </c>
    </row>
    <row r="1248" spans="1:6" s="9" customFormat="1" x14ac:dyDescent="0.25">
      <c r="C1248" s="5">
        <v>1</v>
      </c>
      <c r="D1248" s="9" t="s">
        <v>8</v>
      </c>
      <c r="E1248" s="10">
        <v>150</v>
      </c>
      <c r="F1248" s="10">
        <f t="shared" si="19"/>
        <v>150</v>
      </c>
    </row>
    <row r="1249" spans="1:6" s="9" customFormat="1" x14ac:dyDescent="0.25">
      <c r="C1249" s="5"/>
      <c r="E1249" s="10"/>
      <c r="F1249" s="8">
        <f>SUM(F1246:F1248)</f>
        <v>790</v>
      </c>
    </row>
    <row r="1250" spans="1:6" s="9" customFormat="1" x14ac:dyDescent="0.25">
      <c r="C1250" s="5"/>
      <c r="E1250" s="10"/>
      <c r="F1250" s="10"/>
    </row>
    <row r="1251" spans="1:6" s="9" customFormat="1" x14ac:dyDescent="0.25">
      <c r="A1251" s="9" t="s">
        <v>514</v>
      </c>
      <c r="B1251" s="4">
        <v>45919</v>
      </c>
      <c r="C1251" s="5">
        <v>10</v>
      </c>
      <c r="D1251" s="9" t="s">
        <v>98</v>
      </c>
      <c r="E1251" s="10">
        <v>110</v>
      </c>
      <c r="F1251" s="10">
        <f t="shared" si="19"/>
        <v>1100</v>
      </c>
    </row>
    <row r="1252" spans="1:6" s="9" customFormat="1" x14ac:dyDescent="0.25">
      <c r="C1252" s="5"/>
      <c r="E1252" s="10"/>
      <c r="F1252" s="8">
        <f>SUM(F1251)</f>
        <v>1100</v>
      </c>
    </row>
    <row r="1253" spans="1:6" s="9" customFormat="1" x14ac:dyDescent="0.25">
      <c r="C1253" s="5"/>
      <c r="E1253" s="10"/>
      <c r="F1253" s="10"/>
    </row>
    <row r="1254" spans="1:6" s="9" customFormat="1" x14ac:dyDescent="0.25">
      <c r="A1254" s="9" t="s">
        <v>271</v>
      </c>
      <c r="B1254" s="4">
        <v>45919</v>
      </c>
      <c r="C1254" s="5">
        <v>60</v>
      </c>
      <c r="D1254" s="9" t="s">
        <v>98</v>
      </c>
      <c r="E1254" s="10">
        <v>110</v>
      </c>
      <c r="F1254" s="10">
        <f t="shared" si="19"/>
        <v>6600</v>
      </c>
    </row>
    <row r="1255" spans="1:6" s="9" customFormat="1" x14ac:dyDescent="0.25">
      <c r="C1255" s="5"/>
      <c r="E1255" s="10"/>
      <c r="F1255" s="8">
        <f>SUM(F1254)</f>
        <v>6600</v>
      </c>
    </row>
    <row r="1256" spans="1:6" s="9" customFormat="1" x14ac:dyDescent="0.25">
      <c r="C1256" s="5"/>
      <c r="E1256" s="10"/>
      <c r="F1256" s="10"/>
    </row>
    <row r="1257" spans="1:6" s="9" customFormat="1" x14ac:dyDescent="0.25">
      <c r="A1257" s="9" t="s">
        <v>17</v>
      </c>
      <c r="B1257" s="4">
        <v>45919</v>
      </c>
      <c r="C1257" s="5">
        <v>20</v>
      </c>
      <c r="D1257" s="9" t="s">
        <v>13</v>
      </c>
      <c r="E1257" s="10">
        <v>160</v>
      </c>
      <c r="F1257" s="10">
        <f t="shared" si="19"/>
        <v>3200</v>
      </c>
    </row>
    <row r="1258" spans="1:6" s="9" customFormat="1" x14ac:dyDescent="0.25">
      <c r="C1258" s="5"/>
      <c r="E1258" s="10"/>
      <c r="F1258" s="8">
        <f>SUM(F1257)</f>
        <v>3200</v>
      </c>
    </row>
    <row r="1259" spans="1:6" s="9" customFormat="1" x14ac:dyDescent="0.25">
      <c r="C1259" s="5"/>
      <c r="E1259" s="10"/>
      <c r="F1259" s="10"/>
    </row>
    <row r="1260" spans="1:6" s="9" customFormat="1" x14ac:dyDescent="0.25">
      <c r="A1260" s="9" t="s">
        <v>21</v>
      </c>
      <c r="B1260" s="4">
        <v>45919</v>
      </c>
      <c r="C1260" s="5">
        <v>40</v>
      </c>
      <c r="D1260" s="9" t="s">
        <v>13</v>
      </c>
      <c r="E1260" s="10">
        <v>160</v>
      </c>
      <c r="F1260" s="10">
        <f t="shared" si="19"/>
        <v>6400</v>
      </c>
    </row>
    <row r="1261" spans="1:6" s="9" customFormat="1" x14ac:dyDescent="0.25">
      <c r="C1261" s="5">
        <v>40</v>
      </c>
      <c r="D1261" s="9" t="s">
        <v>12</v>
      </c>
      <c r="E1261" s="10">
        <v>150</v>
      </c>
      <c r="F1261" s="10">
        <f t="shared" si="19"/>
        <v>6000</v>
      </c>
    </row>
    <row r="1262" spans="1:6" s="9" customFormat="1" x14ac:dyDescent="0.25">
      <c r="C1262" s="5">
        <v>30</v>
      </c>
      <c r="D1262" s="9" t="s">
        <v>22</v>
      </c>
      <c r="E1262" s="10">
        <v>135</v>
      </c>
      <c r="F1262" s="10">
        <f t="shared" si="19"/>
        <v>4050</v>
      </c>
    </row>
    <row r="1263" spans="1:6" s="9" customFormat="1" x14ac:dyDescent="0.25">
      <c r="C1263" s="5">
        <v>20</v>
      </c>
      <c r="D1263" s="9" t="s">
        <v>8</v>
      </c>
      <c r="E1263" s="10">
        <v>165</v>
      </c>
      <c r="F1263" s="10">
        <f t="shared" si="19"/>
        <v>3300</v>
      </c>
    </row>
    <row r="1264" spans="1:6" s="9" customFormat="1" x14ac:dyDescent="0.25">
      <c r="C1264" s="5">
        <v>10</v>
      </c>
      <c r="D1264" s="9" t="s">
        <v>22</v>
      </c>
      <c r="E1264" s="10">
        <v>140</v>
      </c>
      <c r="F1264" s="10">
        <f t="shared" si="19"/>
        <v>1400</v>
      </c>
    </row>
    <row r="1265" spans="1:6" s="9" customFormat="1" x14ac:dyDescent="0.25">
      <c r="C1265" s="5">
        <v>10</v>
      </c>
      <c r="D1265" s="9" t="s">
        <v>50</v>
      </c>
      <c r="E1265" s="10">
        <v>135</v>
      </c>
      <c r="F1265" s="10">
        <f t="shared" si="19"/>
        <v>1350</v>
      </c>
    </row>
    <row r="1266" spans="1:6" s="9" customFormat="1" x14ac:dyDescent="0.25">
      <c r="C1266" s="5"/>
      <c r="E1266" s="10"/>
      <c r="F1266" s="8">
        <f>SUM(F1260:F1265)</f>
        <v>22500</v>
      </c>
    </row>
    <row r="1267" spans="1:6" s="9" customFormat="1" x14ac:dyDescent="0.25">
      <c r="C1267" s="5"/>
      <c r="E1267" s="10"/>
      <c r="F1267" s="10"/>
    </row>
    <row r="1268" spans="1:6" x14ac:dyDescent="0.25">
      <c r="A1268" s="9" t="s">
        <v>57</v>
      </c>
      <c r="B1268" s="4">
        <v>45919</v>
      </c>
      <c r="C1268" s="5">
        <v>10</v>
      </c>
      <c r="D1268" s="9" t="s">
        <v>13</v>
      </c>
      <c r="E1268" s="10">
        <v>160</v>
      </c>
      <c r="F1268" s="10">
        <f t="shared" si="19"/>
        <v>1600</v>
      </c>
    </row>
    <row r="1269" spans="1:6" x14ac:dyDescent="0.25">
      <c r="A1269" s="9"/>
      <c r="B1269" s="9"/>
      <c r="D1269" s="9"/>
      <c r="F1269" s="8">
        <f>SUM(F1268)</f>
        <v>1600</v>
      </c>
    </row>
    <row r="1270" spans="1:6" x14ac:dyDescent="0.25">
      <c r="A1270" s="9"/>
      <c r="B1270" s="9"/>
      <c r="D1270" s="9"/>
    </row>
    <row r="1271" spans="1:6" x14ac:dyDescent="0.25">
      <c r="A1271" s="9" t="s">
        <v>18</v>
      </c>
      <c r="B1271" s="4">
        <v>45919</v>
      </c>
      <c r="C1271" s="5">
        <v>5</v>
      </c>
      <c r="D1271" s="9" t="s">
        <v>13</v>
      </c>
      <c r="E1271" s="10">
        <v>155</v>
      </c>
      <c r="F1271" s="10">
        <f t="shared" si="19"/>
        <v>775</v>
      </c>
    </row>
    <row r="1272" spans="1:6" x14ac:dyDescent="0.25">
      <c r="A1272" s="9"/>
      <c r="B1272" s="9"/>
      <c r="D1272" s="9"/>
      <c r="F1272" s="8">
        <f>SUM(F1271)</f>
        <v>775</v>
      </c>
    </row>
    <row r="1273" spans="1:6" x14ac:dyDescent="0.25">
      <c r="A1273" s="9"/>
      <c r="B1273" s="9"/>
      <c r="D1273" s="9"/>
    </row>
    <row r="1274" spans="1:6" x14ac:dyDescent="0.25">
      <c r="A1274" s="9" t="s">
        <v>591</v>
      </c>
      <c r="B1274" s="4">
        <v>45919</v>
      </c>
      <c r="C1274" s="5">
        <v>4</v>
      </c>
      <c r="D1274" s="9" t="s">
        <v>956</v>
      </c>
      <c r="E1274" s="10">
        <v>155</v>
      </c>
      <c r="F1274" s="10">
        <f t="shared" si="19"/>
        <v>620</v>
      </c>
    </row>
    <row r="1275" spans="1:6" x14ac:dyDescent="0.25">
      <c r="A1275" s="9"/>
      <c r="B1275" s="9"/>
      <c r="D1275" s="9"/>
      <c r="F1275" s="8">
        <f>SUM(F1274)</f>
        <v>620</v>
      </c>
    </row>
    <row r="1276" spans="1:6" x14ac:dyDescent="0.25">
      <c r="A1276" s="9"/>
      <c r="B1276" s="9"/>
      <c r="D1276" s="9"/>
    </row>
    <row r="1277" spans="1:6" x14ac:dyDescent="0.25">
      <c r="A1277" s="9" t="s">
        <v>957</v>
      </c>
      <c r="B1277" s="4">
        <v>45919</v>
      </c>
      <c r="C1277" s="5">
        <v>6</v>
      </c>
      <c r="D1277" s="9" t="s">
        <v>13</v>
      </c>
      <c r="E1277" s="10">
        <v>160</v>
      </c>
      <c r="F1277" s="10">
        <f t="shared" si="19"/>
        <v>960</v>
      </c>
    </row>
    <row r="1278" spans="1:6" x14ac:dyDescent="0.25">
      <c r="A1278" s="9"/>
      <c r="B1278" s="9"/>
      <c r="D1278" s="9"/>
      <c r="F1278" s="8">
        <f>SUM(F1277)</f>
        <v>960</v>
      </c>
    </row>
    <row r="1279" spans="1:6" x14ac:dyDescent="0.25">
      <c r="A1279" s="9"/>
      <c r="B1279" s="9"/>
      <c r="D1279" s="9"/>
    </row>
    <row r="1280" spans="1:6" x14ac:dyDescent="0.25">
      <c r="A1280" s="9" t="s">
        <v>427</v>
      </c>
      <c r="B1280" s="4">
        <v>45919</v>
      </c>
      <c r="C1280" s="5">
        <v>10</v>
      </c>
      <c r="D1280" s="9" t="s">
        <v>13</v>
      </c>
      <c r="E1280" s="10">
        <v>160</v>
      </c>
      <c r="F1280" s="10">
        <f t="shared" si="19"/>
        <v>1600</v>
      </c>
    </row>
    <row r="1281" spans="1:6" x14ac:dyDescent="0.25">
      <c r="A1281" s="9"/>
      <c r="B1281" s="9"/>
      <c r="D1281" s="9"/>
      <c r="F1281" s="8">
        <f>SUM(F1280)</f>
        <v>1600</v>
      </c>
    </row>
    <row r="1282" spans="1:6" x14ac:dyDescent="0.25">
      <c r="A1282" s="9"/>
      <c r="B1282" s="9"/>
      <c r="D1282" s="9"/>
    </row>
    <row r="1283" spans="1:6" x14ac:dyDescent="0.25">
      <c r="A1283" s="9" t="s">
        <v>85</v>
      </c>
      <c r="B1283" s="4">
        <v>45919</v>
      </c>
      <c r="C1283" s="5">
        <v>10</v>
      </c>
      <c r="D1283" s="9" t="s">
        <v>13</v>
      </c>
      <c r="E1283" s="10">
        <v>155</v>
      </c>
      <c r="F1283" s="10">
        <f t="shared" ref="F1283:F1349" si="20">+C1283*E1283</f>
        <v>1550</v>
      </c>
    </row>
    <row r="1284" spans="1:6" x14ac:dyDescent="0.25">
      <c r="A1284" s="9"/>
      <c r="B1284" s="9"/>
      <c r="D1284" s="9"/>
      <c r="F1284" s="8">
        <f>SUM(F1283)</f>
        <v>1550</v>
      </c>
    </row>
    <row r="1285" spans="1:6" x14ac:dyDescent="0.25">
      <c r="A1285" s="9"/>
      <c r="B1285" s="9"/>
      <c r="D1285" s="9"/>
    </row>
    <row r="1286" spans="1:6" x14ac:dyDescent="0.25">
      <c r="A1286" s="9" t="s">
        <v>958</v>
      </c>
      <c r="B1286" s="4">
        <v>45919</v>
      </c>
      <c r="C1286" s="5">
        <v>2</v>
      </c>
      <c r="D1286" s="9" t="s">
        <v>13</v>
      </c>
      <c r="E1286" s="10">
        <v>150</v>
      </c>
      <c r="F1286" s="10">
        <f t="shared" si="20"/>
        <v>300</v>
      </c>
    </row>
    <row r="1287" spans="1:6" x14ac:dyDescent="0.25">
      <c r="A1287" s="9"/>
      <c r="B1287" s="9"/>
      <c r="D1287" s="9"/>
      <c r="F1287" s="8">
        <f>SUM(F1286)</f>
        <v>300</v>
      </c>
    </row>
    <row r="1288" spans="1:6" x14ac:dyDescent="0.25">
      <c r="A1288" s="9"/>
      <c r="B1288" s="9"/>
      <c r="D1288" s="9"/>
    </row>
    <row r="1289" spans="1:6" x14ac:dyDescent="0.25">
      <c r="A1289" s="9" t="s">
        <v>755</v>
      </c>
      <c r="B1289" s="4">
        <v>45919</v>
      </c>
      <c r="C1289" s="5">
        <v>5</v>
      </c>
      <c r="D1289" s="9" t="s">
        <v>14</v>
      </c>
      <c r="E1289" s="10">
        <v>150</v>
      </c>
      <c r="F1289" s="10">
        <f t="shared" si="20"/>
        <v>750</v>
      </c>
    </row>
    <row r="1290" spans="1:6" x14ac:dyDescent="0.25">
      <c r="A1290" s="9"/>
      <c r="B1290" s="9"/>
      <c r="D1290" s="9"/>
      <c r="F1290" s="8">
        <f>SUM(F1289)</f>
        <v>750</v>
      </c>
    </row>
    <row r="1291" spans="1:6" x14ac:dyDescent="0.25">
      <c r="A1291" s="9"/>
      <c r="B1291" s="9"/>
      <c r="D1291" s="9"/>
    </row>
    <row r="1292" spans="1:6" x14ac:dyDescent="0.25">
      <c r="A1292" s="9" t="s">
        <v>41</v>
      </c>
      <c r="B1292" s="4">
        <v>45919</v>
      </c>
      <c r="C1292" s="5">
        <v>35</v>
      </c>
      <c r="D1292" s="9" t="s">
        <v>11</v>
      </c>
      <c r="E1292" s="10">
        <v>140</v>
      </c>
      <c r="F1292" s="10">
        <f t="shared" si="20"/>
        <v>4900</v>
      </c>
    </row>
    <row r="1293" spans="1:6" x14ac:dyDescent="0.25">
      <c r="A1293" s="9"/>
      <c r="B1293" s="9"/>
      <c r="D1293" s="9"/>
      <c r="F1293" s="8">
        <f>SUM(F1292)</f>
        <v>4900</v>
      </c>
    </row>
    <row r="1294" spans="1:6" x14ac:dyDescent="0.25">
      <c r="A1294" s="9"/>
      <c r="B1294" s="9"/>
      <c r="D1294" s="9"/>
    </row>
    <row r="1295" spans="1:6" x14ac:dyDescent="0.25">
      <c r="A1295" s="9" t="s">
        <v>106</v>
      </c>
      <c r="B1295" s="4">
        <v>45919</v>
      </c>
      <c r="C1295" s="5">
        <v>80</v>
      </c>
      <c r="D1295" s="9" t="s">
        <v>12</v>
      </c>
      <c r="E1295" s="10">
        <v>145</v>
      </c>
      <c r="F1295" s="10">
        <f t="shared" si="20"/>
        <v>11600</v>
      </c>
    </row>
    <row r="1296" spans="1:6" x14ac:dyDescent="0.25">
      <c r="A1296" s="9"/>
      <c r="B1296" s="9"/>
      <c r="D1296" s="9"/>
      <c r="F1296" s="8">
        <f>SUM(F1295)</f>
        <v>11600</v>
      </c>
    </row>
    <row r="1297" spans="1:6" x14ac:dyDescent="0.25">
      <c r="A1297" s="9"/>
      <c r="B1297" s="9"/>
      <c r="D1297" s="9"/>
    </row>
    <row r="1298" spans="1:6" x14ac:dyDescent="0.25">
      <c r="A1298" s="9" t="s">
        <v>43</v>
      </c>
      <c r="B1298" s="4">
        <v>45919</v>
      </c>
      <c r="C1298" s="5">
        <v>50</v>
      </c>
      <c r="D1298" s="9" t="s">
        <v>14</v>
      </c>
      <c r="E1298" s="10">
        <v>150</v>
      </c>
      <c r="F1298" s="10">
        <f t="shared" si="20"/>
        <v>7500</v>
      </c>
    </row>
    <row r="1299" spans="1:6" x14ac:dyDescent="0.25">
      <c r="A1299" s="9"/>
      <c r="B1299" s="9"/>
      <c r="D1299" s="9"/>
      <c r="F1299" s="8">
        <f>SUM(F1298)</f>
        <v>7500</v>
      </c>
    </row>
    <row r="1300" spans="1:6" x14ac:dyDescent="0.25">
      <c r="A1300" s="9"/>
      <c r="B1300" s="9"/>
      <c r="D1300" s="9"/>
    </row>
    <row r="1301" spans="1:6" x14ac:dyDescent="0.25">
      <c r="A1301" s="9" t="s">
        <v>960</v>
      </c>
      <c r="B1301" s="4">
        <v>45919</v>
      </c>
      <c r="C1301" s="5">
        <v>10</v>
      </c>
      <c r="D1301" s="9" t="s">
        <v>11</v>
      </c>
      <c r="E1301" s="10">
        <v>140</v>
      </c>
      <c r="F1301" s="10">
        <f t="shared" si="20"/>
        <v>1400</v>
      </c>
    </row>
    <row r="1302" spans="1:6" s="9" customFormat="1" x14ac:dyDescent="0.25">
      <c r="C1302" s="5"/>
      <c r="E1302" s="10"/>
      <c r="F1302" s="8">
        <f>SUM(F1301)</f>
        <v>1400</v>
      </c>
    </row>
    <row r="1303" spans="1:6" s="9" customFormat="1" x14ac:dyDescent="0.25">
      <c r="C1303" s="5"/>
      <c r="E1303" s="10"/>
      <c r="F1303" s="10"/>
    </row>
    <row r="1304" spans="1:6" s="9" customFormat="1" x14ac:dyDescent="0.25">
      <c r="A1304" s="9" t="s">
        <v>138</v>
      </c>
      <c r="B1304" s="4">
        <v>45919</v>
      </c>
      <c r="C1304" s="5">
        <v>20</v>
      </c>
      <c r="D1304" s="9" t="s">
        <v>14</v>
      </c>
      <c r="E1304" s="10">
        <v>150</v>
      </c>
      <c r="F1304" s="10">
        <f t="shared" si="20"/>
        <v>3000</v>
      </c>
    </row>
    <row r="1305" spans="1:6" s="9" customFormat="1" x14ac:dyDescent="0.25">
      <c r="C1305" s="5"/>
      <c r="E1305" s="10"/>
      <c r="F1305" s="8">
        <f>SUM(F1304)</f>
        <v>3000</v>
      </c>
    </row>
    <row r="1306" spans="1:6" s="9" customFormat="1" x14ac:dyDescent="0.25">
      <c r="C1306" s="5"/>
      <c r="E1306" s="10"/>
      <c r="F1306" s="10"/>
    </row>
    <row r="1307" spans="1:6" s="9" customFormat="1" x14ac:dyDescent="0.25">
      <c r="A1307" s="9" t="s">
        <v>47</v>
      </c>
      <c r="B1307" s="4">
        <v>45919</v>
      </c>
      <c r="C1307" s="5">
        <v>40</v>
      </c>
      <c r="D1307" s="9" t="s">
        <v>50</v>
      </c>
      <c r="E1307" s="10">
        <v>135</v>
      </c>
      <c r="F1307" s="10">
        <f t="shared" si="20"/>
        <v>5400</v>
      </c>
    </row>
    <row r="1308" spans="1:6" s="9" customFormat="1" x14ac:dyDescent="0.25">
      <c r="C1308" s="5">
        <v>8</v>
      </c>
      <c r="D1308" s="9" t="s">
        <v>14</v>
      </c>
      <c r="E1308" s="10">
        <v>150</v>
      </c>
      <c r="F1308" s="10">
        <f t="shared" si="20"/>
        <v>1200</v>
      </c>
    </row>
    <row r="1309" spans="1:6" s="9" customFormat="1" x14ac:dyDescent="0.25">
      <c r="C1309" s="5"/>
      <c r="E1309" s="10"/>
      <c r="F1309" s="8">
        <f>SUM(F1307:F1308)</f>
        <v>6600</v>
      </c>
    </row>
    <row r="1310" spans="1:6" x14ac:dyDescent="0.25">
      <c r="A1310" s="9"/>
      <c r="B1310" s="9"/>
      <c r="D1310" s="9"/>
    </row>
    <row r="1311" spans="1:6" x14ac:dyDescent="0.25">
      <c r="A1311" s="9" t="s">
        <v>18</v>
      </c>
      <c r="B1311" s="4">
        <v>45919</v>
      </c>
      <c r="C1311" s="5">
        <v>22</v>
      </c>
      <c r="D1311" s="9" t="s">
        <v>14</v>
      </c>
      <c r="E1311" s="10">
        <v>150</v>
      </c>
      <c r="F1311" s="10">
        <f t="shared" si="20"/>
        <v>3300</v>
      </c>
    </row>
    <row r="1312" spans="1:6" x14ac:dyDescent="0.25">
      <c r="A1312" s="9"/>
      <c r="B1312" s="9"/>
      <c r="D1312" s="9"/>
      <c r="F1312" s="8">
        <f>SUM(F1311)</f>
        <v>3300</v>
      </c>
    </row>
    <row r="1313" spans="1:6" x14ac:dyDescent="0.25">
      <c r="A1313" s="9"/>
      <c r="B1313" s="9"/>
      <c r="D1313" s="9"/>
    </row>
    <row r="1314" spans="1:6" x14ac:dyDescent="0.25">
      <c r="A1314" s="9" t="s">
        <v>292</v>
      </c>
      <c r="B1314" s="4">
        <v>45919</v>
      </c>
      <c r="C1314" s="5">
        <v>10</v>
      </c>
      <c r="D1314" s="9" t="s">
        <v>11</v>
      </c>
      <c r="E1314" s="10">
        <v>140</v>
      </c>
      <c r="F1314" s="10">
        <f t="shared" si="20"/>
        <v>1400</v>
      </c>
    </row>
    <row r="1315" spans="1:6" x14ac:dyDescent="0.25">
      <c r="A1315" s="9"/>
      <c r="B1315" s="9"/>
      <c r="D1315" s="9"/>
      <c r="F1315" s="8">
        <f>SUM(F1314)</f>
        <v>1400</v>
      </c>
    </row>
    <row r="1316" spans="1:6" x14ac:dyDescent="0.25">
      <c r="A1316" s="9"/>
      <c r="B1316" s="9"/>
      <c r="D1316" s="9"/>
    </row>
    <row r="1317" spans="1:6" x14ac:dyDescent="0.25">
      <c r="A1317" s="9" t="s">
        <v>245</v>
      </c>
      <c r="B1317" s="4">
        <v>45919</v>
      </c>
      <c r="C1317" s="5">
        <v>1000</v>
      </c>
      <c r="D1317" s="9" t="s">
        <v>13</v>
      </c>
      <c r="E1317" s="10">
        <v>150</v>
      </c>
      <c r="F1317" s="10">
        <f t="shared" si="20"/>
        <v>150000</v>
      </c>
    </row>
    <row r="1318" spans="1:6" x14ac:dyDescent="0.25">
      <c r="A1318" s="9"/>
      <c r="B1318" s="9"/>
      <c r="D1318" s="9"/>
      <c r="F1318" s="8">
        <f>SUM(F1317)</f>
        <v>150000</v>
      </c>
    </row>
    <row r="1319" spans="1:6" x14ac:dyDescent="0.25">
      <c r="A1319" s="9"/>
      <c r="B1319" s="9"/>
      <c r="D1319" s="9"/>
    </row>
    <row r="1320" spans="1:6" x14ac:dyDescent="0.25">
      <c r="A1320" s="9" t="s">
        <v>112</v>
      </c>
      <c r="B1320" s="4">
        <v>45919</v>
      </c>
      <c r="C1320" s="5">
        <v>40</v>
      </c>
      <c r="D1320" s="9" t="s">
        <v>11</v>
      </c>
      <c r="E1320" s="10">
        <v>140</v>
      </c>
      <c r="F1320" s="10">
        <f t="shared" si="20"/>
        <v>5600</v>
      </c>
    </row>
    <row r="1321" spans="1:6" x14ac:dyDescent="0.25">
      <c r="A1321" s="9"/>
      <c r="B1321" s="9"/>
      <c r="D1321" s="9"/>
      <c r="F1321" s="8">
        <f>SUM(F1320)</f>
        <v>5600</v>
      </c>
    </row>
    <row r="1322" spans="1:6" x14ac:dyDescent="0.25">
      <c r="A1322" s="9"/>
      <c r="B1322" s="9"/>
      <c r="D1322" s="9"/>
    </row>
    <row r="1323" spans="1:6" x14ac:dyDescent="0.25">
      <c r="A1323" s="9" t="s">
        <v>7</v>
      </c>
      <c r="B1323" s="4">
        <v>45919</v>
      </c>
      <c r="C1323" s="5">
        <v>6</v>
      </c>
      <c r="D1323" s="9" t="s">
        <v>12</v>
      </c>
      <c r="E1323" s="10">
        <v>140</v>
      </c>
      <c r="F1323" s="10">
        <f t="shared" si="20"/>
        <v>840</v>
      </c>
    </row>
    <row r="1324" spans="1:6" x14ac:dyDescent="0.25">
      <c r="A1324" s="9"/>
      <c r="B1324" s="9"/>
      <c r="D1324" s="9"/>
      <c r="F1324" s="8">
        <f>SUM(F1323)</f>
        <v>840</v>
      </c>
    </row>
    <row r="1325" spans="1:6" x14ac:dyDescent="0.25">
      <c r="A1325" s="9"/>
      <c r="B1325" s="9"/>
      <c r="D1325" s="9"/>
    </row>
    <row r="1326" spans="1:6" x14ac:dyDescent="0.25">
      <c r="A1326" s="9" t="s">
        <v>245</v>
      </c>
      <c r="B1326" s="4">
        <v>45919</v>
      </c>
      <c r="C1326" s="5">
        <v>10</v>
      </c>
      <c r="D1326" s="9" t="s">
        <v>14</v>
      </c>
      <c r="E1326" s="10">
        <v>145</v>
      </c>
      <c r="F1326" s="10">
        <f t="shared" si="20"/>
        <v>1450</v>
      </c>
    </row>
    <row r="1327" spans="1:6" x14ac:dyDescent="0.25">
      <c r="A1327" s="9"/>
      <c r="B1327" s="9"/>
      <c r="D1327" s="9"/>
      <c r="F1327" s="8">
        <f>SUM(F1326)</f>
        <v>1450</v>
      </c>
    </row>
    <row r="1328" spans="1:6" x14ac:dyDescent="0.25">
      <c r="A1328" s="9"/>
      <c r="B1328" s="9"/>
      <c r="D1328" s="9"/>
    </row>
    <row r="1329" spans="1:6" x14ac:dyDescent="0.25">
      <c r="A1329" s="9" t="s">
        <v>76</v>
      </c>
      <c r="B1329" s="4">
        <v>45919</v>
      </c>
      <c r="C1329" s="5">
        <v>70</v>
      </c>
      <c r="D1329" s="9" t="s">
        <v>49</v>
      </c>
      <c r="F1329" s="10">
        <f t="shared" si="20"/>
        <v>0</v>
      </c>
    </row>
    <row r="1330" spans="1:6" x14ac:dyDescent="0.25">
      <c r="A1330" s="9"/>
      <c r="B1330" s="9"/>
      <c r="C1330" s="5">
        <v>270</v>
      </c>
      <c r="D1330" s="9" t="s">
        <v>14</v>
      </c>
      <c r="F1330" s="10">
        <f t="shared" si="20"/>
        <v>0</v>
      </c>
    </row>
    <row r="1331" spans="1:6" x14ac:dyDescent="0.25">
      <c r="A1331" s="9"/>
      <c r="B1331" s="9"/>
      <c r="C1331" s="5">
        <v>94</v>
      </c>
      <c r="D1331" s="9" t="s">
        <v>11</v>
      </c>
      <c r="F1331" s="10">
        <f t="shared" si="20"/>
        <v>0</v>
      </c>
    </row>
    <row r="1332" spans="1:6" x14ac:dyDescent="0.25">
      <c r="A1332" s="9"/>
      <c r="B1332" s="9"/>
      <c r="D1332" s="9"/>
      <c r="F1332" s="8">
        <f>SUM(F1329:F1331)</f>
        <v>0</v>
      </c>
    </row>
    <row r="1333" spans="1:6" x14ac:dyDescent="0.25">
      <c r="A1333" s="9"/>
      <c r="B1333" s="9"/>
      <c r="D1333" s="9"/>
    </row>
    <row r="1334" spans="1:6" x14ac:dyDescent="0.25">
      <c r="A1334" s="9" t="s">
        <v>919</v>
      </c>
      <c r="B1334" s="4">
        <v>45919</v>
      </c>
      <c r="C1334" s="5">
        <v>5</v>
      </c>
      <c r="D1334" s="9" t="s">
        <v>14</v>
      </c>
      <c r="E1334" s="10">
        <v>150</v>
      </c>
      <c r="F1334" s="10">
        <f t="shared" si="20"/>
        <v>750</v>
      </c>
    </row>
    <row r="1335" spans="1:6" x14ac:dyDescent="0.25">
      <c r="A1335" s="9"/>
      <c r="B1335" s="9"/>
      <c r="D1335" s="9"/>
      <c r="F1335" s="8">
        <f>SUM(F1334)</f>
        <v>750</v>
      </c>
    </row>
    <row r="1336" spans="1:6" x14ac:dyDescent="0.25">
      <c r="A1336" s="9"/>
      <c r="B1336" s="9"/>
      <c r="D1336" s="9"/>
    </row>
    <row r="1337" spans="1:6" x14ac:dyDescent="0.25">
      <c r="A1337" s="9" t="s">
        <v>101</v>
      </c>
      <c r="B1337" s="4">
        <v>45919</v>
      </c>
      <c r="C1337" s="5">
        <v>5</v>
      </c>
      <c r="D1337" s="9" t="s">
        <v>13</v>
      </c>
      <c r="E1337" s="10">
        <v>160</v>
      </c>
      <c r="F1337" s="10">
        <f t="shared" si="20"/>
        <v>800</v>
      </c>
    </row>
    <row r="1338" spans="1:6" x14ac:dyDescent="0.25">
      <c r="A1338" s="9"/>
      <c r="B1338" s="9"/>
      <c r="C1338" s="5">
        <v>2</v>
      </c>
      <c r="D1338" s="9" t="s">
        <v>78</v>
      </c>
      <c r="E1338" s="10">
        <v>110</v>
      </c>
      <c r="F1338" s="10">
        <f t="shared" si="20"/>
        <v>220</v>
      </c>
    </row>
    <row r="1339" spans="1:6" x14ac:dyDescent="0.25">
      <c r="A1339" s="9"/>
      <c r="B1339" s="9"/>
      <c r="C1339" s="5">
        <v>3</v>
      </c>
      <c r="D1339" s="9" t="s">
        <v>12</v>
      </c>
      <c r="E1339" s="10">
        <v>150</v>
      </c>
      <c r="F1339" s="10">
        <f t="shared" si="20"/>
        <v>450</v>
      </c>
    </row>
    <row r="1340" spans="1:6" x14ac:dyDescent="0.25">
      <c r="A1340" s="9"/>
      <c r="B1340" s="9"/>
      <c r="D1340" s="9"/>
      <c r="F1340" s="8">
        <f>SUM(F1337:F1339)</f>
        <v>1470</v>
      </c>
    </row>
    <row r="1341" spans="1:6" x14ac:dyDescent="0.25">
      <c r="A1341" s="9"/>
      <c r="B1341" s="9"/>
      <c r="D1341" s="9"/>
    </row>
    <row r="1342" spans="1:6" x14ac:dyDescent="0.25">
      <c r="A1342" s="9" t="s">
        <v>181</v>
      </c>
      <c r="B1342" s="4">
        <v>45919</v>
      </c>
      <c r="C1342" s="5">
        <v>1</v>
      </c>
      <c r="D1342" s="9" t="s">
        <v>961</v>
      </c>
      <c r="E1342" s="10">
        <v>110</v>
      </c>
      <c r="F1342" s="10">
        <f t="shared" si="20"/>
        <v>110</v>
      </c>
    </row>
    <row r="1343" spans="1:6" x14ac:dyDescent="0.25">
      <c r="A1343" s="9"/>
      <c r="B1343" s="9"/>
      <c r="C1343" s="5">
        <v>2</v>
      </c>
      <c r="D1343" s="9" t="s">
        <v>12</v>
      </c>
      <c r="E1343" s="10">
        <v>150</v>
      </c>
      <c r="F1343" s="10">
        <f t="shared" si="20"/>
        <v>300</v>
      </c>
    </row>
    <row r="1344" spans="1:6" x14ac:dyDescent="0.25">
      <c r="A1344" s="9"/>
      <c r="B1344" s="9"/>
      <c r="C1344" s="5">
        <v>1</v>
      </c>
      <c r="D1344" s="9" t="s">
        <v>962</v>
      </c>
      <c r="E1344" s="10">
        <v>150</v>
      </c>
      <c r="F1344" s="10">
        <f t="shared" si="20"/>
        <v>150</v>
      </c>
    </row>
    <row r="1345" spans="1:6" x14ac:dyDescent="0.25">
      <c r="A1345" s="9"/>
      <c r="B1345" s="9"/>
      <c r="C1345" s="5">
        <v>6</v>
      </c>
      <c r="D1345" s="9" t="s">
        <v>13</v>
      </c>
      <c r="E1345" s="10">
        <v>140</v>
      </c>
      <c r="F1345" s="10">
        <f t="shared" si="20"/>
        <v>840</v>
      </c>
    </row>
    <row r="1346" spans="1:6" x14ac:dyDescent="0.25">
      <c r="A1346" s="9"/>
      <c r="B1346" s="9"/>
      <c r="C1346" s="5">
        <v>2</v>
      </c>
      <c r="D1346" s="9" t="s">
        <v>12</v>
      </c>
      <c r="E1346" s="10">
        <v>150</v>
      </c>
      <c r="F1346" s="10">
        <f t="shared" si="20"/>
        <v>300</v>
      </c>
    </row>
    <row r="1347" spans="1:6" x14ac:dyDescent="0.25">
      <c r="A1347" s="9"/>
      <c r="B1347" s="9"/>
      <c r="D1347" s="9"/>
      <c r="F1347" s="8">
        <f>SUM(F1342:F1346)</f>
        <v>1700</v>
      </c>
    </row>
    <row r="1348" spans="1:6" x14ac:dyDescent="0.25">
      <c r="A1348" s="9"/>
      <c r="B1348" s="9"/>
      <c r="D1348" s="9"/>
    </row>
    <row r="1349" spans="1:6" x14ac:dyDescent="0.25">
      <c r="A1349" s="9" t="s">
        <v>58</v>
      </c>
      <c r="B1349" s="4">
        <v>45920</v>
      </c>
      <c r="C1349" s="5">
        <v>10</v>
      </c>
      <c r="D1349" s="9" t="s">
        <v>13</v>
      </c>
      <c r="E1349" s="10">
        <v>155</v>
      </c>
      <c r="F1349" s="10">
        <f t="shared" si="20"/>
        <v>1550</v>
      </c>
    </row>
    <row r="1350" spans="1:6" x14ac:dyDescent="0.25">
      <c r="A1350" s="9"/>
      <c r="B1350" s="9"/>
      <c r="D1350" s="9"/>
      <c r="F1350" s="8">
        <f>SUM(F1349)</f>
        <v>1550</v>
      </c>
    </row>
    <row r="1351" spans="1:6" x14ac:dyDescent="0.25">
      <c r="A1351" s="9"/>
      <c r="B1351" s="9"/>
      <c r="D1351" s="9"/>
    </row>
    <row r="1352" spans="1:6" x14ac:dyDescent="0.25">
      <c r="A1352" s="9" t="s">
        <v>514</v>
      </c>
      <c r="B1352" s="4">
        <v>45920</v>
      </c>
      <c r="C1352" s="5">
        <v>6</v>
      </c>
      <c r="D1352" s="9" t="s">
        <v>963</v>
      </c>
      <c r="E1352" s="10">
        <v>110</v>
      </c>
      <c r="F1352" s="10">
        <f t="shared" ref="F1352:F1411" si="21">+C1352*E1352</f>
        <v>660</v>
      </c>
    </row>
    <row r="1353" spans="1:6" x14ac:dyDescent="0.25">
      <c r="A1353" s="9"/>
      <c r="B1353" s="9"/>
      <c r="D1353" s="9"/>
      <c r="F1353" s="8">
        <f>SUM(F1352)</f>
        <v>660</v>
      </c>
    </row>
    <row r="1354" spans="1:6" x14ac:dyDescent="0.25">
      <c r="A1354" s="9"/>
      <c r="B1354" s="9"/>
      <c r="D1354" s="9"/>
    </row>
    <row r="1355" spans="1:6" x14ac:dyDescent="0.25">
      <c r="A1355" s="9" t="s">
        <v>20</v>
      </c>
      <c r="B1355" s="4">
        <v>45920</v>
      </c>
      <c r="C1355" s="5">
        <v>10</v>
      </c>
      <c r="D1355" s="9" t="s">
        <v>49</v>
      </c>
      <c r="E1355" s="10">
        <v>160</v>
      </c>
      <c r="F1355" s="10">
        <f t="shared" si="21"/>
        <v>1600</v>
      </c>
    </row>
    <row r="1356" spans="1:6" x14ac:dyDescent="0.25">
      <c r="A1356" s="9"/>
      <c r="B1356" s="9"/>
      <c r="C1356" s="5">
        <v>10</v>
      </c>
      <c r="D1356" s="9" t="s">
        <v>13</v>
      </c>
      <c r="E1356" s="10">
        <v>160</v>
      </c>
      <c r="F1356" s="10">
        <f t="shared" si="21"/>
        <v>1600</v>
      </c>
    </row>
    <row r="1357" spans="1:6" x14ac:dyDescent="0.25">
      <c r="A1357" s="9"/>
      <c r="B1357" s="9"/>
      <c r="D1357" s="9"/>
      <c r="F1357" s="8">
        <f>SUM(F1355:F1356)</f>
        <v>3200</v>
      </c>
    </row>
    <row r="1358" spans="1:6" x14ac:dyDescent="0.25">
      <c r="A1358" s="9"/>
      <c r="B1358" s="9"/>
      <c r="D1358" s="9"/>
    </row>
    <row r="1359" spans="1:6" x14ac:dyDescent="0.25">
      <c r="A1359" s="9" t="s">
        <v>601</v>
      </c>
      <c r="B1359" s="4">
        <v>45920</v>
      </c>
      <c r="C1359" s="5">
        <v>10</v>
      </c>
      <c r="D1359" s="9" t="s">
        <v>12</v>
      </c>
      <c r="E1359" s="10">
        <v>150</v>
      </c>
      <c r="F1359" s="10">
        <f t="shared" si="21"/>
        <v>1500</v>
      </c>
    </row>
    <row r="1360" spans="1:6" x14ac:dyDescent="0.25">
      <c r="A1360" s="9"/>
      <c r="B1360" s="9"/>
      <c r="D1360" s="9"/>
      <c r="F1360" s="8">
        <f>SUM(F1359)</f>
        <v>1500</v>
      </c>
    </row>
    <row r="1361" spans="1:6" x14ac:dyDescent="0.25">
      <c r="A1361" s="9"/>
      <c r="B1361" s="9"/>
      <c r="D1361" s="9"/>
    </row>
    <row r="1362" spans="1:6" x14ac:dyDescent="0.25">
      <c r="A1362" s="9" t="s">
        <v>471</v>
      </c>
      <c r="B1362" s="4">
        <v>45920</v>
      </c>
      <c r="C1362" s="5">
        <v>10</v>
      </c>
      <c r="D1362" s="9" t="s">
        <v>13</v>
      </c>
      <c r="E1362" s="10">
        <v>160</v>
      </c>
      <c r="F1362" s="10">
        <f t="shared" si="21"/>
        <v>1600</v>
      </c>
    </row>
    <row r="1363" spans="1:6" x14ac:dyDescent="0.25">
      <c r="A1363" s="9"/>
      <c r="B1363" s="9"/>
      <c r="C1363" s="5">
        <v>10</v>
      </c>
      <c r="D1363" s="9" t="s">
        <v>14</v>
      </c>
      <c r="E1363" s="10">
        <v>155</v>
      </c>
      <c r="F1363" s="10">
        <f t="shared" si="21"/>
        <v>1550</v>
      </c>
    </row>
    <row r="1364" spans="1:6" x14ac:dyDescent="0.25">
      <c r="A1364" s="9"/>
      <c r="B1364" s="9"/>
      <c r="D1364" s="9"/>
      <c r="F1364" s="8">
        <f>SUM(F1362:F1363)</f>
        <v>3150</v>
      </c>
    </row>
    <row r="1365" spans="1:6" x14ac:dyDescent="0.25">
      <c r="A1365" s="9"/>
      <c r="B1365" s="9"/>
      <c r="D1365" s="9"/>
    </row>
    <row r="1366" spans="1:6" x14ac:dyDescent="0.25">
      <c r="A1366" s="9" t="s">
        <v>964</v>
      </c>
      <c r="B1366" s="4">
        <v>45920</v>
      </c>
      <c r="C1366" s="5">
        <v>10</v>
      </c>
      <c r="D1366" s="9" t="s">
        <v>14</v>
      </c>
      <c r="E1366" s="10">
        <v>155</v>
      </c>
      <c r="F1366" s="10">
        <f t="shared" si="21"/>
        <v>1550</v>
      </c>
    </row>
    <row r="1367" spans="1:6" x14ac:dyDescent="0.25">
      <c r="A1367" s="9"/>
      <c r="B1367" s="9"/>
      <c r="C1367" s="5">
        <v>20</v>
      </c>
      <c r="D1367" s="9" t="s">
        <v>965</v>
      </c>
      <c r="E1367" s="10">
        <v>160</v>
      </c>
      <c r="F1367" s="10">
        <f t="shared" si="21"/>
        <v>3200</v>
      </c>
    </row>
    <row r="1368" spans="1:6" x14ac:dyDescent="0.25">
      <c r="A1368" s="9"/>
      <c r="B1368" s="9"/>
      <c r="D1368" s="9"/>
      <c r="F1368" s="8">
        <f>SUM(F1366:F1367)</f>
        <v>4750</v>
      </c>
    </row>
    <row r="1369" spans="1:6" x14ac:dyDescent="0.25">
      <c r="A1369" s="9"/>
      <c r="B1369" s="9"/>
      <c r="D1369" s="9"/>
    </row>
    <row r="1370" spans="1:6" x14ac:dyDescent="0.25">
      <c r="A1370" s="9" t="s">
        <v>25</v>
      </c>
      <c r="B1370" s="4">
        <v>45920</v>
      </c>
      <c r="C1370" s="5">
        <v>20</v>
      </c>
      <c r="D1370" s="9" t="s">
        <v>8</v>
      </c>
      <c r="E1370" s="10">
        <v>165</v>
      </c>
      <c r="F1370" s="10">
        <f t="shared" si="21"/>
        <v>3300</v>
      </c>
    </row>
    <row r="1371" spans="1:6" x14ac:dyDescent="0.25">
      <c r="A1371" s="9"/>
      <c r="B1371" s="9"/>
      <c r="C1371" s="5">
        <v>30</v>
      </c>
      <c r="D1371" s="9" t="s">
        <v>14</v>
      </c>
      <c r="E1371" s="10">
        <v>155</v>
      </c>
      <c r="F1371" s="10">
        <f t="shared" si="21"/>
        <v>4650</v>
      </c>
    </row>
    <row r="1372" spans="1:6" s="9" customFormat="1" x14ac:dyDescent="0.25">
      <c r="C1372" s="5">
        <v>10</v>
      </c>
      <c r="D1372" s="9" t="s">
        <v>49</v>
      </c>
      <c r="E1372" s="10">
        <v>160</v>
      </c>
      <c r="F1372" s="10">
        <f t="shared" si="21"/>
        <v>1600</v>
      </c>
    </row>
    <row r="1373" spans="1:6" s="9" customFormat="1" x14ac:dyDescent="0.25">
      <c r="C1373" s="5"/>
      <c r="E1373" s="10"/>
      <c r="F1373" s="8">
        <f>SUM(F1370:F1372)</f>
        <v>9550</v>
      </c>
    </row>
    <row r="1374" spans="1:6" s="9" customFormat="1" x14ac:dyDescent="0.25">
      <c r="C1374" s="5"/>
      <c r="E1374" s="10"/>
      <c r="F1374" s="10"/>
    </row>
    <row r="1375" spans="1:6" x14ac:dyDescent="0.25">
      <c r="A1375" s="9" t="s">
        <v>140</v>
      </c>
      <c r="B1375" s="4">
        <v>45920</v>
      </c>
      <c r="C1375" s="5">
        <v>150</v>
      </c>
      <c r="D1375" s="9" t="s">
        <v>13</v>
      </c>
      <c r="E1375" s="10">
        <v>155</v>
      </c>
      <c r="F1375" s="10">
        <f t="shared" si="21"/>
        <v>23250</v>
      </c>
    </row>
    <row r="1376" spans="1:6" x14ac:dyDescent="0.25">
      <c r="A1376" s="9"/>
      <c r="B1376" s="9"/>
      <c r="C1376" s="5">
        <v>50</v>
      </c>
      <c r="D1376" s="9" t="s">
        <v>14</v>
      </c>
      <c r="E1376" s="10">
        <v>150</v>
      </c>
      <c r="F1376" s="10">
        <f t="shared" si="21"/>
        <v>7500</v>
      </c>
    </row>
    <row r="1377" spans="1:6" x14ac:dyDescent="0.25">
      <c r="A1377" s="9"/>
      <c r="B1377" s="9"/>
      <c r="C1377" s="5">
        <v>100</v>
      </c>
      <c r="D1377" s="9" t="s">
        <v>12</v>
      </c>
      <c r="E1377" s="10">
        <v>145</v>
      </c>
      <c r="F1377" s="10">
        <f t="shared" si="21"/>
        <v>14500</v>
      </c>
    </row>
    <row r="1378" spans="1:6" x14ac:dyDescent="0.25">
      <c r="A1378" s="9"/>
      <c r="B1378" s="9"/>
      <c r="C1378" s="5">
        <v>200</v>
      </c>
      <c r="D1378" s="9" t="s">
        <v>8</v>
      </c>
      <c r="E1378" s="10">
        <v>165</v>
      </c>
      <c r="F1378" s="10">
        <f t="shared" si="21"/>
        <v>33000</v>
      </c>
    </row>
    <row r="1379" spans="1:6" x14ac:dyDescent="0.25">
      <c r="A1379" s="9"/>
      <c r="B1379" s="9"/>
      <c r="D1379" s="9"/>
      <c r="F1379" s="8">
        <f>SUM(F1375:F1378)</f>
        <v>78250</v>
      </c>
    </row>
    <row r="1380" spans="1:6" x14ac:dyDescent="0.25">
      <c r="A1380" s="9"/>
      <c r="B1380" s="9"/>
      <c r="D1380" s="9"/>
    </row>
    <row r="1381" spans="1:6" x14ac:dyDescent="0.25">
      <c r="A1381" s="9" t="s">
        <v>487</v>
      </c>
      <c r="B1381" s="4">
        <v>45920</v>
      </c>
      <c r="C1381" s="5">
        <v>5</v>
      </c>
      <c r="D1381" s="9" t="s">
        <v>12</v>
      </c>
      <c r="E1381" s="10">
        <v>150</v>
      </c>
      <c r="F1381" s="10">
        <f t="shared" si="21"/>
        <v>750</v>
      </c>
    </row>
    <row r="1382" spans="1:6" x14ac:dyDescent="0.25">
      <c r="A1382" s="9"/>
      <c r="B1382" s="9"/>
      <c r="D1382" s="9"/>
      <c r="F1382" s="8">
        <f>SUM(F1381)</f>
        <v>750</v>
      </c>
    </row>
    <row r="1383" spans="1:6" x14ac:dyDescent="0.25">
      <c r="A1383" s="9"/>
      <c r="B1383" s="9"/>
      <c r="D1383" s="9"/>
    </row>
    <row r="1384" spans="1:6" x14ac:dyDescent="0.25">
      <c r="A1384" s="9" t="s">
        <v>544</v>
      </c>
      <c r="B1384" s="4">
        <v>45920</v>
      </c>
      <c r="C1384" s="5">
        <v>5</v>
      </c>
      <c r="D1384" s="9" t="s">
        <v>12</v>
      </c>
      <c r="E1384" s="10">
        <v>150</v>
      </c>
      <c r="F1384" s="10">
        <f t="shared" si="21"/>
        <v>750</v>
      </c>
    </row>
    <row r="1385" spans="1:6" x14ac:dyDescent="0.25">
      <c r="A1385" s="9"/>
      <c r="B1385" s="9"/>
      <c r="D1385" s="9"/>
      <c r="F1385" s="8">
        <f>SUM(F1384)</f>
        <v>750</v>
      </c>
    </row>
    <row r="1386" spans="1:6" x14ac:dyDescent="0.25">
      <c r="A1386" s="9"/>
      <c r="B1386" s="9"/>
      <c r="D1386" s="9"/>
    </row>
    <row r="1387" spans="1:6" x14ac:dyDescent="0.25">
      <c r="A1387" s="9" t="s">
        <v>103</v>
      </c>
      <c r="B1387" s="4">
        <v>45920</v>
      </c>
      <c r="C1387" s="5">
        <v>4</v>
      </c>
      <c r="D1387" s="9" t="s">
        <v>13</v>
      </c>
      <c r="E1387" s="10">
        <v>160</v>
      </c>
      <c r="F1387" s="10">
        <f t="shared" si="21"/>
        <v>640</v>
      </c>
    </row>
    <row r="1388" spans="1:6" x14ac:dyDescent="0.25">
      <c r="A1388" s="9"/>
      <c r="B1388" s="9"/>
      <c r="D1388" s="9"/>
      <c r="F1388" s="8">
        <f>SUM(F1387)</f>
        <v>640</v>
      </c>
    </row>
    <row r="1389" spans="1:6" x14ac:dyDescent="0.25">
      <c r="A1389" s="9"/>
      <c r="B1389" s="9"/>
      <c r="D1389" s="9"/>
    </row>
    <row r="1390" spans="1:6" x14ac:dyDescent="0.25">
      <c r="A1390" s="9" t="s">
        <v>501</v>
      </c>
      <c r="B1390" s="4">
        <v>45920</v>
      </c>
      <c r="C1390" s="5">
        <v>5</v>
      </c>
      <c r="D1390" s="9" t="s">
        <v>13</v>
      </c>
      <c r="E1390" s="10">
        <v>160</v>
      </c>
      <c r="F1390" s="10">
        <f t="shared" si="21"/>
        <v>800</v>
      </c>
    </row>
    <row r="1391" spans="1:6" x14ac:dyDescent="0.25">
      <c r="A1391" s="9"/>
      <c r="B1391" s="9"/>
      <c r="D1391" s="9"/>
      <c r="F1391" s="8">
        <f>SUM(F1390)</f>
        <v>800</v>
      </c>
    </row>
    <row r="1392" spans="1:6" x14ac:dyDescent="0.25">
      <c r="A1392" s="9"/>
      <c r="B1392" s="9"/>
      <c r="D1392" s="9"/>
    </row>
    <row r="1393" spans="1:6" x14ac:dyDescent="0.25">
      <c r="A1393" s="9" t="s">
        <v>966</v>
      </c>
      <c r="B1393" s="4">
        <v>45920</v>
      </c>
      <c r="C1393" s="5">
        <v>2</v>
      </c>
      <c r="D1393" s="9" t="s">
        <v>13</v>
      </c>
      <c r="E1393" s="10">
        <v>160</v>
      </c>
      <c r="F1393" s="10">
        <f t="shared" si="21"/>
        <v>320</v>
      </c>
    </row>
    <row r="1394" spans="1:6" x14ac:dyDescent="0.25">
      <c r="A1394" s="9"/>
      <c r="B1394" s="9"/>
      <c r="D1394" s="9"/>
      <c r="F1394" s="8">
        <f>SUM(F1393)</f>
        <v>320</v>
      </c>
    </row>
    <row r="1395" spans="1:6" x14ac:dyDescent="0.25">
      <c r="A1395" s="9"/>
      <c r="B1395" s="9"/>
      <c r="D1395" s="9"/>
    </row>
    <row r="1396" spans="1:6" x14ac:dyDescent="0.25">
      <c r="A1396" s="9" t="s">
        <v>967</v>
      </c>
      <c r="B1396" s="4">
        <v>45920</v>
      </c>
      <c r="C1396" s="5">
        <v>3</v>
      </c>
      <c r="D1396" s="9" t="s">
        <v>13</v>
      </c>
      <c r="E1396" s="10">
        <v>160</v>
      </c>
      <c r="F1396" s="10">
        <f t="shared" si="21"/>
        <v>480</v>
      </c>
    </row>
    <row r="1397" spans="1:6" x14ac:dyDescent="0.25">
      <c r="A1397" s="9"/>
      <c r="B1397" s="9"/>
      <c r="D1397" s="9"/>
      <c r="F1397" s="8">
        <f>SUM(F1396)</f>
        <v>480</v>
      </c>
    </row>
    <row r="1398" spans="1:6" x14ac:dyDescent="0.25">
      <c r="A1398" s="9"/>
      <c r="B1398" s="9"/>
      <c r="D1398" s="9"/>
    </row>
    <row r="1399" spans="1:6" x14ac:dyDescent="0.25">
      <c r="A1399" s="9" t="s">
        <v>61</v>
      </c>
      <c r="B1399" s="4">
        <v>45920</v>
      </c>
      <c r="C1399" s="5">
        <v>100</v>
      </c>
      <c r="D1399" s="9" t="s">
        <v>13</v>
      </c>
      <c r="E1399" s="10">
        <v>155</v>
      </c>
      <c r="F1399" s="10">
        <f t="shared" si="21"/>
        <v>15500</v>
      </c>
    </row>
    <row r="1400" spans="1:6" x14ac:dyDescent="0.25">
      <c r="A1400" s="9"/>
      <c r="B1400" s="9"/>
      <c r="D1400" s="9"/>
      <c r="F1400" s="8">
        <f>SUM(F1399)</f>
        <v>15500</v>
      </c>
    </row>
    <row r="1401" spans="1:6" x14ac:dyDescent="0.25">
      <c r="A1401" s="9"/>
      <c r="B1401" s="9"/>
      <c r="D1401" s="9"/>
    </row>
    <row r="1402" spans="1:6" x14ac:dyDescent="0.25">
      <c r="A1402" s="9" t="s">
        <v>127</v>
      </c>
      <c r="B1402" s="4">
        <v>45920</v>
      </c>
      <c r="C1402" s="5">
        <v>30</v>
      </c>
      <c r="D1402" s="9" t="s">
        <v>13</v>
      </c>
      <c r="E1402" s="10">
        <v>155</v>
      </c>
      <c r="F1402" s="10">
        <f t="shared" si="21"/>
        <v>4650</v>
      </c>
    </row>
    <row r="1403" spans="1:6" x14ac:dyDescent="0.25">
      <c r="A1403" s="9"/>
      <c r="B1403" s="9"/>
      <c r="D1403" s="9"/>
      <c r="F1403" s="8">
        <f>SUM(F1402)</f>
        <v>4650</v>
      </c>
    </row>
    <row r="1404" spans="1:6" x14ac:dyDescent="0.25">
      <c r="A1404" s="9"/>
      <c r="B1404" s="9"/>
      <c r="D1404" s="9"/>
    </row>
    <row r="1405" spans="1:6" x14ac:dyDescent="0.25">
      <c r="A1405" s="9" t="s">
        <v>62</v>
      </c>
      <c r="B1405" s="4">
        <v>45920</v>
      </c>
      <c r="C1405" s="5">
        <v>70</v>
      </c>
      <c r="D1405" s="9" t="s">
        <v>8</v>
      </c>
      <c r="E1405" s="10">
        <v>165</v>
      </c>
      <c r="F1405" s="10">
        <f t="shared" si="21"/>
        <v>11550</v>
      </c>
    </row>
    <row r="1406" spans="1:6" x14ac:dyDescent="0.25">
      <c r="A1406" s="9"/>
      <c r="B1406" s="9"/>
      <c r="D1406" s="9"/>
      <c r="F1406" s="8">
        <f>SUM(F1405)</f>
        <v>11550</v>
      </c>
    </row>
    <row r="1407" spans="1:6" x14ac:dyDescent="0.25">
      <c r="A1407" s="9"/>
      <c r="B1407" s="9"/>
      <c r="D1407" s="9"/>
    </row>
    <row r="1408" spans="1:6" x14ac:dyDescent="0.25">
      <c r="A1408" s="9" t="s">
        <v>60</v>
      </c>
      <c r="B1408" s="4">
        <v>45920</v>
      </c>
      <c r="C1408" s="5">
        <v>30</v>
      </c>
      <c r="D1408" s="9" t="s">
        <v>13</v>
      </c>
      <c r="E1408" s="10">
        <v>155</v>
      </c>
      <c r="F1408" s="10">
        <f t="shared" si="21"/>
        <v>4650</v>
      </c>
    </row>
    <row r="1409" spans="1:6" x14ac:dyDescent="0.25">
      <c r="A1409" s="9"/>
      <c r="B1409" s="9"/>
      <c r="D1409" s="9"/>
      <c r="F1409" s="8">
        <f>SUM(F1408)</f>
        <v>4650</v>
      </c>
    </row>
    <row r="1410" spans="1:6" x14ac:dyDescent="0.25">
      <c r="A1410" s="9"/>
      <c r="B1410" s="9"/>
      <c r="D1410" s="9"/>
    </row>
    <row r="1411" spans="1:6" x14ac:dyDescent="0.25">
      <c r="A1411" s="9" t="s">
        <v>245</v>
      </c>
      <c r="B1411" s="4">
        <v>45920</v>
      </c>
      <c r="C1411" s="5">
        <v>10</v>
      </c>
      <c r="D1411" s="9" t="s">
        <v>14</v>
      </c>
      <c r="E1411" s="10">
        <v>150</v>
      </c>
      <c r="F1411" s="10">
        <f t="shared" si="21"/>
        <v>1500</v>
      </c>
    </row>
    <row r="1412" spans="1:6" x14ac:dyDescent="0.25">
      <c r="A1412" s="9"/>
      <c r="B1412" s="9"/>
      <c r="D1412" s="9"/>
      <c r="F1412" s="8">
        <f>SUM(F1411)</f>
        <v>1500</v>
      </c>
    </row>
    <row r="1413" spans="1:6" x14ac:dyDescent="0.25">
      <c r="A1413" s="9"/>
      <c r="B1413" s="9"/>
      <c r="D1413" s="9"/>
    </row>
    <row r="1414" spans="1:6" x14ac:dyDescent="0.25">
      <c r="A1414" s="9" t="s">
        <v>72</v>
      </c>
      <c r="B1414" s="4">
        <v>45920</v>
      </c>
      <c r="C1414" s="5">
        <v>373</v>
      </c>
      <c r="D1414" s="9" t="s">
        <v>13</v>
      </c>
      <c r="E1414" s="10">
        <v>150</v>
      </c>
      <c r="F1414" s="10">
        <f t="shared" ref="F1414:F1475" si="22">+C1414*E1414</f>
        <v>55950</v>
      </c>
    </row>
    <row r="1415" spans="1:6" x14ac:dyDescent="0.25">
      <c r="A1415" s="9"/>
      <c r="B1415" s="9"/>
      <c r="C1415" s="5">
        <v>57</v>
      </c>
      <c r="D1415" s="9" t="s">
        <v>12</v>
      </c>
      <c r="E1415" s="10">
        <v>145</v>
      </c>
      <c r="F1415" s="10">
        <f t="shared" si="22"/>
        <v>8265</v>
      </c>
    </row>
    <row r="1416" spans="1:6" x14ac:dyDescent="0.25">
      <c r="A1416" s="9"/>
      <c r="B1416" s="9"/>
      <c r="C1416" s="5">
        <v>60</v>
      </c>
      <c r="D1416" s="9" t="s">
        <v>14</v>
      </c>
      <c r="E1416" s="10">
        <v>140</v>
      </c>
      <c r="F1416" s="10">
        <f t="shared" si="22"/>
        <v>8400</v>
      </c>
    </row>
    <row r="1417" spans="1:6" x14ac:dyDescent="0.25">
      <c r="A1417" s="9"/>
      <c r="B1417" s="9"/>
      <c r="C1417" s="5">
        <v>60</v>
      </c>
      <c r="D1417" s="9" t="s">
        <v>11</v>
      </c>
      <c r="E1417" s="10">
        <v>135</v>
      </c>
      <c r="F1417" s="10">
        <f t="shared" si="22"/>
        <v>8100</v>
      </c>
    </row>
    <row r="1418" spans="1:6" x14ac:dyDescent="0.25">
      <c r="A1418" s="9"/>
      <c r="B1418" s="9"/>
      <c r="D1418" s="9"/>
      <c r="F1418" s="8">
        <f>SUM(F1414:F1417)</f>
        <v>80715</v>
      </c>
    </row>
    <row r="1419" spans="1:6" x14ac:dyDescent="0.25">
      <c r="A1419" s="9"/>
      <c r="B1419" s="9"/>
      <c r="D1419" s="9"/>
    </row>
    <row r="1420" spans="1:6" x14ac:dyDescent="0.25">
      <c r="A1420" s="9" t="s">
        <v>76</v>
      </c>
      <c r="B1420" s="4">
        <v>45920</v>
      </c>
      <c r="C1420" s="5">
        <v>280</v>
      </c>
      <c r="D1420" s="9" t="s">
        <v>13</v>
      </c>
      <c r="E1420" s="10">
        <v>150</v>
      </c>
      <c r="F1420" s="10">
        <f t="shared" si="22"/>
        <v>42000</v>
      </c>
    </row>
    <row r="1421" spans="1:6" x14ac:dyDescent="0.25">
      <c r="A1421" s="9"/>
      <c r="B1421" s="9"/>
      <c r="C1421" s="5">
        <v>20</v>
      </c>
      <c r="D1421" s="9" t="s">
        <v>13</v>
      </c>
      <c r="E1421" s="10">
        <v>150</v>
      </c>
      <c r="F1421" s="10">
        <f t="shared" si="22"/>
        <v>3000</v>
      </c>
    </row>
    <row r="1422" spans="1:6" x14ac:dyDescent="0.25">
      <c r="A1422" s="9"/>
      <c r="B1422" s="9"/>
      <c r="C1422" s="5">
        <v>70</v>
      </c>
      <c r="D1422" s="9" t="s">
        <v>49</v>
      </c>
      <c r="E1422" s="10">
        <v>151</v>
      </c>
      <c r="F1422" s="10">
        <f t="shared" si="22"/>
        <v>10570</v>
      </c>
    </row>
    <row r="1423" spans="1:6" x14ac:dyDescent="0.25">
      <c r="A1423" s="9"/>
      <c r="B1423" s="9"/>
      <c r="D1423" s="9"/>
      <c r="F1423" s="8">
        <f>SUM(F1420:F1422)</f>
        <v>55570</v>
      </c>
    </row>
    <row r="1424" spans="1:6" x14ac:dyDescent="0.25">
      <c r="A1424" s="9"/>
      <c r="B1424" s="9"/>
      <c r="D1424" s="9"/>
    </row>
    <row r="1425" spans="1:6" x14ac:dyDescent="0.25">
      <c r="A1425" s="9" t="s">
        <v>65</v>
      </c>
      <c r="B1425" s="4">
        <v>45920</v>
      </c>
      <c r="C1425" s="5">
        <v>400</v>
      </c>
      <c r="D1425" s="9" t="s">
        <v>14</v>
      </c>
      <c r="F1425" s="10">
        <f t="shared" si="22"/>
        <v>0</v>
      </c>
    </row>
    <row r="1426" spans="1:6" x14ac:dyDescent="0.25">
      <c r="A1426" s="9"/>
      <c r="B1426" s="9"/>
      <c r="C1426" s="5">
        <v>85</v>
      </c>
      <c r="D1426" s="9" t="s">
        <v>11</v>
      </c>
      <c r="F1426" s="10">
        <f t="shared" si="22"/>
        <v>0</v>
      </c>
    </row>
    <row r="1427" spans="1:6" x14ac:dyDescent="0.25">
      <c r="A1427" s="9"/>
      <c r="B1427" s="9"/>
      <c r="C1427" s="5">
        <v>510</v>
      </c>
      <c r="D1427" s="9" t="s">
        <v>12</v>
      </c>
      <c r="F1427" s="10">
        <f t="shared" si="22"/>
        <v>0</v>
      </c>
    </row>
    <row r="1428" spans="1:6" s="9" customFormat="1" x14ac:dyDescent="0.25">
      <c r="C1428" s="5">
        <v>169</v>
      </c>
      <c r="D1428" s="9" t="s">
        <v>968</v>
      </c>
      <c r="E1428" s="10"/>
      <c r="F1428" s="10">
        <f t="shared" si="22"/>
        <v>0</v>
      </c>
    </row>
    <row r="1429" spans="1:6" s="9" customFormat="1" x14ac:dyDescent="0.25">
      <c r="C1429" s="5">
        <v>300</v>
      </c>
      <c r="D1429" s="9" t="s">
        <v>13</v>
      </c>
      <c r="E1429" s="10"/>
      <c r="F1429" s="10">
        <f t="shared" si="22"/>
        <v>0</v>
      </c>
    </row>
    <row r="1430" spans="1:6" s="9" customFormat="1" x14ac:dyDescent="0.25">
      <c r="C1430" s="5"/>
      <c r="E1430" s="10"/>
      <c r="F1430" s="8">
        <f>SUM(F1425:F1429)</f>
        <v>0</v>
      </c>
    </row>
    <row r="1431" spans="1:6" s="9" customFormat="1" x14ac:dyDescent="0.25">
      <c r="C1431" s="5"/>
      <c r="E1431" s="10"/>
      <c r="F1431" s="10"/>
    </row>
    <row r="1432" spans="1:6" s="9" customFormat="1" x14ac:dyDescent="0.25">
      <c r="A1432" s="9" t="s">
        <v>29</v>
      </c>
      <c r="B1432" s="4">
        <v>45920</v>
      </c>
      <c r="C1432" s="5">
        <v>2</v>
      </c>
      <c r="D1432" s="9" t="s">
        <v>8</v>
      </c>
      <c r="E1432" s="10">
        <v>170</v>
      </c>
      <c r="F1432" s="10">
        <f t="shared" si="22"/>
        <v>340</v>
      </c>
    </row>
    <row r="1433" spans="1:6" s="9" customFormat="1" x14ac:dyDescent="0.25">
      <c r="C1433" s="5">
        <v>8</v>
      </c>
      <c r="D1433" s="9" t="s">
        <v>12</v>
      </c>
      <c r="E1433" s="10">
        <v>150</v>
      </c>
      <c r="F1433" s="10">
        <f t="shared" si="22"/>
        <v>1200</v>
      </c>
    </row>
    <row r="1434" spans="1:6" s="9" customFormat="1" x14ac:dyDescent="0.25">
      <c r="C1434" s="5">
        <v>1</v>
      </c>
      <c r="D1434" s="9" t="s">
        <v>13</v>
      </c>
      <c r="E1434" s="10">
        <v>150</v>
      </c>
      <c r="F1434" s="10">
        <f t="shared" si="22"/>
        <v>150</v>
      </c>
    </row>
    <row r="1435" spans="1:6" s="9" customFormat="1" x14ac:dyDescent="0.25">
      <c r="C1435" s="5"/>
      <c r="E1435" s="10"/>
      <c r="F1435" s="8">
        <f>SUM(F1432:F1434)</f>
        <v>1690</v>
      </c>
    </row>
    <row r="1436" spans="1:6" s="9" customFormat="1" x14ac:dyDescent="0.25">
      <c r="C1436" s="5"/>
      <c r="E1436" s="10"/>
      <c r="F1436" s="10"/>
    </row>
    <row r="1437" spans="1:6" s="9" customFormat="1" x14ac:dyDescent="0.25">
      <c r="A1437" s="9" t="s">
        <v>181</v>
      </c>
      <c r="B1437" s="4">
        <v>45920</v>
      </c>
      <c r="C1437" s="5">
        <v>2</v>
      </c>
      <c r="D1437" s="9" t="s">
        <v>224</v>
      </c>
      <c r="E1437" s="10">
        <v>140</v>
      </c>
      <c r="F1437" s="10">
        <f t="shared" si="22"/>
        <v>280</v>
      </c>
    </row>
    <row r="1438" spans="1:6" s="9" customFormat="1" x14ac:dyDescent="0.25">
      <c r="C1438" s="5">
        <v>1</v>
      </c>
      <c r="D1438" s="9" t="s">
        <v>969</v>
      </c>
      <c r="E1438" s="10">
        <v>150</v>
      </c>
      <c r="F1438" s="10">
        <f t="shared" si="22"/>
        <v>150</v>
      </c>
    </row>
    <row r="1439" spans="1:6" s="9" customFormat="1" x14ac:dyDescent="0.25">
      <c r="C1439" s="5">
        <v>1</v>
      </c>
      <c r="D1439" s="9" t="s">
        <v>49</v>
      </c>
      <c r="E1439" s="10">
        <v>170</v>
      </c>
      <c r="F1439" s="10">
        <f t="shared" si="22"/>
        <v>170</v>
      </c>
    </row>
    <row r="1440" spans="1:6" s="9" customFormat="1" x14ac:dyDescent="0.25">
      <c r="C1440" s="5">
        <v>5</v>
      </c>
      <c r="D1440" s="9" t="s">
        <v>12</v>
      </c>
      <c r="E1440" s="10">
        <v>150</v>
      </c>
      <c r="F1440" s="10">
        <f t="shared" si="22"/>
        <v>750</v>
      </c>
    </row>
    <row r="1441" spans="1:6" s="9" customFormat="1" x14ac:dyDescent="0.25">
      <c r="C1441" s="5">
        <v>2</v>
      </c>
      <c r="D1441" s="9" t="s">
        <v>12</v>
      </c>
      <c r="E1441" s="10">
        <v>150</v>
      </c>
      <c r="F1441" s="10">
        <f t="shared" si="22"/>
        <v>300</v>
      </c>
    </row>
    <row r="1442" spans="1:6" s="9" customFormat="1" x14ac:dyDescent="0.25">
      <c r="C1442" s="5">
        <v>1</v>
      </c>
      <c r="D1442" s="9" t="s">
        <v>970</v>
      </c>
      <c r="E1442" s="10">
        <v>160</v>
      </c>
      <c r="F1442" s="10">
        <f t="shared" si="22"/>
        <v>160</v>
      </c>
    </row>
    <row r="1443" spans="1:6" s="9" customFormat="1" x14ac:dyDescent="0.25">
      <c r="C1443" s="5"/>
      <c r="E1443" s="10"/>
      <c r="F1443" s="8">
        <f>SUM(F1437:F1442)</f>
        <v>1810</v>
      </c>
    </row>
    <row r="1444" spans="1:6" s="9" customFormat="1" x14ac:dyDescent="0.25">
      <c r="C1444" s="5"/>
      <c r="E1444" s="10"/>
      <c r="F1444" s="10"/>
    </row>
    <row r="1445" spans="1:6" s="9" customFormat="1" x14ac:dyDescent="0.25">
      <c r="A1445" s="9" t="s">
        <v>181</v>
      </c>
      <c r="B1445" s="4">
        <v>45921</v>
      </c>
      <c r="C1445" s="11">
        <v>0.5</v>
      </c>
      <c r="D1445" s="9" t="s">
        <v>13</v>
      </c>
      <c r="E1445" s="10">
        <v>160</v>
      </c>
      <c r="F1445" s="10">
        <f t="shared" si="22"/>
        <v>80</v>
      </c>
    </row>
    <row r="1446" spans="1:6" s="9" customFormat="1" x14ac:dyDescent="0.25">
      <c r="C1446" s="5">
        <v>1</v>
      </c>
      <c r="D1446" s="9" t="s">
        <v>13</v>
      </c>
      <c r="E1446" s="10">
        <v>160</v>
      </c>
      <c r="F1446" s="10">
        <f t="shared" si="22"/>
        <v>160</v>
      </c>
    </row>
    <row r="1447" spans="1:6" s="9" customFormat="1" x14ac:dyDescent="0.25">
      <c r="C1447" s="5">
        <v>1</v>
      </c>
      <c r="D1447" s="9" t="s">
        <v>971</v>
      </c>
      <c r="E1447" s="10">
        <v>150</v>
      </c>
      <c r="F1447" s="10">
        <f t="shared" si="22"/>
        <v>150</v>
      </c>
    </row>
    <row r="1448" spans="1:6" s="9" customFormat="1" x14ac:dyDescent="0.25">
      <c r="C1448" s="5">
        <v>1</v>
      </c>
      <c r="D1448" s="9" t="s">
        <v>972</v>
      </c>
      <c r="E1448" s="10">
        <v>150</v>
      </c>
      <c r="F1448" s="10">
        <f t="shared" si="22"/>
        <v>150</v>
      </c>
    </row>
    <row r="1449" spans="1:6" s="9" customFormat="1" x14ac:dyDescent="0.25">
      <c r="C1449" s="5"/>
      <c r="E1449" s="10"/>
      <c r="F1449" s="8">
        <f>SUM(F1445:F1448)</f>
        <v>540</v>
      </c>
    </row>
    <row r="1450" spans="1:6" s="9" customFormat="1" x14ac:dyDescent="0.25">
      <c r="C1450" s="5"/>
      <c r="E1450" s="10"/>
      <c r="F1450" s="10"/>
    </row>
    <row r="1451" spans="1:6" s="9" customFormat="1" x14ac:dyDescent="0.25">
      <c r="A1451" s="9" t="s">
        <v>7</v>
      </c>
      <c r="B1451" s="4">
        <v>45921</v>
      </c>
      <c r="C1451" s="5">
        <v>1</v>
      </c>
      <c r="D1451" s="9" t="s">
        <v>973</v>
      </c>
      <c r="E1451" s="10">
        <v>150</v>
      </c>
      <c r="F1451" s="10">
        <f t="shared" si="22"/>
        <v>150</v>
      </c>
    </row>
    <row r="1452" spans="1:6" s="9" customFormat="1" x14ac:dyDescent="0.25">
      <c r="C1452" s="5"/>
      <c r="E1452" s="10"/>
      <c r="F1452" s="8">
        <f>SUM(F1451)</f>
        <v>150</v>
      </c>
    </row>
    <row r="1453" spans="1:6" s="9" customFormat="1" x14ac:dyDescent="0.25">
      <c r="C1453" s="5"/>
      <c r="E1453" s="10"/>
      <c r="F1453" s="10"/>
    </row>
    <row r="1454" spans="1:6" s="9" customFormat="1" x14ac:dyDescent="0.25">
      <c r="A1454" s="9" t="s">
        <v>79</v>
      </c>
      <c r="B1454" s="4">
        <v>45922</v>
      </c>
      <c r="C1454" s="5">
        <v>20</v>
      </c>
      <c r="D1454" s="9" t="s">
        <v>13</v>
      </c>
      <c r="E1454" s="10">
        <v>155</v>
      </c>
      <c r="F1454" s="10">
        <f t="shared" si="22"/>
        <v>3100</v>
      </c>
    </row>
    <row r="1455" spans="1:6" s="9" customFormat="1" x14ac:dyDescent="0.25">
      <c r="C1455" s="5"/>
      <c r="E1455" s="10"/>
      <c r="F1455" s="8">
        <f>SUM(F1454)</f>
        <v>3100</v>
      </c>
    </row>
    <row r="1456" spans="1:6" s="9" customFormat="1" x14ac:dyDescent="0.25">
      <c r="C1456" s="5"/>
      <c r="E1456" s="10"/>
      <c r="F1456" s="10"/>
    </row>
    <row r="1457" spans="1:6" s="9" customFormat="1" x14ac:dyDescent="0.25">
      <c r="A1457" s="9" t="s">
        <v>20</v>
      </c>
      <c r="B1457" s="4">
        <v>45922</v>
      </c>
      <c r="C1457" s="5">
        <v>20</v>
      </c>
      <c r="D1457" s="9" t="s">
        <v>13</v>
      </c>
      <c r="E1457" s="10">
        <v>160</v>
      </c>
      <c r="F1457" s="10">
        <f t="shared" si="22"/>
        <v>3200</v>
      </c>
    </row>
    <row r="1458" spans="1:6" s="9" customFormat="1" x14ac:dyDescent="0.25">
      <c r="C1458" s="5"/>
      <c r="E1458" s="10"/>
      <c r="F1458" s="8">
        <f>SUM(F1457)</f>
        <v>3200</v>
      </c>
    </row>
    <row r="1459" spans="1:6" s="9" customFormat="1" x14ac:dyDescent="0.25">
      <c r="C1459" s="5"/>
      <c r="E1459" s="10"/>
      <c r="F1459" s="10"/>
    </row>
    <row r="1460" spans="1:6" s="9" customFormat="1" x14ac:dyDescent="0.25">
      <c r="A1460" s="9" t="s">
        <v>808</v>
      </c>
      <c r="B1460" s="4">
        <v>45922</v>
      </c>
      <c r="C1460" s="5">
        <v>23</v>
      </c>
      <c r="D1460" s="9" t="s">
        <v>13</v>
      </c>
      <c r="E1460" s="10">
        <v>160</v>
      </c>
      <c r="F1460" s="10">
        <f t="shared" si="22"/>
        <v>3680</v>
      </c>
    </row>
    <row r="1461" spans="1:6" s="9" customFormat="1" x14ac:dyDescent="0.25">
      <c r="C1461" s="5">
        <v>10</v>
      </c>
      <c r="D1461" s="9" t="s">
        <v>12</v>
      </c>
      <c r="E1461" s="10">
        <v>150</v>
      </c>
      <c r="F1461" s="10">
        <f t="shared" si="22"/>
        <v>1500</v>
      </c>
    </row>
    <row r="1462" spans="1:6" s="9" customFormat="1" x14ac:dyDescent="0.25">
      <c r="C1462" s="5">
        <v>10</v>
      </c>
      <c r="D1462" s="9" t="s">
        <v>8</v>
      </c>
      <c r="E1462" s="10">
        <v>165</v>
      </c>
      <c r="F1462" s="10">
        <f t="shared" si="22"/>
        <v>1650</v>
      </c>
    </row>
    <row r="1463" spans="1:6" s="9" customFormat="1" x14ac:dyDescent="0.25">
      <c r="C1463" s="5"/>
      <c r="E1463" s="10"/>
      <c r="F1463" s="8">
        <f>SUM(F1460:F1462)</f>
        <v>6830</v>
      </c>
    </row>
    <row r="1464" spans="1:6" s="9" customFormat="1" x14ac:dyDescent="0.25">
      <c r="C1464" s="5"/>
      <c r="E1464" s="10"/>
      <c r="F1464" s="10"/>
    </row>
    <row r="1465" spans="1:6" s="9" customFormat="1" x14ac:dyDescent="0.25">
      <c r="A1465" s="9" t="s">
        <v>923</v>
      </c>
      <c r="B1465" s="4">
        <v>45922</v>
      </c>
      <c r="C1465" s="5">
        <v>20</v>
      </c>
      <c r="D1465" s="9" t="s">
        <v>13</v>
      </c>
      <c r="E1465" s="10">
        <v>160</v>
      </c>
      <c r="F1465" s="10">
        <f t="shared" si="22"/>
        <v>3200</v>
      </c>
    </row>
    <row r="1466" spans="1:6" s="9" customFormat="1" x14ac:dyDescent="0.25">
      <c r="C1466" s="5">
        <v>15</v>
      </c>
      <c r="D1466" s="9" t="s">
        <v>12</v>
      </c>
      <c r="E1466" s="10">
        <v>145</v>
      </c>
      <c r="F1466" s="10">
        <f t="shared" si="22"/>
        <v>2175</v>
      </c>
    </row>
    <row r="1467" spans="1:6" s="9" customFormat="1" x14ac:dyDescent="0.25">
      <c r="C1467" s="5"/>
      <c r="E1467" s="10"/>
      <c r="F1467" s="8">
        <f>SUM(F1465:F1466)</f>
        <v>5375</v>
      </c>
    </row>
    <row r="1468" spans="1:6" s="9" customFormat="1" x14ac:dyDescent="0.25">
      <c r="C1468" s="5"/>
      <c r="E1468" s="10"/>
      <c r="F1468" s="10"/>
    </row>
    <row r="1469" spans="1:6" s="9" customFormat="1" x14ac:dyDescent="0.25">
      <c r="A1469" s="9" t="s">
        <v>25</v>
      </c>
      <c r="B1469" s="4">
        <v>45922</v>
      </c>
      <c r="C1469" s="5">
        <v>30</v>
      </c>
      <c r="D1469" s="9" t="s">
        <v>8</v>
      </c>
      <c r="E1469" s="10">
        <v>165</v>
      </c>
      <c r="F1469" s="10">
        <f t="shared" si="22"/>
        <v>4950</v>
      </c>
    </row>
    <row r="1470" spans="1:6" s="9" customFormat="1" x14ac:dyDescent="0.25">
      <c r="C1470" s="5"/>
      <c r="E1470" s="10"/>
      <c r="F1470" s="8">
        <f>SUM(F1469)</f>
        <v>4950</v>
      </c>
    </row>
    <row r="1471" spans="1:6" s="9" customFormat="1" x14ac:dyDescent="0.25">
      <c r="C1471" s="5"/>
      <c r="E1471" s="10"/>
      <c r="F1471" s="10"/>
    </row>
    <row r="1472" spans="1:6" s="9" customFormat="1" x14ac:dyDescent="0.25">
      <c r="A1472" s="9" t="s">
        <v>18</v>
      </c>
      <c r="B1472" s="4">
        <v>45922</v>
      </c>
      <c r="C1472" s="5">
        <v>6</v>
      </c>
      <c r="D1472" s="9" t="s">
        <v>13</v>
      </c>
      <c r="E1472" s="10">
        <v>160</v>
      </c>
      <c r="F1472" s="10">
        <f t="shared" si="22"/>
        <v>960</v>
      </c>
    </row>
    <row r="1473" spans="1:6" s="9" customFormat="1" x14ac:dyDescent="0.25">
      <c r="C1473" s="5"/>
      <c r="E1473" s="10"/>
      <c r="F1473" s="8">
        <f>SUM(F1472)</f>
        <v>960</v>
      </c>
    </row>
    <row r="1474" spans="1:6" s="9" customFormat="1" x14ac:dyDescent="0.25">
      <c r="C1474" s="5"/>
      <c r="E1474" s="10"/>
      <c r="F1474" s="10"/>
    </row>
    <row r="1475" spans="1:6" s="9" customFormat="1" x14ac:dyDescent="0.25">
      <c r="A1475" s="9" t="s">
        <v>974</v>
      </c>
      <c r="B1475" s="4">
        <v>45922</v>
      </c>
      <c r="C1475" s="5">
        <v>20</v>
      </c>
      <c r="D1475" s="9" t="s">
        <v>98</v>
      </c>
      <c r="E1475" s="10">
        <v>110</v>
      </c>
      <c r="F1475" s="10">
        <f t="shared" si="22"/>
        <v>2200</v>
      </c>
    </row>
    <row r="1476" spans="1:6" s="9" customFormat="1" x14ac:dyDescent="0.25">
      <c r="C1476" s="5"/>
      <c r="E1476" s="10"/>
      <c r="F1476" s="8">
        <f>SUM(F1475)</f>
        <v>2200</v>
      </c>
    </row>
    <row r="1477" spans="1:6" s="9" customFormat="1" x14ac:dyDescent="0.25">
      <c r="C1477" s="5"/>
      <c r="E1477" s="10"/>
      <c r="F1477" s="10"/>
    </row>
    <row r="1478" spans="1:6" s="9" customFormat="1" x14ac:dyDescent="0.25">
      <c r="A1478" s="9" t="s">
        <v>15</v>
      </c>
      <c r="B1478" s="4">
        <v>45922</v>
      </c>
      <c r="C1478" s="5">
        <v>54</v>
      </c>
      <c r="D1478" s="9" t="s">
        <v>98</v>
      </c>
      <c r="E1478" s="10">
        <v>110</v>
      </c>
      <c r="F1478" s="10">
        <f t="shared" ref="F1478:F1539" si="23">+C1478*E1478</f>
        <v>5940</v>
      </c>
    </row>
    <row r="1479" spans="1:6" s="9" customFormat="1" x14ac:dyDescent="0.25">
      <c r="C1479" s="5"/>
      <c r="E1479" s="10"/>
      <c r="F1479" s="8">
        <f>SUM(F1478)</f>
        <v>5940</v>
      </c>
    </row>
    <row r="1480" spans="1:6" s="9" customFormat="1" x14ac:dyDescent="0.25">
      <c r="C1480" s="5"/>
      <c r="E1480" s="10"/>
      <c r="F1480" s="10"/>
    </row>
    <row r="1481" spans="1:6" s="9" customFormat="1" x14ac:dyDescent="0.25">
      <c r="A1481" s="9" t="s">
        <v>58</v>
      </c>
      <c r="B1481" s="4">
        <v>45922</v>
      </c>
      <c r="C1481" s="5">
        <v>6</v>
      </c>
      <c r="D1481" s="9" t="s">
        <v>13</v>
      </c>
      <c r="E1481" s="10">
        <v>155</v>
      </c>
      <c r="F1481" s="10">
        <f t="shared" si="23"/>
        <v>930</v>
      </c>
    </row>
    <row r="1482" spans="1:6" s="9" customFormat="1" x14ac:dyDescent="0.25">
      <c r="C1482" s="5"/>
      <c r="E1482" s="10"/>
      <c r="F1482" s="8">
        <f>SUM(F1481)</f>
        <v>930</v>
      </c>
    </row>
    <row r="1483" spans="1:6" s="9" customFormat="1" x14ac:dyDescent="0.25">
      <c r="C1483" s="5"/>
      <c r="E1483" s="10"/>
      <c r="F1483" s="10"/>
    </row>
    <row r="1484" spans="1:6" s="9" customFormat="1" x14ac:dyDescent="0.25">
      <c r="A1484" s="9" t="s">
        <v>37</v>
      </c>
      <c r="B1484" s="4">
        <v>45922</v>
      </c>
      <c r="C1484" s="5">
        <v>10</v>
      </c>
      <c r="D1484" s="9" t="s">
        <v>12</v>
      </c>
      <c r="E1484" s="10">
        <v>150</v>
      </c>
      <c r="F1484" s="10">
        <f t="shared" si="23"/>
        <v>1500</v>
      </c>
    </row>
    <row r="1485" spans="1:6" s="9" customFormat="1" x14ac:dyDescent="0.25">
      <c r="C1485" s="5"/>
      <c r="E1485" s="10"/>
      <c r="F1485" s="8">
        <f>SUM(F1484)</f>
        <v>1500</v>
      </c>
    </row>
    <row r="1486" spans="1:6" s="9" customFormat="1" x14ac:dyDescent="0.25">
      <c r="C1486" s="5"/>
      <c r="E1486" s="10"/>
      <c r="F1486" s="10"/>
    </row>
    <row r="1487" spans="1:6" s="9" customFormat="1" x14ac:dyDescent="0.25">
      <c r="A1487" s="9" t="s">
        <v>975</v>
      </c>
      <c r="B1487" s="4">
        <v>45922</v>
      </c>
      <c r="C1487" s="5">
        <v>5</v>
      </c>
      <c r="D1487" s="9" t="s">
        <v>14</v>
      </c>
      <c r="E1487" s="10">
        <v>150</v>
      </c>
      <c r="F1487" s="10">
        <f t="shared" si="23"/>
        <v>750</v>
      </c>
    </row>
    <row r="1488" spans="1:6" s="9" customFormat="1" x14ac:dyDescent="0.25">
      <c r="C1488" s="5"/>
      <c r="E1488" s="10"/>
      <c r="F1488" s="8">
        <f>SUM(F1487)</f>
        <v>750</v>
      </c>
    </row>
    <row r="1489" spans="1:6" s="9" customFormat="1" x14ac:dyDescent="0.25">
      <c r="C1489" s="5"/>
      <c r="E1489" s="10"/>
      <c r="F1489" s="10"/>
    </row>
    <row r="1490" spans="1:6" s="9" customFormat="1" x14ac:dyDescent="0.25">
      <c r="A1490" s="9" t="s">
        <v>41</v>
      </c>
      <c r="B1490" s="4">
        <v>45922</v>
      </c>
      <c r="C1490" s="5">
        <v>35</v>
      </c>
      <c r="D1490" s="9" t="s">
        <v>14</v>
      </c>
      <c r="E1490" s="10">
        <v>140</v>
      </c>
      <c r="F1490" s="10">
        <f t="shared" si="23"/>
        <v>4900</v>
      </c>
    </row>
    <row r="1491" spans="1:6" s="9" customFormat="1" x14ac:dyDescent="0.25">
      <c r="C1491" s="5"/>
      <c r="E1491" s="10"/>
      <c r="F1491" s="8">
        <f>SUM(F1490)</f>
        <v>4900</v>
      </c>
    </row>
    <row r="1492" spans="1:6" s="9" customFormat="1" x14ac:dyDescent="0.25">
      <c r="C1492" s="5"/>
      <c r="E1492" s="10"/>
      <c r="F1492" s="10"/>
    </row>
    <row r="1493" spans="1:6" s="9" customFormat="1" x14ac:dyDescent="0.25">
      <c r="A1493" s="9" t="s">
        <v>455</v>
      </c>
      <c r="B1493" s="4">
        <v>45922</v>
      </c>
      <c r="C1493" s="5">
        <v>51</v>
      </c>
      <c r="D1493" s="9" t="s">
        <v>14</v>
      </c>
      <c r="E1493" s="10">
        <v>150</v>
      </c>
      <c r="F1493" s="10">
        <f t="shared" si="23"/>
        <v>7650</v>
      </c>
    </row>
    <row r="1494" spans="1:6" s="9" customFormat="1" x14ac:dyDescent="0.25">
      <c r="C1494" s="5"/>
      <c r="E1494" s="10"/>
      <c r="F1494" s="8">
        <f>SUM(F1493)</f>
        <v>7650</v>
      </c>
    </row>
    <row r="1495" spans="1:6" s="9" customFormat="1" x14ac:dyDescent="0.25">
      <c r="C1495" s="5"/>
      <c r="E1495" s="10"/>
      <c r="F1495" s="10"/>
    </row>
    <row r="1496" spans="1:6" s="9" customFormat="1" x14ac:dyDescent="0.25">
      <c r="A1496" s="9" t="s">
        <v>43</v>
      </c>
      <c r="B1496" s="4">
        <v>45922</v>
      </c>
      <c r="C1496" s="5">
        <v>40</v>
      </c>
      <c r="D1496" s="9" t="s">
        <v>49</v>
      </c>
      <c r="E1496" s="10">
        <v>155</v>
      </c>
      <c r="F1496" s="10">
        <f t="shared" si="23"/>
        <v>6200</v>
      </c>
    </row>
    <row r="1497" spans="1:6" s="9" customFormat="1" x14ac:dyDescent="0.25">
      <c r="C1497" s="5"/>
      <c r="E1497" s="10"/>
      <c r="F1497" s="8">
        <f>SUM(F1496)</f>
        <v>6200</v>
      </c>
    </row>
    <row r="1498" spans="1:6" s="9" customFormat="1" x14ac:dyDescent="0.25">
      <c r="C1498" s="5"/>
      <c r="E1498" s="10"/>
      <c r="F1498" s="10"/>
    </row>
    <row r="1499" spans="1:6" s="9" customFormat="1" x14ac:dyDescent="0.25">
      <c r="A1499" s="9" t="s">
        <v>85</v>
      </c>
      <c r="B1499" s="4">
        <v>45922</v>
      </c>
      <c r="C1499" s="5">
        <v>60</v>
      </c>
      <c r="D1499" s="9" t="s">
        <v>14</v>
      </c>
      <c r="E1499" s="10">
        <v>150</v>
      </c>
      <c r="F1499" s="10">
        <f t="shared" si="23"/>
        <v>9000</v>
      </c>
    </row>
    <row r="1500" spans="1:6" s="9" customFormat="1" x14ac:dyDescent="0.25">
      <c r="C1500" s="5"/>
      <c r="E1500" s="10"/>
      <c r="F1500" s="8">
        <f>SUM(F1499)</f>
        <v>9000</v>
      </c>
    </row>
    <row r="1501" spans="1:6" s="9" customFormat="1" x14ac:dyDescent="0.25">
      <c r="C1501" s="5"/>
      <c r="E1501" s="10"/>
      <c r="F1501" s="10"/>
    </row>
    <row r="1502" spans="1:6" s="9" customFormat="1" x14ac:dyDescent="0.25">
      <c r="A1502" s="9" t="s">
        <v>18</v>
      </c>
      <c r="B1502" s="4">
        <v>45922</v>
      </c>
      <c r="C1502" s="5">
        <v>10</v>
      </c>
      <c r="D1502" s="9" t="s">
        <v>13</v>
      </c>
      <c r="E1502" s="10">
        <v>155</v>
      </c>
      <c r="F1502" s="10">
        <f t="shared" si="23"/>
        <v>1550</v>
      </c>
    </row>
    <row r="1503" spans="1:6" s="9" customFormat="1" x14ac:dyDescent="0.25">
      <c r="C1503" s="5">
        <v>10</v>
      </c>
      <c r="D1503" s="9" t="s">
        <v>14</v>
      </c>
      <c r="E1503" s="10">
        <v>150</v>
      </c>
      <c r="F1503" s="10">
        <f t="shared" si="23"/>
        <v>1500</v>
      </c>
    </row>
    <row r="1504" spans="1:6" s="9" customFormat="1" x14ac:dyDescent="0.25">
      <c r="C1504" s="5">
        <v>12</v>
      </c>
      <c r="D1504" s="9" t="s">
        <v>50</v>
      </c>
      <c r="E1504" s="10">
        <v>135</v>
      </c>
      <c r="F1504" s="10">
        <f t="shared" si="23"/>
        <v>1620</v>
      </c>
    </row>
    <row r="1505" spans="1:6" s="9" customFormat="1" x14ac:dyDescent="0.25">
      <c r="C1505" s="5"/>
      <c r="E1505" s="10"/>
      <c r="F1505" s="8">
        <f>SUM(F1502:F1504)</f>
        <v>4670</v>
      </c>
    </row>
    <row r="1506" spans="1:6" s="9" customFormat="1" x14ac:dyDescent="0.25">
      <c r="C1506" s="5"/>
      <c r="E1506" s="10"/>
      <c r="F1506" s="10"/>
    </row>
    <row r="1507" spans="1:6" s="9" customFormat="1" x14ac:dyDescent="0.25">
      <c r="A1507" s="9" t="s">
        <v>138</v>
      </c>
      <c r="B1507" s="4">
        <v>45922</v>
      </c>
      <c r="C1507" s="5">
        <v>30</v>
      </c>
      <c r="D1507" s="9" t="s">
        <v>14</v>
      </c>
      <c r="E1507" s="10">
        <v>150</v>
      </c>
      <c r="F1507" s="10">
        <f t="shared" si="23"/>
        <v>4500</v>
      </c>
    </row>
    <row r="1508" spans="1:6" s="9" customFormat="1" x14ac:dyDescent="0.25">
      <c r="C1508" s="5"/>
      <c r="E1508" s="10"/>
      <c r="F1508" s="8">
        <f>SUM(F1507)</f>
        <v>4500</v>
      </c>
    </row>
    <row r="1509" spans="1:6" s="9" customFormat="1" x14ac:dyDescent="0.25">
      <c r="C1509" s="5"/>
      <c r="E1509" s="10"/>
      <c r="F1509" s="10"/>
    </row>
    <row r="1510" spans="1:6" s="9" customFormat="1" x14ac:dyDescent="0.25">
      <c r="A1510" s="9" t="s">
        <v>47</v>
      </c>
      <c r="B1510" s="4">
        <v>45922</v>
      </c>
      <c r="C1510" s="5">
        <v>29</v>
      </c>
      <c r="D1510" s="9" t="s">
        <v>14</v>
      </c>
      <c r="E1510" s="10">
        <v>150</v>
      </c>
      <c r="F1510" s="10">
        <f t="shared" si="23"/>
        <v>4350</v>
      </c>
    </row>
    <row r="1511" spans="1:6" s="9" customFormat="1" x14ac:dyDescent="0.25">
      <c r="C1511" s="5"/>
      <c r="E1511" s="10"/>
      <c r="F1511" s="8">
        <f>SUM(F1510)</f>
        <v>4350</v>
      </c>
    </row>
    <row r="1512" spans="1:6" s="9" customFormat="1" x14ac:dyDescent="0.25">
      <c r="C1512" s="5"/>
      <c r="E1512" s="10"/>
      <c r="F1512" s="10"/>
    </row>
    <row r="1513" spans="1:6" s="9" customFormat="1" x14ac:dyDescent="0.25">
      <c r="A1513" s="9" t="s">
        <v>159</v>
      </c>
      <c r="B1513" s="4">
        <v>45922</v>
      </c>
      <c r="C1513" s="5">
        <v>7</v>
      </c>
      <c r="D1513" s="9" t="s">
        <v>13</v>
      </c>
      <c r="E1513" s="10">
        <v>160</v>
      </c>
      <c r="F1513" s="10">
        <f t="shared" si="23"/>
        <v>1120</v>
      </c>
    </row>
    <row r="1514" spans="1:6" s="9" customFormat="1" x14ac:dyDescent="0.25">
      <c r="C1514" s="5"/>
      <c r="E1514" s="10"/>
      <c r="F1514" s="8">
        <f>SUM(F1513)</f>
        <v>1120</v>
      </c>
    </row>
    <row r="1515" spans="1:6" s="9" customFormat="1" x14ac:dyDescent="0.25">
      <c r="C1515" s="5"/>
      <c r="E1515" s="10"/>
      <c r="F1515" s="10"/>
    </row>
    <row r="1516" spans="1:6" s="9" customFormat="1" x14ac:dyDescent="0.25">
      <c r="A1516" s="9" t="s">
        <v>259</v>
      </c>
      <c r="B1516" s="4">
        <v>45922</v>
      </c>
      <c r="C1516" s="5">
        <v>200</v>
      </c>
      <c r="D1516" s="9" t="s">
        <v>14</v>
      </c>
      <c r="E1516" s="10"/>
      <c r="F1516" s="10">
        <f t="shared" si="23"/>
        <v>0</v>
      </c>
    </row>
    <row r="1517" spans="1:6" s="9" customFormat="1" x14ac:dyDescent="0.25">
      <c r="C1517" s="5">
        <v>100</v>
      </c>
      <c r="D1517" s="9" t="s">
        <v>11</v>
      </c>
      <c r="E1517" s="10"/>
      <c r="F1517" s="10">
        <f t="shared" si="23"/>
        <v>0</v>
      </c>
    </row>
    <row r="1518" spans="1:6" s="9" customFormat="1" x14ac:dyDescent="0.25">
      <c r="C1518" s="5"/>
      <c r="E1518" s="10"/>
      <c r="F1518" s="8">
        <f>SUM(F1516:F1517)</f>
        <v>0</v>
      </c>
    </row>
    <row r="1519" spans="1:6" s="9" customFormat="1" x14ac:dyDescent="0.25">
      <c r="C1519" s="5"/>
      <c r="E1519" s="10"/>
      <c r="F1519" s="10"/>
    </row>
    <row r="1520" spans="1:6" s="9" customFormat="1" x14ac:dyDescent="0.25">
      <c r="A1520" s="9" t="s">
        <v>150</v>
      </c>
      <c r="B1520" s="4">
        <v>45922</v>
      </c>
      <c r="C1520" s="5">
        <v>270</v>
      </c>
      <c r="D1520" s="9" t="s">
        <v>14</v>
      </c>
      <c r="E1520" s="10"/>
      <c r="F1520" s="10">
        <f t="shared" si="23"/>
        <v>0</v>
      </c>
    </row>
    <row r="1521" spans="1:6" s="9" customFormat="1" x14ac:dyDescent="0.25">
      <c r="C1521" s="5">
        <v>210</v>
      </c>
      <c r="D1521" s="9" t="s">
        <v>11</v>
      </c>
      <c r="E1521" s="10"/>
      <c r="F1521" s="10">
        <f t="shared" si="23"/>
        <v>0</v>
      </c>
    </row>
    <row r="1522" spans="1:6" s="9" customFormat="1" x14ac:dyDescent="0.25">
      <c r="C1522" s="5"/>
      <c r="E1522" s="10"/>
      <c r="F1522" s="8">
        <f>SUM(F1520:F1521)</f>
        <v>0</v>
      </c>
    </row>
    <row r="1523" spans="1:6" s="9" customFormat="1" x14ac:dyDescent="0.25">
      <c r="C1523" s="5"/>
      <c r="E1523" s="10"/>
      <c r="F1523" s="10"/>
    </row>
    <row r="1524" spans="1:6" s="9" customFormat="1" x14ac:dyDescent="0.25">
      <c r="A1524" s="9" t="s">
        <v>89</v>
      </c>
      <c r="B1524" s="4">
        <v>45922</v>
      </c>
      <c r="C1524" s="5">
        <v>10</v>
      </c>
      <c r="D1524" s="9" t="s">
        <v>13</v>
      </c>
      <c r="E1524" s="10">
        <v>150</v>
      </c>
      <c r="F1524" s="10">
        <f t="shared" si="23"/>
        <v>1500</v>
      </c>
    </row>
    <row r="1525" spans="1:6" s="9" customFormat="1" x14ac:dyDescent="0.25">
      <c r="C1525" s="5">
        <v>40</v>
      </c>
      <c r="D1525" s="9" t="s">
        <v>12</v>
      </c>
      <c r="E1525" s="10">
        <v>145</v>
      </c>
      <c r="F1525" s="10">
        <f t="shared" si="23"/>
        <v>5800</v>
      </c>
    </row>
    <row r="1526" spans="1:6" s="9" customFormat="1" x14ac:dyDescent="0.25">
      <c r="C1526" s="5"/>
      <c r="E1526" s="10"/>
      <c r="F1526" s="8">
        <f>SUM(F1524:F1525)</f>
        <v>7300</v>
      </c>
    </row>
    <row r="1527" spans="1:6" s="9" customFormat="1" x14ac:dyDescent="0.25">
      <c r="C1527" s="5"/>
      <c r="E1527" s="10"/>
      <c r="F1527" s="10"/>
    </row>
    <row r="1528" spans="1:6" s="9" customFormat="1" x14ac:dyDescent="0.25">
      <c r="A1528" s="9" t="s">
        <v>95</v>
      </c>
      <c r="B1528" s="4">
        <v>45922</v>
      </c>
      <c r="C1528" s="5">
        <v>20</v>
      </c>
      <c r="D1528" s="9" t="s">
        <v>13</v>
      </c>
      <c r="E1528" s="10">
        <v>160</v>
      </c>
      <c r="F1528" s="10">
        <f t="shared" si="23"/>
        <v>3200</v>
      </c>
    </row>
    <row r="1529" spans="1:6" s="9" customFormat="1" x14ac:dyDescent="0.25">
      <c r="C1529" s="5"/>
      <c r="E1529" s="10"/>
      <c r="F1529" s="8">
        <f>SUM(F1528)</f>
        <v>3200</v>
      </c>
    </row>
    <row r="1530" spans="1:6" s="9" customFormat="1" x14ac:dyDescent="0.25">
      <c r="C1530" s="5"/>
      <c r="E1530" s="10"/>
      <c r="F1530" s="10"/>
    </row>
    <row r="1531" spans="1:6" s="9" customFormat="1" x14ac:dyDescent="0.25">
      <c r="A1531" s="9" t="s">
        <v>117</v>
      </c>
      <c r="B1531" s="4">
        <v>45922</v>
      </c>
      <c r="C1531" s="5">
        <v>5</v>
      </c>
      <c r="D1531" s="9" t="s">
        <v>13</v>
      </c>
      <c r="E1531" s="10">
        <v>160</v>
      </c>
      <c r="F1531" s="10">
        <f t="shared" si="23"/>
        <v>800</v>
      </c>
    </row>
    <row r="1532" spans="1:6" s="9" customFormat="1" x14ac:dyDescent="0.25">
      <c r="C1532" s="5"/>
      <c r="E1532" s="10"/>
      <c r="F1532" s="8">
        <f>SUM(F1531)</f>
        <v>800</v>
      </c>
    </row>
    <row r="1533" spans="1:6" s="9" customFormat="1" x14ac:dyDescent="0.25">
      <c r="C1533" s="5"/>
      <c r="E1533" s="10"/>
      <c r="F1533" s="10"/>
    </row>
    <row r="1534" spans="1:6" s="9" customFormat="1" x14ac:dyDescent="0.25">
      <c r="A1534" s="9" t="s">
        <v>32</v>
      </c>
      <c r="B1534" s="4">
        <v>45922</v>
      </c>
      <c r="C1534" s="5">
        <v>10</v>
      </c>
      <c r="D1534" s="9" t="s">
        <v>13</v>
      </c>
      <c r="E1534" s="10">
        <v>150</v>
      </c>
      <c r="F1534" s="10">
        <f t="shared" si="23"/>
        <v>1500</v>
      </c>
    </row>
    <row r="1535" spans="1:6" s="9" customFormat="1" x14ac:dyDescent="0.25">
      <c r="C1535" s="5"/>
      <c r="E1535" s="10"/>
      <c r="F1535" s="8">
        <f>SUM(F1534)</f>
        <v>1500</v>
      </c>
    </row>
    <row r="1536" spans="1:6" s="9" customFormat="1" x14ac:dyDescent="0.25">
      <c r="C1536" s="5"/>
      <c r="E1536" s="10"/>
      <c r="F1536" s="10"/>
    </row>
    <row r="1537" spans="1:6" s="9" customFormat="1" x14ac:dyDescent="0.25">
      <c r="A1537" s="9" t="s">
        <v>976</v>
      </c>
      <c r="B1537" s="4">
        <v>45922</v>
      </c>
      <c r="C1537" s="5">
        <v>115</v>
      </c>
      <c r="D1537" s="9" t="s">
        <v>14</v>
      </c>
      <c r="E1537" s="10">
        <v>145</v>
      </c>
      <c r="F1537" s="10">
        <f t="shared" si="23"/>
        <v>16675</v>
      </c>
    </row>
    <row r="1538" spans="1:6" s="9" customFormat="1" x14ac:dyDescent="0.25">
      <c r="C1538" s="5">
        <v>151</v>
      </c>
      <c r="D1538" s="9" t="s">
        <v>11</v>
      </c>
      <c r="E1538" s="10">
        <v>140</v>
      </c>
      <c r="F1538" s="10">
        <f t="shared" si="23"/>
        <v>21140</v>
      </c>
    </row>
    <row r="1539" spans="1:6" s="9" customFormat="1" x14ac:dyDescent="0.25">
      <c r="C1539" s="5">
        <v>100</v>
      </c>
      <c r="D1539" s="9" t="s">
        <v>49</v>
      </c>
      <c r="E1539" s="10">
        <v>155</v>
      </c>
      <c r="F1539" s="10">
        <f t="shared" si="23"/>
        <v>15500</v>
      </c>
    </row>
    <row r="1540" spans="1:6" s="9" customFormat="1" x14ac:dyDescent="0.25">
      <c r="C1540" s="5"/>
      <c r="E1540" s="10"/>
      <c r="F1540" s="8">
        <f>SUM(F1537:F1539)</f>
        <v>53315</v>
      </c>
    </row>
    <row r="1541" spans="1:6" s="9" customFormat="1" x14ac:dyDescent="0.25">
      <c r="C1541" s="5"/>
      <c r="E1541" s="10"/>
      <c r="F1541" s="10"/>
    </row>
    <row r="1542" spans="1:6" s="9" customFormat="1" x14ac:dyDescent="0.25">
      <c r="A1542" s="9" t="s">
        <v>112</v>
      </c>
      <c r="B1542" s="4">
        <v>45922</v>
      </c>
      <c r="C1542" s="5">
        <v>108</v>
      </c>
      <c r="D1542" s="9" t="s">
        <v>22</v>
      </c>
      <c r="E1542" s="10">
        <v>133</v>
      </c>
      <c r="F1542" s="10">
        <f t="shared" ref="F1542:F1605" si="24">+C1542*E1542</f>
        <v>14364</v>
      </c>
    </row>
    <row r="1543" spans="1:6" s="9" customFormat="1" x14ac:dyDescent="0.25">
      <c r="C1543" s="5">
        <v>20</v>
      </c>
      <c r="D1543" s="9" t="s">
        <v>50</v>
      </c>
      <c r="E1543" s="10">
        <v>130</v>
      </c>
      <c r="F1543" s="10">
        <f t="shared" si="24"/>
        <v>2600</v>
      </c>
    </row>
    <row r="1544" spans="1:6" s="9" customFormat="1" x14ac:dyDescent="0.25">
      <c r="C1544" s="5"/>
      <c r="E1544" s="10"/>
      <c r="F1544" s="8">
        <f>SUM(F1542:F1543)</f>
        <v>16964</v>
      </c>
    </row>
    <row r="1545" spans="1:6" s="9" customFormat="1" x14ac:dyDescent="0.25">
      <c r="C1545" s="5"/>
      <c r="E1545" s="10"/>
      <c r="F1545" s="10"/>
    </row>
    <row r="1546" spans="1:6" s="9" customFormat="1" x14ac:dyDescent="0.25">
      <c r="A1546" s="9" t="s">
        <v>29</v>
      </c>
      <c r="B1546" s="4">
        <v>45922</v>
      </c>
      <c r="C1546" s="5">
        <v>5</v>
      </c>
      <c r="D1546" s="9" t="s">
        <v>98</v>
      </c>
      <c r="E1546" s="10">
        <v>110</v>
      </c>
      <c r="F1546" s="10">
        <f t="shared" si="24"/>
        <v>550</v>
      </c>
    </row>
    <row r="1547" spans="1:6" s="9" customFormat="1" x14ac:dyDescent="0.25">
      <c r="C1547" s="5">
        <v>8</v>
      </c>
      <c r="D1547" s="9" t="s">
        <v>293</v>
      </c>
      <c r="E1547" s="10">
        <v>150</v>
      </c>
      <c r="F1547" s="10">
        <f t="shared" si="24"/>
        <v>1200</v>
      </c>
    </row>
    <row r="1548" spans="1:6" s="9" customFormat="1" x14ac:dyDescent="0.25">
      <c r="C1548" s="5"/>
      <c r="E1548" s="10"/>
      <c r="F1548" s="8">
        <f>SUM(F1546:F1547)</f>
        <v>1750</v>
      </c>
    </row>
    <row r="1549" spans="1:6" s="9" customFormat="1" x14ac:dyDescent="0.25">
      <c r="C1549" s="5"/>
      <c r="E1549" s="10"/>
      <c r="F1549" s="10"/>
    </row>
    <row r="1550" spans="1:6" s="9" customFormat="1" x14ac:dyDescent="0.25">
      <c r="A1550" s="9" t="s">
        <v>181</v>
      </c>
      <c r="B1550" s="4">
        <v>45922</v>
      </c>
      <c r="C1550" s="5">
        <v>2</v>
      </c>
      <c r="D1550" s="9" t="s">
        <v>13</v>
      </c>
      <c r="E1550" s="10">
        <v>160</v>
      </c>
      <c r="F1550" s="10">
        <f t="shared" si="24"/>
        <v>320</v>
      </c>
    </row>
    <row r="1551" spans="1:6" s="9" customFormat="1" x14ac:dyDescent="0.25">
      <c r="C1551" s="5">
        <v>1</v>
      </c>
      <c r="D1551" s="9" t="s">
        <v>8</v>
      </c>
      <c r="E1551" s="10">
        <v>170</v>
      </c>
      <c r="F1551" s="10">
        <f t="shared" si="24"/>
        <v>170</v>
      </c>
    </row>
    <row r="1552" spans="1:6" s="9" customFormat="1" x14ac:dyDescent="0.25">
      <c r="C1552" s="5"/>
      <c r="E1552" s="10"/>
      <c r="F1552" s="8">
        <f>SUM(F1550:F1551)</f>
        <v>490</v>
      </c>
    </row>
    <row r="1553" spans="1:6" s="9" customFormat="1" x14ac:dyDescent="0.25">
      <c r="C1553" s="5"/>
      <c r="E1553" s="10"/>
      <c r="F1553" s="10"/>
    </row>
    <row r="1554" spans="1:6" s="9" customFormat="1" x14ac:dyDescent="0.25">
      <c r="A1554" s="9" t="s">
        <v>544</v>
      </c>
      <c r="B1554" s="4">
        <v>45923</v>
      </c>
      <c r="C1554" s="5">
        <v>4</v>
      </c>
      <c r="D1554" s="9" t="s">
        <v>12</v>
      </c>
      <c r="E1554" s="10">
        <v>150</v>
      </c>
      <c r="F1554" s="10">
        <f t="shared" si="24"/>
        <v>600</v>
      </c>
    </row>
    <row r="1555" spans="1:6" s="9" customFormat="1" x14ac:dyDescent="0.25">
      <c r="C1555" s="5"/>
      <c r="E1555" s="10"/>
      <c r="F1555" s="8">
        <f>SUM(F1554)</f>
        <v>600</v>
      </c>
    </row>
    <row r="1556" spans="1:6" s="9" customFormat="1" x14ac:dyDescent="0.25">
      <c r="C1556" s="5"/>
      <c r="E1556" s="10"/>
      <c r="F1556" s="10"/>
    </row>
    <row r="1557" spans="1:6" s="9" customFormat="1" x14ac:dyDescent="0.25">
      <c r="A1557" s="9" t="s">
        <v>610</v>
      </c>
      <c r="B1557" s="4">
        <v>45923</v>
      </c>
      <c r="C1557" s="5">
        <v>12</v>
      </c>
      <c r="D1557" s="9" t="s">
        <v>14</v>
      </c>
      <c r="E1557" s="10">
        <v>150</v>
      </c>
      <c r="F1557" s="10">
        <f t="shared" si="24"/>
        <v>1800</v>
      </c>
    </row>
    <row r="1558" spans="1:6" s="9" customFormat="1" x14ac:dyDescent="0.25">
      <c r="C1558" s="5">
        <v>4</v>
      </c>
      <c r="D1558" s="9" t="s">
        <v>13</v>
      </c>
      <c r="E1558" s="10">
        <v>160</v>
      </c>
      <c r="F1558" s="10">
        <f t="shared" si="24"/>
        <v>640</v>
      </c>
    </row>
    <row r="1559" spans="1:6" s="9" customFormat="1" x14ac:dyDescent="0.25">
      <c r="C1559" s="5"/>
      <c r="E1559" s="10"/>
      <c r="F1559" s="8">
        <f>SUM(F1557:F1558)</f>
        <v>2440</v>
      </c>
    </row>
    <row r="1560" spans="1:6" s="9" customFormat="1" x14ac:dyDescent="0.25">
      <c r="C1560" s="5"/>
      <c r="E1560" s="10"/>
      <c r="F1560" s="10"/>
    </row>
    <row r="1561" spans="1:6" s="9" customFormat="1" x14ac:dyDescent="0.25">
      <c r="A1561" s="9" t="s">
        <v>245</v>
      </c>
      <c r="B1561" s="4">
        <v>45923</v>
      </c>
      <c r="C1561" s="5">
        <v>10</v>
      </c>
      <c r="D1561" s="9" t="s">
        <v>602</v>
      </c>
      <c r="E1561" s="10">
        <v>150</v>
      </c>
      <c r="F1561" s="10">
        <f t="shared" si="24"/>
        <v>1500</v>
      </c>
    </row>
    <row r="1562" spans="1:6" s="9" customFormat="1" x14ac:dyDescent="0.25">
      <c r="C1562" s="5"/>
      <c r="E1562" s="10"/>
      <c r="F1562" s="8">
        <f>SUM(F1561)</f>
        <v>1500</v>
      </c>
    </row>
    <row r="1563" spans="1:6" s="9" customFormat="1" x14ac:dyDescent="0.25">
      <c r="C1563" s="5"/>
      <c r="E1563" s="10"/>
      <c r="F1563" s="10"/>
    </row>
    <row r="1564" spans="1:6" s="9" customFormat="1" x14ac:dyDescent="0.25">
      <c r="A1564" s="9" t="s">
        <v>85</v>
      </c>
      <c r="B1564" s="4">
        <v>45923</v>
      </c>
      <c r="C1564" s="5">
        <v>100</v>
      </c>
      <c r="D1564" s="9" t="s">
        <v>13</v>
      </c>
      <c r="E1564" s="10">
        <v>150</v>
      </c>
      <c r="F1564" s="10">
        <f t="shared" si="24"/>
        <v>15000</v>
      </c>
    </row>
    <row r="1565" spans="1:6" s="9" customFormat="1" x14ac:dyDescent="0.25">
      <c r="C1565" s="5"/>
      <c r="E1565" s="10"/>
      <c r="F1565" s="8">
        <f>SUM(F1564)</f>
        <v>15000</v>
      </c>
    </row>
    <row r="1566" spans="1:6" s="9" customFormat="1" x14ac:dyDescent="0.25">
      <c r="C1566" s="5"/>
      <c r="E1566" s="10"/>
      <c r="F1566" s="10"/>
    </row>
    <row r="1567" spans="1:6" s="9" customFormat="1" x14ac:dyDescent="0.25">
      <c r="A1567" s="9" t="s">
        <v>977</v>
      </c>
      <c r="B1567" s="4">
        <v>45923</v>
      </c>
      <c r="C1567" s="5">
        <v>10</v>
      </c>
      <c r="D1567" s="9" t="s">
        <v>8</v>
      </c>
      <c r="E1567" s="10">
        <v>165</v>
      </c>
      <c r="F1567" s="10">
        <f t="shared" si="24"/>
        <v>1650</v>
      </c>
    </row>
    <row r="1568" spans="1:6" s="9" customFormat="1" x14ac:dyDescent="0.25">
      <c r="C1568" s="5"/>
      <c r="E1568" s="10"/>
      <c r="F1568" s="8">
        <f>SUM(F1567)</f>
        <v>1650</v>
      </c>
    </row>
    <row r="1569" spans="1:6" s="9" customFormat="1" x14ac:dyDescent="0.25">
      <c r="C1569" s="5"/>
      <c r="E1569" s="10"/>
      <c r="F1569" s="10"/>
    </row>
    <row r="1570" spans="1:6" s="9" customFormat="1" x14ac:dyDescent="0.25">
      <c r="A1570" s="9" t="s">
        <v>300</v>
      </c>
      <c r="B1570" s="4">
        <v>45923</v>
      </c>
      <c r="C1570" s="5">
        <v>205</v>
      </c>
      <c r="D1570" s="9" t="s">
        <v>14</v>
      </c>
      <c r="E1570" s="10"/>
      <c r="F1570" s="10">
        <f t="shared" si="24"/>
        <v>0</v>
      </c>
    </row>
    <row r="1571" spans="1:6" s="9" customFormat="1" x14ac:dyDescent="0.25">
      <c r="C1571" s="5">
        <v>67</v>
      </c>
      <c r="D1571" s="9" t="s">
        <v>11</v>
      </c>
      <c r="E1571" s="10"/>
      <c r="F1571" s="10">
        <f t="shared" si="24"/>
        <v>0</v>
      </c>
    </row>
    <row r="1572" spans="1:6" s="9" customFormat="1" x14ac:dyDescent="0.25">
      <c r="C1572" s="5">
        <v>19</v>
      </c>
      <c r="D1572" s="9" t="s">
        <v>49</v>
      </c>
      <c r="E1572" s="10"/>
      <c r="F1572" s="10">
        <f t="shared" si="24"/>
        <v>0</v>
      </c>
    </row>
    <row r="1573" spans="1:6" s="9" customFormat="1" x14ac:dyDescent="0.25">
      <c r="C1573" s="5">
        <v>37</v>
      </c>
      <c r="D1573" s="9" t="s">
        <v>50</v>
      </c>
      <c r="E1573" s="10"/>
      <c r="F1573" s="10">
        <f t="shared" si="24"/>
        <v>0</v>
      </c>
    </row>
    <row r="1574" spans="1:6" s="9" customFormat="1" x14ac:dyDescent="0.25">
      <c r="C1574" s="5">
        <v>49</v>
      </c>
      <c r="D1574" s="9" t="s">
        <v>22</v>
      </c>
      <c r="E1574" s="10"/>
      <c r="F1574" s="10">
        <f t="shared" si="24"/>
        <v>0</v>
      </c>
    </row>
    <row r="1575" spans="1:6" s="9" customFormat="1" x14ac:dyDescent="0.25">
      <c r="C1575" s="5"/>
      <c r="E1575" s="10"/>
      <c r="F1575" s="8">
        <f>SUM(F1570:F1574)</f>
        <v>0</v>
      </c>
    </row>
    <row r="1576" spans="1:6" s="9" customFormat="1" x14ac:dyDescent="0.25">
      <c r="C1576" s="5"/>
      <c r="E1576" s="10"/>
      <c r="F1576" s="10"/>
    </row>
    <row r="1577" spans="1:6" s="9" customFormat="1" x14ac:dyDescent="0.25">
      <c r="A1577" s="9" t="s">
        <v>146</v>
      </c>
      <c r="B1577" s="4">
        <v>45923</v>
      </c>
      <c r="C1577" s="5">
        <v>4</v>
      </c>
      <c r="D1577" s="9" t="s">
        <v>8</v>
      </c>
      <c r="E1577" s="10">
        <v>150</v>
      </c>
      <c r="F1577" s="10">
        <f t="shared" si="24"/>
        <v>600</v>
      </c>
    </row>
    <row r="1578" spans="1:6" s="9" customFormat="1" x14ac:dyDescent="0.25">
      <c r="C1578" s="5">
        <v>5</v>
      </c>
      <c r="D1578" s="9" t="s">
        <v>11</v>
      </c>
      <c r="E1578" s="10">
        <v>140</v>
      </c>
      <c r="F1578" s="10">
        <f t="shared" si="24"/>
        <v>700</v>
      </c>
    </row>
    <row r="1579" spans="1:6" s="9" customFormat="1" x14ac:dyDescent="0.25">
      <c r="C1579" s="5"/>
      <c r="E1579" s="10"/>
      <c r="F1579" s="8">
        <f>SUM(F1577:F1578)</f>
        <v>1300</v>
      </c>
    </row>
    <row r="1580" spans="1:6" s="9" customFormat="1" x14ac:dyDescent="0.25">
      <c r="C1580" s="5"/>
      <c r="E1580" s="10"/>
      <c r="F1580" s="10"/>
    </row>
    <row r="1581" spans="1:6" s="9" customFormat="1" x14ac:dyDescent="0.25">
      <c r="A1581" s="9" t="s">
        <v>65</v>
      </c>
      <c r="B1581" s="4">
        <v>45923</v>
      </c>
      <c r="C1581" s="5">
        <v>50</v>
      </c>
      <c r="D1581" s="9" t="s">
        <v>13</v>
      </c>
      <c r="E1581" s="10"/>
      <c r="F1581" s="10">
        <f t="shared" si="24"/>
        <v>0</v>
      </c>
    </row>
    <row r="1582" spans="1:6" s="9" customFormat="1" x14ac:dyDescent="0.25">
      <c r="C1582" s="5">
        <v>386</v>
      </c>
      <c r="D1582" s="9" t="s">
        <v>12</v>
      </c>
      <c r="E1582" s="10"/>
      <c r="F1582" s="10">
        <f t="shared" si="24"/>
        <v>0</v>
      </c>
    </row>
    <row r="1583" spans="1:6" s="9" customFormat="1" x14ac:dyDescent="0.25">
      <c r="C1583" s="5">
        <v>66</v>
      </c>
      <c r="D1583" s="9" t="s">
        <v>50</v>
      </c>
      <c r="E1583" s="10"/>
      <c r="F1583" s="10">
        <f t="shared" si="24"/>
        <v>0</v>
      </c>
    </row>
    <row r="1584" spans="1:6" s="9" customFormat="1" x14ac:dyDescent="0.25">
      <c r="C1584" s="5">
        <v>47</v>
      </c>
      <c r="D1584" s="9" t="s">
        <v>22</v>
      </c>
      <c r="E1584" s="10"/>
      <c r="F1584" s="10">
        <f t="shared" si="24"/>
        <v>0</v>
      </c>
    </row>
    <row r="1585" spans="1:6" s="9" customFormat="1" x14ac:dyDescent="0.25">
      <c r="C1585" s="5"/>
      <c r="E1585" s="10"/>
      <c r="F1585" s="8">
        <f>SUM(F1581:F1584)</f>
        <v>0</v>
      </c>
    </row>
    <row r="1586" spans="1:6" s="9" customFormat="1" x14ac:dyDescent="0.25">
      <c r="C1586" s="5"/>
      <c r="E1586" s="10"/>
      <c r="F1586" s="10"/>
    </row>
    <row r="1587" spans="1:6" s="9" customFormat="1" x14ac:dyDescent="0.25">
      <c r="A1587" s="9" t="s">
        <v>101</v>
      </c>
      <c r="B1587" s="4">
        <v>45923</v>
      </c>
      <c r="C1587" s="5">
        <v>1</v>
      </c>
      <c r="D1587" s="9" t="s">
        <v>49</v>
      </c>
      <c r="E1587" s="10">
        <v>170</v>
      </c>
      <c r="F1587" s="10">
        <f t="shared" si="24"/>
        <v>170</v>
      </c>
    </row>
    <row r="1588" spans="1:6" s="9" customFormat="1" x14ac:dyDescent="0.25">
      <c r="C1588" s="5">
        <v>1</v>
      </c>
      <c r="D1588" s="9" t="s">
        <v>12</v>
      </c>
      <c r="E1588" s="10">
        <v>150</v>
      </c>
      <c r="F1588" s="10">
        <f t="shared" si="24"/>
        <v>150</v>
      </c>
    </row>
    <row r="1589" spans="1:6" s="9" customFormat="1" x14ac:dyDescent="0.25">
      <c r="C1589" s="5">
        <v>1</v>
      </c>
      <c r="D1589" s="9" t="s">
        <v>8</v>
      </c>
      <c r="E1589" s="10">
        <v>170</v>
      </c>
      <c r="F1589" s="10">
        <f t="shared" si="24"/>
        <v>170</v>
      </c>
    </row>
    <row r="1590" spans="1:6" s="9" customFormat="1" x14ac:dyDescent="0.25">
      <c r="C1590" s="5">
        <v>10</v>
      </c>
      <c r="D1590" s="9" t="s">
        <v>978</v>
      </c>
      <c r="E1590" s="10">
        <v>165</v>
      </c>
      <c r="F1590" s="10">
        <f t="shared" si="24"/>
        <v>1650</v>
      </c>
    </row>
    <row r="1591" spans="1:6" s="9" customFormat="1" x14ac:dyDescent="0.25">
      <c r="C1591" s="5">
        <v>9</v>
      </c>
      <c r="D1591" s="9" t="s">
        <v>979</v>
      </c>
      <c r="E1591" s="10">
        <v>3.3333330000000001</v>
      </c>
      <c r="F1591" s="10">
        <f t="shared" si="24"/>
        <v>29.999997</v>
      </c>
    </row>
    <row r="1592" spans="1:6" s="9" customFormat="1" x14ac:dyDescent="0.25">
      <c r="C1592" s="5">
        <v>3</v>
      </c>
      <c r="D1592" s="9" t="s">
        <v>13</v>
      </c>
      <c r="E1592" s="10">
        <v>140</v>
      </c>
      <c r="F1592" s="10">
        <f t="shared" si="24"/>
        <v>420</v>
      </c>
    </row>
    <row r="1593" spans="1:6" s="9" customFormat="1" x14ac:dyDescent="0.25">
      <c r="C1593" s="5">
        <v>1</v>
      </c>
      <c r="D1593" s="9" t="s">
        <v>22</v>
      </c>
      <c r="E1593" s="10">
        <v>130</v>
      </c>
      <c r="F1593" s="10">
        <f t="shared" si="24"/>
        <v>130</v>
      </c>
    </row>
    <row r="1594" spans="1:6" s="9" customFormat="1" x14ac:dyDescent="0.25">
      <c r="C1594" s="5"/>
      <c r="E1594" s="10"/>
      <c r="F1594" s="8">
        <f>SUM(F1587:F1593)</f>
        <v>2719.9999969999999</v>
      </c>
    </row>
    <row r="1595" spans="1:6" s="9" customFormat="1" x14ac:dyDescent="0.25">
      <c r="C1595" s="5"/>
      <c r="E1595" s="10"/>
      <c r="F1595" s="10"/>
    </row>
    <row r="1596" spans="1:6" s="9" customFormat="1" x14ac:dyDescent="0.25">
      <c r="A1596" s="9" t="s">
        <v>550</v>
      </c>
      <c r="B1596" s="4">
        <v>45924</v>
      </c>
      <c r="C1596" s="5">
        <v>20</v>
      </c>
      <c r="D1596" s="9" t="s">
        <v>98</v>
      </c>
      <c r="E1596" s="10">
        <v>110</v>
      </c>
      <c r="F1596" s="10">
        <f t="shared" si="24"/>
        <v>2200</v>
      </c>
    </row>
    <row r="1597" spans="1:6" s="9" customFormat="1" x14ac:dyDescent="0.25">
      <c r="C1597" s="5"/>
      <c r="E1597" s="10"/>
      <c r="F1597" s="8">
        <f>SUM(F1596)</f>
        <v>2200</v>
      </c>
    </row>
    <row r="1598" spans="1:6" s="9" customFormat="1" x14ac:dyDescent="0.25">
      <c r="C1598" s="5"/>
      <c r="E1598" s="10"/>
      <c r="F1598" s="10"/>
    </row>
    <row r="1599" spans="1:6" s="9" customFormat="1" x14ac:dyDescent="0.25">
      <c r="A1599" s="9" t="s">
        <v>15</v>
      </c>
      <c r="B1599" s="4">
        <v>45924</v>
      </c>
      <c r="C1599" s="5">
        <v>60</v>
      </c>
      <c r="D1599" s="9" t="s">
        <v>98</v>
      </c>
      <c r="E1599" s="10">
        <v>110</v>
      </c>
      <c r="F1599" s="10">
        <f t="shared" si="24"/>
        <v>6600</v>
      </c>
    </row>
    <row r="1600" spans="1:6" s="9" customFormat="1" x14ac:dyDescent="0.25">
      <c r="C1600" s="5"/>
      <c r="E1600" s="10"/>
      <c r="F1600" s="8">
        <f>SUM(F1599)</f>
        <v>6600</v>
      </c>
    </row>
    <row r="1601" spans="1:6" s="9" customFormat="1" x14ac:dyDescent="0.25">
      <c r="C1601" s="5"/>
      <c r="E1601" s="10"/>
      <c r="F1601" s="10"/>
    </row>
    <row r="1602" spans="1:6" s="9" customFormat="1" x14ac:dyDescent="0.25">
      <c r="A1602" s="9" t="s">
        <v>58</v>
      </c>
      <c r="B1602" s="4">
        <v>45924</v>
      </c>
      <c r="C1602" s="5">
        <v>5</v>
      </c>
      <c r="D1602" s="9" t="s">
        <v>13</v>
      </c>
      <c r="E1602" s="10">
        <v>155</v>
      </c>
      <c r="F1602" s="10">
        <f t="shared" si="24"/>
        <v>775</v>
      </c>
    </row>
    <row r="1603" spans="1:6" s="9" customFormat="1" x14ac:dyDescent="0.25">
      <c r="C1603" s="5"/>
      <c r="E1603" s="10"/>
      <c r="F1603" s="8">
        <f>SUM(F1602)</f>
        <v>775</v>
      </c>
    </row>
    <row r="1604" spans="1:6" s="9" customFormat="1" x14ac:dyDescent="0.25">
      <c r="C1604" s="5"/>
      <c r="E1604" s="10"/>
      <c r="F1604" s="10"/>
    </row>
    <row r="1605" spans="1:6" s="9" customFormat="1" x14ac:dyDescent="0.25">
      <c r="A1605" s="9" t="s">
        <v>923</v>
      </c>
      <c r="B1605" s="4">
        <v>45924</v>
      </c>
      <c r="C1605" s="5">
        <v>15</v>
      </c>
      <c r="D1605" s="9" t="s">
        <v>13</v>
      </c>
      <c r="E1605" s="10">
        <v>160</v>
      </c>
      <c r="F1605" s="10">
        <f t="shared" si="24"/>
        <v>2400</v>
      </c>
    </row>
    <row r="1606" spans="1:6" s="9" customFormat="1" x14ac:dyDescent="0.25">
      <c r="C1606" s="5">
        <v>9</v>
      </c>
      <c r="D1606" s="9" t="s">
        <v>12</v>
      </c>
      <c r="E1606" s="10">
        <v>150</v>
      </c>
      <c r="F1606" s="10">
        <f t="shared" ref="F1606:F1669" si="25">+C1606*E1606</f>
        <v>1350</v>
      </c>
    </row>
    <row r="1607" spans="1:6" s="9" customFormat="1" x14ac:dyDescent="0.25">
      <c r="C1607" s="5"/>
      <c r="E1607" s="10"/>
      <c r="F1607" s="8">
        <f>SUM(F1605:F1606)</f>
        <v>3750</v>
      </c>
    </row>
    <row r="1608" spans="1:6" s="9" customFormat="1" x14ac:dyDescent="0.25">
      <c r="C1608" s="5"/>
      <c r="E1608" s="10"/>
      <c r="F1608" s="10"/>
    </row>
    <row r="1609" spans="1:6" s="9" customFormat="1" x14ac:dyDescent="0.25">
      <c r="A1609" s="9" t="s">
        <v>808</v>
      </c>
      <c r="B1609" s="4">
        <v>45924</v>
      </c>
      <c r="C1609" s="5">
        <v>20</v>
      </c>
      <c r="D1609" s="9" t="s">
        <v>13</v>
      </c>
      <c r="E1609" s="10">
        <v>160</v>
      </c>
      <c r="F1609" s="10">
        <f t="shared" si="25"/>
        <v>3200</v>
      </c>
    </row>
    <row r="1610" spans="1:6" s="9" customFormat="1" x14ac:dyDescent="0.25">
      <c r="C1610" s="5">
        <v>15</v>
      </c>
      <c r="D1610" s="9" t="s">
        <v>12</v>
      </c>
      <c r="E1610" s="10">
        <v>150</v>
      </c>
      <c r="F1610" s="10">
        <f t="shared" si="25"/>
        <v>2250</v>
      </c>
    </row>
    <row r="1611" spans="1:6" s="9" customFormat="1" x14ac:dyDescent="0.25">
      <c r="C1611" s="5">
        <v>10</v>
      </c>
      <c r="D1611" s="9" t="s">
        <v>8</v>
      </c>
      <c r="E1611" s="10">
        <v>165</v>
      </c>
      <c r="F1611" s="10">
        <f t="shared" si="25"/>
        <v>1650</v>
      </c>
    </row>
    <row r="1612" spans="1:6" s="9" customFormat="1" x14ac:dyDescent="0.25">
      <c r="C1612" s="5">
        <v>10</v>
      </c>
      <c r="D1612" s="9" t="s">
        <v>49</v>
      </c>
      <c r="E1612" s="10">
        <v>160</v>
      </c>
      <c r="F1612" s="10">
        <f t="shared" si="25"/>
        <v>1600</v>
      </c>
    </row>
    <row r="1613" spans="1:6" s="9" customFormat="1" x14ac:dyDescent="0.25">
      <c r="C1613" s="5"/>
      <c r="E1613" s="10"/>
      <c r="F1613" s="8">
        <f>SUM(F1609:F1612)</f>
        <v>8700</v>
      </c>
    </row>
    <row r="1614" spans="1:6" s="9" customFormat="1" x14ac:dyDescent="0.25">
      <c r="C1614" s="5"/>
      <c r="E1614" s="10"/>
      <c r="F1614" s="10"/>
    </row>
    <row r="1615" spans="1:6" s="9" customFormat="1" x14ac:dyDescent="0.25">
      <c r="A1615" s="9" t="s">
        <v>112</v>
      </c>
      <c r="B1615" s="4">
        <v>45924</v>
      </c>
      <c r="C1615" s="5">
        <v>96</v>
      </c>
      <c r="D1615" s="9" t="s">
        <v>22</v>
      </c>
      <c r="E1615" s="10">
        <v>133</v>
      </c>
      <c r="F1615" s="10">
        <f t="shared" si="25"/>
        <v>12768</v>
      </c>
    </row>
    <row r="1616" spans="1:6" s="9" customFormat="1" x14ac:dyDescent="0.25">
      <c r="C1616" s="5">
        <v>20</v>
      </c>
      <c r="D1616" s="9" t="s">
        <v>50</v>
      </c>
      <c r="E1616" s="10">
        <v>130</v>
      </c>
      <c r="F1616" s="10">
        <f t="shared" si="25"/>
        <v>2600</v>
      </c>
    </row>
    <row r="1617" spans="1:6" s="9" customFormat="1" x14ac:dyDescent="0.25">
      <c r="C1617" s="5"/>
      <c r="E1617" s="10"/>
      <c r="F1617" s="8">
        <f>SUM(F1615:F1616)</f>
        <v>15368</v>
      </c>
    </row>
    <row r="1618" spans="1:6" s="9" customFormat="1" x14ac:dyDescent="0.25">
      <c r="C1618" s="5"/>
      <c r="E1618" s="10"/>
      <c r="F1618" s="10"/>
    </row>
    <row r="1619" spans="1:6" s="9" customFormat="1" x14ac:dyDescent="0.25">
      <c r="A1619" s="9" t="s">
        <v>755</v>
      </c>
      <c r="B1619" s="4">
        <v>45924</v>
      </c>
      <c r="C1619" s="5">
        <v>5</v>
      </c>
      <c r="D1619" s="9" t="s">
        <v>14</v>
      </c>
      <c r="E1619" s="10">
        <v>150</v>
      </c>
      <c r="F1619" s="10">
        <f t="shared" si="25"/>
        <v>750</v>
      </c>
    </row>
    <row r="1620" spans="1:6" s="9" customFormat="1" x14ac:dyDescent="0.25">
      <c r="C1620" s="5"/>
      <c r="E1620" s="10"/>
      <c r="F1620" s="8">
        <f>SUM(F1619)</f>
        <v>750</v>
      </c>
    </row>
    <row r="1621" spans="1:6" s="9" customFormat="1" x14ac:dyDescent="0.25">
      <c r="C1621" s="5"/>
      <c r="E1621" s="10"/>
      <c r="F1621" s="10"/>
    </row>
    <row r="1622" spans="1:6" s="9" customFormat="1" x14ac:dyDescent="0.25">
      <c r="A1622" s="9" t="s">
        <v>41</v>
      </c>
      <c r="B1622" s="4">
        <v>45924</v>
      </c>
      <c r="C1622" s="5">
        <v>35</v>
      </c>
      <c r="D1622" s="9" t="s">
        <v>14</v>
      </c>
      <c r="E1622" s="10">
        <v>140</v>
      </c>
      <c r="F1622" s="10">
        <f t="shared" si="25"/>
        <v>4900</v>
      </c>
    </row>
    <row r="1623" spans="1:6" s="9" customFormat="1" x14ac:dyDescent="0.25">
      <c r="C1623" s="5"/>
      <c r="E1623" s="10"/>
      <c r="F1623" s="8">
        <f>SUM(F1622)</f>
        <v>4900</v>
      </c>
    </row>
    <row r="1624" spans="1:6" s="9" customFormat="1" x14ac:dyDescent="0.25">
      <c r="C1624" s="5"/>
      <c r="E1624" s="10"/>
      <c r="F1624" s="10"/>
    </row>
    <row r="1625" spans="1:6" s="9" customFormat="1" x14ac:dyDescent="0.25">
      <c r="A1625" s="9" t="s">
        <v>107</v>
      </c>
      <c r="B1625" s="4">
        <v>45924</v>
      </c>
      <c r="C1625" s="5">
        <v>64</v>
      </c>
      <c r="D1625" s="9" t="s">
        <v>11</v>
      </c>
      <c r="E1625" s="10">
        <v>145</v>
      </c>
      <c r="F1625" s="10">
        <f t="shared" si="25"/>
        <v>9280</v>
      </c>
    </row>
    <row r="1626" spans="1:6" s="9" customFormat="1" x14ac:dyDescent="0.25">
      <c r="C1626" s="5"/>
      <c r="E1626" s="10"/>
      <c r="F1626" s="8">
        <f>SUM(F1625)</f>
        <v>9280</v>
      </c>
    </row>
    <row r="1627" spans="1:6" s="9" customFormat="1" x14ac:dyDescent="0.25">
      <c r="C1627" s="5"/>
      <c r="E1627" s="10"/>
      <c r="F1627" s="10"/>
    </row>
    <row r="1628" spans="1:6" s="9" customFormat="1" x14ac:dyDescent="0.25">
      <c r="A1628" s="9" t="s">
        <v>959</v>
      </c>
      <c r="B1628" s="4">
        <v>45924</v>
      </c>
      <c r="C1628" s="5">
        <v>25</v>
      </c>
      <c r="D1628" s="9" t="s">
        <v>11</v>
      </c>
      <c r="E1628" s="10">
        <v>140</v>
      </c>
      <c r="F1628" s="10">
        <f t="shared" si="25"/>
        <v>3500</v>
      </c>
    </row>
    <row r="1629" spans="1:6" s="9" customFormat="1" x14ac:dyDescent="0.25">
      <c r="C1629" s="5"/>
      <c r="E1629" s="10"/>
      <c r="F1629" s="8">
        <f>SUM(F1628)</f>
        <v>3500</v>
      </c>
    </row>
    <row r="1630" spans="1:6" s="9" customFormat="1" x14ac:dyDescent="0.25">
      <c r="C1630" s="5"/>
      <c r="E1630" s="10"/>
      <c r="F1630" s="10"/>
    </row>
    <row r="1631" spans="1:6" s="9" customFormat="1" x14ac:dyDescent="0.25">
      <c r="A1631" s="9" t="s">
        <v>43</v>
      </c>
      <c r="B1631" s="4">
        <v>45924</v>
      </c>
      <c r="C1631" s="5">
        <v>32</v>
      </c>
      <c r="D1631" s="9" t="s">
        <v>49</v>
      </c>
      <c r="E1631" s="10">
        <v>155</v>
      </c>
      <c r="F1631" s="10">
        <f t="shared" si="25"/>
        <v>4960</v>
      </c>
    </row>
    <row r="1632" spans="1:6" s="9" customFormat="1" x14ac:dyDescent="0.25">
      <c r="C1632" s="5"/>
      <c r="E1632" s="10"/>
      <c r="F1632" s="8">
        <f>SUM(F1631)</f>
        <v>4960</v>
      </c>
    </row>
    <row r="1633" spans="1:6" s="9" customFormat="1" x14ac:dyDescent="0.25">
      <c r="C1633" s="5"/>
      <c r="E1633" s="10"/>
      <c r="F1633" s="10"/>
    </row>
    <row r="1634" spans="1:6" s="9" customFormat="1" x14ac:dyDescent="0.25">
      <c r="A1634" s="9" t="s">
        <v>253</v>
      </c>
      <c r="B1634" s="4">
        <v>45924</v>
      </c>
      <c r="C1634" s="5">
        <v>10</v>
      </c>
      <c r="D1634" s="9" t="s">
        <v>14</v>
      </c>
      <c r="E1634" s="10">
        <v>150</v>
      </c>
      <c r="F1634" s="10">
        <f t="shared" si="25"/>
        <v>1500</v>
      </c>
    </row>
    <row r="1635" spans="1:6" s="9" customFormat="1" x14ac:dyDescent="0.25">
      <c r="C1635" s="5"/>
      <c r="E1635" s="10"/>
      <c r="F1635" s="8">
        <f>SUM(F1634)</f>
        <v>1500</v>
      </c>
    </row>
    <row r="1636" spans="1:6" s="9" customFormat="1" x14ac:dyDescent="0.25">
      <c r="C1636" s="5"/>
      <c r="E1636" s="10"/>
      <c r="F1636" s="10"/>
    </row>
    <row r="1637" spans="1:6" s="9" customFormat="1" x14ac:dyDescent="0.25">
      <c r="A1637" s="9" t="s">
        <v>44</v>
      </c>
      <c r="B1637" s="4">
        <v>45924</v>
      </c>
      <c r="C1637" s="5">
        <v>60</v>
      </c>
      <c r="D1637" s="9" t="s">
        <v>14</v>
      </c>
      <c r="E1637" s="10">
        <v>150</v>
      </c>
      <c r="F1637" s="10">
        <f t="shared" si="25"/>
        <v>9000</v>
      </c>
    </row>
    <row r="1638" spans="1:6" s="9" customFormat="1" x14ac:dyDescent="0.25">
      <c r="C1638" s="5"/>
      <c r="E1638" s="10"/>
      <c r="F1638" s="8">
        <f>SUM(F1637)</f>
        <v>9000</v>
      </c>
    </row>
    <row r="1639" spans="1:6" s="9" customFormat="1" x14ac:dyDescent="0.25">
      <c r="C1639" s="5"/>
      <c r="E1639" s="10"/>
      <c r="F1639" s="10"/>
    </row>
    <row r="1640" spans="1:6" s="9" customFormat="1" x14ac:dyDescent="0.25">
      <c r="A1640" s="9" t="s">
        <v>18</v>
      </c>
      <c r="B1640" s="4">
        <v>45924</v>
      </c>
      <c r="C1640" s="5">
        <v>20</v>
      </c>
      <c r="D1640" s="9" t="s">
        <v>14</v>
      </c>
      <c r="E1640" s="10">
        <v>150</v>
      </c>
      <c r="F1640" s="10">
        <f t="shared" si="25"/>
        <v>3000</v>
      </c>
    </row>
    <row r="1641" spans="1:6" s="9" customFormat="1" x14ac:dyDescent="0.25">
      <c r="C1641" s="5">
        <v>10</v>
      </c>
      <c r="D1641" s="9" t="s">
        <v>12</v>
      </c>
      <c r="E1641" s="10">
        <v>145</v>
      </c>
      <c r="F1641" s="10">
        <f t="shared" si="25"/>
        <v>1450</v>
      </c>
    </row>
    <row r="1642" spans="1:6" s="9" customFormat="1" x14ac:dyDescent="0.25">
      <c r="C1642" s="5">
        <v>28</v>
      </c>
      <c r="D1642" s="9" t="s">
        <v>50</v>
      </c>
      <c r="E1642" s="10">
        <v>135</v>
      </c>
      <c r="F1642" s="10">
        <f t="shared" si="25"/>
        <v>3780</v>
      </c>
    </row>
    <row r="1643" spans="1:6" s="9" customFormat="1" x14ac:dyDescent="0.25">
      <c r="C1643" s="5"/>
      <c r="E1643" s="10"/>
      <c r="F1643" s="8">
        <f>SUM(F1640:F1642)</f>
        <v>8230</v>
      </c>
    </row>
    <row r="1644" spans="1:6" s="9" customFormat="1" x14ac:dyDescent="0.25">
      <c r="C1644" s="5"/>
      <c r="E1644" s="10"/>
      <c r="F1644" s="10"/>
    </row>
    <row r="1645" spans="1:6" s="9" customFormat="1" x14ac:dyDescent="0.25">
      <c r="A1645" s="9" t="s">
        <v>138</v>
      </c>
      <c r="B1645" s="4">
        <v>45924</v>
      </c>
      <c r="C1645" s="5">
        <v>30</v>
      </c>
      <c r="D1645" s="9" t="s">
        <v>14</v>
      </c>
      <c r="E1645" s="10">
        <v>150</v>
      </c>
      <c r="F1645" s="10">
        <f t="shared" si="25"/>
        <v>4500</v>
      </c>
    </row>
    <row r="1646" spans="1:6" s="9" customFormat="1" x14ac:dyDescent="0.25">
      <c r="C1646" s="5"/>
      <c r="E1646" s="10"/>
      <c r="F1646" s="8">
        <f>SUM(F1645)</f>
        <v>4500</v>
      </c>
    </row>
    <row r="1647" spans="1:6" s="9" customFormat="1" x14ac:dyDescent="0.25">
      <c r="C1647" s="5"/>
      <c r="E1647" s="10"/>
      <c r="F1647" s="10"/>
    </row>
    <row r="1648" spans="1:6" s="9" customFormat="1" x14ac:dyDescent="0.25">
      <c r="A1648" s="9" t="s">
        <v>66</v>
      </c>
      <c r="B1648" s="4">
        <v>45924</v>
      </c>
      <c r="C1648" s="5">
        <v>20</v>
      </c>
      <c r="D1648" s="9" t="s">
        <v>8</v>
      </c>
      <c r="E1648" s="10">
        <v>165</v>
      </c>
      <c r="F1648" s="10">
        <f t="shared" si="25"/>
        <v>3300</v>
      </c>
    </row>
    <row r="1649" spans="1:6" s="9" customFormat="1" x14ac:dyDescent="0.25">
      <c r="C1649" s="5"/>
      <c r="E1649" s="10"/>
      <c r="F1649" s="8">
        <f>SUM(F1648)</f>
        <v>3300</v>
      </c>
    </row>
    <row r="1650" spans="1:6" s="9" customFormat="1" x14ac:dyDescent="0.25">
      <c r="C1650" s="5"/>
      <c r="E1650" s="10"/>
      <c r="F1650" s="10"/>
    </row>
    <row r="1651" spans="1:6" s="9" customFormat="1" x14ac:dyDescent="0.25">
      <c r="A1651" s="9" t="s">
        <v>113</v>
      </c>
      <c r="B1651" s="4">
        <v>45924</v>
      </c>
      <c r="C1651" s="5">
        <v>20</v>
      </c>
      <c r="D1651" s="9" t="s">
        <v>8</v>
      </c>
      <c r="E1651" s="10">
        <v>165</v>
      </c>
      <c r="F1651" s="10">
        <f t="shared" si="25"/>
        <v>3300</v>
      </c>
    </row>
    <row r="1652" spans="1:6" s="9" customFormat="1" x14ac:dyDescent="0.25">
      <c r="C1652" s="5"/>
      <c r="E1652" s="10"/>
      <c r="F1652" s="8">
        <f>SUM(F1651)</f>
        <v>3300</v>
      </c>
    </row>
    <row r="1653" spans="1:6" s="9" customFormat="1" x14ac:dyDescent="0.25">
      <c r="C1653" s="5"/>
      <c r="E1653" s="10"/>
      <c r="F1653" s="10"/>
    </row>
    <row r="1654" spans="1:6" s="9" customFormat="1" x14ac:dyDescent="0.25">
      <c r="A1654" s="9" t="s">
        <v>76</v>
      </c>
      <c r="B1654" s="4">
        <v>45924</v>
      </c>
      <c r="C1654" s="5">
        <v>150</v>
      </c>
      <c r="D1654" s="9" t="s">
        <v>12</v>
      </c>
      <c r="E1654" s="10">
        <v>145</v>
      </c>
      <c r="F1654" s="10">
        <f t="shared" si="25"/>
        <v>21750</v>
      </c>
    </row>
    <row r="1655" spans="1:6" s="9" customFormat="1" x14ac:dyDescent="0.25">
      <c r="C1655" s="5">
        <v>50</v>
      </c>
      <c r="D1655" s="9" t="s">
        <v>13</v>
      </c>
      <c r="E1655" s="10">
        <v>150</v>
      </c>
      <c r="F1655" s="10">
        <f t="shared" si="25"/>
        <v>7500</v>
      </c>
    </row>
    <row r="1656" spans="1:6" s="9" customFormat="1" x14ac:dyDescent="0.25">
      <c r="C1656" s="5">
        <v>94</v>
      </c>
      <c r="D1656" s="9" t="s">
        <v>50</v>
      </c>
      <c r="E1656" s="10">
        <v>126</v>
      </c>
      <c r="F1656" s="10">
        <f t="shared" si="25"/>
        <v>11844</v>
      </c>
    </row>
    <row r="1657" spans="1:6" s="9" customFormat="1" x14ac:dyDescent="0.25">
      <c r="C1657" s="5">
        <v>5</v>
      </c>
      <c r="D1657" s="9" t="s">
        <v>14</v>
      </c>
      <c r="E1657" s="10">
        <v>145</v>
      </c>
      <c r="F1657" s="10">
        <f t="shared" si="25"/>
        <v>725</v>
      </c>
    </row>
    <row r="1658" spans="1:6" s="9" customFormat="1" x14ac:dyDescent="0.25">
      <c r="C1658" s="5"/>
      <c r="E1658" s="10"/>
      <c r="F1658" s="8">
        <f>SUM(F1654:F1657)</f>
        <v>41819</v>
      </c>
    </row>
    <row r="1659" spans="1:6" s="9" customFormat="1" x14ac:dyDescent="0.25">
      <c r="C1659" s="5"/>
      <c r="E1659" s="10"/>
      <c r="F1659" s="10"/>
    </row>
    <row r="1660" spans="1:6" s="9" customFormat="1" x14ac:dyDescent="0.25">
      <c r="A1660" s="9" t="s">
        <v>72</v>
      </c>
      <c r="B1660" s="4">
        <v>45924</v>
      </c>
      <c r="C1660" s="5">
        <v>200</v>
      </c>
      <c r="D1660" s="9" t="s">
        <v>13</v>
      </c>
      <c r="E1660" s="10">
        <v>150</v>
      </c>
      <c r="F1660" s="10">
        <f t="shared" si="25"/>
        <v>30000</v>
      </c>
    </row>
    <row r="1661" spans="1:6" s="9" customFormat="1" x14ac:dyDescent="0.25">
      <c r="C1661" s="5">
        <v>150</v>
      </c>
      <c r="D1661" s="9" t="s">
        <v>12</v>
      </c>
      <c r="E1661" s="10">
        <v>145</v>
      </c>
      <c r="F1661" s="10">
        <f t="shared" si="25"/>
        <v>21750</v>
      </c>
    </row>
    <row r="1662" spans="1:6" s="9" customFormat="1" x14ac:dyDescent="0.25">
      <c r="C1662" s="5">
        <v>30</v>
      </c>
      <c r="D1662" s="9" t="s">
        <v>14</v>
      </c>
      <c r="E1662" s="10">
        <v>140</v>
      </c>
      <c r="F1662" s="10">
        <f t="shared" si="25"/>
        <v>4200</v>
      </c>
    </row>
    <row r="1663" spans="1:6" s="9" customFormat="1" x14ac:dyDescent="0.25">
      <c r="C1663" s="5">
        <v>70</v>
      </c>
      <c r="D1663" s="9" t="s">
        <v>980</v>
      </c>
      <c r="E1663" s="10">
        <v>135</v>
      </c>
      <c r="F1663" s="10">
        <f t="shared" si="25"/>
        <v>9450</v>
      </c>
    </row>
    <row r="1664" spans="1:6" s="9" customFormat="1" x14ac:dyDescent="0.25">
      <c r="C1664" s="5"/>
      <c r="E1664" s="10"/>
      <c r="F1664" s="8">
        <f>SUM(F1660:F1663)</f>
        <v>65400</v>
      </c>
    </row>
    <row r="1665" spans="1:11" s="9" customFormat="1" x14ac:dyDescent="0.25">
      <c r="C1665" s="5"/>
      <c r="E1665" s="10"/>
      <c r="F1665" s="10"/>
    </row>
    <row r="1666" spans="1:11" s="9" customFormat="1" x14ac:dyDescent="0.25">
      <c r="A1666" s="9" t="s">
        <v>205</v>
      </c>
      <c r="B1666" s="4">
        <v>45924</v>
      </c>
      <c r="C1666" s="5">
        <v>10</v>
      </c>
      <c r="D1666" s="9" t="s">
        <v>13</v>
      </c>
      <c r="E1666" s="10">
        <v>140</v>
      </c>
      <c r="F1666" s="10">
        <f t="shared" si="25"/>
        <v>1400</v>
      </c>
    </row>
    <row r="1667" spans="1:11" s="9" customFormat="1" x14ac:dyDescent="0.25">
      <c r="C1667" s="5"/>
      <c r="E1667" s="10"/>
      <c r="F1667" s="8">
        <f>SUM(F1666)</f>
        <v>1400</v>
      </c>
    </row>
    <row r="1668" spans="1:11" s="9" customFormat="1" x14ac:dyDescent="0.25">
      <c r="C1668" s="5"/>
      <c r="E1668" s="10"/>
      <c r="F1668" s="10"/>
    </row>
    <row r="1669" spans="1:11" s="9" customFormat="1" x14ac:dyDescent="0.25">
      <c r="A1669" s="9" t="s">
        <v>136</v>
      </c>
      <c r="B1669" s="4">
        <v>45924</v>
      </c>
      <c r="C1669" s="5">
        <v>15</v>
      </c>
      <c r="D1669" s="9" t="s">
        <v>13</v>
      </c>
      <c r="E1669" s="10">
        <v>145</v>
      </c>
      <c r="F1669" s="10">
        <f t="shared" si="25"/>
        <v>2175</v>
      </c>
      <c r="K1669" s="9">
        <v>0</v>
      </c>
    </row>
    <row r="1670" spans="1:11" s="9" customFormat="1" x14ac:dyDescent="0.25">
      <c r="C1670" s="5"/>
      <c r="E1670" s="10"/>
      <c r="F1670" s="8">
        <f>SUM(F1669)</f>
        <v>2175</v>
      </c>
    </row>
    <row r="1671" spans="1:11" s="9" customFormat="1" x14ac:dyDescent="0.25">
      <c r="C1671" s="5"/>
      <c r="E1671" s="10"/>
      <c r="F1671" s="8"/>
    </row>
    <row r="1672" spans="1:11" s="9" customFormat="1" x14ac:dyDescent="0.25">
      <c r="A1672" s="9" t="s">
        <v>896</v>
      </c>
      <c r="B1672" s="4">
        <v>45924</v>
      </c>
      <c r="C1672" s="5">
        <v>50</v>
      </c>
      <c r="D1672" s="9" t="s">
        <v>13</v>
      </c>
      <c r="E1672" s="10">
        <v>150</v>
      </c>
      <c r="F1672" s="10">
        <f t="shared" ref="F1672:F1673" si="26">+C1672*E1672</f>
        <v>7500</v>
      </c>
    </row>
    <row r="1673" spans="1:11" s="9" customFormat="1" x14ac:dyDescent="0.25">
      <c r="C1673" s="5">
        <v>50</v>
      </c>
      <c r="D1673" s="9" t="s">
        <v>12</v>
      </c>
      <c r="E1673" s="10">
        <v>145</v>
      </c>
      <c r="F1673" s="10">
        <f t="shared" si="26"/>
        <v>7250</v>
      </c>
    </row>
    <row r="1674" spans="1:11" s="9" customFormat="1" x14ac:dyDescent="0.25">
      <c r="C1674" s="5"/>
      <c r="E1674" s="10"/>
      <c r="F1674" s="8">
        <f>SUM(F1672:F1673)</f>
        <v>14750</v>
      </c>
    </row>
    <row r="1675" spans="1:11" s="9" customFormat="1" x14ac:dyDescent="0.25">
      <c r="A1675"/>
      <c r="B1675"/>
      <c r="C1675"/>
      <c r="D1675"/>
      <c r="E1675"/>
      <c r="F1675" s="10"/>
      <c r="G1675"/>
    </row>
    <row r="1676" spans="1:11" s="9" customFormat="1" x14ac:dyDescent="0.25">
      <c r="A1676" s="9" t="s">
        <v>101</v>
      </c>
      <c r="B1676" s="4">
        <v>45924</v>
      </c>
      <c r="C1676" s="5">
        <v>1</v>
      </c>
      <c r="D1676" s="9" t="s">
        <v>13</v>
      </c>
      <c r="E1676" s="10">
        <v>160</v>
      </c>
      <c r="F1676" s="10">
        <f t="shared" ref="F1676:F1710" si="27">+C1676*E1676</f>
        <v>160</v>
      </c>
    </row>
    <row r="1677" spans="1:11" s="9" customFormat="1" x14ac:dyDescent="0.25">
      <c r="C1677" s="5">
        <v>2</v>
      </c>
      <c r="D1677" s="9" t="s">
        <v>22</v>
      </c>
      <c r="E1677" s="10">
        <v>130</v>
      </c>
      <c r="F1677" s="10">
        <f t="shared" si="27"/>
        <v>260</v>
      </c>
    </row>
    <row r="1678" spans="1:11" s="9" customFormat="1" x14ac:dyDescent="0.25">
      <c r="C1678" s="5">
        <v>1</v>
      </c>
      <c r="D1678" s="9" t="s">
        <v>12</v>
      </c>
      <c r="E1678" s="10">
        <v>150</v>
      </c>
      <c r="F1678" s="10">
        <f t="shared" si="27"/>
        <v>150</v>
      </c>
    </row>
    <row r="1679" spans="1:11" s="9" customFormat="1" x14ac:dyDescent="0.25">
      <c r="C1679" s="5">
        <v>2</v>
      </c>
      <c r="D1679" s="9" t="s">
        <v>12</v>
      </c>
      <c r="E1679" s="10">
        <v>150</v>
      </c>
      <c r="F1679" s="10">
        <f t="shared" si="27"/>
        <v>300</v>
      </c>
    </row>
    <row r="1680" spans="1:11" s="9" customFormat="1" x14ac:dyDescent="0.25">
      <c r="C1680" s="5"/>
      <c r="E1680" s="10"/>
      <c r="F1680" s="8">
        <f>SUM(F1676:F1679)</f>
        <v>870</v>
      </c>
    </row>
    <row r="1681" spans="1:6" s="9" customFormat="1" x14ac:dyDescent="0.25">
      <c r="C1681" s="5"/>
      <c r="E1681" s="10"/>
      <c r="F1681" s="10"/>
    </row>
    <row r="1682" spans="1:6" s="9" customFormat="1" x14ac:dyDescent="0.25">
      <c r="A1682" s="9" t="s">
        <v>7</v>
      </c>
      <c r="B1682" s="4">
        <v>45924</v>
      </c>
      <c r="C1682" s="5">
        <v>1</v>
      </c>
      <c r="D1682" s="9" t="s">
        <v>8</v>
      </c>
      <c r="E1682" s="10">
        <v>170</v>
      </c>
      <c r="F1682" s="10">
        <f t="shared" si="27"/>
        <v>170</v>
      </c>
    </row>
    <row r="1683" spans="1:6" s="9" customFormat="1" x14ac:dyDescent="0.25">
      <c r="C1683" s="5"/>
      <c r="E1683" s="10"/>
      <c r="F1683" s="8">
        <f>SUM(F1682)</f>
        <v>170</v>
      </c>
    </row>
    <row r="1684" spans="1:6" s="9" customFormat="1" x14ac:dyDescent="0.25">
      <c r="C1684" s="5"/>
      <c r="E1684" s="10"/>
      <c r="F1684" s="10"/>
    </row>
    <row r="1685" spans="1:6" s="9" customFormat="1" x14ac:dyDescent="0.25">
      <c r="A1685" s="9" t="s">
        <v>734</v>
      </c>
      <c r="B1685" s="4">
        <v>45925</v>
      </c>
      <c r="C1685" s="5">
        <v>7</v>
      </c>
      <c r="D1685" s="9" t="s">
        <v>13</v>
      </c>
      <c r="E1685" s="10">
        <v>160</v>
      </c>
      <c r="F1685" s="10">
        <f t="shared" si="27"/>
        <v>1120</v>
      </c>
    </row>
    <row r="1686" spans="1:6" s="9" customFormat="1" x14ac:dyDescent="0.25">
      <c r="C1686" s="5"/>
      <c r="E1686" s="10"/>
      <c r="F1686" s="8">
        <f>SUM(F1685)</f>
        <v>1120</v>
      </c>
    </row>
    <row r="1687" spans="1:6" s="9" customFormat="1" x14ac:dyDescent="0.25">
      <c r="C1687" s="5"/>
      <c r="E1687" s="10"/>
      <c r="F1687" s="10"/>
    </row>
    <row r="1688" spans="1:6" s="9" customFormat="1" x14ac:dyDescent="0.25">
      <c r="A1688" s="9" t="s">
        <v>632</v>
      </c>
      <c r="B1688" s="4">
        <v>45925</v>
      </c>
      <c r="C1688" s="5">
        <v>60</v>
      </c>
      <c r="D1688" s="9" t="s">
        <v>13</v>
      </c>
      <c r="E1688" s="10">
        <v>160</v>
      </c>
      <c r="F1688" s="10">
        <f t="shared" si="27"/>
        <v>9600</v>
      </c>
    </row>
    <row r="1689" spans="1:6" s="9" customFormat="1" x14ac:dyDescent="0.25">
      <c r="C1689" s="5"/>
      <c r="E1689" s="10"/>
      <c r="F1689" s="8">
        <f>SUM(F1688)</f>
        <v>9600</v>
      </c>
    </row>
    <row r="1690" spans="1:6" s="9" customFormat="1" x14ac:dyDescent="0.25">
      <c r="C1690" s="5"/>
      <c r="E1690" s="10"/>
      <c r="F1690" s="10"/>
    </row>
    <row r="1691" spans="1:6" s="9" customFormat="1" x14ac:dyDescent="0.25">
      <c r="A1691" s="9" t="s">
        <v>981</v>
      </c>
      <c r="B1691" s="4">
        <v>45925</v>
      </c>
      <c r="C1691" s="5">
        <v>10</v>
      </c>
      <c r="D1691" s="9" t="s">
        <v>13</v>
      </c>
      <c r="E1691" s="10">
        <v>160</v>
      </c>
      <c r="F1691" s="10">
        <f t="shared" si="27"/>
        <v>1600</v>
      </c>
    </row>
    <row r="1692" spans="1:6" s="9" customFormat="1" x14ac:dyDescent="0.25">
      <c r="C1692" s="5"/>
      <c r="E1692" s="10"/>
      <c r="F1692" s="8">
        <f>SUM(F1691)</f>
        <v>1600</v>
      </c>
    </row>
    <row r="1693" spans="1:6" s="9" customFormat="1" x14ac:dyDescent="0.25">
      <c r="C1693" s="5"/>
      <c r="E1693" s="10"/>
      <c r="F1693" s="10"/>
    </row>
    <row r="1694" spans="1:6" s="9" customFormat="1" x14ac:dyDescent="0.25">
      <c r="A1694" s="9" t="s">
        <v>89</v>
      </c>
      <c r="B1694" s="4">
        <v>45925</v>
      </c>
      <c r="C1694" s="5">
        <v>20</v>
      </c>
      <c r="D1694" s="9" t="s">
        <v>13</v>
      </c>
      <c r="E1694" s="10">
        <v>150</v>
      </c>
      <c r="F1694" s="10">
        <f t="shared" si="27"/>
        <v>3000</v>
      </c>
    </row>
    <row r="1695" spans="1:6" s="9" customFormat="1" x14ac:dyDescent="0.25">
      <c r="C1695" s="5">
        <v>30</v>
      </c>
      <c r="D1695" s="9" t="s">
        <v>12</v>
      </c>
      <c r="E1695" s="10">
        <v>145</v>
      </c>
      <c r="F1695" s="10">
        <f t="shared" si="27"/>
        <v>4350</v>
      </c>
    </row>
    <row r="1696" spans="1:6" s="9" customFormat="1" x14ac:dyDescent="0.25">
      <c r="C1696" s="5"/>
      <c r="E1696" s="10"/>
      <c r="F1696" s="8">
        <f>SUM(F1694:F1695)</f>
        <v>7350</v>
      </c>
    </row>
    <row r="1697" spans="1:6" s="9" customFormat="1" x14ac:dyDescent="0.25">
      <c r="C1697" s="5"/>
      <c r="E1697" s="10"/>
      <c r="F1697" s="10"/>
    </row>
    <row r="1698" spans="1:6" s="9" customFormat="1" x14ac:dyDescent="0.25">
      <c r="A1698" s="9" t="s">
        <v>117</v>
      </c>
      <c r="B1698" s="4">
        <v>45925</v>
      </c>
      <c r="C1698" s="5">
        <v>5</v>
      </c>
      <c r="D1698" s="9" t="s">
        <v>982</v>
      </c>
      <c r="E1698" s="10">
        <v>160</v>
      </c>
      <c r="F1698" s="10">
        <f t="shared" si="27"/>
        <v>800</v>
      </c>
    </row>
    <row r="1699" spans="1:6" s="9" customFormat="1" x14ac:dyDescent="0.25">
      <c r="C1699" s="5"/>
      <c r="E1699" s="10"/>
      <c r="F1699" s="8">
        <f>SUM(F1698)</f>
        <v>800</v>
      </c>
    </row>
    <row r="1700" spans="1:6" s="9" customFormat="1" x14ac:dyDescent="0.25">
      <c r="C1700" s="5"/>
      <c r="E1700" s="10"/>
      <c r="F1700" s="10"/>
    </row>
    <row r="1701" spans="1:6" s="9" customFormat="1" x14ac:dyDescent="0.25">
      <c r="A1701" s="9" t="s">
        <v>245</v>
      </c>
      <c r="B1701" s="4">
        <v>45925</v>
      </c>
      <c r="C1701" s="5">
        <v>10</v>
      </c>
      <c r="D1701" s="9" t="s">
        <v>14</v>
      </c>
      <c r="E1701" s="10">
        <v>150</v>
      </c>
      <c r="F1701" s="10">
        <f t="shared" si="27"/>
        <v>1500</v>
      </c>
    </row>
    <row r="1702" spans="1:6" s="9" customFormat="1" x14ac:dyDescent="0.25">
      <c r="C1702" s="5"/>
      <c r="E1702" s="10"/>
      <c r="F1702" s="8">
        <f>SUM(F1701)</f>
        <v>1500</v>
      </c>
    </row>
    <row r="1703" spans="1:6" s="9" customFormat="1" x14ac:dyDescent="0.25">
      <c r="C1703" s="5"/>
      <c r="E1703" s="10"/>
      <c r="F1703" s="10"/>
    </row>
    <row r="1704" spans="1:6" s="9" customFormat="1" x14ac:dyDescent="0.25">
      <c r="A1704" s="9" t="s">
        <v>27</v>
      </c>
      <c r="B1704" s="4">
        <v>45925</v>
      </c>
      <c r="C1704" s="5">
        <v>3</v>
      </c>
      <c r="D1704" s="9" t="s">
        <v>12</v>
      </c>
      <c r="E1704" s="10">
        <v>150</v>
      </c>
      <c r="F1704" s="10">
        <f t="shared" si="27"/>
        <v>450</v>
      </c>
    </row>
    <row r="1705" spans="1:6" s="9" customFormat="1" x14ac:dyDescent="0.25">
      <c r="C1705" s="5"/>
      <c r="E1705" s="10"/>
      <c r="F1705" s="8">
        <f>SUM(F1704)</f>
        <v>450</v>
      </c>
    </row>
    <row r="1706" spans="1:6" s="9" customFormat="1" x14ac:dyDescent="0.25">
      <c r="C1706" s="5"/>
      <c r="E1706" s="10"/>
      <c r="F1706" s="10"/>
    </row>
    <row r="1707" spans="1:6" s="9" customFormat="1" x14ac:dyDescent="0.25">
      <c r="A1707" s="9" t="s">
        <v>32</v>
      </c>
      <c r="B1707" s="4">
        <v>45925</v>
      </c>
      <c r="C1707" s="5">
        <v>25</v>
      </c>
      <c r="D1707" s="9" t="s">
        <v>13</v>
      </c>
      <c r="E1707" s="10">
        <v>150</v>
      </c>
      <c r="F1707" s="10">
        <f t="shared" si="27"/>
        <v>3750</v>
      </c>
    </row>
    <row r="1708" spans="1:6" s="9" customFormat="1" x14ac:dyDescent="0.25">
      <c r="C1708" s="5"/>
      <c r="E1708" s="10"/>
      <c r="F1708" s="8">
        <f>SUM(F1707)</f>
        <v>3750</v>
      </c>
    </row>
    <row r="1709" spans="1:6" s="9" customFormat="1" x14ac:dyDescent="0.25">
      <c r="C1709" s="5"/>
      <c r="E1709" s="10"/>
      <c r="F1709" s="10"/>
    </row>
    <row r="1710" spans="1:6" s="9" customFormat="1" x14ac:dyDescent="0.25">
      <c r="A1710" s="9" t="s">
        <v>983</v>
      </c>
      <c r="B1710" s="4">
        <v>45925</v>
      </c>
      <c r="C1710" s="5">
        <v>3</v>
      </c>
      <c r="D1710" s="9" t="s">
        <v>8</v>
      </c>
      <c r="E1710" s="10">
        <v>170</v>
      </c>
      <c r="F1710" s="10">
        <f t="shared" si="27"/>
        <v>510</v>
      </c>
    </row>
    <row r="1711" spans="1:6" s="9" customFormat="1" x14ac:dyDescent="0.25">
      <c r="C1711" s="5"/>
      <c r="E1711" s="10"/>
      <c r="F1711" s="8">
        <f>SUM(F1710)</f>
        <v>510</v>
      </c>
    </row>
    <row r="1712" spans="1:6" s="9" customFormat="1" x14ac:dyDescent="0.25">
      <c r="C1712" s="5"/>
      <c r="E1712" s="10"/>
      <c r="F1712" s="10"/>
    </row>
    <row r="1713" spans="1:11" s="9" customFormat="1" x14ac:dyDescent="0.25">
      <c r="A1713" s="9" t="s">
        <v>7</v>
      </c>
      <c r="B1713" s="4">
        <v>45925</v>
      </c>
      <c r="C1713" s="5">
        <v>1</v>
      </c>
      <c r="D1713" s="9" t="s">
        <v>8</v>
      </c>
      <c r="E1713" s="10">
        <v>170</v>
      </c>
      <c r="F1713" s="10">
        <f t="shared" ref="F1713:F1752" si="28">+C1713*E1713</f>
        <v>170</v>
      </c>
    </row>
    <row r="1714" spans="1:11" s="9" customFormat="1" x14ac:dyDescent="0.25">
      <c r="C1714" s="5">
        <v>3</v>
      </c>
      <c r="D1714" s="9" t="s">
        <v>168</v>
      </c>
      <c r="E1714" s="10">
        <v>150</v>
      </c>
      <c r="F1714" s="10">
        <f t="shared" si="28"/>
        <v>450</v>
      </c>
    </row>
    <row r="1715" spans="1:11" s="9" customFormat="1" x14ac:dyDescent="0.25">
      <c r="C1715" s="5"/>
      <c r="E1715" s="10"/>
      <c r="F1715" s="8">
        <f>SUM(F1713:F1714)</f>
        <v>620</v>
      </c>
    </row>
    <row r="1716" spans="1:11" s="9" customFormat="1" x14ac:dyDescent="0.25">
      <c r="C1716" s="5"/>
      <c r="E1716" s="10"/>
      <c r="F1716" s="10"/>
    </row>
    <row r="1717" spans="1:11" s="9" customFormat="1" x14ac:dyDescent="0.25">
      <c r="A1717" s="9" t="s">
        <v>949</v>
      </c>
      <c r="B1717" s="4">
        <v>45926</v>
      </c>
      <c r="C1717" s="5">
        <v>4</v>
      </c>
      <c r="D1717" s="9" t="s">
        <v>12</v>
      </c>
      <c r="E1717" s="10">
        <v>150</v>
      </c>
      <c r="F1717" s="10">
        <f t="shared" si="28"/>
        <v>600</v>
      </c>
    </row>
    <row r="1718" spans="1:11" s="9" customFormat="1" x14ac:dyDescent="0.25">
      <c r="C1718" s="5"/>
      <c r="E1718" s="10"/>
      <c r="F1718" s="8">
        <f>SUM(F1717)</f>
        <v>600</v>
      </c>
    </row>
    <row r="1719" spans="1:11" s="9" customFormat="1" x14ac:dyDescent="0.25">
      <c r="C1719" s="5"/>
      <c r="E1719" s="10"/>
      <c r="F1719" s="10"/>
    </row>
    <row r="1720" spans="1:11" s="9" customFormat="1" x14ac:dyDescent="0.25">
      <c r="A1720" s="9" t="s">
        <v>514</v>
      </c>
      <c r="B1720" s="4">
        <v>45926</v>
      </c>
      <c r="C1720" s="5">
        <v>10</v>
      </c>
      <c r="D1720" s="9" t="s">
        <v>98</v>
      </c>
      <c r="E1720" s="10">
        <v>110</v>
      </c>
      <c r="F1720" s="10">
        <f t="shared" si="28"/>
        <v>1100</v>
      </c>
    </row>
    <row r="1721" spans="1:11" s="9" customFormat="1" x14ac:dyDescent="0.25">
      <c r="C1721" s="5"/>
      <c r="E1721" s="10"/>
      <c r="F1721" s="8">
        <f>SUM(F1720)</f>
        <v>1100</v>
      </c>
    </row>
    <row r="1722" spans="1:11" s="9" customFormat="1" x14ac:dyDescent="0.25">
      <c r="C1722" s="5"/>
      <c r="E1722" s="10"/>
      <c r="F1722" s="10"/>
    </row>
    <row r="1723" spans="1:11" s="9" customFormat="1" x14ac:dyDescent="0.25">
      <c r="A1723" s="9" t="s">
        <v>15</v>
      </c>
      <c r="B1723" s="4">
        <v>45926</v>
      </c>
      <c r="C1723" s="5">
        <v>60</v>
      </c>
      <c r="D1723" s="9" t="s">
        <v>98</v>
      </c>
      <c r="E1723" s="10">
        <v>110</v>
      </c>
      <c r="F1723" s="10">
        <f t="shared" si="28"/>
        <v>6600</v>
      </c>
    </row>
    <row r="1724" spans="1:11" s="9" customFormat="1" x14ac:dyDescent="0.25">
      <c r="C1724" s="5"/>
      <c r="E1724" s="10"/>
      <c r="F1724" s="8">
        <f>SUM(F1723)</f>
        <v>6600</v>
      </c>
    </row>
    <row r="1725" spans="1:11" s="9" customFormat="1" x14ac:dyDescent="0.25">
      <c r="C1725" s="5"/>
      <c r="E1725" s="10"/>
      <c r="F1725" s="10"/>
      <c r="K1725" s="9">
        <v>0</v>
      </c>
    </row>
    <row r="1726" spans="1:11" s="9" customFormat="1" x14ac:dyDescent="0.25">
      <c r="A1726" s="9" t="s">
        <v>58</v>
      </c>
      <c r="B1726" s="4">
        <v>45926</v>
      </c>
      <c r="C1726" s="5">
        <v>15</v>
      </c>
      <c r="D1726" s="9" t="s">
        <v>13</v>
      </c>
      <c r="E1726" s="10">
        <v>155</v>
      </c>
      <c r="F1726" s="10">
        <f t="shared" si="28"/>
        <v>2325</v>
      </c>
    </row>
    <row r="1727" spans="1:11" s="9" customFormat="1" x14ac:dyDescent="0.25">
      <c r="C1727" s="5"/>
      <c r="E1727" s="10"/>
      <c r="F1727" s="8">
        <f>SUM(F1726)</f>
        <v>2325</v>
      </c>
    </row>
    <row r="1728" spans="1:11" s="9" customFormat="1" x14ac:dyDescent="0.25">
      <c r="C1728" s="5"/>
      <c r="E1728" s="10"/>
      <c r="F1728" s="10"/>
    </row>
    <row r="1729" spans="1:6" s="9" customFormat="1" x14ac:dyDescent="0.25">
      <c r="A1729" s="9" t="s">
        <v>40</v>
      </c>
      <c r="B1729" s="4">
        <v>45926</v>
      </c>
      <c r="C1729" s="5">
        <v>40</v>
      </c>
      <c r="D1729" s="9" t="s">
        <v>8</v>
      </c>
      <c r="E1729" s="10">
        <v>165</v>
      </c>
      <c r="F1729" s="10">
        <f t="shared" si="28"/>
        <v>6600</v>
      </c>
    </row>
    <row r="1730" spans="1:6" s="9" customFormat="1" x14ac:dyDescent="0.25">
      <c r="C1730" s="5"/>
      <c r="E1730" s="10"/>
      <c r="F1730" s="8">
        <f>SUM(F1729)</f>
        <v>6600</v>
      </c>
    </row>
    <row r="1731" spans="1:6" s="9" customFormat="1" x14ac:dyDescent="0.25">
      <c r="C1731" s="5"/>
      <c r="E1731" s="10"/>
      <c r="F1731" s="10"/>
    </row>
    <row r="1732" spans="1:6" s="9" customFormat="1" x14ac:dyDescent="0.25">
      <c r="A1732" s="9" t="s">
        <v>25</v>
      </c>
      <c r="B1732" s="4">
        <v>45926</v>
      </c>
      <c r="C1732" s="5">
        <v>20</v>
      </c>
      <c r="D1732" s="9" t="s">
        <v>8</v>
      </c>
      <c r="E1732" s="10">
        <v>165</v>
      </c>
      <c r="F1732" s="10">
        <f t="shared" si="28"/>
        <v>3300</v>
      </c>
    </row>
    <row r="1733" spans="1:6" s="9" customFormat="1" x14ac:dyDescent="0.25">
      <c r="C1733" s="5"/>
      <c r="E1733" s="10"/>
      <c r="F1733" s="8">
        <f>SUM(F1732)</f>
        <v>3300</v>
      </c>
    </row>
    <row r="1734" spans="1:6" s="9" customFormat="1" x14ac:dyDescent="0.25">
      <c r="C1734" s="5"/>
      <c r="E1734" s="10"/>
      <c r="F1734" s="10"/>
    </row>
    <row r="1735" spans="1:6" s="9" customFormat="1" x14ac:dyDescent="0.25">
      <c r="A1735" s="9" t="s">
        <v>20</v>
      </c>
      <c r="B1735" s="4">
        <v>45926</v>
      </c>
      <c r="C1735" s="5">
        <v>10</v>
      </c>
      <c r="D1735" s="9" t="s">
        <v>13</v>
      </c>
      <c r="E1735" s="10">
        <v>160</v>
      </c>
      <c r="F1735" s="10">
        <f t="shared" si="28"/>
        <v>1600</v>
      </c>
    </row>
    <row r="1736" spans="1:6" s="9" customFormat="1" x14ac:dyDescent="0.25">
      <c r="C1736" s="5"/>
      <c r="E1736" s="10"/>
      <c r="F1736" s="8">
        <f>SUM(F1735)</f>
        <v>1600</v>
      </c>
    </row>
    <row r="1737" spans="1:6" s="9" customFormat="1" x14ac:dyDescent="0.25">
      <c r="C1737" s="5"/>
      <c r="E1737" s="10"/>
      <c r="F1737" s="10"/>
    </row>
    <row r="1738" spans="1:6" s="9" customFormat="1" x14ac:dyDescent="0.25">
      <c r="A1738" s="9" t="s">
        <v>366</v>
      </c>
      <c r="B1738" s="4">
        <v>45926</v>
      </c>
      <c r="C1738" s="5">
        <v>20</v>
      </c>
      <c r="D1738" s="9" t="s">
        <v>13</v>
      </c>
      <c r="E1738" s="10">
        <v>160</v>
      </c>
      <c r="F1738" s="10">
        <f t="shared" si="28"/>
        <v>3200</v>
      </c>
    </row>
    <row r="1739" spans="1:6" s="9" customFormat="1" x14ac:dyDescent="0.25">
      <c r="C1739" s="5"/>
      <c r="E1739" s="10"/>
      <c r="F1739" s="8">
        <f>SUM(F1738)</f>
        <v>3200</v>
      </c>
    </row>
    <row r="1740" spans="1:6" s="9" customFormat="1" x14ac:dyDescent="0.25">
      <c r="C1740" s="5"/>
      <c r="E1740" s="10"/>
      <c r="F1740" s="10"/>
    </row>
    <row r="1741" spans="1:6" s="9" customFormat="1" x14ac:dyDescent="0.25">
      <c r="A1741" s="9" t="s">
        <v>427</v>
      </c>
      <c r="B1741" s="4">
        <v>45926</v>
      </c>
      <c r="C1741" s="5">
        <v>10</v>
      </c>
      <c r="D1741" s="9" t="s">
        <v>12</v>
      </c>
      <c r="E1741" s="10">
        <v>150</v>
      </c>
      <c r="F1741" s="10">
        <f t="shared" si="28"/>
        <v>1500</v>
      </c>
    </row>
    <row r="1742" spans="1:6" s="9" customFormat="1" x14ac:dyDescent="0.25">
      <c r="C1742" s="5"/>
      <c r="E1742" s="10"/>
      <c r="F1742" s="8">
        <f>SUM(F1741)</f>
        <v>1500</v>
      </c>
    </row>
    <row r="1743" spans="1:6" s="9" customFormat="1" x14ac:dyDescent="0.25">
      <c r="C1743" s="5"/>
      <c r="E1743" s="10"/>
      <c r="F1743" s="10"/>
    </row>
    <row r="1744" spans="1:6" s="9" customFormat="1" x14ac:dyDescent="0.25">
      <c r="A1744" s="9" t="s">
        <v>21</v>
      </c>
      <c r="B1744" s="4">
        <v>45926</v>
      </c>
      <c r="C1744" s="5">
        <v>20</v>
      </c>
      <c r="D1744" s="9" t="s">
        <v>13</v>
      </c>
      <c r="E1744" s="10">
        <v>160</v>
      </c>
      <c r="F1744" s="10">
        <f t="shared" si="28"/>
        <v>3200</v>
      </c>
    </row>
    <row r="1745" spans="1:6" s="9" customFormat="1" x14ac:dyDescent="0.25">
      <c r="C1745" s="5">
        <v>20</v>
      </c>
      <c r="D1745" s="9" t="s">
        <v>12</v>
      </c>
      <c r="E1745" s="10">
        <v>150</v>
      </c>
      <c r="F1745" s="10">
        <f t="shared" si="28"/>
        <v>3000</v>
      </c>
    </row>
    <row r="1746" spans="1:6" s="9" customFormat="1" x14ac:dyDescent="0.25">
      <c r="C1746" s="5">
        <v>10</v>
      </c>
      <c r="D1746" s="9" t="s">
        <v>8</v>
      </c>
      <c r="E1746" s="10">
        <v>165</v>
      </c>
      <c r="F1746" s="10">
        <f t="shared" si="28"/>
        <v>1650</v>
      </c>
    </row>
    <row r="1747" spans="1:6" s="9" customFormat="1" x14ac:dyDescent="0.25">
      <c r="C1747" s="5"/>
      <c r="E1747" s="10"/>
      <c r="F1747" s="8">
        <f>SUM(F1744:F1746)</f>
        <v>7850</v>
      </c>
    </row>
    <row r="1748" spans="1:6" s="9" customFormat="1" x14ac:dyDescent="0.25">
      <c r="C1748" s="5"/>
      <c r="E1748" s="10"/>
      <c r="F1748" s="10"/>
    </row>
    <row r="1749" spans="1:6" s="9" customFormat="1" x14ac:dyDescent="0.25">
      <c r="A1749" s="9" t="s">
        <v>181</v>
      </c>
      <c r="B1749" s="4">
        <v>45926</v>
      </c>
      <c r="C1749" s="5">
        <v>2</v>
      </c>
      <c r="D1749" s="9" t="s">
        <v>11</v>
      </c>
      <c r="E1749" s="10">
        <v>145</v>
      </c>
      <c r="F1749" s="10">
        <f t="shared" si="28"/>
        <v>290</v>
      </c>
    </row>
    <row r="1750" spans="1:6" s="9" customFormat="1" x14ac:dyDescent="0.25">
      <c r="C1750" s="5"/>
      <c r="E1750" s="10"/>
      <c r="F1750" s="8">
        <f>SUM(F1749)</f>
        <v>290</v>
      </c>
    </row>
    <row r="1751" spans="1:6" s="9" customFormat="1" x14ac:dyDescent="0.25">
      <c r="C1751" s="5"/>
      <c r="E1751" s="10"/>
      <c r="F1751" s="10"/>
    </row>
    <row r="1752" spans="1:6" s="9" customFormat="1" x14ac:dyDescent="0.25">
      <c r="A1752" s="9" t="s">
        <v>106</v>
      </c>
      <c r="B1752" s="4">
        <v>45926</v>
      </c>
      <c r="C1752" s="5">
        <v>80</v>
      </c>
      <c r="D1752" s="9" t="s">
        <v>12</v>
      </c>
      <c r="E1752" s="10">
        <v>145</v>
      </c>
      <c r="F1752" s="10">
        <f t="shared" si="28"/>
        <v>11600</v>
      </c>
    </row>
    <row r="1753" spans="1:6" s="9" customFormat="1" x14ac:dyDescent="0.25">
      <c r="C1753" s="5"/>
      <c r="E1753" s="10"/>
      <c r="F1753" s="8">
        <f>SUM(F1752)</f>
        <v>11600</v>
      </c>
    </row>
    <row r="1754" spans="1:6" s="9" customFormat="1" x14ac:dyDescent="0.25">
      <c r="C1754" s="5"/>
      <c r="E1754" s="10"/>
      <c r="F1754" s="10"/>
    </row>
    <row r="1755" spans="1:6" s="9" customFormat="1" x14ac:dyDescent="0.25">
      <c r="A1755" s="9" t="s">
        <v>41</v>
      </c>
      <c r="B1755" s="4">
        <v>45926</v>
      </c>
      <c r="C1755" s="5">
        <v>40</v>
      </c>
      <c r="D1755" s="9" t="s">
        <v>14</v>
      </c>
      <c r="E1755" s="10">
        <v>140</v>
      </c>
      <c r="F1755" s="10">
        <f t="shared" ref="F1755:F1817" si="29">+C1755*E1755</f>
        <v>5600</v>
      </c>
    </row>
    <row r="1756" spans="1:6" s="9" customFormat="1" x14ac:dyDescent="0.25">
      <c r="C1756" s="5"/>
      <c r="E1756" s="10"/>
      <c r="F1756" s="8">
        <f>SUM(F1755)</f>
        <v>5600</v>
      </c>
    </row>
    <row r="1757" spans="1:6" s="9" customFormat="1" x14ac:dyDescent="0.25">
      <c r="C1757" s="5"/>
      <c r="E1757" s="10"/>
      <c r="F1757" s="10"/>
    </row>
    <row r="1758" spans="1:6" s="9" customFormat="1" x14ac:dyDescent="0.25">
      <c r="A1758" s="9" t="s">
        <v>85</v>
      </c>
      <c r="B1758" s="4">
        <v>45926</v>
      </c>
      <c r="C1758" s="5">
        <v>50</v>
      </c>
      <c r="D1758" s="9" t="s">
        <v>14</v>
      </c>
      <c r="E1758" s="10">
        <v>155</v>
      </c>
      <c r="F1758" s="10">
        <f t="shared" si="29"/>
        <v>7750</v>
      </c>
    </row>
    <row r="1759" spans="1:6" s="9" customFormat="1" x14ac:dyDescent="0.25">
      <c r="C1759" s="5"/>
      <c r="E1759" s="10"/>
      <c r="F1759" s="8">
        <f>SUM(F1758)</f>
        <v>7750</v>
      </c>
    </row>
    <row r="1760" spans="1:6" s="9" customFormat="1" x14ac:dyDescent="0.25">
      <c r="C1760" s="5"/>
      <c r="E1760" s="10"/>
      <c r="F1760" s="10"/>
    </row>
    <row r="1761" spans="1:6" s="9" customFormat="1" x14ac:dyDescent="0.25">
      <c r="A1761" s="9" t="s">
        <v>18</v>
      </c>
      <c r="B1761" s="4">
        <v>45926</v>
      </c>
      <c r="C1761" s="5">
        <v>10</v>
      </c>
      <c r="D1761" s="9" t="s">
        <v>14</v>
      </c>
      <c r="E1761" s="10">
        <v>155</v>
      </c>
      <c r="F1761" s="10">
        <f t="shared" si="29"/>
        <v>1550</v>
      </c>
    </row>
    <row r="1762" spans="1:6" s="9" customFormat="1" x14ac:dyDescent="0.25">
      <c r="C1762" s="5">
        <v>20</v>
      </c>
      <c r="D1762" s="9" t="s">
        <v>11</v>
      </c>
      <c r="E1762" s="10">
        <v>150</v>
      </c>
      <c r="F1762" s="10">
        <f t="shared" si="29"/>
        <v>3000</v>
      </c>
    </row>
    <row r="1763" spans="1:6" s="9" customFormat="1" x14ac:dyDescent="0.25">
      <c r="C1763" s="5"/>
      <c r="E1763" s="10"/>
      <c r="F1763" s="8">
        <f>SUM(F1761:F1762)</f>
        <v>4550</v>
      </c>
    </row>
    <row r="1764" spans="1:6" s="9" customFormat="1" x14ac:dyDescent="0.25">
      <c r="C1764" s="5"/>
      <c r="E1764" s="10"/>
      <c r="F1764" s="10"/>
    </row>
    <row r="1765" spans="1:6" s="9" customFormat="1" x14ac:dyDescent="0.25">
      <c r="A1765" s="9" t="s">
        <v>960</v>
      </c>
      <c r="B1765" s="4">
        <v>45926</v>
      </c>
      <c r="C1765" s="5">
        <v>10</v>
      </c>
      <c r="D1765" s="9" t="s">
        <v>11</v>
      </c>
      <c r="E1765" s="10">
        <v>145</v>
      </c>
      <c r="F1765" s="10">
        <f t="shared" si="29"/>
        <v>1450</v>
      </c>
    </row>
    <row r="1766" spans="1:6" s="9" customFormat="1" x14ac:dyDescent="0.25">
      <c r="C1766" s="5"/>
      <c r="E1766" s="10"/>
      <c r="F1766" s="8">
        <f>SUM(F1765)</f>
        <v>1450</v>
      </c>
    </row>
    <row r="1767" spans="1:6" s="9" customFormat="1" x14ac:dyDescent="0.25">
      <c r="C1767" s="5"/>
      <c r="E1767" s="10"/>
      <c r="F1767" s="10"/>
    </row>
    <row r="1768" spans="1:6" s="9" customFormat="1" x14ac:dyDescent="0.25">
      <c r="A1768" s="9" t="s">
        <v>46</v>
      </c>
      <c r="B1768" s="4">
        <v>45926</v>
      </c>
      <c r="C1768" s="5">
        <v>10</v>
      </c>
      <c r="D1768" s="9" t="s">
        <v>14</v>
      </c>
      <c r="E1768" s="10">
        <v>155</v>
      </c>
      <c r="F1768" s="10">
        <f t="shared" si="29"/>
        <v>1550</v>
      </c>
    </row>
    <row r="1769" spans="1:6" s="9" customFormat="1" x14ac:dyDescent="0.25">
      <c r="C1769" s="5"/>
      <c r="E1769" s="10"/>
      <c r="F1769" s="8">
        <f>SUM(F1768)</f>
        <v>1550</v>
      </c>
    </row>
    <row r="1770" spans="1:6" s="9" customFormat="1" x14ac:dyDescent="0.25">
      <c r="C1770" s="5"/>
      <c r="E1770" s="10"/>
      <c r="F1770" s="10"/>
    </row>
    <row r="1771" spans="1:6" s="9" customFormat="1" x14ac:dyDescent="0.25">
      <c r="A1771" s="9" t="s">
        <v>47</v>
      </c>
      <c r="B1771" s="4">
        <v>45926</v>
      </c>
      <c r="C1771" s="5">
        <v>20</v>
      </c>
      <c r="D1771" s="9" t="s">
        <v>14</v>
      </c>
      <c r="E1771" s="10">
        <v>155</v>
      </c>
      <c r="F1771" s="10">
        <f t="shared" si="29"/>
        <v>3100</v>
      </c>
    </row>
    <row r="1772" spans="1:6" s="9" customFormat="1" x14ac:dyDescent="0.25">
      <c r="C1772" s="5"/>
      <c r="E1772" s="10"/>
      <c r="F1772" s="8">
        <f>SUM(F1771)</f>
        <v>3100</v>
      </c>
    </row>
    <row r="1773" spans="1:6" s="9" customFormat="1" x14ac:dyDescent="0.25">
      <c r="C1773" s="5"/>
      <c r="E1773" s="10"/>
      <c r="F1773" s="10"/>
    </row>
    <row r="1774" spans="1:6" s="9" customFormat="1" x14ac:dyDescent="0.25">
      <c r="A1774" s="9" t="s">
        <v>984</v>
      </c>
      <c r="B1774" s="4">
        <v>45926</v>
      </c>
      <c r="C1774" s="5">
        <v>15</v>
      </c>
      <c r="D1774" s="9" t="s">
        <v>49</v>
      </c>
      <c r="E1774" s="10">
        <v>160</v>
      </c>
      <c r="F1774" s="10">
        <f t="shared" si="29"/>
        <v>2400</v>
      </c>
    </row>
    <row r="1775" spans="1:6" s="9" customFormat="1" x14ac:dyDescent="0.25">
      <c r="C1775" s="5"/>
      <c r="E1775" s="10"/>
      <c r="F1775" s="8">
        <f>SUM(F1774)</f>
        <v>2400</v>
      </c>
    </row>
    <row r="1776" spans="1:6" s="9" customFormat="1" x14ac:dyDescent="0.25">
      <c r="C1776" s="5"/>
      <c r="E1776" s="10"/>
      <c r="F1776" s="10"/>
    </row>
    <row r="1777" spans="1:6" s="9" customFormat="1" x14ac:dyDescent="0.25">
      <c r="A1777" s="9" t="s">
        <v>292</v>
      </c>
      <c r="B1777" s="4">
        <v>45926</v>
      </c>
      <c r="C1777" s="5">
        <v>7</v>
      </c>
      <c r="D1777" s="9" t="s">
        <v>11</v>
      </c>
      <c r="E1777" s="10">
        <v>140</v>
      </c>
      <c r="F1777" s="10">
        <f t="shared" si="29"/>
        <v>980</v>
      </c>
    </row>
    <row r="1778" spans="1:6" s="9" customFormat="1" x14ac:dyDescent="0.25">
      <c r="C1778" s="5">
        <v>3</v>
      </c>
      <c r="D1778" s="9" t="s">
        <v>8</v>
      </c>
      <c r="E1778" s="10">
        <v>160</v>
      </c>
      <c r="F1778" s="10">
        <f t="shared" si="29"/>
        <v>480</v>
      </c>
    </row>
    <row r="1779" spans="1:6" s="9" customFormat="1" x14ac:dyDescent="0.25">
      <c r="C1779" s="5"/>
      <c r="E1779" s="10"/>
      <c r="F1779" s="8">
        <f>SUM(F1777:F1778)</f>
        <v>1460</v>
      </c>
    </row>
    <row r="1780" spans="1:6" s="9" customFormat="1" x14ac:dyDescent="0.25">
      <c r="C1780" s="5"/>
      <c r="E1780" s="10"/>
      <c r="F1780" s="10"/>
    </row>
    <row r="1781" spans="1:6" s="9" customFormat="1" x14ac:dyDescent="0.25">
      <c r="A1781" s="9" t="s">
        <v>609</v>
      </c>
      <c r="B1781" s="4">
        <v>45926</v>
      </c>
      <c r="C1781" s="5">
        <v>40</v>
      </c>
      <c r="D1781" s="9" t="s">
        <v>11</v>
      </c>
      <c r="E1781" s="10">
        <v>140</v>
      </c>
      <c r="F1781" s="10">
        <f t="shared" si="29"/>
        <v>5600</v>
      </c>
    </row>
    <row r="1782" spans="1:6" s="9" customFormat="1" x14ac:dyDescent="0.25">
      <c r="C1782" s="5"/>
      <c r="E1782" s="10"/>
      <c r="F1782" s="8">
        <f>SUM(F1781)</f>
        <v>5600</v>
      </c>
    </row>
    <row r="1783" spans="1:6" s="9" customFormat="1" x14ac:dyDescent="0.25">
      <c r="C1783" s="5"/>
      <c r="E1783" s="10"/>
      <c r="F1783" s="10"/>
    </row>
    <row r="1784" spans="1:6" s="9" customFormat="1" x14ac:dyDescent="0.25">
      <c r="A1784" s="9" t="s">
        <v>141</v>
      </c>
      <c r="B1784" s="4">
        <v>45926</v>
      </c>
      <c r="C1784" s="5">
        <v>4</v>
      </c>
      <c r="D1784" s="9" t="s">
        <v>13</v>
      </c>
      <c r="E1784" s="10">
        <v>160</v>
      </c>
      <c r="F1784" s="10">
        <f t="shared" si="29"/>
        <v>640</v>
      </c>
    </row>
    <row r="1785" spans="1:6" s="9" customFormat="1" x14ac:dyDescent="0.25">
      <c r="C1785" s="5"/>
      <c r="E1785" s="10"/>
      <c r="F1785" s="8">
        <f>SUM(F1784)</f>
        <v>640</v>
      </c>
    </row>
    <row r="1786" spans="1:6" s="9" customFormat="1" x14ac:dyDescent="0.25">
      <c r="C1786" s="5"/>
      <c r="E1786" s="10"/>
      <c r="F1786" s="10"/>
    </row>
    <row r="1787" spans="1:6" s="9" customFormat="1" x14ac:dyDescent="0.25">
      <c r="A1787" s="9" t="s">
        <v>103</v>
      </c>
      <c r="B1787" s="4">
        <v>45926</v>
      </c>
      <c r="C1787" s="5">
        <v>4</v>
      </c>
      <c r="D1787" s="9" t="s">
        <v>13</v>
      </c>
      <c r="E1787" s="10">
        <v>160</v>
      </c>
      <c r="F1787" s="10">
        <f t="shared" si="29"/>
        <v>640</v>
      </c>
    </row>
    <row r="1788" spans="1:6" s="9" customFormat="1" x14ac:dyDescent="0.25">
      <c r="C1788" s="5"/>
      <c r="E1788" s="10"/>
      <c r="F1788" s="8">
        <f>SUM(F1787)</f>
        <v>640</v>
      </c>
    </row>
    <row r="1789" spans="1:6" s="9" customFormat="1" x14ac:dyDescent="0.25">
      <c r="C1789" s="5"/>
      <c r="E1789" s="10"/>
      <c r="F1789" s="10"/>
    </row>
    <row r="1790" spans="1:6" s="9" customFormat="1" x14ac:dyDescent="0.25">
      <c r="A1790" s="9" t="s">
        <v>904</v>
      </c>
      <c r="B1790" s="4">
        <v>45926</v>
      </c>
      <c r="C1790" s="5">
        <v>3</v>
      </c>
      <c r="D1790" s="9" t="s">
        <v>13</v>
      </c>
      <c r="E1790" s="10">
        <v>160</v>
      </c>
      <c r="F1790" s="10">
        <f t="shared" si="29"/>
        <v>480</v>
      </c>
    </row>
    <row r="1791" spans="1:6" s="9" customFormat="1" x14ac:dyDescent="0.25">
      <c r="C1791" s="5"/>
      <c r="E1791" s="10"/>
      <c r="F1791" s="8">
        <f>SUM(F1790)</f>
        <v>480</v>
      </c>
    </row>
    <row r="1792" spans="1:6" s="9" customFormat="1" x14ac:dyDescent="0.25">
      <c r="C1792" s="5"/>
      <c r="E1792" s="10"/>
      <c r="F1792" s="10"/>
    </row>
    <row r="1793" spans="1:6" s="9" customFormat="1" x14ac:dyDescent="0.25">
      <c r="A1793" s="9" t="s">
        <v>160</v>
      </c>
      <c r="B1793" s="4">
        <v>45926</v>
      </c>
      <c r="C1793" s="5">
        <v>4</v>
      </c>
      <c r="D1793" s="9" t="s">
        <v>12</v>
      </c>
      <c r="E1793" s="10">
        <v>150</v>
      </c>
      <c r="F1793" s="10">
        <f t="shared" si="29"/>
        <v>600</v>
      </c>
    </row>
    <row r="1794" spans="1:6" s="9" customFormat="1" x14ac:dyDescent="0.25">
      <c r="C1794" s="5"/>
      <c r="E1794" s="10"/>
      <c r="F1794" s="8">
        <f>SUM(F1793)</f>
        <v>600</v>
      </c>
    </row>
    <row r="1795" spans="1:6" s="9" customFormat="1" x14ac:dyDescent="0.25">
      <c r="C1795" s="5"/>
      <c r="E1795" s="10"/>
      <c r="F1795" s="10"/>
    </row>
    <row r="1796" spans="1:6" s="9" customFormat="1" x14ac:dyDescent="0.25">
      <c r="A1796" s="9" t="s">
        <v>174</v>
      </c>
      <c r="B1796" s="4">
        <v>45926</v>
      </c>
      <c r="C1796" s="5">
        <v>70</v>
      </c>
      <c r="D1796" s="9" t="s">
        <v>12</v>
      </c>
      <c r="E1796" s="10">
        <v>145</v>
      </c>
      <c r="F1796" s="10">
        <f t="shared" si="29"/>
        <v>10150</v>
      </c>
    </row>
    <row r="1797" spans="1:6" s="9" customFormat="1" x14ac:dyDescent="0.25">
      <c r="C1797" s="5">
        <v>70</v>
      </c>
      <c r="D1797" s="9" t="s">
        <v>22</v>
      </c>
      <c r="E1797" s="10">
        <v>130</v>
      </c>
      <c r="F1797" s="10">
        <f t="shared" si="29"/>
        <v>9100</v>
      </c>
    </row>
    <row r="1798" spans="1:6" s="9" customFormat="1" x14ac:dyDescent="0.25">
      <c r="C1798" s="5"/>
      <c r="E1798" s="10"/>
      <c r="F1798" s="8">
        <f>SUM(F1796:F1797)</f>
        <v>19250</v>
      </c>
    </row>
    <row r="1799" spans="1:6" s="9" customFormat="1" x14ac:dyDescent="0.25">
      <c r="C1799" s="5"/>
      <c r="E1799" s="10"/>
      <c r="F1799" s="10"/>
    </row>
    <row r="1800" spans="1:6" s="9" customFormat="1" x14ac:dyDescent="0.25">
      <c r="A1800" s="9" t="s">
        <v>76</v>
      </c>
      <c r="B1800" s="4">
        <v>45926</v>
      </c>
      <c r="C1800" s="5">
        <v>20</v>
      </c>
      <c r="D1800" s="9" t="s">
        <v>985</v>
      </c>
      <c r="E1800" s="10"/>
      <c r="F1800" s="10">
        <f t="shared" si="29"/>
        <v>0</v>
      </c>
    </row>
    <row r="1801" spans="1:6" s="9" customFormat="1" x14ac:dyDescent="0.25">
      <c r="C1801" s="5">
        <v>120</v>
      </c>
      <c r="D1801" s="9" t="s">
        <v>986</v>
      </c>
      <c r="E1801" s="10"/>
      <c r="F1801" s="10">
        <f t="shared" si="29"/>
        <v>0</v>
      </c>
    </row>
    <row r="1802" spans="1:6" s="9" customFormat="1" x14ac:dyDescent="0.25">
      <c r="C1802" s="5"/>
      <c r="E1802" s="10"/>
      <c r="F1802" s="8">
        <f>SUM(F1800:F1801)</f>
        <v>0</v>
      </c>
    </row>
    <row r="1803" spans="1:6" s="9" customFormat="1" x14ac:dyDescent="0.25">
      <c r="C1803" s="5"/>
      <c r="E1803" s="10"/>
      <c r="F1803" s="10"/>
    </row>
    <row r="1804" spans="1:6" s="9" customFormat="1" x14ac:dyDescent="0.25">
      <c r="A1804" s="9" t="s">
        <v>76</v>
      </c>
      <c r="B1804" s="4">
        <v>45926</v>
      </c>
      <c r="C1804" s="5">
        <v>21</v>
      </c>
      <c r="D1804" s="9" t="s">
        <v>987</v>
      </c>
      <c r="E1804" s="10"/>
      <c r="F1804" s="10">
        <f t="shared" si="29"/>
        <v>0</v>
      </c>
    </row>
    <row r="1805" spans="1:6" s="9" customFormat="1" x14ac:dyDescent="0.25">
      <c r="C1805" s="5">
        <v>258</v>
      </c>
      <c r="D1805" s="9" t="s">
        <v>988</v>
      </c>
      <c r="E1805" s="10"/>
      <c r="F1805" s="10">
        <f t="shared" si="29"/>
        <v>0</v>
      </c>
    </row>
    <row r="1806" spans="1:6" s="9" customFormat="1" x14ac:dyDescent="0.25">
      <c r="C1806" s="5">
        <v>75</v>
      </c>
      <c r="D1806" s="9" t="s">
        <v>989</v>
      </c>
      <c r="E1806" s="10"/>
      <c r="F1806" s="10">
        <f t="shared" si="29"/>
        <v>0</v>
      </c>
    </row>
    <row r="1807" spans="1:6" s="9" customFormat="1" x14ac:dyDescent="0.25">
      <c r="C1807" s="5">
        <v>42</v>
      </c>
      <c r="D1807" s="9" t="s">
        <v>990</v>
      </c>
      <c r="E1807" s="10"/>
      <c r="F1807" s="10">
        <f t="shared" si="29"/>
        <v>0</v>
      </c>
    </row>
    <row r="1808" spans="1:6" s="9" customFormat="1" x14ac:dyDescent="0.25">
      <c r="C1808" s="5">
        <v>32</v>
      </c>
      <c r="D1808" s="9" t="s">
        <v>991</v>
      </c>
      <c r="E1808" s="10"/>
      <c r="F1808" s="10">
        <f t="shared" si="29"/>
        <v>0</v>
      </c>
    </row>
    <row r="1809" spans="1:6" s="9" customFormat="1" x14ac:dyDescent="0.25">
      <c r="C1809" s="5"/>
      <c r="E1809" s="10"/>
      <c r="F1809" s="8">
        <f>SUM(F1804:F1808)</f>
        <v>0</v>
      </c>
    </row>
    <row r="1810" spans="1:6" s="9" customFormat="1" x14ac:dyDescent="0.25">
      <c r="C1810" s="5"/>
      <c r="E1810" s="10"/>
      <c r="F1810" s="10"/>
    </row>
    <row r="1811" spans="1:6" s="9" customFormat="1" x14ac:dyDescent="0.25">
      <c r="A1811" s="9" t="s">
        <v>29</v>
      </c>
      <c r="B1811" s="4">
        <v>45926</v>
      </c>
      <c r="C1811" s="5">
        <v>2</v>
      </c>
      <c r="D1811" s="9" t="s">
        <v>8</v>
      </c>
      <c r="E1811" s="10">
        <v>170</v>
      </c>
      <c r="F1811" s="10">
        <f t="shared" si="29"/>
        <v>340</v>
      </c>
    </row>
    <row r="1812" spans="1:6" s="9" customFormat="1" x14ac:dyDescent="0.25">
      <c r="C1812" s="5">
        <v>2</v>
      </c>
      <c r="D1812" s="9" t="s">
        <v>12</v>
      </c>
      <c r="E1812" s="10">
        <v>150</v>
      </c>
      <c r="F1812" s="10">
        <f t="shared" si="29"/>
        <v>300</v>
      </c>
    </row>
    <row r="1813" spans="1:6" s="9" customFormat="1" x14ac:dyDescent="0.25">
      <c r="C1813" s="5">
        <v>3</v>
      </c>
      <c r="D1813" s="9" t="s">
        <v>229</v>
      </c>
      <c r="E1813" s="10">
        <v>3.3333330000000001</v>
      </c>
      <c r="F1813" s="10">
        <f t="shared" si="29"/>
        <v>9.9999990000000007</v>
      </c>
    </row>
    <row r="1814" spans="1:6" s="9" customFormat="1" x14ac:dyDescent="0.25">
      <c r="C1814" s="5">
        <v>2</v>
      </c>
      <c r="D1814" s="9" t="s">
        <v>992</v>
      </c>
      <c r="E1814" s="10">
        <v>150</v>
      </c>
      <c r="F1814" s="10">
        <f t="shared" si="29"/>
        <v>300</v>
      </c>
    </row>
    <row r="1815" spans="1:6" s="9" customFormat="1" x14ac:dyDescent="0.25">
      <c r="C1815" s="5"/>
      <c r="E1815" s="10"/>
      <c r="F1815" s="8">
        <f>SUM(F1811:F1814)</f>
        <v>949.999999</v>
      </c>
    </row>
    <row r="1816" spans="1:6" s="9" customFormat="1" x14ac:dyDescent="0.25">
      <c r="C1816" s="5"/>
      <c r="E1816" s="10"/>
      <c r="F1816" s="10"/>
    </row>
    <row r="1817" spans="1:6" s="9" customFormat="1" x14ac:dyDescent="0.25">
      <c r="A1817" s="9" t="s">
        <v>7</v>
      </c>
      <c r="B1817" s="4">
        <v>45926</v>
      </c>
      <c r="C1817" s="5">
        <v>1</v>
      </c>
      <c r="D1817" s="9" t="s">
        <v>13</v>
      </c>
      <c r="E1817" s="10">
        <v>140</v>
      </c>
      <c r="F1817" s="10">
        <f t="shared" si="29"/>
        <v>140</v>
      </c>
    </row>
    <row r="1818" spans="1:6" s="9" customFormat="1" x14ac:dyDescent="0.25">
      <c r="C1818" s="5"/>
      <c r="E1818" s="10"/>
      <c r="F1818" s="8">
        <f>SUM(F1817)</f>
        <v>140</v>
      </c>
    </row>
    <row r="1819" spans="1:6" s="9" customFormat="1" x14ac:dyDescent="0.25">
      <c r="C1819" s="5"/>
      <c r="E1819" s="10"/>
      <c r="F1819" s="10"/>
    </row>
    <row r="1820" spans="1:6" s="9" customFormat="1" x14ac:dyDescent="0.25">
      <c r="A1820" s="9" t="s">
        <v>102</v>
      </c>
      <c r="B1820" s="4">
        <v>45927</v>
      </c>
      <c r="C1820" s="5">
        <v>6</v>
      </c>
      <c r="D1820" s="9" t="s">
        <v>13</v>
      </c>
      <c r="E1820" s="10">
        <v>160</v>
      </c>
      <c r="F1820" s="10">
        <f t="shared" ref="F1820:F1880" si="30">+C1820*E1820</f>
        <v>960</v>
      </c>
    </row>
    <row r="1821" spans="1:6" s="9" customFormat="1" x14ac:dyDescent="0.25">
      <c r="C1821" s="5"/>
      <c r="E1821" s="10"/>
      <c r="F1821" s="8">
        <f>SUM(F1820)</f>
        <v>960</v>
      </c>
    </row>
    <row r="1822" spans="1:6" s="9" customFormat="1" x14ac:dyDescent="0.25">
      <c r="C1822" s="5"/>
      <c r="E1822" s="10"/>
      <c r="F1822" s="10"/>
    </row>
    <row r="1823" spans="1:6" s="9" customFormat="1" x14ac:dyDescent="0.25">
      <c r="A1823" s="9" t="s">
        <v>61</v>
      </c>
      <c r="B1823" s="4">
        <v>45927</v>
      </c>
      <c r="C1823" s="5">
        <v>40</v>
      </c>
      <c r="D1823" s="9" t="s">
        <v>13</v>
      </c>
      <c r="E1823" s="10">
        <v>160</v>
      </c>
      <c r="F1823" s="10">
        <f t="shared" si="30"/>
        <v>6400</v>
      </c>
    </row>
    <row r="1824" spans="1:6" s="9" customFormat="1" x14ac:dyDescent="0.25">
      <c r="C1824" s="5"/>
      <c r="E1824" s="10"/>
      <c r="F1824" s="8">
        <f>SUM(F1823)</f>
        <v>6400</v>
      </c>
    </row>
    <row r="1825" spans="1:6" s="9" customFormat="1" x14ac:dyDescent="0.25">
      <c r="C1825" s="5"/>
      <c r="E1825" s="10"/>
      <c r="F1825" s="10"/>
    </row>
    <row r="1826" spans="1:6" s="9" customFormat="1" x14ac:dyDescent="0.25">
      <c r="A1826" s="9" t="s">
        <v>62</v>
      </c>
      <c r="B1826" s="4">
        <v>45927</v>
      </c>
      <c r="C1826" s="5">
        <v>128</v>
      </c>
      <c r="D1826" s="9" t="s">
        <v>8</v>
      </c>
      <c r="E1826" s="10">
        <v>165</v>
      </c>
      <c r="F1826" s="10">
        <f t="shared" si="30"/>
        <v>21120</v>
      </c>
    </row>
    <row r="1827" spans="1:6" s="9" customFormat="1" x14ac:dyDescent="0.25">
      <c r="C1827" s="5"/>
      <c r="E1827" s="10"/>
      <c r="F1827" s="8">
        <f>SUM(F1826)</f>
        <v>21120</v>
      </c>
    </row>
    <row r="1828" spans="1:6" s="9" customFormat="1" x14ac:dyDescent="0.25">
      <c r="C1828" s="5"/>
      <c r="E1828" s="10"/>
      <c r="F1828" s="10"/>
    </row>
    <row r="1829" spans="1:6" s="9" customFormat="1" x14ac:dyDescent="0.25">
      <c r="A1829" s="9" t="s">
        <v>26</v>
      </c>
      <c r="B1829" s="4">
        <v>45927</v>
      </c>
      <c r="C1829" s="5">
        <v>20</v>
      </c>
      <c r="D1829" s="9" t="s">
        <v>14</v>
      </c>
      <c r="E1829" s="10">
        <v>150</v>
      </c>
      <c r="F1829" s="10">
        <f t="shared" si="30"/>
        <v>3000</v>
      </c>
    </row>
    <row r="1830" spans="1:6" s="9" customFormat="1" x14ac:dyDescent="0.25">
      <c r="C1830" s="5"/>
      <c r="E1830" s="10"/>
      <c r="F1830" s="8">
        <f>SUM(F1829)</f>
        <v>3000</v>
      </c>
    </row>
    <row r="1831" spans="1:6" s="9" customFormat="1" x14ac:dyDescent="0.25">
      <c r="C1831" s="5"/>
      <c r="E1831" s="10"/>
      <c r="F1831" s="10"/>
    </row>
    <row r="1832" spans="1:6" s="9" customFormat="1" x14ac:dyDescent="0.25">
      <c r="A1832" s="9" t="s">
        <v>810</v>
      </c>
      <c r="B1832" s="4">
        <v>45927</v>
      </c>
      <c r="C1832" s="5">
        <v>2</v>
      </c>
      <c r="D1832" s="9" t="s">
        <v>13</v>
      </c>
      <c r="E1832" s="10">
        <v>160</v>
      </c>
      <c r="F1832" s="10">
        <f t="shared" si="30"/>
        <v>320</v>
      </c>
    </row>
    <row r="1833" spans="1:6" s="9" customFormat="1" x14ac:dyDescent="0.25">
      <c r="C1833" s="5"/>
      <c r="E1833" s="10"/>
      <c r="F1833" s="8">
        <f>SUM(F1832)</f>
        <v>320</v>
      </c>
    </row>
    <row r="1834" spans="1:6" s="9" customFormat="1" x14ac:dyDescent="0.25">
      <c r="C1834" s="5"/>
      <c r="E1834" s="10"/>
      <c r="F1834" s="10"/>
    </row>
    <row r="1835" spans="1:6" s="9" customFormat="1" x14ac:dyDescent="0.25">
      <c r="A1835" s="9" t="s">
        <v>32</v>
      </c>
      <c r="B1835" s="4">
        <v>45927</v>
      </c>
      <c r="C1835" s="5">
        <v>20</v>
      </c>
      <c r="D1835" s="9" t="s">
        <v>13</v>
      </c>
      <c r="E1835" s="10">
        <v>150</v>
      </c>
      <c r="F1835" s="10">
        <f t="shared" si="30"/>
        <v>3000</v>
      </c>
    </row>
    <row r="1836" spans="1:6" s="9" customFormat="1" x14ac:dyDescent="0.25">
      <c r="C1836" s="5"/>
      <c r="E1836" s="10"/>
      <c r="F1836" s="8">
        <f>SUM(F1835)</f>
        <v>3000</v>
      </c>
    </row>
    <row r="1837" spans="1:6" s="9" customFormat="1" x14ac:dyDescent="0.25">
      <c r="C1837" s="5"/>
      <c r="E1837" s="10"/>
      <c r="F1837" s="10"/>
    </row>
    <row r="1838" spans="1:6" s="9" customFormat="1" x14ac:dyDescent="0.25">
      <c r="A1838" s="9" t="s">
        <v>993</v>
      </c>
      <c r="B1838" s="4">
        <v>45927</v>
      </c>
      <c r="C1838" s="5">
        <v>400</v>
      </c>
      <c r="D1838" s="9" t="s">
        <v>13</v>
      </c>
      <c r="E1838" s="10">
        <v>150</v>
      </c>
      <c r="F1838" s="10">
        <f t="shared" si="30"/>
        <v>60000</v>
      </c>
    </row>
    <row r="1839" spans="1:6" s="9" customFormat="1" x14ac:dyDescent="0.25">
      <c r="C1839" s="5">
        <v>30</v>
      </c>
      <c r="D1839" s="9" t="s">
        <v>12</v>
      </c>
      <c r="E1839" s="10">
        <v>145</v>
      </c>
      <c r="F1839" s="10">
        <f t="shared" si="30"/>
        <v>4350</v>
      </c>
    </row>
    <row r="1840" spans="1:6" s="9" customFormat="1" x14ac:dyDescent="0.25">
      <c r="C1840" s="5">
        <v>70</v>
      </c>
      <c r="D1840" s="9" t="s">
        <v>14</v>
      </c>
      <c r="E1840" s="10">
        <v>140</v>
      </c>
      <c r="F1840" s="10">
        <f t="shared" si="30"/>
        <v>9800</v>
      </c>
    </row>
    <row r="1841" spans="1:6" s="9" customFormat="1" x14ac:dyDescent="0.25">
      <c r="C1841" s="5">
        <v>50</v>
      </c>
      <c r="D1841" s="9" t="s">
        <v>11</v>
      </c>
      <c r="E1841" s="10">
        <v>135</v>
      </c>
      <c r="F1841" s="10">
        <f t="shared" si="30"/>
        <v>6750</v>
      </c>
    </row>
    <row r="1842" spans="1:6" s="9" customFormat="1" x14ac:dyDescent="0.25">
      <c r="C1842" s="5"/>
      <c r="E1842" s="10"/>
      <c r="F1842" s="8">
        <f>SUM(F1838:F1841)</f>
        <v>80900</v>
      </c>
    </row>
    <row r="1843" spans="1:6" s="9" customFormat="1" x14ac:dyDescent="0.25">
      <c r="C1843" s="5"/>
      <c r="E1843" s="10"/>
      <c r="F1843" s="10"/>
    </row>
    <row r="1844" spans="1:6" s="9" customFormat="1" x14ac:dyDescent="0.25">
      <c r="A1844" s="9" t="s">
        <v>68</v>
      </c>
      <c r="B1844" s="4">
        <v>45927</v>
      </c>
      <c r="C1844" s="5">
        <v>5</v>
      </c>
      <c r="D1844" s="9" t="s">
        <v>13</v>
      </c>
      <c r="E1844" s="10">
        <v>160</v>
      </c>
      <c r="F1844" s="10">
        <f t="shared" si="30"/>
        <v>800</v>
      </c>
    </row>
    <row r="1845" spans="1:6" s="9" customFormat="1" x14ac:dyDescent="0.25">
      <c r="C1845" s="5"/>
      <c r="E1845" s="10"/>
      <c r="F1845" s="8">
        <f>SUM(F1844)</f>
        <v>800</v>
      </c>
    </row>
    <row r="1846" spans="1:6" s="9" customFormat="1" x14ac:dyDescent="0.25">
      <c r="C1846" s="5"/>
      <c r="E1846" s="10"/>
      <c r="F1846" s="10"/>
    </row>
    <row r="1847" spans="1:6" s="9" customFormat="1" x14ac:dyDescent="0.25">
      <c r="A1847" s="9" t="s">
        <v>65</v>
      </c>
      <c r="B1847" s="4">
        <v>45927</v>
      </c>
      <c r="C1847" s="5">
        <v>630</v>
      </c>
      <c r="D1847" s="9" t="s">
        <v>994</v>
      </c>
      <c r="E1847" s="10">
        <v>150</v>
      </c>
      <c r="F1847" s="10">
        <f t="shared" si="30"/>
        <v>94500</v>
      </c>
    </row>
    <row r="1848" spans="1:6" s="9" customFormat="1" x14ac:dyDescent="0.25">
      <c r="C1848" s="5">
        <v>120</v>
      </c>
      <c r="D1848" s="9" t="s">
        <v>11</v>
      </c>
      <c r="E1848" s="10">
        <v>150</v>
      </c>
      <c r="F1848" s="10">
        <f t="shared" si="30"/>
        <v>18000</v>
      </c>
    </row>
    <row r="1849" spans="1:6" s="9" customFormat="1" x14ac:dyDescent="0.25">
      <c r="C1849" s="5">
        <v>25</v>
      </c>
      <c r="D1849" s="9" t="s">
        <v>22</v>
      </c>
      <c r="E1849" s="10">
        <v>135</v>
      </c>
      <c r="F1849" s="10">
        <f t="shared" si="30"/>
        <v>3375</v>
      </c>
    </row>
    <row r="1850" spans="1:6" s="9" customFormat="1" x14ac:dyDescent="0.25">
      <c r="C1850" s="5">
        <v>217</v>
      </c>
      <c r="D1850" s="9" t="s">
        <v>14</v>
      </c>
      <c r="E1850" s="10">
        <v>155</v>
      </c>
      <c r="F1850" s="10">
        <f t="shared" si="30"/>
        <v>33635</v>
      </c>
    </row>
    <row r="1851" spans="1:6" s="9" customFormat="1" x14ac:dyDescent="0.25">
      <c r="C1851" s="5">
        <v>200</v>
      </c>
      <c r="D1851" s="9" t="s">
        <v>985</v>
      </c>
      <c r="E1851" s="10">
        <v>155</v>
      </c>
      <c r="F1851" s="10">
        <f t="shared" si="30"/>
        <v>31000</v>
      </c>
    </row>
    <row r="1852" spans="1:6" s="9" customFormat="1" x14ac:dyDescent="0.25">
      <c r="C1852" s="5">
        <v>300</v>
      </c>
      <c r="D1852" s="9" t="s">
        <v>738</v>
      </c>
      <c r="E1852" s="10">
        <v>155</v>
      </c>
      <c r="F1852" s="10">
        <f t="shared" si="30"/>
        <v>46500</v>
      </c>
    </row>
    <row r="1853" spans="1:6" s="9" customFormat="1" x14ac:dyDescent="0.25">
      <c r="C1853" s="5">
        <v>797</v>
      </c>
      <c r="D1853" s="9" t="s">
        <v>995</v>
      </c>
      <c r="E1853" s="10">
        <v>150</v>
      </c>
      <c r="F1853" s="10">
        <f t="shared" si="30"/>
        <v>119550</v>
      </c>
    </row>
    <row r="1854" spans="1:6" s="9" customFormat="1" x14ac:dyDescent="0.25">
      <c r="C1854" s="5"/>
      <c r="E1854" s="10"/>
      <c r="F1854" s="8">
        <f>SUM(F1847:F1853)</f>
        <v>346560</v>
      </c>
    </row>
    <row r="1855" spans="1:6" s="9" customFormat="1" x14ac:dyDescent="0.25">
      <c r="C1855" s="5"/>
      <c r="E1855" s="10"/>
      <c r="F1855" s="10"/>
    </row>
    <row r="1856" spans="1:6" s="9" customFormat="1" x14ac:dyDescent="0.25">
      <c r="A1856" s="9" t="s">
        <v>76</v>
      </c>
      <c r="B1856" s="4">
        <v>45927</v>
      </c>
      <c r="C1856" s="5">
        <v>150</v>
      </c>
      <c r="D1856" s="9" t="s">
        <v>14</v>
      </c>
      <c r="E1856" s="10"/>
      <c r="F1856" s="10">
        <f t="shared" si="30"/>
        <v>0</v>
      </c>
    </row>
    <row r="1857" spans="1:6" s="9" customFormat="1" x14ac:dyDescent="0.25">
      <c r="C1857" s="5">
        <v>230</v>
      </c>
      <c r="D1857" s="9" t="s">
        <v>13</v>
      </c>
      <c r="E1857" s="10"/>
      <c r="F1857" s="10">
        <f t="shared" si="30"/>
        <v>0</v>
      </c>
    </row>
    <row r="1858" spans="1:6" s="9" customFormat="1" x14ac:dyDescent="0.25">
      <c r="C1858" s="5">
        <v>20</v>
      </c>
      <c r="D1858" s="9" t="s">
        <v>12</v>
      </c>
      <c r="E1858" s="10"/>
      <c r="F1858" s="10">
        <f t="shared" si="30"/>
        <v>0</v>
      </c>
    </row>
    <row r="1859" spans="1:6" s="9" customFormat="1" x14ac:dyDescent="0.25">
      <c r="C1859" s="5"/>
      <c r="E1859" s="10"/>
      <c r="F1859" s="8">
        <f>SUM(F1856:F1858)</f>
        <v>0</v>
      </c>
    </row>
    <row r="1860" spans="1:6" s="9" customFormat="1" x14ac:dyDescent="0.25">
      <c r="C1860" s="5"/>
      <c r="E1860" s="10"/>
      <c r="F1860" s="10"/>
    </row>
    <row r="1861" spans="1:6" s="9" customFormat="1" x14ac:dyDescent="0.25">
      <c r="A1861" s="9" t="s">
        <v>996</v>
      </c>
      <c r="B1861" s="4">
        <v>45927</v>
      </c>
      <c r="C1861" s="5">
        <v>10</v>
      </c>
      <c r="D1861" s="9" t="s">
        <v>168</v>
      </c>
      <c r="E1861" s="10">
        <v>155</v>
      </c>
      <c r="F1861" s="10">
        <f t="shared" si="30"/>
        <v>1550</v>
      </c>
    </row>
    <row r="1862" spans="1:6" s="9" customFormat="1" x14ac:dyDescent="0.25">
      <c r="C1862" s="5">
        <v>1</v>
      </c>
      <c r="D1862" s="9" t="s">
        <v>13</v>
      </c>
      <c r="E1862" s="10">
        <v>160</v>
      </c>
      <c r="F1862" s="10">
        <f t="shared" si="30"/>
        <v>160</v>
      </c>
    </row>
    <row r="1863" spans="1:6" s="9" customFormat="1" x14ac:dyDescent="0.25">
      <c r="C1863" s="5">
        <v>10</v>
      </c>
      <c r="D1863" s="9" t="s">
        <v>98</v>
      </c>
      <c r="E1863" s="10">
        <v>110</v>
      </c>
      <c r="F1863" s="10">
        <f t="shared" si="30"/>
        <v>1100</v>
      </c>
    </row>
    <row r="1864" spans="1:6" s="9" customFormat="1" x14ac:dyDescent="0.25">
      <c r="C1864" s="5"/>
      <c r="E1864" s="10"/>
      <c r="F1864" s="8">
        <f>SUM(F1861:F1863)</f>
        <v>2810</v>
      </c>
    </row>
    <row r="1865" spans="1:6" s="9" customFormat="1" x14ac:dyDescent="0.25">
      <c r="C1865" s="5"/>
      <c r="E1865" s="10"/>
      <c r="F1865" s="10"/>
    </row>
    <row r="1866" spans="1:6" s="9" customFormat="1" x14ac:dyDescent="0.25">
      <c r="A1866" s="9" t="s">
        <v>7</v>
      </c>
      <c r="B1866" s="4">
        <v>45927</v>
      </c>
      <c r="C1866" s="5">
        <v>1</v>
      </c>
      <c r="D1866" s="9" t="s">
        <v>862</v>
      </c>
      <c r="E1866" s="10">
        <v>150</v>
      </c>
      <c r="F1866" s="10">
        <f t="shared" si="30"/>
        <v>150</v>
      </c>
    </row>
    <row r="1867" spans="1:6" s="9" customFormat="1" x14ac:dyDescent="0.25">
      <c r="C1867" s="5">
        <v>1</v>
      </c>
      <c r="D1867" s="9" t="s">
        <v>519</v>
      </c>
      <c r="E1867" s="10">
        <v>170</v>
      </c>
      <c r="F1867" s="10">
        <f t="shared" si="30"/>
        <v>170</v>
      </c>
    </row>
    <row r="1868" spans="1:6" s="9" customFormat="1" x14ac:dyDescent="0.25">
      <c r="C1868" s="5"/>
      <c r="E1868" s="10"/>
      <c r="F1868" s="8">
        <f>SUM(F1866:F1867)</f>
        <v>320</v>
      </c>
    </row>
    <row r="1869" spans="1:6" s="9" customFormat="1" x14ac:dyDescent="0.25">
      <c r="C1869" s="5"/>
      <c r="E1869" s="10"/>
      <c r="F1869" s="10"/>
    </row>
    <row r="1870" spans="1:6" s="9" customFormat="1" x14ac:dyDescent="0.25">
      <c r="A1870" s="9" t="s">
        <v>898</v>
      </c>
      <c r="B1870" s="4">
        <v>45928</v>
      </c>
      <c r="C1870" s="5">
        <v>5</v>
      </c>
      <c r="D1870" s="9" t="s">
        <v>13</v>
      </c>
      <c r="E1870" s="10">
        <v>150</v>
      </c>
      <c r="F1870" s="10">
        <f t="shared" si="30"/>
        <v>750</v>
      </c>
    </row>
    <row r="1871" spans="1:6" s="9" customFormat="1" x14ac:dyDescent="0.25">
      <c r="C1871" s="5"/>
      <c r="E1871" s="10"/>
      <c r="F1871" s="8">
        <f>SUM(F1870)</f>
        <v>750</v>
      </c>
    </row>
    <row r="1872" spans="1:6" s="9" customFormat="1" x14ac:dyDescent="0.25">
      <c r="C1872" s="5"/>
      <c r="E1872" s="10"/>
      <c r="F1872" s="10"/>
    </row>
    <row r="1873" spans="1:6" s="9" customFormat="1" x14ac:dyDescent="0.25">
      <c r="A1873" s="9" t="s">
        <v>29</v>
      </c>
      <c r="B1873" s="4">
        <v>45928</v>
      </c>
      <c r="C1873" s="5">
        <v>1</v>
      </c>
      <c r="D1873" s="9" t="s">
        <v>98</v>
      </c>
      <c r="E1873" s="10">
        <v>110</v>
      </c>
      <c r="F1873" s="10">
        <f t="shared" si="30"/>
        <v>110</v>
      </c>
    </row>
    <row r="1874" spans="1:6" s="9" customFormat="1" x14ac:dyDescent="0.25">
      <c r="C1874" s="5"/>
      <c r="E1874" s="10"/>
      <c r="F1874" s="8">
        <f>SUM(F1873)</f>
        <v>110</v>
      </c>
    </row>
    <row r="1875" spans="1:6" s="9" customFormat="1" x14ac:dyDescent="0.25">
      <c r="C1875" s="5"/>
      <c r="E1875" s="10"/>
      <c r="F1875" s="10"/>
    </row>
    <row r="1876" spans="1:6" s="9" customFormat="1" x14ac:dyDescent="0.25">
      <c r="A1876" s="9" t="s">
        <v>181</v>
      </c>
      <c r="B1876" s="4">
        <v>45928</v>
      </c>
      <c r="C1876" s="5">
        <v>1</v>
      </c>
      <c r="D1876" s="9" t="s">
        <v>8</v>
      </c>
      <c r="E1876" s="10">
        <v>170</v>
      </c>
      <c r="F1876" s="10">
        <f t="shared" si="30"/>
        <v>170</v>
      </c>
    </row>
    <row r="1877" spans="1:6" s="9" customFormat="1" x14ac:dyDescent="0.25">
      <c r="C1877" s="5">
        <v>1</v>
      </c>
      <c r="D1877" s="9" t="s">
        <v>13</v>
      </c>
      <c r="E1877" s="10">
        <v>160</v>
      </c>
      <c r="F1877" s="10">
        <f t="shared" si="30"/>
        <v>160</v>
      </c>
    </row>
    <row r="1878" spans="1:6" s="9" customFormat="1" x14ac:dyDescent="0.25">
      <c r="C1878" s="5">
        <v>1</v>
      </c>
      <c r="D1878" s="9" t="s">
        <v>12</v>
      </c>
      <c r="E1878" s="10">
        <v>150</v>
      </c>
      <c r="F1878" s="10">
        <f t="shared" si="30"/>
        <v>150</v>
      </c>
    </row>
    <row r="1879" spans="1:6" s="9" customFormat="1" x14ac:dyDescent="0.25">
      <c r="C1879" s="5">
        <v>6</v>
      </c>
      <c r="D1879" s="9" t="s">
        <v>250</v>
      </c>
      <c r="E1879" s="10">
        <v>140</v>
      </c>
      <c r="F1879" s="10">
        <f t="shared" si="30"/>
        <v>840</v>
      </c>
    </row>
    <row r="1880" spans="1:6" s="9" customFormat="1" x14ac:dyDescent="0.25">
      <c r="C1880" s="5">
        <v>1</v>
      </c>
      <c r="D1880" s="9" t="s">
        <v>49</v>
      </c>
      <c r="E1880" s="10">
        <v>170</v>
      </c>
      <c r="F1880" s="10">
        <f t="shared" si="30"/>
        <v>170</v>
      </c>
    </row>
    <row r="1881" spans="1:6" s="9" customFormat="1" x14ac:dyDescent="0.25">
      <c r="C1881" s="5"/>
      <c r="E1881" s="10"/>
      <c r="F1881" s="8">
        <f>SUM(F1876:F1880)</f>
        <v>1490</v>
      </c>
    </row>
    <row r="1882" spans="1:6" s="9" customFormat="1" x14ac:dyDescent="0.25">
      <c r="C1882" s="5"/>
      <c r="E1882" s="10"/>
      <c r="F1882" s="10"/>
    </row>
    <row r="1883" spans="1:6" s="9" customFormat="1" x14ac:dyDescent="0.25">
      <c r="A1883" s="9" t="s">
        <v>68</v>
      </c>
      <c r="B1883" s="4">
        <v>45929</v>
      </c>
      <c r="C1883" s="5">
        <v>4</v>
      </c>
      <c r="D1883" s="9" t="s">
        <v>13</v>
      </c>
      <c r="E1883" s="10">
        <v>160</v>
      </c>
      <c r="F1883" s="10">
        <f t="shared" ref="F1883:F1943" si="31">+C1883*E1883</f>
        <v>640</v>
      </c>
    </row>
    <row r="1884" spans="1:6" s="9" customFormat="1" x14ac:dyDescent="0.25">
      <c r="C1884" s="5"/>
      <c r="E1884" s="10"/>
      <c r="F1884" s="8">
        <f>SUM(F1883)</f>
        <v>640</v>
      </c>
    </row>
    <row r="1885" spans="1:6" s="9" customFormat="1" x14ac:dyDescent="0.25">
      <c r="C1885" s="5"/>
      <c r="E1885" s="10"/>
      <c r="F1885" s="10"/>
    </row>
    <row r="1886" spans="1:6" s="9" customFormat="1" x14ac:dyDescent="0.25">
      <c r="A1886" s="9" t="s">
        <v>724</v>
      </c>
      <c r="B1886" s="4">
        <v>45929</v>
      </c>
      <c r="C1886" s="5">
        <v>10</v>
      </c>
      <c r="D1886" s="9" t="s">
        <v>98</v>
      </c>
      <c r="E1886" s="10">
        <v>110</v>
      </c>
      <c r="F1886" s="10">
        <f t="shared" si="31"/>
        <v>1100</v>
      </c>
    </row>
    <row r="1887" spans="1:6" s="9" customFormat="1" x14ac:dyDescent="0.25">
      <c r="C1887" s="5"/>
      <c r="E1887" s="10"/>
      <c r="F1887" s="8">
        <f>SUM(F1886)</f>
        <v>1100</v>
      </c>
    </row>
    <row r="1888" spans="1:6" s="9" customFormat="1" x14ac:dyDescent="0.25">
      <c r="C1888" s="5"/>
      <c r="E1888" s="10"/>
      <c r="F1888" s="10"/>
    </row>
    <row r="1889" spans="1:6" s="9" customFormat="1" x14ac:dyDescent="0.25">
      <c r="A1889" s="9" t="s">
        <v>15</v>
      </c>
      <c r="B1889" s="4">
        <v>45929</v>
      </c>
      <c r="C1889" s="5">
        <v>60</v>
      </c>
      <c r="D1889" s="9" t="s">
        <v>98</v>
      </c>
      <c r="E1889" s="10">
        <v>110</v>
      </c>
      <c r="F1889" s="10">
        <f t="shared" si="31"/>
        <v>6600</v>
      </c>
    </row>
    <row r="1890" spans="1:6" s="9" customFormat="1" x14ac:dyDescent="0.25">
      <c r="C1890" s="5"/>
      <c r="E1890" s="10"/>
      <c r="F1890" s="8">
        <f>SUM(F1889)</f>
        <v>6600</v>
      </c>
    </row>
    <row r="1891" spans="1:6" s="9" customFormat="1" x14ac:dyDescent="0.25">
      <c r="C1891" s="5"/>
      <c r="E1891" s="10"/>
      <c r="F1891" s="10"/>
    </row>
    <row r="1892" spans="1:6" s="9" customFormat="1" x14ac:dyDescent="0.25">
      <c r="A1892" s="9" t="s">
        <v>58</v>
      </c>
      <c r="B1892" s="4">
        <v>45929</v>
      </c>
      <c r="C1892" s="5">
        <v>4</v>
      </c>
      <c r="D1892" s="9" t="s">
        <v>13</v>
      </c>
      <c r="E1892" s="10">
        <v>155</v>
      </c>
      <c r="F1892" s="10">
        <f t="shared" si="31"/>
        <v>620</v>
      </c>
    </row>
    <row r="1893" spans="1:6" s="9" customFormat="1" x14ac:dyDescent="0.25">
      <c r="C1893" s="5"/>
      <c r="E1893" s="10"/>
      <c r="F1893" s="8">
        <f>SUM(F1892)</f>
        <v>620</v>
      </c>
    </row>
    <row r="1894" spans="1:6" s="9" customFormat="1" x14ac:dyDescent="0.25">
      <c r="C1894" s="5"/>
      <c r="E1894" s="10"/>
      <c r="F1894" s="10"/>
    </row>
    <row r="1895" spans="1:6" s="9" customFormat="1" x14ac:dyDescent="0.25">
      <c r="A1895" s="9" t="s">
        <v>17</v>
      </c>
      <c r="B1895" s="4">
        <v>45929</v>
      </c>
      <c r="C1895" s="5">
        <v>10</v>
      </c>
      <c r="D1895" s="9" t="s">
        <v>13</v>
      </c>
      <c r="E1895" s="10">
        <v>160</v>
      </c>
      <c r="F1895" s="10">
        <f t="shared" si="31"/>
        <v>1600</v>
      </c>
    </row>
    <row r="1896" spans="1:6" s="9" customFormat="1" x14ac:dyDescent="0.25">
      <c r="C1896" s="5"/>
      <c r="E1896" s="10"/>
      <c r="F1896" s="8">
        <f>SUM(F1895)</f>
        <v>1600</v>
      </c>
    </row>
    <row r="1897" spans="1:6" s="9" customFormat="1" x14ac:dyDescent="0.25">
      <c r="C1897" s="5"/>
      <c r="E1897" s="10"/>
      <c r="F1897" s="10"/>
    </row>
    <row r="1898" spans="1:6" s="9" customFormat="1" x14ac:dyDescent="0.25">
      <c r="A1898" s="9" t="s">
        <v>37</v>
      </c>
      <c r="B1898" s="4">
        <v>45929</v>
      </c>
      <c r="C1898" s="5">
        <v>15</v>
      </c>
      <c r="D1898" s="9" t="s">
        <v>12</v>
      </c>
      <c r="E1898" s="10">
        <v>150</v>
      </c>
      <c r="F1898" s="10">
        <f t="shared" si="31"/>
        <v>2250</v>
      </c>
    </row>
    <row r="1899" spans="1:6" s="9" customFormat="1" x14ac:dyDescent="0.25">
      <c r="C1899" s="5"/>
      <c r="E1899" s="10"/>
      <c r="F1899" s="8">
        <f>SUM(F1898)</f>
        <v>2250</v>
      </c>
    </row>
    <row r="1900" spans="1:6" s="9" customFormat="1" x14ac:dyDescent="0.25">
      <c r="C1900" s="5"/>
      <c r="E1900" s="10"/>
      <c r="F1900" s="10"/>
    </row>
    <row r="1901" spans="1:6" s="9" customFormat="1" x14ac:dyDescent="0.25">
      <c r="A1901" s="9" t="s">
        <v>148</v>
      </c>
      <c r="B1901" s="4">
        <v>45929</v>
      </c>
      <c r="C1901" s="5">
        <v>20</v>
      </c>
      <c r="D1901" s="9" t="s">
        <v>13</v>
      </c>
      <c r="E1901" s="10">
        <v>160</v>
      </c>
      <c r="F1901" s="10">
        <f t="shared" si="31"/>
        <v>3200</v>
      </c>
    </row>
    <row r="1902" spans="1:6" s="9" customFormat="1" x14ac:dyDescent="0.25">
      <c r="C1902" s="5">
        <v>10</v>
      </c>
      <c r="D1902" s="9" t="s">
        <v>14</v>
      </c>
      <c r="E1902" s="10">
        <v>155</v>
      </c>
      <c r="F1902" s="10">
        <f t="shared" si="31"/>
        <v>1550</v>
      </c>
    </row>
    <row r="1903" spans="1:6" s="9" customFormat="1" x14ac:dyDescent="0.25">
      <c r="C1903" s="5"/>
      <c r="E1903" s="10"/>
      <c r="F1903" s="8">
        <f>SUM(F1901:F1902)</f>
        <v>4750</v>
      </c>
    </row>
    <row r="1904" spans="1:6" s="9" customFormat="1" x14ac:dyDescent="0.25">
      <c r="C1904" s="5"/>
      <c r="E1904" s="10"/>
      <c r="F1904" s="10"/>
    </row>
    <row r="1905" spans="1:6" s="9" customFormat="1" x14ac:dyDescent="0.25">
      <c r="A1905" s="9" t="s">
        <v>20</v>
      </c>
      <c r="B1905" s="4">
        <v>45929</v>
      </c>
      <c r="C1905" s="5">
        <v>30</v>
      </c>
      <c r="D1905" s="9" t="s">
        <v>8</v>
      </c>
      <c r="E1905" s="10">
        <v>165</v>
      </c>
      <c r="F1905" s="10">
        <f t="shared" si="31"/>
        <v>4950</v>
      </c>
    </row>
    <row r="1906" spans="1:6" s="9" customFormat="1" x14ac:dyDescent="0.25">
      <c r="C1906" s="5">
        <v>20</v>
      </c>
      <c r="D1906" s="9" t="s">
        <v>13</v>
      </c>
      <c r="E1906" s="10">
        <v>160</v>
      </c>
      <c r="F1906" s="10">
        <f t="shared" si="31"/>
        <v>3200</v>
      </c>
    </row>
    <row r="1907" spans="1:6" s="9" customFormat="1" x14ac:dyDescent="0.25">
      <c r="C1907" s="5"/>
      <c r="E1907" s="10"/>
      <c r="F1907" s="8">
        <f>SUM(F1905:F1906)</f>
        <v>8150</v>
      </c>
    </row>
    <row r="1908" spans="1:6" s="9" customFormat="1" x14ac:dyDescent="0.25">
      <c r="C1908" s="5"/>
      <c r="E1908" s="10"/>
      <c r="F1908" s="10"/>
    </row>
    <row r="1909" spans="1:6" s="9" customFormat="1" x14ac:dyDescent="0.25">
      <c r="A1909" s="9" t="s">
        <v>923</v>
      </c>
      <c r="B1909" s="4">
        <v>45929</v>
      </c>
      <c r="C1909" s="5">
        <v>10</v>
      </c>
      <c r="D1909" s="9" t="s">
        <v>8</v>
      </c>
      <c r="E1909" s="10">
        <v>165</v>
      </c>
      <c r="F1909" s="10">
        <f t="shared" si="31"/>
        <v>1650</v>
      </c>
    </row>
    <row r="1910" spans="1:6" s="9" customFormat="1" x14ac:dyDescent="0.25">
      <c r="C1910" s="5">
        <v>20</v>
      </c>
      <c r="D1910" s="9" t="s">
        <v>12</v>
      </c>
      <c r="E1910" s="10">
        <v>150</v>
      </c>
      <c r="F1910" s="10">
        <f t="shared" si="31"/>
        <v>3000</v>
      </c>
    </row>
    <row r="1911" spans="1:6" s="9" customFormat="1" x14ac:dyDescent="0.25">
      <c r="C1911" s="5">
        <v>20</v>
      </c>
      <c r="D1911" s="9" t="s">
        <v>13</v>
      </c>
      <c r="E1911" s="10">
        <v>160</v>
      </c>
      <c r="F1911" s="10">
        <f t="shared" si="31"/>
        <v>3200</v>
      </c>
    </row>
    <row r="1912" spans="1:6" s="9" customFormat="1" x14ac:dyDescent="0.25">
      <c r="C1912" s="5"/>
      <c r="E1912" s="10"/>
      <c r="F1912" s="8">
        <f>SUM(F1909:F1911)</f>
        <v>7850</v>
      </c>
    </row>
    <row r="1913" spans="1:6" s="9" customFormat="1" x14ac:dyDescent="0.25">
      <c r="C1913" s="5"/>
      <c r="E1913" s="10"/>
      <c r="F1913" s="10"/>
    </row>
    <row r="1914" spans="1:6" s="9" customFormat="1" x14ac:dyDescent="0.25">
      <c r="A1914" s="9" t="s">
        <v>25</v>
      </c>
      <c r="B1914" s="4">
        <v>45929</v>
      </c>
      <c r="C1914" s="5">
        <v>20</v>
      </c>
      <c r="D1914" s="9" t="s">
        <v>8</v>
      </c>
      <c r="E1914" s="10">
        <v>165</v>
      </c>
      <c r="F1914" s="10">
        <f t="shared" si="31"/>
        <v>3300</v>
      </c>
    </row>
    <row r="1915" spans="1:6" s="9" customFormat="1" x14ac:dyDescent="0.25">
      <c r="C1915" s="5">
        <v>20</v>
      </c>
      <c r="D1915" s="9" t="s">
        <v>50</v>
      </c>
      <c r="E1915" s="10">
        <v>135</v>
      </c>
      <c r="F1915" s="10">
        <f t="shared" si="31"/>
        <v>2700</v>
      </c>
    </row>
    <row r="1916" spans="1:6" s="9" customFormat="1" x14ac:dyDescent="0.25">
      <c r="C1916" s="5"/>
      <c r="E1916" s="10"/>
      <c r="F1916" s="8">
        <f>SUM(F1914:F1915)</f>
        <v>6000</v>
      </c>
    </row>
    <row r="1917" spans="1:6" s="9" customFormat="1" x14ac:dyDescent="0.25">
      <c r="C1917" s="5"/>
      <c r="E1917" s="10"/>
      <c r="F1917" s="10"/>
    </row>
    <row r="1918" spans="1:6" s="9" customFormat="1" x14ac:dyDescent="0.25">
      <c r="A1918" s="9" t="s">
        <v>40</v>
      </c>
      <c r="B1918" s="4">
        <v>45929</v>
      </c>
      <c r="C1918" s="5">
        <v>20</v>
      </c>
      <c r="D1918" s="9" t="s">
        <v>50</v>
      </c>
      <c r="E1918" s="10">
        <v>135</v>
      </c>
      <c r="F1918" s="10">
        <f t="shared" si="31"/>
        <v>2700</v>
      </c>
    </row>
    <row r="1919" spans="1:6" s="9" customFormat="1" x14ac:dyDescent="0.25">
      <c r="C1919" s="5">
        <v>8</v>
      </c>
      <c r="D1919" s="9" t="s">
        <v>22</v>
      </c>
      <c r="E1919" s="10">
        <v>140</v>
      </c>
      <c r="F1919" s="10">
        <f t="shared" si="31"/>
        <v>1120</v>
      </c>
    </row>
    <row r="1920" spans="1:6" s="9" customFormat="1" x14ac:dyDescent="0.25">
      <c r="C1920" s="5">
        <v>20</v>
      </c>
      <c r="D1920" s="9" t="s">
        <v>8</v>
      </c>
      <c r="E1920" s="10">
        <v>165</v>
      </c>
      <c r="F1920" s="10">
        <f t="shared" si="31"/>
        <v>3300</v>
      </c>
    </row>
    <row r="1921" spans="1:6" s="9" customFormat="1" x14ac:dyDescent="0.25">
      <c r="C1921" s="5"/>
      <c r="E1921" s="10"/>
      <c r="F1921" s="8">
        <f>SUM(F1918:F1920)</f>
        <v>7120</v>
      </c>
    </row>
    <row r="1922" spans="1:6" s="9" customFormat="1" x14ac:dyDescent="0.25">
      <c r="C1922" s="5"/>
      <c r="E1922" s="10"/>
      <c r="F1922" s="10"/>
    </row>
    <row r="1923" spans="1:6" s="9" customFormat="1" x14ac:dyDescent="0.25">
      <c r="A1923" s="9" t="s">
        <v>688</v>
      </c>
      <c r="B1923" s="4">
        <v>45929</v>
      </c>
      <c r="C1923" s="5">
        <v>4</v>
      </c>
      <c r="D1923" s="9" t="s">
        <v>13</v>
      </c>
      <c r="E1923" s="10">
        <v>155</v>
      </c>
      <c r="F1923" s="10">
        <f t="shared" si="31"/>
        <v>620</v>
      </c>
    </row>
    <row r="1924" spans="1:6" s="9" customFormat="1" x14ac:dyDescent="0.25">
      <c r="C1924" s="5"/>
      <c r="E1924" s="10"/>
      <c r="F1924" s="8">
        <f>SUM(F1923)</f>
        <v>620</v>
      </c>
    </row>
    <row r="1925" spans="1:6" s="9" customFormat="1" x14ac:dyDescent="0.25">
      <c r="C1925" s="5"/>
      <c r="E1925" s="10"/>
      <c r="F1925" s="10"/>
    </row>
    <row r="1926" spans="1:6" s="9" customFormat="1" x14ac:dyDescent="0.25">
      <c r="A1926" s="9" t="s">
        <v>41</v>
      </c>
      <c r="B1926" s="4">
        <v>45929</v>
      </c>
      <c r="C1926" s="5">
        <v>45</v>
      </c>
      <c r="D1926" s="9" t="s">
        <v>14</v>
      </c>
      <c r="E1926" s="10">
        <v>140</v>
      </c>
      <c r="F1926" s="10">
        <f t="shared" si="31"/>
        <v>6300</v>
      </c>
    </row>
    <row r="1927" spans="1:6" s="9" customFormat="1" x14ac:dyDescent="0.25">
      <c r="C1927" s="5"/>
      <c r="E1927" s="10"/>
      <c r="F1927" s="8">
        <f>SUM(F1926)</f>
        <v>6300</v>
      </c>
    </row>
    <row r="1928" spans="1:6" s="9" customFormat="1" x14ac:dyDescent="0.25">
      <c r="C1928" s="5"/>
      <c r="E1928" s="10"/>
      <c r="F1928" s="10"/>
    </row>
    <row r="1929" spans="1:6" s="9" customFormat="1" x14ac:dyDescent="0.25">
      <c r="A1929" s="9" t="s">
        <v>960</v>
      </c>
      <c r="B1929" s="4">
        <v>45929</v>
      </c>
      <c r="C1929" s="5">
        <v>23</v>
      </c>
      <c r="D1929" s="9" t="s">
        <v>49</v>
      </c>
      <c r="E1929" s="10">
        <v>155</v>
      </c>
      <c r="F1929" s="10">
        <f t="shared" si="31"/>
        <v>3565</v>
      </c>
    </row>
    <row r="1930" spans="1:6" s="9" customFormat="1" x14ac:dyDescent="0.25">
      <c r="C1930" s="5"/>
      <c r="E1930" s="10"/>
      <c r="F1930" s="8">
        <f>SUM(F1929)</f>
        <v>3565</v>
      </c>
    </row>
    <row r="1931" spans="1:6" s="9" customFormat="1" x14ac:dyDescent="0.25">
      <c r="C1931" s="5"/>
      <c r="E1931" s="10"/>
      <c r="F1931" s="10"/>
    </row>
    <row r="1932" spans="1:6" s="9" customFormat="1" x14ac:dyDescent="0.25">
      <c r="A1932" s="9" t="s">
        <v>44</v>
      </c>
      <c r="B1932" s="4">
        <v>45929</v>
      </c>
      <c r="C1932" s="5">
        <v>80</v>
      </c>
      <c r="D1932" s="9" t="s">
        <v>14</v>
      </c>
      <c r="E1932" s="10">
        <v>155</v>
      </c>
      <c r="F1932" s="10">
        <f t="shared" si="31"/>
        <v>12400</v>
      </c>
    </row>
    <row r="1933" spans="1:6" s="9" customFormat="1" x14ac:dyDescent="0.25">
      <c r="C1933" s="5"/>
      <c r="E1933" s="10"/>
      <c r="F1933" s="8">
        <f>SUM(F1932)</f>
        <v>12400</v>
      </c>
    </row>
    <row r="1934" spans="1:6" s="9" customFormat="1" x14ac:dyDescent="0.25">
      <c r="C1934" s="5"/>
      <c r="E1934" s="10"/>
      <c r="F1934" s="10"/>
    </row>
    <row r="1935" spans="1:6" s="9" customFormat="1" x14ac:dyDescent="0.25">
      <c r="A1935" s="9" t="s">
        <v>18</v>
      </c>
      <c r="B1935" s="4">
        <v>45929</v>
      </c>
      <c r="C1935" s="5">
        <v>10</v>
      </c>
      <c r="D1935" s="9" t="s">
        <v>14</v>
      </c>
      <c r="E1935" s="10">
        <v>155</v>
      </c>
      <c r="F1935" s="10">
        <f t="shared" si="31"/>
        <v>1550</v>
      </c>
    </row>
    <row r="1936" spans="1:6" s="9" customFormat="1" x14ac:dyDescent="0.25">
      <c r="C1936" s="5">
        <v>10</v>
      </c>
      <c r="D1936" s="9" t="s">
        <v>11</v>
      </c>
      <c r="E1936" s="10">
        <v>145</v>
      </c>
      <c r="F1936" s="10">
        <f t="shared" si="31"/>
        <v>1450</v>
      </c>
    </row>
    <row r="1937" spans="1:6" s="9" customFormat="1" x14ac:dyDescent="0.25">
      <c r="C1937" s="5">
        <v>8</v>
      </c>
      <c r="D1937" s="9" t="s">
        <v>50</v>
      </c>
      <c r="E1937" s="10">
        <v>135</v>
      </c>
      <c r="F1937" s="10">
        <f t="shared" si="31"/>
        <v>1080</v>
      </c>
    </row>
    <row r="1938" spans="1:6" s="9" customFormat="1" x14ac:dyDescent="0.25">
      <c r="C1938" s="5"/>
      <c r="E1938" s="10"/>
      <c r="F1938" s="8">
        <f>SUM(F1935:F1937)</f>
        <v>4080</v>
      </c>
    </row>
    <row r="1939" spans="1:6" s="9" customFormat="1" x14ac:dyDescent="0.25">
      <c r="C1939" s="5"/>
      <c r="E1939" s="10"/>
      <c r="F1939" s="10"/>
    </row>
    <row r="1940" spans="1:6" s="9" customFormat="1" x14ac:dyDescent="0.25">
      <c r="A1940" s="9" t="s">
        <v>46</v>
      </c>
      <c r="B1940" s="4">
        <v>45929</v>
      </c>
      <c r="C1940" s="5">
        <v>30</v>
      </c>
      <c r="D1940" s="9" t="s">
        <v>14</v>
      </c>
      <c r="E1940" s="10">
        <v>155</v>
      </c>
      <c r="F1940" s="10">
        <f t="shared" si="31"/>
        <v>4650</v>
      </c>
    </row>
    <row r="1941" spans="1:6" s="9" customFormat="1" x14ac:dyDescent="0.25">
      <c r="C1941" s="5"/>
      <c r="E1941" s="10"/>
      <c r="F1941" s="8">
        <f>SUM(F1940)</f>
        <v>4650</v>
      </c>
    </row>
    <row r="1942" spans="1:6" s="9" customFormat="1" x14ac:dyDescent="0.25">
      <c r="C1942" s="5"/>
      <c r="E1942" s="10"/>
      <c r="F1942" s="10"/>
    </row>
    <row r="1943" spans="1:6" s="9" customFormat="1" x14ac:dyDescent="0.25">
      <c r="A1943" s="9" t="s">
        <v>42</v>
      </c>
      <c r="B1943" s="4">
        <v>45929</v>
      </c>
      <c r="C1943" s="5">
        <v>10</v>
      </c>
      <c r="D1943" s="9" t="s">
        <v>14</v>
      </c>
      <c r="E1943" s="10">
        <v>155</v>
      </c>
      <c r="F1943" s="10">
        <f t="shared" si="31"/>
        <v>1550</v>
      </c>
    </row>
    <row r="1944" spans="1:6" x14ac:dyDescent="0.25">
      <c r="A1944" s="9"/>
      <c r="B1944" s="9"/>
      <c r="D1944" s="9"/>
      <c r="F1944" s="8">
        <f>SUM(F1943)</f>
        <v>1550</v>
      </c>
    </row>
    <row r="1945" spans="1:6" s="9" customFormat="1" x14ac:dyDescent="0.25">
      <c r="C1945" s="5"/>
      <c r="E1945" s="10"/>
      <c r="F1945" s="10"/>
    </row>
    <row r="1946" spans="1:6" s="9" customFormat="1" x14ac:dyDescent="0.25">
      <c r="A1946" s="9" t="s">
        <v>586</v>
      </c>
      <c r="B1946" s="4">
        <v>45929</v>
      </c>
      <c r="C1946" s="5">
        <v>6</v>
      </c>
      <c r="D1946" s="9" t="s">
        <v>645</v>
      </c>
      <c r="E1946" s="10">
        <v>150</v>
      </c>
      <c r="F1946" s="10">
        <f t="shared" ref="F1946:F1993" si="32">+C1946*E1946</f>
        <v>900</v>
      </c>
    </row>
    <row r="1947" spans="1:6" s="9" customFormat="1" x14ac:dyDescent="0.25">
      <c r="C1947" s="5"/>
      <c r="E1947" s="10"/>
      <c r="F1947" s="8">
        <f>SUM(F1946)</f>
        <v>900</v>
      </c>
    </row>
    <row r="1948" spans="1:6" s="9" customFormat="1" x14ac:dyDescent="0.25">
      <c r="C1948" s="5"/>
      <c r="E1948" s="10"/>
      <c r="F1948" s="10"/>
    </row>
    <row r="1949" spans="1:6" s="9" customFormat="1" x14ac:dyDescent="0.25">
      <c r="A1949" s="9" t="s">
        <v>76</v>
      </c>
      <c r="B1949" s="4">
        <v>45929</v>
      </c>
      <c r="C1949" s="5">
        <v>325</v>
      </c>
      <c r="D1949" s="9" t="s">
        <v>14</v>
      </c>
      <c r="E1949" s="10"/>
      <c r="F1949" s="10">
        <f t="shared" si="32"/>
        <v>0</v>
      </c>
    </row>
    <row r="1950" spans="1:6" s="9" customFormat="1" x14ac:dyDescent="0.25">
      <c r="C1950" s="5">
        <v>150</v>
      </c>
      <c r="D1950" s="9" t="s">
        <v>11</v>
      </c>
      <c r="E1950" s="10"/>
      <c r="F1950" s="10">
        <f t="shared" si="32"/>
        <v>0</v>
      </c>
    </row>
    <row r="1951" spans="1:6" s="9" customFormat="1" x14ac:dyDescent="0.25">
      <c r="C1951" s="5"/>
      <c r="E1951" s="10"/>
      <c r="F1951" s="8">
        <f>SUM(F1949:F1950)</f>
        <v>0</v>
      </c>
    </row>
    <row r="1952" spans="1:6" s="9" customFormat="1" x14ac:dyDescent="0.25">
      <c r="C1952" s="5"/>
      <c r="E1952" s="10"/>
      <c r="F1952" s="10"/>
    </row>
    <row r="1953" spans="1:6" s="9" customFormat="1" x14ac:dyDescent="0.25">
      <c r="A1953" s="9" t="s">
        <v>259</v>
      </c>
      <c r="B1953" s="4">
        <v>45929</v>
      </c>
      <c r="C1953" s="5">
        <v>200</v>
      </c>
      <c r="D1953" s="9" t="s">
        <v>14</v>
      </c>
      <c r="E1953" s="10"/>
      <c r="F1953" s="10">
        <f t="shared" si="32"/>
        <v>0</v>
      </c>
    </row>
    <row r="1954" spans="1:6" s="9" customFormat="1" x14ac:dyDescent="0.25">
      <c r="C1954" s="5">
        <v>100</v>
      </c>
      <c r="D1954" s="9" t="s">
        <v>11</v>
      </c>
      <c r="E1954" s="10"/>
      <c r="F1954" s="10">
        <f t="shared" si="32"/>
        <v>0</v>
      </c>
    </row>
    <row r="1955" spans="1:6" s="9" customFormat="1" x14ac:dyDescent="0.25">
      <c r="C1955" s="5"/>
      <c r="E1955" s="10"/>
      <c r="F1955" s="8">
        <f>SUM(F1953:F1954)</f>
        <v>0</v>
      </c>
    </row>
    <row r="1956" spans="1:6" s="9" customFormat="1" x14ac:dyDescent="0.25">
      <c r="C1956" s="5"/>
      <c r="E1956" s="10"/>
      <c r="F1956" s="10"/>
    </row>
    <row r="1957" spans="1:6" s="9" customFormat="1" x14ac:dyDescent="0.25">
      <c r="A1957" s="9" t="s">
        <v>112</v>
      </c>
      <c r="B1957" s="4">
        <v>45929</v>
      </c>
      <c r="C1957" s="5">
        <v>150</v>
      </c>
      <c r="D1957" s="9" t="s">
        <v>13</v>
      </c>
      <c r="E1957" s="10">
        <v>150</v>
      </c>
      <c r="F1957" s="10">
        <f t="shared" si="32"/>
        <v>22500</v>
      </c>
    </row>
    <row r="1958" spans="1:6" s="9" customFormat="1" x14ac:dyDescent="0.25">
      <c r="C1958" s="5"/>
      <c r="E1958" s="10"/>
      <c r="F1958" s="8">
        <f>SUM(F1957)</f>
        <v>22500</v>
      </c>
    </row>
    <row r="1959" spans="1:6" s="9" customFormat="1" x14ac:dyDescent="0.25">
      <c r="C1959" s="5"/>
      <c r="E1959" s="10"/>
      <c r="F1959" s="10"/>
    </row>
    <row r="1960" spans="1:6" s="9" customFormat="1" x14ac:dyDescent="0.25">
      <c r="A1960" s="9" t="s">
        <v>88</v>
      </c>
      <c r="B1960" s="4">
        <v>45929</v>
      </c>
      <c r="C1960" s="5">
        <v>8</v>
      </c>
      <c r="D1960" s="9" t="s">
        <v>14</v>
      </c>
      <c r="E1960" s="10">
        <v>160</v>
      </c>
      <c r="F1960" s="10">
        <f t="shared" si="32"/>
        <v>1280</v>
      </c>
    </row>
    <row r="1961" spans="1:6" s="9" customFormat="1" x14ac:dyDescent="0.25">
      <c r="C1961" s="5"/>
      <c r="E1961" s="10"/>
      <c r="F1961" s="8">
        <f>SUM(F1960)</f>
        <v>1280</v>
      </c>
    </row>
    <row r="1962" spans="1:6" s="9" customFormat="1" x14ac:dyDescent="0.25">
      <c r="C1962" s="5"/>
      <c r="E1962" s="10"/>
      <c r="F1962" s="10"/>
    </row>
    <row r="1963" spans="1:6" s="9" customFormat="1" x14ac:dyDescent="0.25">
      <c r="A1963" s="9" t="s">
        <v>335</v>
      </c>
      <c r="B1963" s="4">
        <v>45929</v>
      </c>
      <c r="C1963" s="5">
        <v>15</v>
      </c>
      <c r="D1963" s="9" t="s">
        <v>519</v>
      </c>
      <c r="E1963" s="10">
        <v>160</v>
      </c>
      <c r="F1963" s="10">
        <f t="shared" si="32"/>
        <v>2400</v>
      </c>
    </row>
    <row r="1964" spans="1:6" s="9" customFormat="1" x14ac:dyDescent="0.25">
      <c r="C1964" s="5"/>
      <c r="E1964" s="10"/>
      <c r="F1964" s="8">
        <f>SUM(F1963)</f>
        <v>2400</v>
      </c>
    </row>
    <row r="1965" spans="1:6" s="9" customFormat="1" x14ac:dyDescent="0.25">
      <c r="C1965" s="5"/>
      <c r="E1965" s="10"/>
      <c r="F1965" s="10"/>
    </row>
    <row r="1966" spans="1:6" s="9" customFormat="1" x14ac:dyDescent="0.25">
      <c r="A1966" s="9" t="s">
        <v>89</v>
      </c>
      <c r="B1966" s="4">
        <v>45929</v>
      </c>
      <c r="C1966" s="5">
        <v>30</v>
      </c>
      <c r="D1966" s="9" t="s">
        <v>13</v>
      </c>
      <c r="E1966" s="10">
        <v>150</v>
      </c>
      <c r="F1966" s="10">
        <f t="shared" si="32"/>
        <v>4500</v>
      </c>
    </row>
    <row r="1967" spans="1:6" s="9" customFormat="1" x14ac:dyDescent="0.25">
      <c r="C1967" s="5">
        <v>40</v>
      </c>
      <c r="D1967" s="9" t="s">
        <v>12</v>
      </c>
      <c r="E1967" s="10">
        <v>145</v>
      </c>
      <c r="F1967" s="10">
        <f t="shared" si="32"/>
        <v>5800</v>
      </c>
    </row>
    <row r="1968" spans="1:6" s="9" customFormat="1" x14ac:dyDescent="0.25">
      <c r="C1968" s="5"/>
      <c r="E1968" s="10"/>
      <c r="F1968" s="8">
        <f>SUM(F1966:F1967)</f>
        <v>10300</v>
      </c>
    </row>
    <row r="1969" spans="1:6" s="9" customFormat="1" x14ac:dyDescent="0.25">
      <c r="C1969" s="5"/>
      <c r="E1969" s="10"/>
      <c r="F1969" s="10"/>
    </row>
    <row r="1970" spans="1:6" s="9" customFormat="1" x14ac:dyDescent="0.25">
      <c r="A1970" s="9" t="s">
        <v>245</v>
      </c>
      <c r="B1970" s="4">
        <v>45929</v>
      </c>
      <c r="C1970" s="5">
        <v>20</v>
      </c>
      <c r="D1970" s="9" t="s">
        <v>14</v>
      </c>
      <c r="E1970" s="10">
        <v>150</v>
      </c>
      <c r="F1970" s="10">
        <f t="shared" si="32"/>
        <v>3000</v>
      </c>
    </row>
    <row r="1971" spans="1:6" s="9" customFormat="1" x14ac:dyDescent="0.25">
      <c r="C1971" s="5"/>
      <c r="E1971" s="10"/>
      <c r="F1971" s="8">
        <f>SUM(F1970)</f>
        <v>3000</v>
      </c>
    </row>
    <row r="1972" spans="1:6" s="9" customFormat="1" x14ac:dyDescent="0.25">
      <c r="C1972" s="5"/>
      <c r="E1972" s="10"/>
      <c r="F1972" s="10"/>
    </row>
    <row r="1973" spans="1:6" s="9" customFormat="1" x14ac:dyDescent="0.25">
      <c r="A1973" s="9" t="s">
        <v>29</v>
      </c>
      <c r="B1973" s="4">
        <v>45929</v>
      </c>
      <c r="C1973" s="5">
        <v>1</v>
      </c>
      <c r="D1973" s="9" t="s">
        <v>13</v>
      </c>
      <c r="E1973" s="10">
        <v>160</v>
      </c>
      <c r="F1973" s="10">
        <f t="shared" si="32"/>
        <v>160</v>
      </c>
    </row>
    <row r="1974" spans="1:6" s="9" customFormat="1" x14ac:dyDescent="0.25">
      <c r="C1974" s="5">
        <v>10</v>
      </c>
      <c r="D1974" s="9" t="s">
        <v>997</v>
      </c>
      <c r="E1974" s="10">
        <v>155</v>
      </c>
      <c r="F1974" s="10">
        <f t="shared" si="32"/>
        <v>1550</v>
      </c>
    </row>
    <row r="1975" spans="1:6" s="9" customFormat="1" x14ac:dyDescent="0.25">
      <c r="C1975" s="5">
        <v>1</v>
      </c>
      <c r="D1975" s="9" t="s">
        <v>13</v>
      </c>
      <c r="E1975" s="10">
        <v>160</v>
      </c>
      <c r="F1975" s="10">
        <f t="shared" si="32"/>
        <v>160</v>
      </c>
    </row>
    <row r="1976" spans="1:6" s="9" customFormat="1" x14ac:dyDescent="0.25">
      <c r="C1976" s="5"/>
      <c r="E1976" s="10"/>
      <c r="F1976" s="8">
        <f>SUM(F1973:F1975)</f>
        <v>1870</v>
      </c>
    </row>
    <row r="1977" spans="1:6" s="9" customFormat="1" x14ac:dyDescent="0.25">
      <c r="C1977" s="5"/>
      <c r="E1977" s="10"/>
      <c r="F1977" s="10"/>
    </row>
    <row r="1978" spans="1:6" s="9" customFormat="1" x14ac:dyDescent="0.25">
      <c r="A1978" s="9" t="s">
        <v>7</v>
      </c>
      <c r="B1978" s="4">
        <v>45929</v>
      </c>
      <c r="C1978" s="5">
        <v>1</v>
      </c>
      <c r="D1978" s="9" t="s">
        <v>8</v>
      </c>
      <c r="E1978" s="10">
        <v>170</v>
      </c>
      <c r="F1978" s="10">
        <f t="shared" si="32"/>
        <v>170</v>
      </c>
    </row>
    <row r="1979" spans="1:6" s="9" customFormat="1" x14ac:dyDescent="0.25">
      <c r="C1979" s="5"/>
      <c r="E1979" s="10"/>
      <c r="F1979" s="8">
        <f>SUM(F1978)</f>
        <v>170</v>
      </c>
    </row>
    <row r="1980" spans="1:6" s="9" customFormat="1" x14ac:dyDescent="0.25">
      <c r="C1980" s="5"/>
      <c r="E1980" s="10"/>
      <c r="F1980" s="10"/>
    </row>
    <row r="1981" spans="1:6" s="9" customFormat="1" x14ac:dyDescent="0.25">
      <c r="A1981" s="9" t="s">
        <v>103</v>
      </c>
      <c r="B1981" s="4">
        <v>45930</v>
      </c>
      <c r="C1981" s="5">
        <v>4</v>
      </c>
      <c r="D1981" s="9" t="s">
        <v>13</v>
      </c>
      <c r="E1981" s="10">
        <v>160</v>
      </c>
      <c r="F1981" s="10">
        <f t="shared" si="32"/>
        <v>640</v>
      </c>
    </row>
    <row r="1982" spans="1:6" s="9" customFormat="1" x14ac:dyDescent="0.25">
      <c r="C1982" s="5"/>
      <c r="E1982" s="10"/>
      <c r="F1982" s="8">
        <f>SUM(F1981)</f>
        <v>640</v>
      </c>
    </row>
    <row r="1983" spans="1:6" s="9" customFormat="1" x14ac:dyDescent="0.25">
      <c r="C1983" s="5"/>
      <c r="E1983" s="10"/>
      <c r="F1983" s="10"/>
    </row>
    <row r="1984" spans="1:6" s="9" customFormat="1" x14ac:dyDescent="0.25">
      <c r="A1984" s="9" t="s">
        <v>44</v>
      </c>
      <c r="B1984" s="4">
        <v>45930</v>
      </c>
      <c r="C1984" s="5">
        <v>90</v>
      </c>
      <c r="D1984" s="9" t="s">
        <v>13</v>
      </c>
      <c r="E1984" s="10">
        <v>150</v>
      </c>
      <c r="F1984" s="10">
        <f t="shared" si="32"/>
        <v>13500</v>
      </c>
    </row>
    <row r="1985" spans="1:6" s="9" customFormat="1" x14ac:dyDescent="0.25">
      <c r="C1985" s="5"/>
      <c r="E1985" s="10"/>
      <c r="F1985" s="8">
        <f>SUM(F1984)</f>
        <v>13500</v>
      </c>
    </row>
    <row r="1986" spans="1:6" s="9" customFormat="1" x14ac:dyDescent="0.25">
      <c r="C1986" s="5"/>
      <c r="E1986" s="10"/>
      <c r="F1986" s="10"/>
    </row>
    <row r="1987" spans="1:6" s="9" customFormat="1" x14ac:dyDescent="0.25">
      <c r="A1987" s="9" t="s">
        <v>141</v>
      </c>
      <c r="B1987" s="4">
        <v>45930</v>
      </c>
      <c r="C1987" s="5">
        <v>10</v>
      </c>
      <c r="D1987" s="9" t="s">
        <v>8</v>
      </c>
      <c r="E1987" s="10">
        <v>165</v>
      </c>
      <c r="F1987" s="10">
        <f t="shared" si="32"/>
        <v>1650</v>
      </c>
    </row>
    <row r="1988" spans="1:6" s="9" customFormat="1" x14ac:dyDescent="0.25">
      <c r="C1988" s="5"/>
      <c r="E1988" s="10"/>
      <c r="F1988" s="8">
        <f>SUM(F1987)</f>
        <v>1650</v>
      </c>
    </row>
    <row r="1989" spans="1:6" s="9" customFormat="1" x14ac:dyDescent="0.25">
      <c r="C1989" s="5"/>
      <c r="E1989" s="10"/>
      <c r="F1989" s="10"/>
    </row>
    <row r="1990" spans="1:6" s="9" customFormat="1" x14ac:dyDescent="0.25">
      <c r="A1990" s="9" t="s">
        <v>88</v>
      </c>
      <c r="B1990" s="4">
        <v>45930</v>
      </c>
      <c r="C1990" s="5">
        <v>6</v>
      </c>
      <c r="D1990" s="9" t="s">
        <v>13</v>
      </c>
      <c r="E1990" s="10">
        <v>160</v>
      </c>
      <c r="F1990" s="10">
        <f t="shared" si="32"/>
        <v>960</v>
      </c>
    </row>
    <row r="1991" spans="1:6" s="9" customFormat="1" x14ac:dyDescent="0.25">
      <c r="C1991" s="5"/>
      <c r="E1991" s="10"/>
      <c r="F1991" s="8">
        <f>SUM(F1990)</f>
        <v>960</v>
      </c>
    </row>
    <row r="1992" spans="1:6" s="9" customFormat="1" x14ac:dyDescent="0.25">
      <c r="C1992" s="5"/>
      <c r="E1992" s="10"/>
      <c r="F1992" s="10"/>
    </row>
    <row r="1993" spans="1:6" s="9" customFormat="1" x14ac:dyDescent="0.25">
      <c r="A1993" s="9" t="s">
        <v>151</v>
      </c>
      <c r="B1993" s="4">
        <v>45930</v>
      </c>
      <c r="C1993" s="5">
        <v>20</v>
      </c>
      <c r="D1993" s="9" t="s">
        <v>11</v>
      </c>
      <c r="E1993" s="10">
        <v>140</v>
      </c>
      <c r="F1993" s="10">
        <f t="shared" si="32"/>
        <v>2800</v>
      </c>
    </row>
    <row r="1994" spans="1:6" s="9" customFormat="1" x14ac:dyDescent="0.25">
      <c r="C1994" s="5">
        <v>72</v>
      </c>
      <c r="D1994" s="9" t="s">
        <v>22</v>
      </c>
      <c r="E1994" s="10">
        <v>133</v>
      </c>
      <c r="F1994" s="10">
        <f>+C1994*E1994</f>
        <v>9576</v>
      </c>
    </row>
    <row r="1995" spans="1:6" s="9" customFormat="1" x14ac:dyDescent="0.25">
      <c r="C1995" s="5"/>
      <c r="E1995" s="10"/>
      <c r="F1995" s="8">
        <f>SUM(F1993:F1994)</f>
        <v>12376</v>
      </c>
    </row>
    <row r="1996" spans="1:6" s="9" customFormat="1" x14ac:dyDescent="0.25">
      <c r="C1996" s="5"/>
      <c r="E1996" s="10"/>
      <c r="F1996" s="10"/>
    </row>
    <row r="1997" spans="1:6" s="9" customFormat="1" x14ac:dyDescent="0.25">
      <c r="A1997" s="9" t="s">
        <v>29</v>
      </c>
      <c r="B1997" s="4">
        <v>45930</v>
      </c>
      <c r="C1997" s="5">
        <v>5</v>
      </c>
      <c r="D1997" s="9" t="s">
        <v>98</v>
      </c>
      <c r="E1997" s="10">
        <v>110</v>
      </c>
      <c r="F1997" s="10">
        <f t="shared" ref="F1997:F2010" si="33">+C1997*E1997</f>
        <v>550</v>
      </c>
    </row>
    <row r="1998" spans="1:6" s="9" customFormat="1" x14ac:dyDescent="0.25">
      <c r="C1998" s="5">
        <v>8</v>
      </c>
      <c r="D1998" s="9" t="s">
        <v>8</v>
      </c>
      <c r="E1998" s="10">
        <v>165</v>
      </c>
      <c r="F1998" s="10">
        <f t="shared" si="33"/>
        <v>1320</v>
      </c>
    </row>
    <row r="1999" spans="1:6" s="9" customFormat="1" x14ac:dyDescent="0.25">
      <c r="C1999" s="5">
        <v>2</v>
      </c>
      <c r="D1999" s="9" t="s">
        <v>13</v>
      </c>
      <c r="E1999" s="10">
        <v>160</v>
      </c>
      <c r="F1999" s="10">
        <f t="shared" si="33"/>
        <v>320</v>
      </c>
    </row>
    <row r="2000" spans="1:6" s="9" customFormat="1" x14ac:dyDescent="0.25">
      <c r="C2000" s="5">
        <v>1</v>
      </c>
      <c r="D2000" s="9" t="s">
        <v>13</v>
      </c>
      <c r="E2000" s="10">
        <v>160</v>
      </c>
      <c r="F2000" s="10">
        <f t="shared" si="33"/>
        <v>160</v>
      </c>
    </row>
    <row r="2001" spans="1:7" s="9" customFormat="1" x14ac:dyDescent="0.25">
      <c r="C2001" s="5">
        <v>1</v>
      </c>
      <c r="D2001" s="9" t="s">
        <v>998</v>
      </c>
      <c r="E2001" s="10">
        <v>150</v>
      </c>
      <c r="F2001" s="10">
        <f t="shared" si="33"/>
        <v>150</v>
      </c>
    </row>
    <row r="2002" spans="1:7" s="9" customFormat="1" x14ac:dyDescent="0.25">
      <c r="C2002" s="5">
        <v>1</v>
      </c>
      <c r="D2002" s="9" t="s">
        <v>13</v>
      </c>
      <c r="E2002" s="10">
        <v>140</v>
      </c>
      <c r="F2002" s="10">
        <f t="shared" si="33"/>
        <v>140</v>
      </c>
    </row>
    <row r="2003" spans="1:7" s="9" customFormat="1" x14ac:dyDescent="0.25">
      <c r="C2003" s="5"/>
      <c r="E2003" s="10"/>
      <c r="F2003" s="8">
        <f>SUM(F1997:F2002)</f>
        <v>2640</v>
      </c>
    </row>
    <row r="2004" spans="1:7" s="9" customFormat="1" x14ac:dyDescent="0.25">
      <c r="C2004" s="5"/>
      <c r="E2004" s="10"/>
      <c r="F2004" s="10"/>
    </row>
    <row r="2005" spans="1:7" s="9" customFormat="1" x14ac:dyDescent="0.25">
      <c r="A2005" s="9" t="s">
        <v>7</v>
      </c>
      <c r="B2005" s="4">
        <v>45930</v>
      </c>
      <c r="C2005" s="5">
        <v>1</v>
      </c>
      <c r="D2005" s="9" t="s">
        <v>524</v>
      </c>
      <c r="E2005" s="10">
        <v>160</v>
      </c>
      <c r="F2005" s="10">
        <f t="shared" si="33"/>
        <v>160</v>
      </c>
    </row>
    <row r="2006" spans="1:7" s="9" customFormat="1" x14ac:dyDescent="0.25">
      <c r="C2006" s="5">
        <v>1</v>
      </c>
      <c r="D2006" s="9" t="s">
        <v>999</v>
      </c>
      <c r="E2006" s="10">
        <v>140</v>
      </c>
      <c r="F2006" s="10">
        <f t="shared" si="33"/>
        <v>140</v>
      </c>
    </row>
    <row r="2007" spans="1:7" s="9" customFormat="1" x14ac:dyDescent="0.25">
      <c r="C2007" s="5">
        <v>2</v>
      </c>
      <c r="D2007" s="9" t="s">
        <v>12</v>
      </c>
      <c r="E2007" s="10">
        <v>150</v>
      </c>
      <c r="F2007" s="10">
        <f t="shared" si="33"/>
        <v>300</v>
      </c>
    </row>
    <row r="2008" spans="1:7" s="9" customFormat="1" x14ac:dyDescent="0.25">
      <c r="C2008" s="5">
        <v>1</v>
      </c>
      <c r="D2008" s="9" t="s">
        <v>8</v>
      </c>
      <c r="E2008" s="10">
        <v>170</v>
      </c>
      <c r="F2008" s="10">
        <f t="shared" si="33"/>
        <v>170</v>
      </c>
    </row>
    <row r="2009" spans="1:7" s="9" customFormat="1" x14ac:dyDescent="0.25">
      <c r="C2009" s="5">
        <v>10</v>
      </c>
      <c r="D2009" s="9" t="s">
        <v>168</v>
      </c>
      <c r="E2009" s="10">
        <v>150</v>
      </c>
      <c r="F2009" s="10">
        <f t="shared" si="33"/>
        <v>1500</v>
      </c>
    </row>
    <row r="2010" spans="1:7" x14ac:dyDescent="0.25">
      <c r="C2010" s="5">
        <v>1</v>
      </c>
      <c r="D2010" t="s">
        <v>264</v>
      </c>
      <c r="E2010" s="10">
        <v>140</v>
      </c>
      <c r="F2010" s="10">
        <f t="shared" si="33"/>
        <v>140</v>
      </c>
    </row>
    <row r="2011" spans="1:7" s="9" customFormat="1" x14ac:dyDescent="0.25">
      <c r="C2011" s="5"/>
      <c r="E2011" s="10"/>
      <c r="F2011" s="8">
        <f>SUM(F2005:F2010)</f>
        <v>2410</v>
      </c>
    </row>
    <row r="2012" spans="1:7" s="9" customFormat="1" x14ac:dyDescent="0.25">
      <c r="C2012" s="5"/>
      <c r="E2012" s="10"/>
      <c r="F2012" s="10"/>
    </row>
    <row r="2014" spans="1:7" ht="15.75" x14ac:dyDescent="0.25">
      <c r="A2014" s="9"/>
      <c r="B2014" s="9"/>
      <c r="D2014" s="9"/>
      <c r="F2014" s="7" t="s">
        <v>294</v>
      </c>
      <c r="G2014" s="7">
        <f>+F4+F8+F13+F16+F19+F22+F26+F29+F35+F38+F45+F49+F52+F55+F58+F62+F65+F68+F71+F74+F77+F80+F84+F88+F92+F100+F103+F106+F111+F114+F118+F122+F129+F132+F137+F140+F143+F146+F149+F153+F156+F159+F162+F165+F168+F171+F174+F177+F180+F184+F191+F196+F199+F202+F205+F208+F211+F214+F219+F222+F225+F228+F231+F234+F237+F240+F243+F249+F252+F256+F260+F263+F266+F269+F275+F278+F282+F285+F288+F291+F297+F300+F304+F307+F310+F313+F317+F320+F323+F328+F333+F336+F339+F342+F345+F349+F352+F355+F358+F361+F364+F367+F370+F373+F376+F379+F384+F387+F393+F396+F399+F402+F405+F409+F414+F417+F422+F425+F432+F435+F438+F441+F444+F447+F450+F453+F459+F462+F465+F474+F480+F483+F486+F489+F494+F497+F500+F505+F508+F512+F517+F520+F523+F528+F531+F534+F537+F541+F544+F549+F552+F555+F558+F562+F568+F571+F574+F578+F581+F584+F587+F590+F596+F599+F606+F609+F614+F617+F620+F623+F626+F629+F636+F639+F642+F645+F648+F651+F656+F659+F662+F668+F671+F674+F677+F680+F683+F686+F690+F693+F697+F700+F703+F706+F709+F716+F720+F723+F726+F729+F733+F739+F745+F748+F752+F756+F759+F762+F765+F768+F771+F774+F777+F781+F784+F787+F790+F796+F801+F804+F807+F812+F816+F819+F822+F829+F832+F835+F839+F843+F846+F849+F854+F857+F861+F864+F867+F874+F877+F880+F883+F888+F893+F897+F900+F905+F908+F911+F914+F922+F925+F928+F931+F937+F940+F946+F949+F952+F958+F963+F966+F969+F972+F975+F980+F987+F990+F994+F997+F1000+F1004+F1007+F1011+F1014+F1017+F1021+F1024+F1027+F1030+F1033+F1037+F1041+F1045+F1048+F1051+F1054+F1057+F1061+F1065+F1070+F1075+F1079+F1082+F1089+F1093+F1096+F1099+F1103+F1106+F1112+F1115+F1118+F1121+F1130+F1135+F1138+F1141+F1144+F1147+F1150+F1153+F1158+F1162+F1165+F1168+F1174+F1177+F1183+F1186+F1189+F1194+F1197+F1200+F1205+F1208+F1211+F1214+F1218+F1221+F1224+F1228+F1231+F1236+F1239+F1244+F1249+F1252+F1255+F1258+F1266+F1269+F1272+F1275+F1278+F1281+F1284+F1287+F1290+F1293+F1296+F1299+F1302+F1305+F1309+F1312+F1315+F1318+F1321+F1324+F1327+F1332+F1335+F1340+F1347+F1350+F1353+F1357+F1360+F1364+F1368+F1373+F1379+F1382+F1385+F1388+F1391+F1394+F1397+F1400+F1403+F1406+F1409+F1412+F1418+F1423+F1430+F1435+F1443+F1449+F1452+F1455+F1458+F1463+F1467+F1470+F1473+F1476+F1479+F1482+F1485+F1488+F1491+F1494+F1497+F1500+F1505+F1508+F1511+F1514+F1518+F1522+F1526+F1529+F1532+F1535+F1540+F1544+F1548+F1552+F1555+F1559+F1562+F1565+F1568+F1575+F1579+F1585+F1594+F1597+F1600+F1603+F1607+F1613+F1617+F1620+F1623+F1626+F1629+F1632+F1635+F1638+F1643+F1646+F1649+F1652+F1658+F1664+F1667+F1670+F1680+F1683+F1686+F1689+F1692+F1696+F1699+F1702+F1705+F1708</f>
        <v>3615278.9999940004</v>
      </c>
    </row>
    <row r="2015" spans="1:7" x14ac:dyDescent="0.25">
      <c r="A2015" s="9"/>
      <c r="B2015" s="9"/>
      <c r="D2015" s="9"/>
      <c r="G2015" s="10">
        <v>3615279</v>
      </c>
    </row>
    <row r="1048373" spans="6:6" x14ac:dyDescent="0.25">
      <c r="F1048373" s="10" t="s">
        <v>461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8B42-DA54-4417-A6A4-015C03FAD674}">
  <dimension ref="A1:G2135"/>
  <sheetViews>
    <sheetView topLeftCell="A2121" zoomScaleNormal="100" workbookViewId="0">
      <selection activeCell="F2138" sqref="F2138"/>
    </sheetView>
  </sheetViews>
  <sheetFormatPr baseColWidth="10" defaultColWidth="11.42578125" defaultRowHeight="15" x14ac:dyDescent="0.25"/>
  <cols>
    <col min="1" max="1" width="27" bestFit="1" customWidth="1"/>
    <col min="3" max="3" width="11.42578125" style="5"/>
    <col min="4" max="4" width="48.28515625" bestFit="1" customWidth="1"/>
    <col min="5" max="5" width="18.140625" style="10" bestFit="1" customWidth="1"/>
    <col min="6" max="6" width="15" style="10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724</v>
      </c>
      <c r="B3" s="4">
        <v>45931</v>
      </c>
      <c r="C3" s="5">
        <v>10</v>
      </c>
      <c r="D3" s="9" t="s">
        <v>98</v>
      </c>
      <c r="E3" s="10">
        <v>110</v>
      </c>
      <c r="F3" s="10">
        <f>+C3*E3</f>
        <v>1100</v>
      </c>
    </row>
    <row r="4" spans="1:6" x14ac:dyDescent="0.25">
      <c r="A4" s="9"/>
      <c r="B4" s="9"/>
      <c r="D4" s="9"/>
      <c r="F4" s="8">
        <f>SUM(F3)</f>
        <v>1100</v>
      </c>
    </row>
    <row r="5" spans="1:6" x14ac:dyDescent="0.25">
      <c r="A5" s="9"/>
      <c r="B5" s="9"/>
      <c r="D5" s="9"/>
    </row>
    <row r="6" spans="1:6" x14ac:dyDescent="0.25">
      <c r="A6" s="9" t="s">
        <v>15</v>
      </c>
      <c r="B6" s="4">
        <v>45931</v>
      </c>
      <c r="C6" s="5">
        <v>60</v>
      </c>
      <c r="D6" s="9" t="s">
        <v>98</v>
      </c>
      <c r="E6" s="10">
        <v>110</v>
      </c>
      <c r="F6" s="10">
        <f t="shared" ref="F6:F67" si="0">+C6*E6</f>
        <v>6600</v>
      </c>
    </row>
    <row r="7" spans="1:6" x14ac:dyDescent="0.25">
      <c r="A7" s="9"/>
      <c r="B7" s="9"/>
      <c r="D7" s="9"/>
      <c r="F7" s="8">
        <f>SUM(F6)</f>
        <v>6600</v>
      </c>
    </row>
    <row r="8" spans="1:6" x14ac:dyDescent="0.25">
      <c r="A8" s="9"/>
      <c r="B8" s="4"/>
      <c r="D8" s="9"/>
    </row>
    <row r="9" spans="1:6" x14ac:dyDescent="0.25">
      <c r="A9" s="9" t="s">
        <v>21</v>
      </c>
      <c r="B9" s="4">
        <v>45931</v>
      </c>
      <c r="C9" s="5">
        <v>10</v>
      </c>
      <c r="D9" s="9" t="s">
        <v>50</v>
      </c>
      <c r="E9" s="10">
        <v>135</v>
      </c>
      <c r="F9" s="10">
        <f t="shared" si="0"/>
        <v>1350</v>
      </c>
    </row>
    <row r="10" spans="1:6" x14ac:dyDescent="0.25">
      <c r="A10" s="9"/>
      <c r="B10" s="9"/>
      <c r="D10" s="9"/>
      <c r="F10" s="8">
        <f>SUM(F9)</f>
        <v>1350</v>
      </c>
    </row>
    <row r="11" spans="1:6" x14ac:dyDescent="0.25">
      <c r="A11" s="9"/>
      <c r="B11" s="4"/>
      <c r="D11" s="9"/>
    </row>
    <row r="12" spans="1:6" x14ac:dyDescent="0.25">
      <c r="A12" s="9" t="s">
        <v>20</v>
      </c>
      <c r="B12" s="4">
        <v>45931</v>
      </c>
      <c r="C12" s="5">
        <v>10</v>
      </c>
      <c r="D12" s="9" t="s">
        <v>13</v>
      </c>
      <c r="E12" s="10">
        <v>160</v>
      </c>
      <c r="F12" s="10">
        <f t="shared" si="0"/>
        <v>1600</v>
      </c>
    </row>
    <row r="13" spans="1:6" x14ac:dyDescent="0.25">
      <c r="A13" s="9"/>
      <c r="B13" s="9"/>
      <c r="D13" s="9"/>
      <c r="F13" s="8">
        <f>SUM(F12)</f>
        <v>1600</v>
      </c>
    </row>
    <row r="14" spans="1:6" x14ac:dyDescent="0.25">
      <c r="A14" s="9"/>
      <c r="B14" s="4"/>
      <c r="D14" s="9"/>
    </row>
    <row r="15" spans="1:6" x14ac:dyDescent="0.25">
      <c r="A15" s="9" t="s">
        <v>427</v>
      </c>
      <c r="B15" s="4">
        <v>45931</v>
      </c>
      <c r="C15" s="5">
        <v>15</v>
      </c>
      <c r="D15" s="9" t="s">
        <v>13</v>
      </c>
      <c r="E15" s="10">
        <v>160</v>
      </c>
      <c r="F15" s="10">
        <f t="shared" si="0"/>
        <v>2400</v>
      </c>
    </row>
    <row r="16" spans="1:6" x14ac:dyDescent="0.25">
      <c r="A16" s="9"/>
      <c r="B16" s="9"/>
      <c r="C16" s="5">
        <v>10</v>
      </c>
      <c r="D16" s="9" t="s">
        <v>12</v>
      </c>
      <c r="E16" s="10">
        <v>150</v>
      </c>
      <c r="F16" s="10">
        <f t="shared" si="0"/>
        <v>1500</v>
      </c>
    </row>
    <row r="17" spans="1:6" x14ac:dyDescent="0.25">
      <c r="B17" s="4"/>
      <c r="D17" s="9"/>
      <c r="F17" s="8">
        <f>SUM(F15:F16)</f>
        <v>3900</v>
      </c>
    </row>
    <row r="18" spans="1:6" x14ac:dyDescent="0.25">
      <c r="B18" s="9"/>
      <c r="D18" s="9"/>
    </row>
    <row r="19" spans="1:6" x14ac:dyDescent="0.25">
      <c r="A19" t="s">
        <v>808</v>
      </c>
      <c r="B19" s="4">
        <v>45931</v>
      </c>
      <c r="C19" s="5">
        <v>20</v>
      </c>
      <c r="D19" s="9" t="s">
        <v>13</v>
      </c>
      <c r="E19" s="10">
        <v>160</v>
      </c>
      <c r="F19" s="10">
        <f t="shared" si="0"/>
        <v>3200</v>
      </c>
    </row>
    <row r="20" spans="1:6" x14ac:dyDescent="0.25">
      <c r="B20" s="4"/>
      <c r="C20" s="5">
        <v>30</v>
      </c>
      <c r="D20" s="9" t="s">
        <v>12</v>
      </c>
      <c r="E20" s="10">
        <v>150</v>
      </c>
      <c r="F20" s="10">
        <f t="shared" si="0"/>
        <v>4500</v>
      </c>
    </row>
    <row r="21" spans="1:6" x14ac:dyDescent="0.25">
      <c r="B21" s="9"/>
      <c r="C21" s="5">
        <v>10</v>
      </c>
      <c r="D21" s="9" t="s">
        <v>14</v>
      </c>
      <c r="E21" s="10">
        <v>155</v>
      </c>
      <c r="F21" s="10">
        <f t="shared" si="0"/>
        <v>1550</v>
      </c>
    </row>
    <row r="22" spans="1:6" x14ac:dyDescent="0.25">
      <c r="B22" s="9"/>
      <c r="C22" s="5">
        <v>30</v>
      </c>
      <c r="D22" s="9" t="s">
        <v>50</v>
      </c>
      <c r="E22" s="10">
        <v>135</v>
      </c>
      <c r="F22" s="10">
        <f t="shared" si="0"/>
        <v>4050</v>
      </c>
    </row>
    <row r="23" spans="1:6" x14ac:dyDescent="0.25">
      <c r="B23" s="9"/>
      <c r="D23" s="9"/>
      <c r="F23" s="8">
        <f>SUM(F19:F22)</f>
        <v>13300</v>
      </c>
    </row>
    <row r="24" spans="1:6" x14ac:dyDescent="0.25">
      <c r="B24" s="9"/>
      <c r="D24" s="9"/>
    </row>
    <row r="25" spans="1:6" x14ac:dyDescent="0.25">
      <c r="A25" t="s">
        <v>367</v>
      </c>
      <c r="B25" s="4">
        <v>45931</v>
      </c>
      <c r="C25" s="5">
        <v>5</v>
      </c>
      <c r="D25" s="9" t="s">
        <v>13</v>
      </c>
      <c r="E25" s="10">
        <v>160</v>
      </c>
      <c r="F25" s="10">
        <f t="shared" si="0"/>
        <v>800</v>
      </c>
    </row>
    <row r="26" spans="1:6" x14ac:dyDescent="0.25">
      <c r="B26" s="9"/>
      <c r="C26" s="5">
        <v>5</v>
      </c>
      <c r="D26" s="9" t="s">
        <v>14</v>
      </c>
      <c r="E26" s="10">
        <v>155</v>
      </c>
      <c r="F26" s="10">
        <f t="shared" si="0"/>
        <v>775</v>
      </c>
    </row>
    <row r="27" spans="1:6" x14ac:dyDescent="0.25">
      <c r="B27" s="9"/>
      <c r="D27" s="9"/>
      <c r="F27" s="8">
        <f>SUM(F25:F26)</f>
        <v>1575</v>
      </c>
    </row>
    <row r="28" spans="1:6" x14ac:dyDescent="0.25">
      <c r="B28" s="4"/>
      <c r="D28" s="9"/>
    </row>
    <row r="29" spans="1:6" x14ac:dyDescent="0.25">
      <c r="A29" t="s">
        <v>923</v>
      </c>
      <c r="B29" s="4">
        <v>45931</v>
      </c>
      <c r="C29" s="5">
        <v>10</v>
      </c>
      <c r="D29" s="9" t="s">
        <v>12</v>
      </c>
      <c r="E29" s="10">
        <v>150</v>
      </c>
      <c r="F29" s="10">
        <f t="shared" si="0"/>
        <v>1500</v>
      </c>
    </row>
    <row r="30" spans="1:6" x14ac:dyDescent="0.25">
      <c r="B30" s="9"/>
      <c r="D30" s="9"/>
      <c r="F30" s="8">
        <f>SUM(F29)</f>
        <v>1500</v>
      </c>
    </row>
    <row r="31" spans="1:6" x14ac:dyDescent="0.25">
      <c r="B31" s="9"/>
      <c r="D31" s="9"/>
    </row>
    <row r="32" spans="1:6" x14ac:dyDescent="0.25">
      <c r="A32" t="s">
        <v>25</v>
      </c>
      <c r="B32" s="4">
        <v>45658</v>
      </c>
      <c r="C32" s="5">
        <v>30</v>
      </c>
      <c r="D32" s="9" t="s">
        <v>22</v>
      </c>
      <c r="E32" s="10">
        <v>135</v>
      </c>
      <c r="F32" s="10">
        <f t="shared" si="0"/>
        <v>4050</v>
      </c>
    </row>
    <row r="33" spans="1:6" x14ac:dyDescent="0.25">
      <c r="B33" s="9"/>
      <c r="D33" s="9"/>
      <c r="F33" s="8">
        <f>SUM(F32)</f>
        <v>4050</v>
      </c>
    </row>
    <row r="34" spans="1:6" x14ac:dyDescent="0.25">
      <c r="B34" s="9"/>
      <c r="D34" s="9"/>
    </row>
    <row r="35" spans="1:6" x14ac:dyDescent="0.25">
      <c r="A35" t="s">
        <v>40</v>
      </c>
      <c r="B35" s="4">
        <v>45931</v>
      </c>
      <c r="C35" s="5">
        <v>15</v>
      </c>
      <c r="D35" s="9" t="s">
        <v>50</v>
      </c>
      <c r="E35" s="10">
        <v>135</v>
      </c>
      <c r="F35" s="10">
        <f t="shared" si="0"/>
        <v>2025</v>
      </c>
    </row>
    <row r="36" spans="1:6" x14ac:dyDescent="0.25">
      <c r="B36" s="9"/>
      <c r="D36" s="9"/>
      <c r="F36" s="8">
        <f>SUM(F35)</f>
        <v>2025</v>
      </c>
    </row>
    <row r="37" spans="1:6" x14ac:dyDescent="0.25">
      <c r="B37" s="9"/>
      <c r="D37" s="9"/>
    </row>
    <row r="38" spans="1:6" x14ac:dyDescent="0.25">
      <c r="A38" t="s">
        <v>151</v>
      </c>
      <c r="B38" s="4">
        <v>45931</v>
      </c>
      <c r="C38" s="5">
        <v>66</v>
      </c>
      <c r="D38" s="9" t="s">
        <v>13</v>
      </c>
      <c r="E38" s="10">
        <v>150</v>
      </c>
      <c r="F38" s="10">
        <f t="shared" si="0"/>
        <v>9900</v>
      </c>
    </row>
    <row r="39" spans="1:6" x14ac:dyDescent="0.25">
      <c r="B39" s="9"/>
      <c r="C39" s="5">
        <v>32</v>
      </c>
      <c r="D39" s="9" t="s">
        <v>8</v>
      </c>
      <c r="E39" s="10">
        <v>155</v>
      </c>
      <c r="F39" s="10">
        <f t="shared" si="0"/>
        <v>4960</v>
      </c>
    </row>
    <row r="40" spans="1:6" x14ac:dyDescent="0.25">
      <c r="B40" s="9"/>
      <c r="D40" s="9"/>
      <c r="F40" s="8">
        <f>SUM(F38:F39)</f>
        <v>14860</v>
      </c>
    </row>
    <row r="41" spans="1:6" x14ac:dyDescent="0.25">
      <c r="B41" s="4"/>
      <c r="D41" s="9"/>
    </row>
    <row r="42" spans="1:6" x14ac:dyDescent="0.25">
      <c r="A42" t="s">
        <v>780</v>
      </c>
      <c r="B42" s="4">
        <v>45931</v>
      </c>
      <c r="C42" s="5">
        <v>5</v>
      </c>
      <c r="D42" s="9" t="s">
        <v>14</v>
      </c>
      <c r="E42" s="10">
        <v>155</v>
      </c>
      <c r="F42" s="10">
        <f t="shared" si="0"/>
        <v>775</v>
      </c>
    </row>
    <row r="43" spans="1:6" x14ac:dyDescent="0.25">
      <c r="B43" s="9"/>
      <c r="D43" s="9"/>
      <c r="F43" s="8">
        <f>SUM(F42)</f>
        <v>775</v>
      </c>
    </row>
    <row r="44" spans="1:6" x14ac:dyDescent="0.25">
      <c r="B44" s="9"/>
      <c r="D44" s="9"/>
    </row>
    <row r="45" spans="1:6" x14ac:dyDescent="0.25">
      <c r="A45" t="s">
        <v>44</v>
      </c>
      <c r="B45" s="4">
        <v>45931</v>
      </c>
      <c r="C45" s="5">
        <v>20</v>
      </c>
      <c r="D45" s="9" t="s">
        <v>14</v>
      </c>
      <c r="E45" s="10">
        <v>155</v>
      </c>
      <c r="F45" s="10">
        <f t="shared" si="0"/>
        <v>3100</v>
      </c>
    </row>
    <row r="46" spans="1:6" x14ac:dyDescent="0.25">
      <c r="B46" s="9"/>
      <c r="D46" s="9"/>
      <c r="F46" s="8">
        <f>SUM(F45)</f>
        <v>3100</v>
      </c>
    </row>
    <row r="47" spans="1:6" x14ac:dyDescent="0.25">
      <c r="B47" s="9"/>
      <c r="D47" s="9"/>
    </row>
    <row r="48" spans="1:6" x14ac:dyDescent="0.25">
      <c r="A48" t="s">
        <v>41</v>
      </c>
      <c r="B48" s="4">
        <v>45931</v>
      </c>
      <c r="C48" s="5">
        <v>40</v>
      </c>
      <c r="D48" s="9" t="s">
        <v>14</v>
      </c>
      <c r="E48" s="10">
        <v>140</v>
      </c>
      <c r="F48" s="10">
        <f t="shared" si="0"/>
        <v>5600</v>
      </c>
    </row>
    <row r="49" spans="1:6" x14ac:dyDescent="0.25">
      <c r="B49" s="9"/>
      <c r="D49" s="9"/>
      <c r="F49" s="8">
        <f>SUM(F48)</f>
        <v>5600</v>
      </c>
    </row>
    <row r="50" spans="1:6" x14ac:dyDescent="0.25">
      <c r="B50" s="9"/>
      <c r="D50" s="9"/>
    </row>
    <row r="51" spans="1:6" x14ac:dyDescent="0.25">
      <c r="A51" t="s">
        <v>107</v>
      </c>
      <c r="B51" s="4">
        <v>45931</v>
      </c>
      <c r="C51" s="5">
        <v>64</v>
      </c>
      <c r="D51" s="9" t="s">
        <v>11</v>
      </c>
      <c r="E51" s="10">
        <v>145</v>
      </c>
      <c r="F51" s="10">
        <f t="shared" si="0"/>
        <v>9280</v>
      </c>
    </row>
    <row r="52" spans="1:6" x14ac:dyDescent="0.25">
      <c r="B52" s="9"/>
      <c r="D52" s="9"/>
      <c r="F52" s="8">
        <f>SUM(F51)</f>
        <v>9280</v>
      </c>
    </row>
    <row r="53" spans="1:6" x14ac:dyDescent="0.25">
      <c r="B53" s="9"/>
      <c r="D53" s="9"/>
    </row>
    <row r="54" spans="1:6" x14ac:dyDescent="0.25">
      <c r="A54" t="s">
        <v>43</v>
      </c>
      <c r="B54" s="4">
        <v>45931</v>
      </c>
      <c r="C54" s="5">
        <v>22</v>
      </c>
      <c r="D54" s="9" t="s">
        <v>14</v>
      </c>
      <c r="E54" s="10">
        <v>155</v>
      </c>
      <c r="F54" s="10">
        <f t="shared" si="0"/>
        <v>3410</v>
      </c>
    </row>
    <row r="55" spans="1:6" x14ac:dyDescent="0.25">
      <c r="B55" s="4"/>
      <c r="C55" s="5">
        <v>18</v>
      </c>
      <c r="D55" s="9" t="s">
        <v>49</v>
      </c>
      <c r="E55" s="10">
        <v>155</v>
      </c>
      <c r="F55" s="10">
        <f t="shared" si="0"/>
        <v>2790</v>
      </c>
    </row>
    <row r="56" spans="1:6" x14ac:dyDescent="0.25">
      <c r="B56" s="9"/>
      <c r="D56" s="9"/>
      <c r="F56" s="8">
        <f>SUM(F54:F55)</f>
        <v>6200</v>
      </c>
    </row>
    <row r="57" spans="1:6" x14ac:dyDescent="0.25">
      <c r="B57" s="9"/>
      <c r="D57" s="9"/>
    </row>
    <row r="58" spans="1:6" x14ac:dyDescent="0.25">
      <c r="A58" t="s">
        <v>81</v>
      </c>
      <c r="B58" s="4">
        <v>45931</v>
      </c>
      <c r="C58" s="5">
        <v>30</v>
      </c>
      <c r="D58" s="9" t="s">
        <v>50</v>
      </c>
      <c r="E58" s="10">
        <v>135</v>
      </c>
      <c r="F58" s="10">
        <f t="shared" si="0"/>
        <v>4050</v>
      </c>
    </row>
    <row r="59" spans="1:6" x14ac:dyDescent="0.25">
      <c r="B59" s="9"/>
      <c r="D59" s="9"/>
      <c r="F59" s="8">
        <f>SUM(F58)</f>
        <v>4050</v>
      </c>
    </row>
    <row r="60" spans="1:6" x14ac:dyDescent="0.25">
      <c r="B60" s="9"/>
      <c r="D60" s="9"/>
    </row>
    <row r="61" spans="1:6" x14ac:dyDescent="0.25">
      <c r="A61" t="s">
        <v>46</v>
      </c>
      <c r="B61" s="4">
        <v>45931</v>
      </c>
      <c r="C61" s="5">
        <v>20</v>
      </c>
      <c r="D61" s="9" t="s">
        <v>14</v>
      </c>
      <c r="E61" s="10">
        <v>155</v>
      </c>
      <c r="F61" s="10">
        <f t="shared" si="0"/>
        <v>3100</v>
      </c>
    </row>
    <row r="62" spans="1:6" x14ac:dyDescent="0.25">
      <c r="B62" s="9"/>
      <c r="D62" s="9"/>
      <c r="F62" s="8">
        <f>SUM(F61)</f>
        <v>3100</v>
      </c>
    </row>
    <row r="63" spans="1:6" x14ac:dyDescent="0.25">
      <c r="B63" s="9"/>
      <c r="D63" s="9"/>
    </row>
    <row r="64" spans="1:6" x14ac:dyDescent="0.25">
      <c r="A64" t="s">
        <v>47</v>
      </c>
      <c r="B64" s="4">
        <v>45931</v>
      </c>
      <c r="C64" s="5">
        <v>20</v>
      </c>
      <c r="D64" s="9" t="s">
        <v>14</v>
      </c>
      <c r="E64" s="10">
        <v>155</v>
      </c>
      <c r="F64" s="10">
        <f t="shared" si="0"/>
        <v>3100</v>
      </c>
    </row>
    <row r="65" spans="1:6" x14ac:dyDescent="0.25">
      <c r="B65" s="4"/>
      <c r="D65" s="9"/>
      <c r="F65" s="8">
        <f>SUM(F64)</f>
        <v>3100</v>
      </c>
    </row>
    <row r="66" spans="1:6" x14ac:dyDescent="0.25">
      <c r="B66" s="9"/>
      <c r="D66" s="9"/>
    </row>
    <row r="67" spans="1:6" x14ac:dyDescent="0.25">
      <c r="A67" t="s">
        <v>1000</v>
      </c>
      <c r="B67" s="4">
        <v>45931</v>
      </c>
      <c r="C67" s="5">
        <v>10</v>
      </c>
      <c r="D67" s="9" t="s">
        <v>14</v>
      </c>
      <c r="E67" s="10">
        <v>150</v>
      </c>
      <c r="F67" s="10">
        <f t="shared" si="0"/>
        <v>1500</v>
      </c>
    </row>
    <row r="68" spans="1:6" x14ac:dyDescent="0.25">
      <c r="B68" s="4"/>
      <c r="D68" s="9"/>
      <c r="F68" s="8">
        <f>SUM(F67)</f>
        <v>1500</v>
      </c>
    </row>
    <row r="69" spans="1:6" x14ac:dyDescent="0.25">
      <c r="B69" s="9"/>
      <c r="D69" s="9"/>
    </row>
    <row r="70" spans="1:6" x14ac:dyDescent="0.25">
      <c r="A70" t="s">
        <v>1001</v>
      </c>
      <c r="B70" s="4">
        <v>45931</v>
      </c>
      <c r="C70" s="5">
        <v>50</v>
      </c>
      <c r="D70" s="9" t="s">
        <v>14</v>
      </c>
      <c r="E70" s="10">
        <v>150</v>
      </c>
      <c r="F70" s="10">
        <f t="shared" ref="F70:F131" si="1">+C70*E70</f>
        <v>7500</v>
      </c>
    </row>
    <row r="71" spans="1:6" x14ac:dyDescent="0.25">
      <c r="B71" s="4"/>
      <c r="D71" s="9"/>
      <c r="F71" s="8">
        <f>SUM(F70)</f>
        <v>7500</v>
      </c>
    </row>
    <row r="72" spans="1:6" x14ac:dyDescent="0.25">
      <c r="B72" s="9"/>
      <c r="D72" s="9"/>
    </row>
    <row r="73" spans="1:6" x14ac:dyDescent="0.25">
      <c r="A73" t="s">
        <v>960</v>
      </c>
      <c r="B73" s="4">
        <v>45931</v>
      </c>
      <c r="C73" s="5">
        <v>3</v>
      </c>
      <c r="D73" s="9" t="s">
        <v>14</v>
      </c>
      <c r="E73" s="10">
        <v>155</v>
      </c>
      <c r="F73" s="10">
        <f t="shared" si="1"/>
        <v>465</v>
      </c>
    </row>
    <row r="74" spans="1:6" x14ac:dyDescent="0.25">
      <c r="B74" s="9"/>
      <c r="D74" s="9"/>
      <c r="F74" s="8">
        <f>SUM(F73)</f>
        <v>465</v>
      </c>
    </row>
    <row r="75" spans="1:6" x14ac:dyDescent="0.25">
      <c r="B75" s="9"/>
      <c r="D75" s="9"/>
    </row>
    <row r="76" spans="1:6" x14ac:dyDescent="0.25">
      <c r="A76" t="s">
        <v>66</v>
      </c>
      <c r="B76" s="4">
        <v>45931</v>
      </c>
      <c r="C76" s="5">
        <v>20</v>
      </c>
      <c r="D76" s="9" t="s">
        <v>8</v>
      </c>
      <c r="E76" s="10">
        <v>165</v>
      </c>
      <c r="F76" s="10">
        <f t="shared" si="1"/>
        <v>3300</v>
      </c>
    </row>
    <row r="77" spans="1:6" x14ac:dyDescent="0.25">
      <c r="B77" s="4"/>
      <c r="D77" s="9"/>
      <c r="F77" s="8">
        <f>SUM(F76)</f>
        <v>3300</v>
      </c>
    </row>
    <row r="78" spans="1:6" x14ac:dyDescent="0.25">
      <c r="B78" s="9"/>
      <c r="D78" s="9"/>
    </row>
    <row r="79" spans="1:6" x14ac:dyDescent="0.25">
      <c r="A79" t="s">
        <v>245</v>
      </c>
      <c r="B79" s="4">
        <v>45931</v>
      </c>
      <c r="C79" s="5">
        <v>10</v>
      </c>
      <c r="D79" s="9" t="s">
        <v>14</v>
      </c>
      <c r="E79" s="10">
        <v>150</v>
      </c>
      <c r="F79" s="10">
        <f t="shared" si="1"/>
        <v>1500</v>
      </c>
    </row>
    <row r="80" spans="1:6" x14ac:dyDescent="0.25">
      <c r="B80" s="4"/>
      <c r="D80" s="9"/>
      <c r="F80" s="8">
        <f>SUM(F79)</f>
        <v>1500</v>
      </c>
    </row>
    <row r="81" spans="1:6" x14ac:dyDescent="0.25">
      <c r="B81" s="9"/>
      <c r="D81" s="9"/>
    </row>
    <row r="82" spans="1:6" x14ac:dyDescent="0.25">
      <c r="A82" t="s">
        <v>487</v>
      </c>
      <c r="B82" s="4">
        <v>45931</v>
      </c>
      <c r="C82" s="5">
        <v>6</v>
      </c>
      <c r="D82" s="9" t="s">
        <v>12</v>
      </c>
      <c r="E82" s="10">
        <v>150</v>
      </c>
      <c r="F82" s="10">
        <f t="shared" si="1"/>
        <v>900</v>
      </c>
    </row>
    <row r="83" spans="1:6" x14ac:dyDescent="0.25">
      <c r="B83" s="4"/>
      <c r="D83" s="9"/>
      <c r="F83" s="8">
        <f>SUM(F82)</f>
        <v>900</v>
      </c>
    </row>
    <row r="84" spans="1:6" x14ac:dyDescent="0.25">
      <c r="B84" s="9"/>
      <c r="D84" s="9"/>
    </row>
    <row r="85" spans="1:6" x14ac:dyDescent="0.25">
      <c r="A85" t="s">
        <v>140</v>
      </c>
      <c r="B85" s="4">
        <v>45931</v>
      </c>
      <c r="C85" s="5">
        <v>80</v>
      </c>
      <c r="D85" s="9" t="s">
        <v>13</v>
      </c>
      <c r="E85" s="10">
        <v>155</v>
      </c>
      <c r="F85" s="10">
        <f t="shared" si="1"/>
        <v>12400</v>
      </c>
    </row>
    <row r="86" spans="1:6" x14ac:dyDescent="0.25">
      <c r="B86" s="4"/>
      <c r="C86" s="5">
        <v>130</v>
      </c>
      <c r="D86" s="9" t="s">
        <v>12</v>
      </c>
      <c r="E86" s="10">
        <v>150</v>
      </c>
      <c r="F86" s="10">
        <f t="shared" si="1"/>
        <v>19500</v>
      </c>
    </row>
    <row r="87" spans="1:6" x14ac:dyDescent="0.25">
      <c r="B87" s="9"/>
      <c r="C87" s="5">
        <v>100</v>
      </c>
      <c r="D87" s="9" t="s">
        <v>11</v>
      </c>
      <c r="E87" s="10">
        <v>145</v>
      </c>
      <c r="F87" s="10">
        <f t="shared" si="1"/>
        <v>14500</v>
      </c>
    </row>
    <row r="88" spans="1:6" x14ac:dyDescent="0.25">
      <c r="B88" s="9"/>
      <c r="C88" s="5">
        <v>50</v>
      </c>
      <c r="D88" s="9" t="s">
        <v>14</v>
      </c>
      <c r="E88" s="10">
        <v>155</v>
      </c>
      <c r="F88" s="10">
        <f t="shared" si="1"/>
        <v>7750</v>
      </c>
    </row>
    <row r="89" spans="1:6" x14ac:dyDescent="0.25">
      <c r="B89" s="4"/>
      <c r="C89" s="5">
        <v>90</v>
      </c>
      <c r="D89" s="9" t="s">
        <v>1002</v>
      </c>
      <c r="E89" s="10">
        <v>165</v>
      </c>
      <c r="F89" s="10">
        <f t="shared" si="1"/>
        <v>14850</v>
      </c>
    </row>
    <row r="90" spans="1:6" x14ac:dyDescent="0.25">
      <c r="B90" s="9"/>
      <c r="D90" s="9"/>
      <c r="F90" s="8">
        <f>SUM(F85:F89)</f>
        <v>69000</v>
      </c>
    </row>
    <row r="91" spans="1:6" x14ac:dyDescent="0.25">
      <c r="B91" s="9"/>
      <c r="D91" s="9"/>
    </row>
    <row r="92" spans="1:6" x14ac:dyDescent="0.25">
      <c r="A92" t="s">
        <v>160</v>
      </c>
      <c r="B92" s="4">
        <v>45931</v>
      </c>
      <c r="C92" s="5">
        <v>6</v>
      </c>
      <c r="D92" s="9" t="s">
        <v>12</v>
      </c>
      <c r="E92" s="10">
        <v>150</v>
      </c>
      <c r="F92" s="10">
        <f t="shared" si="1"/>
        <v>900</v>
      </c>
    </row>
    <row r="93" spans="1:6" x14ac:dyDescent="0.25">
      <c r="B93" s="4"/>
      <c r="D93" s="9"/>
      <c r="F93" s="8">
        <f>SUM(F92)</f>
        <v>900</v>
      </c>
    </row>
    <row r="94" spans="1:6" x14ac:dyDescent="0.25">
      <c r="B94" s="9"/>
      <c r="D94" s="9"/>
    </row>
    <row r="95" spans="1:6" x14ac:dyDescent="0.25">
      <c r="A95" t="s">
        <v>117</v>
      </c>
      <c r="B95" s="4">
        <v>45931</v>
      </c>
      <c r="C95" s="5">
        <v>5</v>
      </c>
      <c r="D95" s="9" t="s">
        <v>13</v>
      </c>
      <c r="E95" s="10">
        <v>160</v>
      </c>
      <c r="F95" s="10">
        <f t="shared" si="1"/>
        <v>800</v>
      </c>
    </row>
    <row r="96" spans="1:6" x14ac:dyDescent="0.25">
      <c r="B96" s="4"/>
      <c r="D96" s="9"/>
      <c r="F96" s="8">
        <f>SUM(F95)</f>
        <v>800</v>
      </c>
    </row>
    <row r="97" spans="1:6" x14ac:dyDescent="0.25">
      <c r="B97" s="9"/>
      <c r="D97" s="9"/>
    </row>
    <row r="98" spans="1:6" x14ac:dyDescent="0.25">
      <c r="A98" t="s">
        <v>1003</v>
      </c>
      <c r="B98" s="4">
        <v>45931</v>
      </c>
      <c r="C98" s="5">
        <v>1</v>
      </c>
      <c r="D98" s="9" t="s">
        <v>8</v>
      </c>
      <c r="E98" s="10">
        <v>170</v>
      </c>
      <c r="F98" s="10">
        <f t="shared" si="1"/>
        <v>170</v>
      </c>
    </row>
    <row r="99" spans="1:6" x14ac:dyDescent="0.25">
      <c r="B99" s="4"/>
      <c r="D99" s="9"/>
      <c r="F99" s="8">
        <f>SUM(F98)</f>
        <v>170</v>
      </c>
    </row>
    <row r="100" spans="1:6" x14ac:dyDescent="0.25">
      <c r="B100" s="9"/>
      <c r="D100" s="9"/>
    </row>
    <row r="101" spans="1:6" x14ac:dyDescent="0.25">
      <c r="A101" t="s">
        <v>72</v>
      </c>
      <c r="B101" s="4">
        <v>45931</v>
      </c>
      <c r="C101" s="5">
        <v>200</v>
      </c>
      <c r="D101" s="9" t="s">
        <v>13</v>
      </c>
      <c r="E101" s="10">
        <v>150</v>
      </c>
      <c r="F101" s="10">
        <f t="shared" si="1"/>
        <v>30000</v>
      </c>
    </row>
    <row r="102" spans="1:6" x14ac:dyDescent="0.25">
      <c r="B102" s="4"/>
      <c r="C102" s="5">
        <v>150</v>
      </c>
      <c r="D102" s="9" t="s">
        <v>12</v>
      </c>
      <c r="E102" s="10">
        <v>145</v>
      </c>
      <c r="F102" s="10">
        <f t="shared" si="1"/>
        <v>21750</v>
      </c>
    </row>
    <row r="103" spans="1:6" x14ac:dyDescent="0.25">
      <c r="B103" s="9"/>
      <c r="C103" s="5">
        <v>100</v>
      </c>
      <c r="D103" s="9" t="s">
        <v>11</v>
      </c>
      <c r="E103" s="10">
        <v>140</v>
      </c>
      <c r="F103" s="10">
        <f t="shared" si="1"/>
        <v>14000</v>
      </c>
    </row>
    <row r="104" spans="1:6" x14ac:dyDescent="0.25">
      <c r="B104" s="9"/>
      <c r="C104" s="5">
        <v>10</v>
      </c>
      <c r="D104" s="9" t="s">
        <v>14</v>
      </c>
      <c r="E104" s="10">
        <v>145</v>
      </c>
      <c r="F104" s="10">
        <f t="shared" si="1"/>
        <v>1450</v>
      </c>
    </row>
    <row r="105" spans="1:6" x14ac:dyDescent="0.25">
      <c r="B105" s="9"/>
      <c r="D105" s="9"/>
      <c r="F105" s="8">
        <f>SUM(F101:F104)</f>
        <v>67200</v>
      </c>
    </row>
    <row r="106" spans="1:6" x14ac:dyDescent="0.25">
      <c r="B106" s="9"/>
      <c r="D106" s="9"/>
    </row>
    <row r="107" spans="1:6" x14ac:dyDescent="0.25">
      <c r="A107" t="s">
        <v>305</v>
      </c>
      <c r="B107" s="4">
        <v>45931</v>
      </c>
      <c r="C107" s="5">
        <v>100</v>
      </c>
      <c r="D107" s="9" t="s">
        <v>13</v>
      </c>
      <c r="E107" s="10">
        <v>150</v>
      </c>
      <c r="F107" s="10">
        <f t="shared" si="1"/>
        <v>15000</v>
      </c>
    </row>
    <row r="108" spans="1:6" x14ac:dyDescent="0.25">
      <c r="B108" s="4"/>
      <c r="C108" s="5">
        <v>150</v>
      </c>
      <c r="D108" s="9" t="s">
        <v>12</v>
      </c>
      <c r="E108" s="10">
        <v>145</v>
      </c>
      <c r="F108" s="10">
        <f t="shared" si="1"/>
        <v>21750</v>
      </c>
    </row>
    <row r="109" spans="1:6" x14ac:dyDescent="0.25">
      <c r="B109" s="9"/>
      <c r="C109" s="5">
        <v>50</v>
      </c>
      <c r="D109" s="9" t="s">
        <v>14</v>
      </c>
      <c r="E109" s="10">
        <v>145</v>
      </c>
      <c r="F109" s="10">
        <f t="shared" si="1"/>
        <v>7250</v>
      </c>
    </row>
    <row r="110" spans="1:6" x14ac:dyDescent="0.25">
      <c r="B110" s="9"/>
      <c r="C110" s="5">
        <v>20</v>
      </c>
      <c r="D110" s="9" t="s">
        <v>50</v>
      </c>
      <c r="E110" s="10">
        <v>126</v>
      </c>
      <c r="F110" s="10">
        <f t="shared" si="1"/>
        <v>2520</v>
      </c>
    </row>
    <row r="111" spans="1:6" x14ac:dyDescent="0.25">
      <c r="B111" s="9"/>
      <c r="D111" s="9"/>
      <c r="F111" s="8">
        <f>SUM(F107:F110)</f>
        <v>46520</v>
      </c>
    </row>
    <row r="112" spans="1:6" x14ac:dyDescent="0.25">
      <c r="B112" s="9"/>
      <c r="D112" s="9"/>
    </row>
    <row r="113" spans="1:6" x14ac:dyDescent="0.25">
      <c r="A113" t="s">
        <v>29</v>
      </c>
      <c r="B113" s="4">
        <v>45931</v>
      </c>
      <c r="C113" s="11">
        <v>1.5</v>
      </c>
      <c r="D113" s="9" t="s">
        <v>8</v>
      </c>
      <c r="E113" s="10">
        <v>170</v>
      </c>
      <c r="F113" s="10">
        <f t="shared" si="1"/>
        <v>255</v>
      </c>
    </row>
    <row r="114" spans="1:6" x14ac:dyDescent="0.25">
      <c r="B114" s="9"/>
      <c r="C114" s="5">
        <v>5</v>
      </c>
      <c r="D114" s="9" t="s">
        <v>12</v>
      </c>
      <c r="E114" s="10">
        <v>150</v>
      </c>
      <c r="F114" s="10">
        <f t="shared" si="1"/>
        <v>750</v>
      </c>
    </row>
    <row r="115" spans="1:6" x14ac:dyDescent="0.25">
      <c r="B115" s="9"/>
      <c r="D115" s="9"/>
      <c r="F115" s="8">
        <f>SUM(F113:F114)</f>
        <v>1005</v>
      </c>
    </row>
    <row r="116" spans="1:6" x14ac:dyDescent="0.25">
      <c r="B116" s="9"/>
      <c r="D116" s="9"/>
    </row>
    <row r="117" spans="1:6" x14ac:dyDescent="0.25">
      <c r="A117" t="s">
        <v>292</v>
      </c>
      <c r="B117" s="4">
        <v>45932</v>
      </c>
      <c r="C117" s="5">
        <v>6</v>
      </c>
      <c r="D117" s="9" t="s">
        <v>49</v>
      </c>
      <c r="E117" s="10">
        <v>160</v>
      </c>
      <c r="F117" s="10">
        <f t="shared" si="1"/>
        <v>960</v>
      </c>
    </row>
    <row r="118" spans="1:6" x14ac:dyDescent="0.25">
      <c r="B118" s="9"/>
      <c r="C118" s="5">
        <v>5</v>
      </c>
      <c r="D118" s="9" t="s">
        <v>11</v>
      </c>
      <c r="E118" s="10">
        <v>140</v>
      </c>
      <c r="F118" s="10">
        <f t="shared" si="1"/>
        <v>700</v>
      </c>
    </row>
    <row r="119" spans="1:6" x14ac:dyDescent="0.25">
      <c r="B119" s="9"/>
      <c r="D119" s="9"/>
      <c r="F119" s="10">
        <f>SUM(F117:F118)</f>
        <v>1660</v>
      </c>
    </row>
    <row r="120" spans="1:6" x14ac:dyDescent="0.25">
      <c r="B120" s="4"/>
      <c r="D120" s="9"/>
    </row>
    <row r="121" spans="1:6" x14ac:dyDescent="0.25">
      <c r="A121" t="s">
        <v>253</v>
      </c>
      <c r="B121" s="4">
        <v>45932</v>
      </c>
      <c r="C121" s="5">
        <v>20</v>
      </c>
      <c r="D121" s="9" t="s">
        <v>13</v>
      </c>
      <c r="E121" s="10">
        <v>150</v>
      </c>
      <c r="F121" s="10">
        <f t="shared" si="1"/>
        <v>3000</v>
      </c>
    </row>
    <row r="122" spans="1:6" x14ac:dyDescent="0.25">
      <c r="B122" s="9"/>
      <c r="D122" s="9"/>
      <c r="F122" s="8">
        <f>SUM(F121)</f>
        <v>3000</v>
      </c>
    </row>
    <row r="123" spans="1:6" x14ac:dyDescent="0.25">
      <c r="B123" s="9"/>
      <c r="D123" s="9"/>
    </row>
    <row r="124" spans="1:6" x14ac:dyDescent="0.25">
      <c r="A124" t="s">
        <v>102</v>
      </c>
      <c r="B124" s="4">
        <v>45932</v>
      </c>
      <c r="C124" s="5">
        <v>6</v>
      </c>
      <c r="D124" s="9" t="s">
        <v>13</v>
      </c>
      <c r="E124" s="10">
        <v>160</v>
      </c>
      <c r="F124" s="10">
        <f t="shared" si="1"/>
        <v>960</v>
      </c>
    </row>
    <row r="125" spans="1:6" x14ac:dyDescent="0.25">
      <c r="B125" s="9"/>
      <c r="D125" s="9"/>
      <c r="F125" s="8">
        <f>SUM(F124)</f>
        <v>960</v>
      </c>
    </row>
    <row r="126" spans="1:6" x14ac:dyDescent="0.25">
      <c r="B126" s="9"/>
      <c r="D126" s="9"/>
    </row>
    <row r="127" spans="1:6" x14ac:dyDescent="0.25">
      <c r="A127" t="s">
        <v>89</v>
      </c>
      <c r="B127" s="4">
        <v>45932</v>
      </c>
      <c r="C127" s="5">
        <v>30</v>
      </c>
      <c r="D127" s="9" t="s">
        <v>13</v>
      </c>
      <c r="E127" s="10">
        <v>150</v>
      </c>
      <c r="F127" s="10">
        <f t="shared" si="1"/>
        <v>4500</v>
      </c>
    </row>
    <row r="128" spans="1:6" x14ac:dyDescent="0.25">
      <c r="B128" s="4"/>
      <c r="C128" s="5">
        <v>20</v>
      </c>
      <c r="D128" s="9" t="s">
        <v>1004</v>
      </c>
      <c r="E128" s="10">
        <v>145</v>
      </c>
      <c r="F128" s="10">
        <f t="shared" si="1"/>
        <v>2900</v>
      </c>
    </row>
    <row r="129" spans="1:6" x14ac:dyDescent="0.25">
      <c r="B129" s="9"/>
      <c r="D129" s="9"/>
      <c r="F129" s="8">
        <f>SUM(F127:F128)</f>
        <v>7400</v>
      </c>
    </row>
    <row r="130" spans="1:6" x14ac:dyDescent="0.25">
      <c r="B130" s="9"/>
      <c r="D130" s="9"/>
    </row>
    <row r="131" spans="1:6" x14ac:dyDescent="0.25">
      <c r="A131" t="s">
        <v>95</v>
      </c>
      <c r="B131" s="4">
        <v>45932</v>
      </c>
      <c r="C131" s="5">
        <v>20</v>
      </c>
      <c r="D131" s="9" t="s">
        <v>1005</v>
      </c>
      <c r="E131" s="10">
        <v>160</v>
      </c>
      <c r="F131" s="10">
        <f t="shared" si="1"/>
        <v>3200</v>
      </c>
    </row>
    <row r="132" spans="1:6" x14ac:dyDescent="0.25">
      <c r="B132" s="9"/>
      <c r="D132" s="9"/>
      <c r="F132" s="8">
        <f>SUM(F131)</f>
        <v>3200</v>
      </c>
    </row>
    <row r="133" spans="1:6" x14ac:dyDescent="0.25">
      <c r="B133" s="4"/>
      <c r="D133" s="9"/>
    </row>
    <row r="134" spans="1:6" x14ac:dyDescent="0.25">
      <c r="A134" t="s">
        <v>584</v>
      </c>
      <c r="B134" s="4">
        <v>45932</v>
      </c>
      <c r="C134" s="5">
        <v>2</v>
      </c>
      <c r="D134" s="9" t="s">
        <v>8</v>
      </c>
      <c r="E134" s="10">
        <v>170</v>
      </c>
      <c r="F134" s="10">
        <f t="shared" ref="F134:F193" si="2">+C134*E134</f>
        <v>340</v>
      </c>
    </row>
    <row r="135" spans="1:6" x14ac:dyDescent="0.25">
      <c r="B135" s="9"/>
      <c r="D135" s="9"/>
      <c r="F135" s="8">
        <f>SUM(F134)</f>
        <v>340</v>
      </c>
    </row>
    <row r="136" spans="1:6" x14ac:dyDescent="0.25">
      <c r="B136" s="4"/>
      <c r="D136" s="9"/>
    </row>
    <row r="137" spans="1:6" x14ac:dyDescent="0.25">
      <c r="A137" t="s">
        <v>113</v>
      </c>
      <c r="B137" s="4">
        <v>45932</v>
      </c>
      <c r="C137" s="5">
        <v>20</v>
      </c>
      <c r="D137" s="9" t="s">
        <v>8</v>
      </c>
      <c r="E137" s="10">
        <v>165</v>
      </c>
      <c r="F137" s="10">
        <f t="shared" si="2"/>
        <v>3300</v>
      </c>
    </row>
    <row r="138" spans="1:6" x14ac:dyDescent="0.25">
      <c r="B138" s="9"/>
      <c r="D138" s="9"/>
      <c r="F138" s="8">
        <f>SUM(F137)</f>
        <v>3300</v>
      </c>
    </row>
    <row r="139" spans="1:6" x14ac:dyDescent="0.25">
      <c r="B139" s="4"/>
      <c r="D139" s="9"/>
    </row>
    <row r="140" spans="1:6" x14ac:dyDescent="0.25">
      <c r="A140" t="s">
        <v>832</v>
      </c>
      <c r="B140" s="4">
        <v>45932</v>
      </c>
      <c r="C140" s="5">
        <v>80</v>
      </c>
      <c r="D140" s="9" t="s">
        <v>1006</v>
      </c>
      <c r="E140" s="10">
        <v>160</v>
      </c>
      <c r="F140" s="10">
        <f t="shared" si="2"/>
        <v>12800</v>
      </c>
    </row>
    <row r="141" spans="1:6" x14ac:dyDescent="0.25">
      <c r="B141" s="9"/>
      <c r="D141" s="9"/>
      <c r="F141" s="8">
        <f>SUM(F140)</f>
        <v>12800</v>
      </c>
    </row>
    <row r="142" spans="1:6" x14ac:dyDescent="0.25">
      <c r="B142" s="4"/>
      <c r="D142" s="9"/>
    </row>
    <row r="143" spans="1:6" x14ac:dyDescent="0.25">
      <c r="A143" t="s">
        <v>305</v>
      </c>
      <c r="B143" s="4">
        <v>45932</v>
      </c>
      <c r="C143" s="5">
        <v>10</v>
      </c>
      <c r="D143" s="9" t="s">
        <v>49</v>
      </c>
      <c r="F143" s="10">
        <f t="shared" si="2"/>
        <v>0</v>
      </c>
    </row>
    <row r="144" spans="1:6" x14ac:dyDescent="0.25">
      <c r="B144" s="9"/>
      <c r="C144" s="5">
        <v>20</v>
      </c>
      <c r="D144" s="9" t="s">
        <v>14</v>
      </c>
      <c r="F144" s="10">
        <f t="shared" si="2"/>
        <v>0</v>
      </c>
    </row>
    <row r="145" spans="1:6" x14ac:dyDescent="0.25">
      <c r="B145" s="9"/>
      <c r="C145" s="5">
        <v>40</v>
      </c>
      <c r="D145" s="9" t="s">
        <v>11</v>
      </c>
      <c r="F145" s="10">
        <f t="shared" si="2"/>
        <v>0</v>
      </c>
    </row>
    <row r="146" spans="1:6" x14ac:dyDescent="0.25">
      <c r="B146" s="9"/>
      <c r="C146" s="5">
        <v>60</v>
      </c>
      <c r="D146" s="9" t="s">
        <v>489</v>
      </c>
      <c r="F146" s="10">
        <f t="shared" si="2"/>
        <v>0</v>
      </c>
    </row>
    <row r="147" spans="1:6" x14ac:dyDescent="0.25">
      <c r="B147" s="4"/>
      <c r="C147" s="5">
        <v>30</v>
      </c>
      <c r="D147" s="9" t="s">
        <v>13</v>
      </c>
      <c r="F147" s="10">
        <f t="shared" si="2"/>
        <v>0</v>
      </c>
    </row>
    <row r="148" spans="1:6" x14ac:dyDescent="0.25">
      <c r="B148" s="9"/>
      <c r="C148" s="5">
        <v>80</v>
      </c>
      <c r="D148" s="9" t="s">
        <v>22</v>
      </c>
      <c r="F148" s="10">
        <f t="shared" si="2"/>
        <v>0</v>
      </c>
    </row>
    <row r="149" spans="1:6" x14ac:dyDescent="0.25">
      <c r="B149" s="9"/>
      <c r="D149" s="9"/>
      <c r="F149" s="8">
        <f t="shared" si="2"/>
        <v>0</v>
      </c>
    </row>
    <row r="150" spans="1:6" x14ac:dyDescent="0.25">
      <c r="B150" s="4"/>
      <c r="D150" s="9"/>
    </row>
    <row r="151" spans="1:6" x14ac:dyDescent="0.25">
      <c r="A151" t="s">
        <v>29</v>
      </c>
      <c r="B151" s="4">
        <v>45932</v>
      </c>
      <c r="C151" s="5">
        <v>10</v>
      </c>
      <c r="D151" s="9" t="s">
        <v>1007</v>
      </c>
      <c r="E151" s="10">
        <v>155</v>
      </c>
      <c r="F151" s="10">
        <f t="shared" si="2"/>
        <v>1550</v>
      </c>
    </row>
    <row r="152" spans="1:6" x14ac:dyDescent="0.25">
      <c r="B152" s="9"/>
      <c r="C152" s="5">
        <v>3</v>
      </c>
      <c r="D152" s="9" t="s">
        <v>1008</v>
      </c>
      <c r="E152" s="10">
        <v>170</v>
      </c>
      <c r="F152" s="10">
        <f t="shared" si="2"/>
        <v>510</v>
      </c>
    </row>
    <row r="153" spans="1:6" x14ac:dyDescent="0.25">
      <c r="B153" s="4"/>
      <c r="C153" s="5">
        <v>2</v>
      </c>
      <c r="D153" s="9" t="s">
        <v>1009</v>
      </c>
      <c r="E153" s="10">
        <v>160</v>
      </c>
      <c r="F153" s="10">
        <f t="shared" si="2"/>
        <v>320</v>
      </c>
    </row>
    <row r="154" spans="1:6" x14ac:dyDescent="0.25">
      <c r="B154" s="9"/>
      <c r="C154" s="5">
        <v>1</v>
      </c>
      <c r="D154" s="9" t="s">
        <v>13</v>
      </c>
      <c r="E154" s="10">
        <v>160</v>
      </c>
      <c r="F154" s="10">
        <f t="shared" si="2"/>
        <v>160</v>
      </c>
    </row>
    <row r="155" spans="1:6" x14ac:dyDescent="0.25">
      <c r="B155" s="9"/>
      <c r="D155" s="9"/>
      <c r="F155" s="8">
        <f>SUM(F151:F154)</f>
        <v>2540</v>
      </c>
    </row>
    <row r="156" spans="1:6" x14ac:dyDescent="0.25">
      <c r="B156" s="4"/>
      <c r="D156" s="9"/>
    </row>
    <row r="157" spans="1:6" x14ac:dyDescent="0.25">
      <c r="A157" t="s">
        <v>181</v>
      </c>
      <c r="B157" s="4">
        <v>45932</v>
      </c>
      <c r="C157" s="5">
        <v>1</v>
      </c>
      <c r="D157" s="9" t="s">
        <v>8</v>
      </c>
      <c r="E157" s="10">
        <v>170</v>
      </c>
      <c r="F157" s="10">
        <f t="shared" si="2"/>
        <v>170</v>
      </c>
    </row>
    <row r="158" spans="1:6" x14ac:dyDescent="0.25">
      <c r="B158" s="9"/>
      <c r="D158" s="9"/>
      <c r="F158" s="8">
        <f>SUM(F157)</f>
        <v>170</v>
      </c>
    </row>
    <row r="159" spans="1:6" x14ac:dyDescent="0.25">
      <c r="B159" s="9"/>
      <c r="D159" s="9"/>
    </row>
    <row r="160" spans="1:6" x14ac:dyDescent="0.25">
      <c r="A160" t="s">
        <v>550</v>
      </c>
      <c r="B160" s="4">
        <v>45933</v>
      </c>
      <c r="C160" s="5">
        <v>15</v>
      </c>
      <c r="D160" s="9" t="s">
        <v>98</v>
      </c>
      <c r="E160" s="10">
        <v>110</v>
      </c>
      <c r="F160" s="10">
        <f t="shared" si="2"/>
        <v>1650</v>
      </c>
    </row>
    <row r="161" spans="1:6" x14ac:dyDescent="0.25">
      <c r="B161" s="9"/>
      <c r="D161" s="9"/>
      <c r="F161" s="8">
        <f>SUM(F160)</f>
        <v>1650</v>
      </c>
    </row>
    <row r="162" spans="1:6" x14ac:dyDescent="0.25">
      <c r="B162" s="4"/>
      <c r="D162" s="9"/>
    </row>
    <row r="163" spans="1:6" x14ac:dyDescent="0.25">
      <c r="A163" t="s">
        <v>15</v>
      </c>
      <c r="B163" s="4">
        <v>45933</v>
      </c>
      <c r="C163" s="5">
        <v>55</v>
      </c>
      <c r="D163" s="9" t="s">
        <v>98</v>
      </c>
      <c r="E163" s="10">
        <v>110</v>
      </c>
      <c r="F163" s="10">
        <f t="shared" si="2"/>
        <v>6050</v>
      </c>
    </row>
    <row r="164" spans="1:6" x14ac:dyDescent="0.25">
      <c r="B164" s="9"/>
      <c r="D164" s="9"/>
      <c r="F164" s="8">
        <f>SUM(F163)</f>
        <v>6050</v>
      </c>
    </row>
    <row r="165" spans="1:6" x14ac:dyDescent="0.25">
      <c r="B165" s="4"/>
      <c r="D165" s="9"/>
    </row>
    <row r="166" spans="1:6" x14ac:dyDescent="0.25">
      <c r="A166" t="s">
        <v>58</v>
      </c>
      <c r="B166" s="4">
        <v>45933</v>
      </c>
      <c r="C166" s="5">
        <v>14</v>
      </c>
      <c r="D166" s="9" t="s">
        <v>13</v>
      </c>
      <c r="E166" s="10">
        <v>155</v>
      </c>
      <c r="F166" s="10">
        <f t="shared" si="2"/>
        <v>2170</v>
      </c>
    </row>
    <row r="167" spans="1:6" x14ac:dyDescent="0.25">
      <c r="B167" s="9"/>
      <c r="D167" s="9"/>
      <c r="F167" s="8">
        <f>SUM(F166)</f>
        <v>2170</v>
      </c>
    </row>
    <row r="168" spans="1:6" x14ac:dyDescent="0.25">
      <c r="B168" s="4"/>
      <c r="D168" s="9"/>
    </row>
    <row r="169" spans="1:6" x14ac:dyDescent="0.25">
      <c r="A169" t="s">
        <v>20</v>
      </c>
      <c r="B169" s="4">
        <v>45933</v>
      </c>
      <c r="C169" s="5">
        <v>20</v>
      </c>
      <c r="D169" s="9" t="s">
        <v>8</v>
      </c>
      <c r="E169" s="10">
        <v>165</v>
      </c>
      <c r="F169" s="10">
        <f t="shared" si="2"/>
        <v>3300</v>
      </c>
    </row>
    <row r="170" spans="1:6" x14ac:dyDescent="0.25">
      <c r="B170" s="9"/>
      <c r="C170" s="5">
        <v>20</v>
      </c>
      <c r="D170" s="9" t="s">
        <v>13</v>
      </c>
      <c r="E170" s="10">
        <v>160</v>
      </c>
      <c r="F170" s="10">
        <f t="shared" si="2"/>
        <v>3200</v>
      </c>
    </row>
    <row r="171" spans="1:6" x14ac:dyDescent="0.25">
      <c r="B171" s="4"/>
      <c r="D171" s="9"/>
      <c r="F171" s="8">
        <f>SUM(F169:F170)</f>
        <v>6500</v>
      </c>
    </row>
    <row r="172" spans="1:6" x14ac:dyDescent="0.25">
      <c r="B172" s="9"/>
      <c r="D172" s="9"/>
    </row>
    <row r="173" spans="1:6" x14ac:dyDescent="0.25">
      <c r="A173" t="s">
        <v>21</v>
      </c>
      <c r="B173" s="4">
        <v>45933</v>
      </c>
      <c r="C173" s="5">
        <v>40</v>
      </c>
      <c r="D173" s="9" t="s">
        <v>13</v>
      </c>
      <c r="E173" s="10">
        <v>160</v>
      </c>
      <c r="F173" s="10">
        <f t="shared" si="2"/>
        <v>6400</v>
      </c>
    </row>
    <row r="174" spans="1:6" x14ac:dyDescent="0.25">
      <c r="B174" s="9"/>
      <c r="C174" s="5">
        <v>40</v>
      </c>
      <c r="D174" s="9" t="s">
        <v>12</v>
      </c>
      <c r="E174" s="10">
        <v>150</v>
      </c>
      <c r="F174" s="10">
        <f t="shared" si="2"/>
        <v>6000</v>
      </c>
    </row>
    <row r="175" spans="1:6" x14ac:dyDescent="0.25">
      <c r="B175" s="4"/>
      <c r="C175" s="5">
        <v>10</v>
      </c>
      <c r="D175" s="9" t="s">
        <v>8</v>
      </c>
      <c r="E175" s="10">
        <v>165</v>
      </c>
      <c r="F175" s="10">
        <f t="shared" si="2"/>
        <v>1650</v>
      </c>
    </row>
    <row r="176" spans="1:6" x14ac:dyDescent="0.25">
      <c r="B176" s="9"/>
      <c r="D176" s="9"/>
      <c r="F176" s="8">
        <f>SUM(F173:F175)</f>
        <v>14050</v>
      </c>
    </row>
    <row r="177" spans="1:6" x14ac:dyDescent="0.25">
      <c r="B177" s="9"/>
      <c r="D177" s="9"/>
    </row>
    <row r="178" spans="1:6" x14ac:dyDescent="0.25">
      <c r="A178" t="s">
        <v>406</v>
      </c>
      <c r="B178" s="4">
        <v>45933</v>
      </c>
      <c r="C178" s="5">
        <v>10</v>
      </c>
      <c r="D178" s="9" t="s">
        <v>13</v>
      </c>
      <c r="E178" s="10">
        <v>160</v>
      </c>
      <c r="F178" s="10">
        <f t="shared" si="2"/>
        <v>1600</v>
      </c>
    </row>
    <row r="179" spans="1:6" x14ac:dyDescent="0.25">
      <c r="B179" s="9"/>
      <c r="C179" s="5">
        <v>10</v>
      </c>
      <c r="D179" s="9" t="s">
        <v>8</v>
      </c>
      <c r="E179" s="10">
        <v>165</v>
      </c>
      <c r="F179" s="10">
        <f t="shared" si="2"/>
        <v>1650</v>
      </c>
    </row>
    <row r="180" spans="1:6" x14ac:dyDescent="0.25">
      <c r="B180" s="9"/>
      <c r="D180" s="9"/>
      <c r="F180" s="8">
        <f>SUM(F178:F179)</f>
        <v>3250</v>
      </c>
    </row>
    <row r="181" spans="1:6" x14ac:dyDescent="0.25">
      <c r="B181" s="9"/>
      <c r="D181" s="9"/>
    </row>
    <row r="182" spans="1:6" x14ac:dyDescent="0.25">
      <c r="A182" t="s">
        <v>367</v>
      </c>
      <c r="B182" s="4">
        <v>45933</v>
      </c>
      <c r="C182" s="5">
        <v>10</v>
      </c>
      <c r="D182" s="9" t="s">
        <v>13</v>
      </c>
      <c r="E182" s="10">
        <v>160</v>
      </c>
      <c r="F182" s="10">
        <f t="shared" si="2"/>
        <v>1600</v>
      </c>
    </row>
    <row r="183" spans="1:6" x14ac:dyDescent="0.25">
      <c r="B183" s="9"/>
      <c r="D183" s="9"/>
      <c r="F183" s="8">
        <f>SUM(F182)</f>
        <v>1600</v>
      </c>
    </row>
    <row r="184" spans="1:6" x14ac:dyDescent="0.25">
      <c r="B184" s="9"/>
      <c r="D184" s="9"/>
    </row>
    <row r="185" spans="1:6" x14ac:dyDescent="0.25">
      <c r="A185" t="s">
        <v>37</v>
      </c>
      <c r="B185" s="4">
        <v>45933</v>
      </c>
      <c r="C185" s="5">
        <v>10</v>
      </c>
      <c r="D185" s="9" t="s">
        <v>12</v>
      </c>
      <c r="E185" s="10">
        <v>150</v>
      </c>
      <c r="F185" s="10">
        <f t="shared" si="2"/>
        <v>1500</v>
      </c>
    </row>
    <row r="186" spans="1:6" x14ac:dyDescent="0.25">
      <c r="B186" s="9"/>
      <c r="D186" s="9"/>
      <c r="F186" s="8">
        <f>SUM(F185)</f>
        <v>1500</v>
      </c>
    </row>
    <row r="187" spans="1:6" x14ac:dyDescent="0.25">
      <c r="B187" s="9"/>
      <c r="D187" s="9"/>
    </row>
    <row r="188" spans="1:6" x14ac:dyDescent="0.25">
      <c r="A188" t="s">
        <v>923</v>
      </c>
      <c r="B188" s="4">
        <v>45933</v>
      </c>
      <c r="C188" s="5">
        <v>15</v>
      </c>
      <c r="D188" s="9" t="s">
        <v>8</v>
      </c>
      <c r="E188" s="10">
        <v>165</v>
      </c>
      <c r="F188" s="10">
        <f t="shared" si="2"/>
        <v>2475</v>
      </c>
    </row>
    <row r="189" spans="1:6" x14ac:dyDescent="0.25">
      <c r="B189" s="9"/>
      <c r="C189" s="5">
        <v>15</v>
      </c>
      <c r="D189" s="9" t="s">
        <v>13</v>
      </c>
      <c r="E189" s="10">
        <v>160</v>
      </c>
      <c r="F189" s="10">
        <f t="shared" si="2"/>
        <v>2400</v>
      </c>
    </row>
    <row r="190" spans="1:6" x14ac:dyDescent="0.25">
      <c r="B190" s="9"/>
      <c r="C190" s="5">
        <v>15</v>
      </c>
      <c r="D190" s="9" t="s">
        <v>12</v>
      </c>
      <c r="E190" s="10">
        <v>150</v>
      </c>
      <c r="F190" s="10">
        <f t="shared" si="2"/>
        <v>2250</v>
      </c>
    </row>
    <row r="191" spans="1:6" x14ac:dyDescent="0.25">
      <c r="B191" s="9"/>
      <c r="D191" s="9"/>
      <c r="F191" s="8">
        <f>SUM(F188:F190)</f>
        <v>7125</v>
      </c>
    </row>
    <row r="192" spans="1:6" x14ac:dyDescent="0.25">
      <c r="B192" s="4"/>
      <c r="D192" s="9"/>
    </row>
    <row r="193" spans="1:6" x14ac:dyDescent="0.25">
      <c r="A193" t="s">
        <v>25</v>
      </c>
      <c r="B193" s="4">
        <v>45933</v>
      </c>
      <c r="C193" s="5">
        <v>50</v>
      </c>
      <c r="D193" s="9" t="s">
        <v>8</v>
      </c>
      <c r="E193" s="10">
        <v>165</v>
      </c>
      <c r="F193" s="10">
        <f t="shared" si="2"/>
        <v>8250</v>
      </c>
    </row>
    <row r="194" spans="1:6" x14ac:dyDescent="0.25">
      <c r="B194" s="9"/>
      <c r="D194" s="9"/>
      <c r="F194" s="8">
        <f>SUM(F193)</f>
        <v>8250</v>
      </c>
    </row>
    <row r="195" spans="1:6" x14ac:dyDescent="0.25">
      <c r="B195" s="4"/>
      <c r="D195" s="9"/>
    </row>
    <row r="196" spans="1:6" x14ac:dyDescent="0.25">
      <c r="A196" t="s">
        <v>40</v>
      </c>
      <c r="B196" s="4">
        <v>45933</v>
      </c>
      <c r="C196" s="5">
        <v>15</v>
      </c>
      <c r="D196" s="9" t="s">
        <v>14</v>
      </c>
      <c r="E196" s="10">
        <v>155</v>
      </c>
      <c r="F196" s="10">
        <f t="shared" ref="F196:F259" si="3">+C196*E196</f>
        <v>2325</v>
      </c>
    </row>
    <row r="197" spans="1:6" x14ac:dyDescent="0.25">
      <c r="B197" s="9"/>
      <c r="C197" s="5">
        <v>10</v>
      </c>
      <c r="D197" s="9" t="s">
        <v>165</v>
      </c>
      <c r="E197" s="10">
        <v>160</v>
      </c>
      <c r="F197" s="10">
        <f t="shared" si="3"/>
        <v>1600</v>
      </c>
    </row>
    <row r="198" spans="1:6" x14ac:dyDescent="0.25">
      <c r="B198" s="4"/>
      <c r="C198" s="5">
        <v>20</v>
      </c>
      <c r="D198" s="9" t="s">
        <v>8</v>
      </c>
      <c r="E198" s="10">
        <v>165</v>
      </c>
      <c r="F198" s="10">
        <f t="shared" si="3"/>
        <v>3300</v>
      </c>
    </row>
    <row r="199" spans="1:6" x14ac:dyDescent="0.25">
      <c r="B199" s="9"/>
      <c r="C199" s="5">
        <v>12</v>
      </c>
      <c r="D199" s="9" t="s">
        <v>50</v>
      </c>
      <c r="E199" s="10">
        <v>135</v>
      </c>
      <c r="F199" s="10">
        <f t="shared" si="3"/>
        <v>1620</v>
      </c>
    </row>
    <row r="200" spans="1:6" x14ac:dyDescent="0.25">
      <c r="B200" s="9"/>
      <c r="D200" s="9"/>
      <c r="F200" s="8">
        <f>SUM(F196:F199)</f>
        <v>8845</v>
      </c>
    </row>
    <row r="201" spans="1:6" x14ac:dyDescent="0.25">
      <c r="B201" s="9"/>
      <c r="D201" s="9"/>
    </row>
    <row r="202" spans="1:6" x14ac:dyDescent="0.25">
      <c r="A202" t="s">
        <v>18</v>
      </c>
      <c r="B202" s="4">
        <v>45933</v>
      </c>
      <c r="C202" s="5">
        <v>7</v>
      </c>
      <c r="D202" s="9" t="s">
        <v>13</v>
      </c>
      <c r="E202" s="10">
        <v>160</v>
      </c>
      <c r="F202" s="10">
        <f t="shared" si="3"/>
        <v>1120</v>
      </c>
    </row>
    <row r="203" spans="1:6" x14ac:dyDescent="0.25">
      <c r="B203" s="9"/>
      <c r="D203" s="9"/>
      <c r="F203" s="8">
        <f>SUM(F202)</f>
        <v>1120</v>
      </c>
    </row>
    <row r="204" spans="1:6" x14ac:dyDescent="0.25">
      <c r="B204" s="9"/>
      <c r="D204" s="9"/>
    </row>
    <row r="205" spans="1:6" x14ac:dyDescent="0.25">
      <c r="A205" t="s">
        <v>591</v>
      </c>
      <c r="B205" s="4">
        <v>45933</v>
      </c>
      <c r="C205" s="5">
        <v>4</v>
      </c>
      <c r="D205" s="9" t="s">
        <v>13</v>
      </c>
      <c r="E205" s="10">
        <v>155</v>
      </c>
      <c r="F205" s="10">
        <f t="shared" si="3"/>
        <v>620</v>
      </c>
    </row>
    <row r="206" spans="1:6" x14ac:dyDescent="0.25">
      <c r="B206" s="4"/>
      <c r="D206" s="9"/>
      <c r="F206" s="8">
        <f>SUM(F205)</f>
        <v>620</v>
      </c>
    </row>
    <row r="207" spans="1:6" x14ac:dyDescent="0.25">
      <c r="B207" s="9"/>
      <c r="D207" s="9"/>
    </row>
    <row r="208" spans="1:6" x14ac:dyDescent="0.25">
      <c r="A208" t="s">
        <v>43</v>
      </c>
      <c r="B208" s="4">
        <v>45933</v>
      </c>
      <c r="C208" s="5">
        <v>17</v>
      </c>
      <c r="D208" s="9" t="s">
        <v>11</v>
      </c>
      <c r="E208" s="10">
        <v>145</v>
      </c>
      <c r="F208" s="10">
        <f t="shared" si="3"/>
        <v>2465</v>
      </c>
    </row>
    <row r="209" spans="1:6" x14ac:dyDescent="0.25">
      <c r="B209" s="4"/>
      <c r="C209" s="5">
        <v>3</v>
      </c>
      <c r="D209" s="9" t="s">
        <v>14</v>
      </c>
      <c r="E209" s="10">
        <v>155</v>
      </c>
      <c r="F209" s="10">
        <f t="shared" si="3"/>
        <v>465</v>
      </c>
    </row>
    <row r="210" spans="1:6" x14ac:dyDescent="0.25">
      <c r="B210" s="9"/>
      <c r="D210" s="9"/>
      <c r="F210" s="8">
        <f>SUM(F208:F209)</f>
        <v>2930</v>
      </c>
    </row>
    <row r="211" spans="1:6" x14ac:dyDescent="0.25">
      <c r="B211" s="9"/>
      <c r="D211" s="9"/>
    </row>
    <row r="212" spans="1:6" x14ac:dyDescent="0.25">
      <c r="A212" t="s">
        <v>106</v>
      </c>
      <c r="B212" s="4">
        <v>45933</v>
      </c>
      <c r="C212" s="5">
        <v>80</v>
      </c>
      <c r="D212" s="9" t="s">
        <v>12</v>
      </c>
      <c r="E212" s="10">
        <v>145</v>
      </c>
      <c r="F212" s="10">
        <f t="shared" si="3"/>
        <v>11600</v>
      </c>
    </row>
    <row r="213" spans="1:6" x14ac:dyDescent="0.25">
      <c r="B213" s="9"/>
      <c r="D213" s="9"/>
      <c r="F213" s="8">
        <f>SUM(F212)</f>
        <v>11600</v>
      </c>
    </row>
    <row r="214" spans="1:6" x14ac:dyDescent="0.25">
      <c r="B214" s="9"/>
      <c r="D214" s="9"/>
    </row>
    <row r="215" spans="1:6" x14ac:dyDescent="0.25">
      <c r="A215" t="s">
        <v>41</v>
      </c>
      <c r="B215" s="4">
        <v>45933</v>
      </c>
      <c r="C215" s="5">
        <v>24</v>
      </c>
      <c r="D215" s="9" t="s">
        <v>1010</v>
      </c>
      <c r="E215" s="10">
        <v>140</v>
      </c>
      <c r="F215" s="10">
        <f t="shared" si="3"/>
        <v>3360</v>
      </c>
    </row>
    <row r="216" spans="1:6" x14ac:dyDescent="0.25">
      <c r="B216" s="4"/>
      <c r="C216" s="5">
        <v>11</v>
      </c>
      <c r="D216" s="9" t="s">
        <v>795</v>
      </c>
      <c r="E216" s="10">
        <v>125</v>
      </c>
      <c r="F216" s="10">
        <f t="shared" si="3"/>
        <v>1375</v>
      </c>
    </row>
    <row r="217" spans="1:6" x14ac:dyDescent="0.25">
      <c r="B217" s="9"/>
      <c r="D217" s="9"/>
      <c r="F217" s="8">
        <f>SUM(F215:F216)</f>
        <v>4735</v>
      </c>
    </row>
    <row r="218" spans="1:6" x14ac:dyDescent="0.25">
      <c r="B218" s="9"/>
      <c r="D218" s="9"/>
    </row>
    <row r="219" spans="1:6" x14ac:dyDescent="0.25">
      <c r="A219" t="s">
        <v>959</v>
      </c>
      <c r="B219" s="4">
        <v>45933</v>
      </c>
      <c r="C219" s="5">
        <v>5</v>
      </c>
      <c r="D219" s="9" t="s">
        <v>11</v>
      </c>
      <c r="E219" s="10">
        <v>145</v>
      </c>
      <c r="F219" s="10">
        <f t="shared" si="3"/>
        <v>725</v>
      </c>
    </row>
    <row r="220" spans="1:6" x14ac:dyDescent="0.25">
      <c r="B220" s="9"/>
      <c r="D220" s="9"/>
      <c r="F220" s="8">
        <f>SUM(F219)</f>
        <v>725</v>
      </c>
    </row>
    <row r="221" spans="1:6" x14ac:dyDescent="0.25">
      <c r="B221" s="4"/>
      <c r="D221" s="9"/>
    </row>
    <row r="222" spans="1:6" x14ac:dyDescent="0.25">
      <c r="A222" t="s">
        <v>85</v>
      </c>
      <c r="B222" s="4">
        <v>45933</v>
      </c>
      <c r="C222" s="5">
        <v>60</v>
      </c>
      <c r="D222" s="9" t="s">
        <v>14</v>
      </c>
      <c r="E222" s="10">
        <v>155</v>
      </c>
      <c r="F222" s="10">
        <f t="shared" si="3"/>
        <v>9300</v>
      </c>
    </row>
    <row r="223" spans="1:6" x14ac:dyDescent="0.25">
      <c r="B223" s="9"/>
      <c r="D223" s="9"/>
      <c r="F223" s="8">
        <f>SUM(F222)</f>
        <v>9300</v>
      </c>
    </row>
    <row r="224" spans="1:6" x14ac:dyDescent="0.25">
      <c r="B224" s="4"/>
      <c r="D224" s="9"/>
    </row>
    <row r="225" spans="1:6" x14ac:dyDescent="0.25">
      <c r="A225" t="s">
        <v>18</v>
      </c>
      <c r="B225" s="4">
        <v>45933</v>
      </c>
      <c r="C225" s="5">
        <v>15</v>
      </c>
      <c r="D225" s="9" t="s">
        <v>14</v>
      </c>
      <c r="E225" s="10">
        <v>155</v>
      </c>
      <c r="F225" s="10">
        <f t="shared" si="3"/>
        <v>2325</v>
      </c>
    </row>
    <row r="226" spans="1:6" x14ac:dyDescent="0.25">
      <c r="B226" s="9"/>
      <c r="C226" s="5">
        <v>10</v>
      </c>
      <c r="D226" s="9" t="s">
        <v>12</v>
      </c>
      <c r="E226" s="10">
        <v>150</v>
      </c>
      <c r="F226" s="10">
        <f t="shared" si="3"/>
        <v>1500</v>
      </c>
    </row>
    <row r="227" spans="1:6" x14ac:dyDescent="0.25">
      <c r="B227" s="9"/>
      <c r="C227" s="5">
        <v>20</v>
      </c>
      <c r="D227" s="9" t="s">
        <v>11</v>
      </c>
      <c r="E227" s="10">
        <v>145</v>
      </c>
      <c r="F227" s="10">
        <f t="shared" si="3"/>
        <v>2900</v>
      </c>
    </row>
    <row r="228" spans="1:6" x14ac:dyDescent="0.25">
      <c r="B228" s="9"/>
      <c r="D228" s="9"/>
      <c r="F228" s="8">
        <f>SUM(F225:F227)</f>
        <v>6725</v>
      </c>
    </row>
    <row r="229" spans="1:6" x14ac:dyDescent="0.25">
      <c r="B229" s="4"/>
      <c r="D229" s="9"/>
    </row>
    <row r="230" spans="1:6" x14ac:dyDescent="0.25">
      <c r="A230" t="s">
        <v>46</v>
      </c>
      <c r="B230" s="4">
        <v>45933</v>
      </c>
      <c r="C230" s="5">
        <v>25</v>
      </c>
      <c r="D230" s="9" t="s">
        <v>14</v>
      </c>
      <c r="E230" s="10">
        <v>155</v>
      </c>
      <c r="F230" s="10">
        <f t="shared" si="3"/>
        <v>3875</v>
      </c>
    </row>
    <row r="231" spans="1:6" x14ac:dyDescent="0.25">
      <c r="B231" s="9"/>
      <c r="D231" s="9"/>
      <c r="F231" s="8">
        <f>SUM(F230)</f>
        <v>3875</v>
      </c>
    </row>
    <row r="232" spans="1:6" x14ac:dyDescent="0.25">
      <c r="B232" s="9"/>
      <c r="D232" s="9"/>
    </row>
    <row r="233" spans="1:6" x14ac:dyDescent="0.25">
      <c r="A233" t="s">
        <v>292</v>
      </c>
      <c r="B233" s="4">
        <v>45933</v>
      </c>
      <c r="C233" s="5">
        <v>5</v>
      </c>
      <c r="D233" s="9" t="s">
        <v>11</v>
      </c>
      <c r="E233" s="10">
        <v>140</v>
      </c>
      <c r="F233" s="10">
        <f t="shared" si="3"/>
        <v>700</v>
      </c>
    </row>
    <row r="234" spans="1:6" x14ac:dyDescent="0.25">
      <c r="B234" s="9"/>
      <c r="D234" s="9"/>
      <c r="F234" s="8">
        <f>SUM(F233)</f>
        <v>700</v>
      </c>
    </row>
    <row r="235" spans="1:6" x14ac:dyDescent="0.25">
      <c r="B235" s="9"/>
      <c r="D235" s="9"/>
    </row>
    <row r="236" spans="1:6" x14ac:dyDescent="0.25">
      <c r="A236" t="s">
        <v>112</v>
      </c>
      <c r="B236" s="4">
        <v>45933</v>
      </c>
      <c r="C236" s="5">
        <v>40</v>
      </c>
      <c r="D236" s="9" t="s">
        <v>11</v>
      </c>
      <c r="E236" s="10">
        <v>140</v>
      </c>
      <c r="F236" s="10">
        <f t="shared" si="3"/>
        <v>5600</v>
      </c>
    </row>
    <row r="237" spans="1:6" x14ac:dyDescent="0.25">
      <c r="B237" s="9"/>
      <c r="C237" s="5">
        <v>40</v>
      </c>
      <c r="D237" s="9" t="s">
        <v>14</v>
      </c>
      <c r="E237" s="10">
        <v>150</v>
      </c>
      <c r="F237" s="10">
        <f t="shared" si="3"/>
        <v>6000</v>
      </c>
    </row>
    <row r="238" spans="1:6" x14ac:dyDescent="0.25">
      <c r="B238" s="9"/>
      <c r="C238" s="5">
        <v>30</v>
      </c>
      <c r="D238" s="9" t="s">
        <v>8</v>
      </c>
      <c r="E238" s="10">
        <v>155</v>
      </c>
      <c r="F238" s="10">
        <f t="shared" si="3"/>
        <v>4650</v>
      </c>
    </row>
    <row r="239" spans="1:6" x14ac:dyDescent="0.25">
      <c r="B239" s="4"/>
      <c r="D239" s="9"/>
      <c r="F239" s="8">
        <f>SUM(F236:F238)</f>
        <v>16250</v>
      </c>
    </row>
    <row r="240" spans="1:6" x14ac:dyDescent="0.25">
      <c r="B240" s="9"/>
      <c r="D240" s="9"/>
    </row>
    <row r="241" spans="1:6" x14ac:dyDescent="0.25">
      <c r="A241" t="s">
        <v>117</v>
      </c>
      <c r="B241" s="4">
        <v>45933</v>
      </c>
      <c r="C241" s="5">
        <v>5</v>
      </c>
      <c r="D241" s="9" t="s">
        <v>13</v>
      </c>
      <c r="E241" s="10">
        <v>160</v>
      </c>
      <c r="F241" s="10">
        <f t="shared" si="3"/>
        <v>800</v>
      </c>
    </row>
    <row r="242" spans="1:6" x14ac:dyDescent="0.25">
      <c r="B242" s="9"/>
      <c r="D242" s="9"/>
      <c r="F242" s="8">
        <f>SUM(F241)</f>
        <v>800</v>
      </c>
    </row>
    <row r="243" spans="1:6" x14ac:dyDescent="0.25">
      <c r="B243" s="4"/>
      <c r="D243" s="9"/>
    </row>
    <row r="244" spans="1:6" x14ac:dyDescent="0.25">
      <c r="A244" t="s">
        <v>184</v>
      </c>
      <c r="B244" s="4">
        <v>45933</v>
      </c>
      <c r="C244" s="5">
        <v>7</v>
      </c>
      <c r="D244" s="9" t="s">
        <v>13</v>
      </c>
      <c r="E244" s="10">
        <v>160</v>
      </c>
      <c r="F244" s="10">
        <f t="shared" si="3"/>
        <v>1120</v>
      </c>
    </row>
    <row r="245" spans="1:6" x14ac:dyDescent="0.25">
      <c r="B245" s="9"/>
      <c r="D245" s="9"/>
      <c r="F245" s="8">
        <f>SUM(F244)</f>
        <v>1120</v>
      </c>
    </row>
    <row r="246" spans="1:6" x14ac:dyDescent="0.25">
      <c r="B246" s="4"/>
      <c r="D246" s="9"/>
    </row>
    <row r="247" spans="1:6" x14ac:dyDescent="0.25">
      <c r="A247" t="s">
        <v>898</v>
      </c>
      <c r="B247" s="4">
        <v>45933</v>
      </c>
      <c r="C247" s="5">
        <v>5</v>
      </c>
      <c r="D247" s="9" t="s">
        <v>304</v>
      </c>
      <c r="E247" s="10">
        <v>150</v>
      </c>
      <c r="F247" s="10">
        <f t="shared" si="3"/>
        <v>750</v>
      </c>
    </row>
    <row r="248" spans="1:6" x14ac:dyDescent="0.25">
      <c r="B248" s="9"/>
      <c r="D248" s="9"/>
      <c r="F248" s="8">
        <f>SUM(F247)</f>
        <v>750</v>
      </c>
    </row>
    <row r="249" spans="1:6" x14ac:dyDescent="0.25">
      <c r="B249" s="9"/>
      <c r="D249" s="9"/>
    </row>
    <row r="250" spans="1:6" x14ac:dyDescent="0.25">
      <c r="A250" t="s">
        <v>29</v>
      </c>
      <c r="B250" s="4">
        <v>45933</v>
      </c>
      <c r="C250" s="5">
        <v>2</v>
      </c>
      <c r="D250" s="9" t="s">
        <v>22</v>
      </c>
      <c r="E250" s="10">
        <v>130</v>
      </c>
      <c r="F250" s="10">
        <f t="shared" si="3"/>
        <v>260</v>
      </c>
    </row>
    <row r="251" spans="1:6" x14ac:dyDescent="0.25">
      <c r="B251" s="9"/>
      <c r="C251" s="5">
        <v>1</v>
      </c>
      <c r="D251" s="9" t="s">
        <v>98</v>
      </c>
      <c r="E251" s="10">
        <v>110</v>
      </c>
      <c r="F251" s="10">
        <f t="shared" si="3"/>
        <v>110</v>
      </c>
    </row>
    <row r="252" spans="1:6" x14ac:dyDescent="0.25">
      <c r="B252" s="9"/>
      <c r="C252" s="5">
        <v>1</v>
      </c>
      <c r="D252" s="9" t="s">
        <v>8</v>
      </c>
      <c r="E252" s="10">
        <v>160</v>
      </c>
      <c r="F252" s="10">
        <f t="shared" si="3"/>
        <v>160</v>
      </c>
    </row>
    <row r="253" spans="1:6" x14ac:dyDescent="0.25">
      <c r="B253" s="4"/>
      <c r="C253" s="5">
        <v>1</v>
      </c>
      <c r="D253" s="9" t="s">
        <v>14</v>
      </c>
      <c r="E253" s="10">
        <v>160</v>
      </c>
      <c r="F253" s="10">
        <f t="shared" si="3"/>
        <v>160</v>
      </c>
    </row>
    <row r="254" spans="1:6" x14ac:dyDescent="0.25">
      <c r="B254" s="9"/>
      <c r="C254" s="5">
        <v>1</v>
      </c>
      <c r="D254" s="9" t="s">
        <v>22</v>
      </c>
      <c r="E254" s="10">
        <v>130</v>
      </c>
      <c r="F254" s="10">
        <f t="shared" si="3"/>
        <v>130</v>
      </c>
    </row>
    <row r="255" spans="1:6" x14ac:dyDescent="0.25">
      <c r="B255" s="9"/>
      <c r="D255" s="9"/>
      <c r="F255" s="8">
        <f>SUM(F250:F254)</f>
        <v>820</v>
      </c>
    </row>
    <row r="256" spans="1:6" x14ac:dyDescent="0.25">
      <c r="B256" s="4"/>
      <c r="D256" s="9"/>
    </row>
    <row r="257" spans="1:6" x14ac:dyDescent="0.25">
      <c r="A257" t="s">
        <v>181</v>
      </c>
      <c r="B257" s="4">
        <v>45933</v>
      </c>
      <c r="C257" s="5">
        <v>1</v>
      </c>
      <c r="D257" s="9" t="s">
        <v>8</v>
      </c>
      <c r="E257" s="10">
        <v>170</v>
      </c>
      <c r="F257" s="10">
        <f t="shared" si="3"/>
        <v>170</v>
      </c>
    </row>
    <row r="258" spans="1:6" x14ac:dyDescent="0.25">
      <c r="B258" s="9"/>
      <c r="C258" s="5">
        <v>1</v>
      </c>
      <c r="D258" s="9" t="s">
        <v>13</v>
      </c>
      <c r="E258" s="10">
        <v>160</v>
      </c>
      <c r="F258" s="10">
        <f t="shared" si="3"/>
        <v>160</v>
      </c>
    </row>
    <row r="259" spans="1:6" x14ac:dyDescent="0.25">
      <c r="B259" s="4"/>
      <c r="C259" s="5">
        <v>4</v>
      </c>
      <c r="D259" s="9" t="s">
        <v>13</v>
      </c>
      <c r="E259" s="10">
        <v>160</v>
      </c>
      <c r="F259" s="10">
        <f t="shared" si="3"/>
        <v>640</v>
      </c>
    </row>
    <row r="260" spans="1:6" x14ac:dyDescent="0.25">
      <c r="B260" s="9"/>
      <c r="C260" s="5">
        <v>1</v>
      </c>
      <c r="D260" s="9" t="s">
        <v>8</v>
      </c>
      <c r="E260" s="10">
        <v>170</v>
      </c>
      <c r="F260" s="10">
        <f t="shared" ref="F260:F323" si="4">+C260*E260</f>
        <v>170</v>
      </c>
    </row>
    <row r="261" spans="1:6" x14ac:dyDescent="0.25">
      <c r="B261" s="9"/>
      <c r="C261" s="5">
        <v>2</v>
      </c>
      <c r="D261" s="9" t="s">
        <v>8</v>
      </c>
      <c r="E261" s="10">
        <v>170</v>
      </c>
      <c r="F261" s="10">
        <f t="shared" si="4"/>
        <v>340</v>
      </c>
    </row>
    <row r="262" spans="1:6" x14ac:dyDescent="0.25">
      <c r="B262" s="4"/>
      <c r="C262" s="5">
        <v>1</v>
      </c>
      <c r="D262" s="9" t="s">
        <v>8</v>
      </c>
      <c r="E262" s="10">
        <v>170</v>
      </c>
      <c r="F262" s="10">
        <f t="shared" si="4"/>
        <v>170</v>
      </c>
    </row>
    <row r="263" spans="1:6" x14ac:dyDescent="0.25">
      <c r="B263" s="9"/>
      <c r="C263" s="5">
        <v>3</v>
      </c>
      <c r="D263" s="9" t="s">
        <v>8</v>
      </c>
      <c r="E263" s="10">
        <v>170</v>
      </c>
      <c r="F263" s="10">
        <f t="shared" si="4"/>
        <v>510</v>
      </c>
    </row>
    <row r="264" spans="1:6" x14ac:dyDescent="0.25">
      <c r="B264" s="9"/>
      <c r="D264" s="9"/>
      <c r="F264" s="8">
        <f>SUM(F257:F263)</f>
        <v>2160</v>
      </c>
    </row>
    <row r="265" spans="1:6" x14ac:dyDescent="0.25">
      <c r="B265" s="4"/>
      <c r="D265" s="9"/>
    </row>
    <row r="266" spans="1:6" x14ac:dyDescent="0.25">
      <c r="A266" t="s">
        <v>19</v>
      </c>
      <c r="B266" s="4">
        <v>45934</v>
      </c>
      <c r="C266" s="5">
        <v>4</v>
      </c>
      <c r="D266" s="9" t="s">
        <v>12</v>
      </c>
      <c r="E266" s="10">
        <v>150</v>
      </c>
      <c r="F266" s="10">
        <f t="shared" si="4"/>
        <v>600</v>
      </c>
    </row>
    <row r="267" spans="1:6" x14ac:dyDescent="0.25">
      <c r="B267" s="9"/>
      <c r="D267" s="9"/>
      <c r="F267" s="8">
        <f>SUM(F266)</f>
        <v>600</v>
      </c>
    </row>
    <row r="268" spans="1:6" x14ac:dyDescent="0.25">
      <c r="B268" s="4"/>
      <c r="D268" s="9"/>
    </row>
    <row r="269" spans="1:6" x14ac:dyDescent="0.25">
      <c r="A269" t="s">
        <v>58</v>
      </c>
      <c r="B269" s="4">
        <v>45934</v>
      </c>
      <c r="C269" s="5">
        <v>6</v>
      </c>
      <c r="D269" s="9" t="s">
        <v>13</v>
      </c>
      <c r="E269" s="10">
        <v>155</v>
      </c>
      <c r="F269" s="10">
        <f t="shared" si="4"/>
        <v>930</v>
      </c>
    </row>
    <row r="270" spans="1:6" x14ac:dyDescent="0.25">
      <c r="B270" s="9"/>
      <c r="D270" s="9"/>
      <c r="F270" s="8">
        <f>SUM(F269)</f>
        <v>930</v>
      </c>
    </row>
    <row r="271" spans="1:6" x14ac:dyDescent="0.25">
      <c r="B271" s="4"/>
      <c r="D271" s="9"/>
    </row>
    <row r="272" spans="1:6" x14ac:dyDescent="0.25">
      <c r="A272" t="s">
        <v>427</v>
      </c>
      <c r="B272" s="4">
        <v>45934</v>
      </c>
      <c r="C272" s="5">
        <v>10</v>
      </c>
      <c r="D272" s="9" t="s">
        <v>13</v>
      </c>
      <c r="E272" s="10">
        <v>160</v>
      </c>
      <c r="F272" s="10">
        <f t="shared" si="4"/>
        <v>1600</v>
      </c>
    </row>
    <row r="273" spans="1:6" x14ac:dyDescent="0.25">
      <c r="B273" s="9"/>
      <c r="D273" s="9"/>
      <c r="F273" s="8">
        <f>SUM(F272)</f>
        <v>1600</v>
      </c>
    </row>
    <row r="274" spans="1:6" x14ac:dyDescent="0.25">
      <c r="B274" s="9"/>
      <c r="D274" s="9"/>
    </row>
    <row r="275" spans="1:6" x14ac:dyDescent="0.25">
      <c r="A275" t="s">
        <v>367</v>
      </c>
      <c r="B275" s="4">
        <v>45934</v>
      </c>
      <c r="C275" s="5">
        <v>10</v>
      </c>
      <c r="D275" s="9" t="s">
        <v>13</v>
      </c>
      <c r="E275" s="10">
        <v>160</v>
      </c>
      <c r="F275" s="10">
        <f t="shared" si="4"/>
        <v>1600</v>
      </c>
    </row>
    <row r="276" spans="1:6" x14ac:dyDescent="0.25">
      <c r="B276" s="9"/>
      <c r="C276" s="5">
        <v>10</v>
      </c>
      <c r="D276" s="9" t="s">
        <v>14</v>
      </c>
      <c r="E276" s="10">
        <v>155</v>
      </c>
      <c r="F276" s="10">
        <f t="shared" si="4"/>
        <v>1550</v>
      </c>
    </row>
    <row r="277" spans="1:6" x14ac:dyDescent="0.25">
      <c r="B277" s="9"/>
      <c r="D277" s="9"/>
      <c r="F277" s="8">
        <f>SUM(F275:F276)</f>
        <v>3150</v>
      </c>
    </row>
    <row r="278" spans="1:6" s="9" customFormat="1" x14ac:dyDescent="0.25">
      <c r="B278" s="4"/>
      <c r="C278" s="5"/>
      <c r="E278" s="10"/>
      <c r="F278" s="10"/>
    </row>
    <row r="279" spans="1:6" s="9" customFormat="1" x14ac:dyDescent="0.25">
      <c r="A279" s="9" t="s">
        <v>25</v>
      </c>
      <c r="B279" s="4">
        <v>45934</v>
      </c>
      <c r="C279" s="5">
        <v>20</v>
      </c>
      <c r="D279" s="9" t="s">
        <v>22</v>
      </c>
      <c r="E279" s="10">
        <v>140</v>
      </c>
      <c r="F279" s="10">
        <f t="shared" si="4"/>
        <v>2800</v>
      </c>
    </row>
    <row r="280" spans="1:6" s="9" customFormat="1" x14ac:dyDescent="0.25">
      <c r="C280" s="5"/>
      <c r="E280" s="10"/>
      <c r="F280" s="8">
        <f>SUM(F279)</f>
        <v>2800</v>
      </c>
    </row>
    <row r="281" spans="1:6" s="9" customFormat="1" x14ac:dyDescent="0.25">
      <c r="C281" s="5"/>
      <c r="E281" s="10"/>
      <c r="F281" s="10"/>
    </row>
    <row r="282" spans="1:6" s="9" customFormat="1" x14ac:dyDescent="0.25">
      <c r="A282" s="9" t="s">
        <v>40</v>
      </c>
      <c r="B282" s="4">
        <v>45934</v>
      </c>
      <c r="C282" s="5">
        <v>10</v>
      </c>
      <c r="D282" s="9" t="s">
        <v>13</v>
      </c>
      <c r="E282" s="10">
        <v>160</v>
      </c>
      <c r="F282" s="10">
        <f t="shared" si="4"/>
        <v>1600</v>
      </c>
    </row>
    <row r="283" spans="1:6" s="9" customFormat="1" x14ac:dyDescent="0.25">
      <c r="C283" s="5">
        <v>15</v>
      </c>
      <c r="D283" s="9" t="s">
        <v>22</v>
      </c>
      <c r="E283" s="10">
        <v>140</v>
      </c>
      <c r="F283" s="10">
        <f t="shared" si="4"/>
        <v>2100</v>
      </c>
    </row>
    <row r="284" spans="1:6" s="9" customFormat="1" x14ac:dyDescent="0.25">
      <c r="C284" s="5"/>
      <c r="E284" s="10"/>
      <c r="F284" s="8">
        <f>SUM(F282:F283)</f>
        <v>3700</v>
      </c>
    </row>
    <row r="285" spans="1:6" s="9" customFormat="1" x14ac:dyDescent="0.25">
      <c r="C285" s="5"/>
      <c r="E285" s="10"/>
      <c r="F285" s="10"/>
    </row>
    <row r="286" spans="1:6" s="9" customFormat="1" x14ac:dyDescent="0.25">
      <c r="A286" s="9" t="s">
        <v>305</v>
      </c>
      <c r="B286" s="4">
        <v>45934</v>
      </c>
      <c r="C286" s="5">
        <v>140</v>
      </c>
      <c r="D286" s="9" t="s">
        <v>13</v>
      </c>
      <c r="E286" s="10">
        <v>150</v>
      </c>
      <c r="F286" s="10">
        <f t="shared" si="4"/>
        <v>21000</v>
      </c>
    </row>
    <row r="287" spans="1:6" x14ac:dyDescent="0.25">
      <c r="B287" s="4"/>
      <c r="C287" s="5">
        <v>100</v>
      </c>
      <c r="D287" s="9" t="s">
        <v>12</v>
      </c>
      <c r="E287" s="10">
        <v>145</v>
      </c>
      <c r="F287" s="10">
        <f t="shared" si="4"/>
        <v>14500</v>
      </c>
    </row>
    <row r="288" spans="1:6" x14ac:dyDescent="0.25">
      <c r="B288" s="9"/>
      <c r="C288" s="5">
        <v>150</v>
      </c>
      <c r="D288" s="9" t="s">
        <v>49</v>
      </c>
      <c r="E288" s="10">
        <v>155</v>
      </c>
      <c r="F288" s="10">
        <f t="shared" si="4"/>
        <v>23250</v>
      </c>
    </row>
    <row r="289" spans="1:6" x14ac:dyDescent="0.25">
      <c r="B289" s="9"/>
      <c r="C289" s="5">
        <v>150</v>
      </c>
      <c r="D289" s="9" t="s">
        <v>11</v>
      </c>
      <c r="E289" s="10">
        <v>145</v>
      </c>
      <c r="F289" s="10">
        <f t="shared" si="4"/>
        <v>21750</v>
      </c>
    </row>
    <row r="290" spans="1:6" x14ac:dyDescent="0.25">
      <c r="B290" s="9"/>
      <c r="C290" s="5">
        <v>300</v>
      </c>
      <c r="D290" s="9" t="s">
        <v>14</v>
      </c>
      <c r="E290" s="10">
        <v>150</v>
      </c>
      <c r="F290" s="10">
        <f t="shared" si="4"/>
        <v>45000</v>
      </c>
    </row>
    <row r="291" spans="1:6" x14ac:dyDescent="0.25">
      <c r="B291" s="9"/>
      <c r="D291" s="9"/>
      <c r="F291" s="8">
        <f>SUM(F286:F290)</f>
        <v>125500</v>
      </c>
    </row>
    <row r="292" spans="1:6" x14ac:dyDescent="0.25">
      <c r="B292" s="9"/>
      <c r="D292" s="9"/>
    </row>
    <row r="293" spans="1:6" x14ac:dyDescent="0.25">
      <c r="A293" t="s">
        <v>61</v>
      </c>
      <c r="B293" s="4">
        <v>45934</v>
      </c>
      <c r="C293" s="11">
        <v>60</v>
      </c>
      <c r="D293" s="9" t="s">
        <v>13</v>
      </c>
      <c r="E293" s="10">
        <v>160</v>
      </c>
      <c r="F293" s="10">
        <f t="shared" si="4"/>
        <v>9600</v>
      </c>
    </row>
    <row r="294" spans="1:6" x14ac:dyDescent="0.25">
      <c r="B294" s="9"/>
      <c r="D294" s="9"/>
      <c r="F294" s="8">
        <f>SUM(F293)</f>
        <v>9600</v>
      </c>
    </row>
    <row r="295" spans="1:6" x14ac:dyDescent="0.25">
      <c r="B295" s="9"/>
      <c r="D295" s="9"/>
    </row>
    <row r="296" spans="1:6" x14ac:dyDescent="0.25">
      <c r="A296" t="s">
        <v>127</v>
      </c>
      <c r="B296" s="4">
        <v>45934</v>
      </c>
      <c r="C296" s="5">
        <v>40</v>
      </c>
      <c r="D296" s="9" t="s">
        <v>13</v>
      </c>
      <c r="E296" s="10">
        <v>160</v>
      </c>
      <c r="F296" s="10">
        <f t="shared" si="4"/>
        <v>6400</v>
      </c>
    </row>
    <row r="297" spans="1:6" x14ac:dyDescent="0.25">
      <c r="B297" s="9"/>
      <c r="D297" s="9"/>
      <c r="F297" s="8">
        <f>SUM(F296)</f>
        <v>6400</v>
      </c>
    </row>
    <row r="298" spans="1:6" x14ac:dyDescent="0.25">
      <c r="B298" s="9"/>
      <c r="D298" s="9"/>
    </row>
    <row r="299" spans="1:6" x14ac:dyDescent="0.25">
      <c r="A299" t="s">
        <v>487</v>
      </c>
      <c r="B299" s="4">
        <v>45934</v>
      </c>
      <c r="C299" s="5">
        <v>5</v>
      </c>
      <c r="D299" s="9" t="s">
        <v>12</v>
      </c>
      <c r="E299" s="10">
        <v>150</v>
      </c>
      <c r="F299" s="10">
        <f t="shared" si="4"/>
        <v>750</v>
      </c>
    </row>
    <row r="300" spans="1:6" x14ac:dyDescent="0.25">
      <c r="B300" s="9"/>
      <c r="D300" s="9"/>
      <c r="F300" s="8">
        <f>SUM(F299)</f>
        <v>750</v>
      </c>
    </row>
    <row r="301" spans="1:6" x14ac:dyDescent="0.25">
      <c r="B301" s="9"/>
      <c r="D301" s="9"/>
    </row>
    <row r="302" spans="1:6" x14ac:dyDescent="0.25">
      <c r="A302" t="s">
        <v>26</v>
      </c>
      <c r="B302" s="4">
        <v>45934</v>
      </c>
      <c r="C302" s="5">
        <v>1000</v>
      </c>
      <c r="D302" s="9" t="s">
        <v>13</v>
      </c>
      <c r="E302" s="10">
        <v>150</v>
      </c>
      <c r="F302" s="10">
        <f t="shared" si="4"/>
        <v>150000</v>
      </c>
    </row>
    <row r="303" spans="1:6" x14ac:dyDescent="0.25">
      <c r="B303" s="9"/>
      <c r="D303" s="9"/>
      <c r="F303" s="8">
        <f>SUM(F302)</f>
        <v>150000</v>
      </c>
    </row>
    <row r="304" spans="1:6" x14ac:dyDescent="0.25">
      <c r="B304" s="9"/>
      <c r="D304" s="9"/>
    </row>
    <row r="305" spans="1:6" x14ac:dyDescent="0.25">
      <c r="A305" t="s">
        <v>245</v>
      </c>
      <c r="B305" s="4">
        <v>45934</v>
      </c>
      <c r="C305" s="5">
        <v>20</v>
      </c>
      <c r="D305" s="9" t="s">
        <v>14</v>
      </c>
      <c r="E305" s="10">
        <v>150</v>
      </c>
      <c r="F305" s="10">
        <f t="shared" si="4"/>
        <v>3000</v>
      </c>
    </row>
    <row r="306" spans="1:6" x14ac:dyDescent="0.25">
      <c r="B306" s="9"/>
      <c r="D306" s="9"/>
      <c r="F306" s="8">
        <f>SUM(F305)</f>
        <v>3000</v>
      </c>
    </row>
    <row r="307" spans="1:6" x14ac:dyDescent="0.25">
      <c r="B307" s="4"/>
      <c r="D307" s="9"/>
    </row>
    <row r="308" spans="1:6" x14ac:dyDescent="0.25">
      <c r="A308" t="s">
        <v>62</v>
      </c>
      <c r="B308" s="4">
        <v>45934</v>
      </c>
      <c r="C308" s="5">
        <v>30</v>
      </c>
      <c r="D308" s="9" t="s">
        <v>1011</v>
      </c>
      <c r="E308" s="10">
        <v>165</v>
      </c>
      <c r="F308" s="10">
        <f t="shared" si="4"/>
        <v>4950</v>
      </c>
    </row>
    <row r="309" spans="1:6" x14ac:dyDescent="0.25">
      <c r="B309" s="9"/>
      <c r="D309" s="9"/>
      <c r="F309" s="8">
        <f>SUM(F308)</f>
        <v>4950</v>
      </c>
    </row>
    <row r="310" spans="1:6" x14ac:dyDescent="0.25">
      <c r="B310" s="4"/>
      <c r="D310" s="9"/>
    </row>
    <row r="311" spans="1:6" x14ac:dyDescent="0.25">
      <c r="A311" t="s">
        <v>68</v>
      </c>
      <c r="B311" s="4">
        <v>45934</v>
      </c>
      <c r="C311" s="5">
        <v>4</v>
      </c>
      <c r="D311" s="9" t="s">
        <v>13</v>
      </c>
      <c r="E311" s="10">
        <v>160</v>
      </c>
      <c r="F311" s="10">
        <f t="shared" si="4"/>
        <v>640</v>
      </c>
    </row>
    <row r="312" spans="1:6" x14ac:dyDescent="0.25">
      <c r="B312" s="9"/>
      <c r="D312" s="9"/>
      <c r="F312" s="8">
        <f>SUM(F311)</f>
        <v>640</v>
      </c>
    </row>
    <row r="313" spans="1:6" x14ac:dyDescent="0.25">
      <c r="B313" s="4"/>
      <c r="D313" s="9"/>
    </row>
    <row r="314" spans="1:6" x14ac:dyDescent="0.25">
      <c r="A314" t="s">
        <v>114</v>
      </c>
      <c r="B314" s="4">
        <v>45934</v>
      </c>
      <c r="C314" s="5">
        <v>4</v>
      </c>
      <c r="D314" s="9" t="s">
        <v>13</v>
      </c>
      <c r="E314" s="10">
        <v>160</v>
      </c>
      <c r="F314" s="10">
        <f t="shared" si="4"/>
        <v>640</v>
      </c>
    </row>
    <row r="315" spans="1:6" x14ac:dyDescent="0.25">
      <c r="B315" s="9"/>
      <c r="D315" s="9"/>
      <c r="F315" s="8">
        <f>SUM(F314)</f>
        <v>640</v>
      </c>
    </row>
    <row r="316" spans="1:6" x14ac:dyDescent="0.25">
      <c r="B316" s="4"/>
      <c r="D316" s="9"/>
    </row>
    <row r="317" spans="1:6" x14ac:dyDescent="0.25">
      <c r="A317" t="s">
        <v>65</v>
      </c>
      <c r="B317" s="4">
        <v>45934</v>
      </c>
      <c r="C317" s="5">
        <v>1200</v>
      </c>
      <c r="D317" s="9" t="s">
        <v>12</v>
      </c>
      <c r="F317" s="10">
        <f t="shared" si="4"/>
        <v>0</v>
      </c>
    </row>
    <row r="318" spans="1:6" x14ac:dyDescent="0.25">
      <c r="B318" s="9"/>
      <c r="C318" s="5">
        <v>500</v>
      </c>
      <c r="D318" s="9" t="s">
        <v>13</v>
      </c>
      <c r="F318" s="10">
        <f t="shared" si="4"/>
        <v>0</v>
      </c>
    </row>
    <row r="319" spans="1:6" x14ac:dyDescent="0.25">
      <c r="B319" s="4"/>
      <c r="C319" s="5">
        <v>300</v>
      </c>
      <c r="D319" s="9" t="s">
        <v>11</v>
      </c>
      <c r="F319" s="10">
        <f t="shared" si="4"/>
        <v>0</v>
      </c>
    </row>
    <row r="320" spans="1:6" x14ac:dyDescent="0.25">
      <c r="B320" s="9"/>
      <c r="C320" s="5">
        <v>100</v>
      </c>
      <c r="D320" s="9" t="s">
        <v>14</v>
      </c>
      <c r="F320" s="10">
        <f t="shared" si="4"/>
        <v>0</v>
      </c>
    </row>
    <row r="321" spans="1:6" x14ac:dyDescent="0.25">
      <c r="B321" s="9"/>
      <c r="D321" s="9"/>
      <c r="F321" s="8">
        <f>SUM(F317:F320)</f>
        <v>0</v>
      </c>
    </row>
    <row r="322" spans="1:6" x14ac:dyDescent="0.25">
      <c r="B322" s="4"/>
      <c r="D322" s="9"/>
    </row>
    <row r="323" spans="1:6" x14ac:dyDescent="0.25">
      <c r="A323" t="s">
        <v>610</v>
      </c>
      <c r="B323" s="4">
        <v>45934</v>
      </c>
      <c r="C323" s="5">
        <v>7</v>
      </c>
      <c r="D323" s="9" t="s">
        <v>14</v>
      </c>
      <c r="E323" s="10">
        <v>150</v>
      </c>
      <c r="F323" s="10">
        <f t="shared" si="4"/>
        <v>1050</v>
      </c>
    </row>
    <row r="324" spans="1:6" x14ac:dyDescent="0.25">
      <c r="B324" s="9"/>
      <c r="D324" s="9"/>
      <c r="F324" s="8">
        <f>SUM(F323)</f>
        <v>1050</v>
      </c>
    </row>
    <row r="325" spans="1:6" x14ac:dyDescent="0.25">
      <c r="B325" s="9"/>
      <c r="D325" s="9"/>
    </row>
    <row r="326" spans="1:6" x14ac:dyDescent="0.25">
      <c r="A326" t="s">
        <v>1012</v>
      </c>
      <c r="B326" s="4">
        <v>45934</v>
      </c>
      <c r="C326" s="5">
        <v>250</v>
      </c>
      <c r="D326" s="9" t="s">
        <v>13</v>
      </c>
      <c r="E326" s="10">
        <v>150</v>
      </c>
      <c r="F326" s="10">
        <f t="shared" ref="F326:F385" si="5">+C326*E326</f>
        <v>37500</v>
      </c>
    </row>
    <row r="327" spans="1:6" x14ac:dyDescent="0.25">
      <c r="B327" s="4"/>
      <c r="C327" s="5">
        <v>180</v>
      </c>
      <c r="D327" s="9" t="s">
        <v>12</v>
      </c>
      <c r="E327" s="10">
        <v>145</v>
      </c>
      <c r="F327" s="10">
        <f t="shared" si="5"/>
        <v>26100</v>
      </c>
    </row>
    <row r="328" spans="1:6" x14ac:dyDescent="0.25">
      <c r="B328" s="9"/>
      <c r="C328" s="5">
        <v>20</v>
      </c>
      <c r="D328" s="9" t="s">
        <v>14</v>
      </c>
      <c r="E328" s="10">
        <v>145</v>
      </c>
      <c r="F328" s="10">
        <f t="shared" si="5"/>
        <v>2900</v>
      </c>
    </row>
    <row r="329" spans="1:6" x14ac:dyDescent="0.25">
      <c r="B329" s="9"/>
      <c r="C329" s="5">
        <v>100</v>
      </c>
      <c r="D329" s="9" t="s">
        <v>11</v>
      </c>
      <c r="E329" s="10">
        <v>140</v>
      </c>
      <c r="F329" s="10">
        <f t="shared" si="5"/>
        <v>14000</v>
      </c>
    </row>
    <row r="330" spans="1:6" x14ac:dyDescent="0.25">
      <c r="B330" s="9"/>
      <c r="D330" s="9"/>
      <c r="F330" s="8">
        <f>SUM(F326:F329)</f>
        <v>80500</v>
      </c>
    </row>
    <row r="331" spans="1:6" x14ac:dyDescent="0.25">
      <c r="B331" s="9"/>
      <c r="D331" s="9"/>
    </row>
    <row r="332" spans="1:6" x14ac:dyDescent="0.25">
      <c r="A332" t="s">
        <v>1013</v>
      </c>
      <c r="B332" s="4">
        <v>45934</v>
      </c>
      <c r="C332" s="5">
        <v>6</v>
      </c>
      <c r="D332" s="9" t="s">
        <v>13</v>
      </c>
      <c r="E332" s="10">
        <v>160</v>
      </c>
      <c r="F332" s="10">
        <f t="shared" si="5"/>
        <v>960</v>
      </c>
    </row>
    <row r="333" spans="1:6" x14ac:dyDescent="0.25">
      <c r="B333" s="9"/>
      <c r="C333" s="5">
        <v>2</v>
      </c>
      <c r="D333" s="9" t="s">
        <v>13</v>
      </c>
      <c r="E333" s="10">
        <v>160</v>
      </c>
      <c r="F333" s="10">
        <f t="shared" si="5"/>
        <v>320</v>
      </c>
    </row>
    <row r="334" spans="1:6" x14ac:dyDescent="0.25">
      <c r="B334" s="4"/>
      <c r="C334" s="5">
        <v>1</v>
      </c>
      <c r="D334" s="9" t="s">
        <v>8</v>
      </c>
      <c r="E334" s="10">
        <v>170</v>
      </c>
      <c r="F334" s="10">
        <f t="shared" si="5"/>
        <v>170</v>
      </c>
    </row>
    <row r="335" spans="1:6" x14ac:dyDescent="0.25">
      <c r="B335" s="9"/>
      <c r="C335" s="5">
        <v>1</v>
      </c>
      <c r="D335" s="9" t="s">
        <v>8</v>
      </c>
      <c r="E335" s="10">
        <v>150</v>
      </c>
      <c r="F335" s="10">
        <f t="shared" si="5"/>
        <v>150</v>
      </c>
    </row>
    <row r="336" spans="1:6" x14ac:dyDescent="0.25">
      <c r="B336" s="9"/>
      <c r="D336" s="9"/>
      <c r="F336" s="8">
        <f>SUM(F332:F335)</f>
        <v>1600</v>
      </c>
    </row>
    <row r="337" spans="1:6" x14ac:dyDescent="0.25">
      <c r="B337" s="4"/>
      <c r="D337" s="9"/>
    </row>
    <row r="338" spans="1:6" x14ac:dyDescent="0.25">
      <c r="A338" t="s">
        <v>7</v>
      </c>
      <c r="B338" s="4">
        <v>45934</v>
      </c>
      <c r="C338" s="5">
        <v>1</v>
      </c>
      <c r="D338" s="9" t="s">
        <v>30</v>
      </c>
      <c r="E338" s="10">
        <v>140</v>
      </c>
      <c r="F338" s="10">
        <f t="shared" si="5"/>
        <v>140</v>
      </c>
    </row>
    <row r="339" spans="1:6" x14ac:dyDescent="0.25">
      <c r="B339" s="9"/>
      <c r="C339" s="11">
        <v>0.5</v>
      </c>
      <c r="D339" s="9" t="s">
        <v>1014</v>
      </c>
      <c r="E339" s="10">
        <v>150</v>
      </c>
      <c r="F339" s="10">
        <f t="shared" si="5"/>
        <v>75</v>
      </c>
    </row>
    <row r="340" spans="1:6" x14ac:dyDescent="0.25">
      <c r="B340" s="4"/>
      <c r="C340" s="5">
        <v>2</v>
      </c>
      <c r="D340" s="9" t="s">
        <v>13</v>
      </c>
      <c r="E340" s="10">
        <v>160</v>
      </c>
      <c r="F340" s="10">
        <f t="shared" si="5"/>
        <v>320</v>
      </c>
    </row>
    <row r="341" spans="1:6" x14ac:dyDescent="0.25">
      <c r="B341" s="9"/>
      <c r="C341" s="5">
        <v>2</v>
      </c>
      <c r="D341" s="9" t="s">
        <v>13</v>
      </c>
      <c r="E341" s="10">
        <v>160</v>
      </c>
      <c r="F341" s="10">
        <f t="shared" si="5"/>
        <v>320</v>
      </c>
    </row>
    <row r="342" spans="1:6" x14ac:dyDescent="0.25">
      <c r="B342" s="9"/>
      <c r="D342" s="9"/>
      <c r="F342" s="8">
        <f>SUM(F338:F341)</f>
        <v>855</v>
      </c>
    </row>
    <row r="343" spans="1:6" x14ac:dyDescent="0.25">
      <c r="B343" s="4"/>
      <c r="D343" s="9"/>
    </row>
    <row r="344" spans="1:6" x14ac:dyDescent="0.25">
      <c r="A344" t="s">
        <v>101</v>
      </c>
      <c r="B344" s="4">
        <v>45935</v>
      </c>
      <c r="C344" s="5">
        <v>2</v>
      </c>
      <c r="D344" s="9" t="s">
        <v>12</v>
      </c>
      <c r="E344" s="10">
        <v>150</v>
      </c>
      <c r="F344" s="10">
        <f t="shared" si="5"/>
        <v>300</v>
      </c>
    </row>
    <row r="345" spans="1:6" x14ac:dyDescent="0.25">
      <c r="B345" s="9"/>
      <c r="C345" s="5">
        <v>1</v>
      </c>
      <c r="D345" s="9" t="s">
        <v>8</v>
      </c>
      <c r="E345" s="10">
        <v>170</v>
      </c>
      <c r="F345" s="10">
        <f t="shared" si="5"/>
        <v>170</v>
      </c>
    </row>
    <row r="346" spans="1:6" x14ac:dyDescent="0.25">
      <c r="B346" s="4"/>
      <c r="C346" s="5">
        <v>3</v>
      </c>
      <c r="D346" s="9" t="s">
        <v>13</v>
      </c>
      <c r="E346" s="10">
        <v>140</v>
      </c>
      <c r="F346" s="10">
        <f t="shared" si="5"/>
        <v>420</v>
      </c>
    </row>
    <row r="347" spans="1:6" x14ac:dyDescent="0.25">
      <c r="B347" s="9"/>
      <c r="C347" s="5">
        <v>1</v>
      </c>
      <c r="D347" s="9" t="s">
        <v>1015</v>
      </c>
      <c r="E347" s="10">
        <v>0</v>
      </c>
      <c r="F347" s="10">
        <f t="shared" si="5"/>
        <v>0</v>
      </c>
    </row>
    <row r="348" spans="1:6" x14ac:dyDescent="0.25">
      <c r="B348" s="9"/>
      <c r="D348" s="9"/>
      <c r="F348" s="8">
        <f>SUM(F344:F347)</f>
        <v>890</v>
      </c>
    </row>
    <row r="349" spans="1:6" x14ac:dyDescent="0.25">
      <c r="B349" s="4"/>
      <c r="D349" s="9"/>
    </row>
    <row r="350" spans="1:6" x14ac:dyDescent="0.25">
      <c r="A350" t="s">
        <v>7</v>
      </c>
      <c r="B350" s="4">
        <v>45935</v>
      </c>
      <c r="C350" s="11">
        <v>0.5</v>
      </c>
      <c r="D350" s="9" t="s">
        <v>170</v>
      </c>
      <c r="E350" s="10">
        <v>100</v>
      </c>
      <c r="F350" s="10">
        <f t="shared" si="5"/>
        <v>50</v>
      </c>
    </row>
    <row r="351" spans="1:6" x14ac:dyDescent="0.25">
      <c r="B351" s="9"/>
      <c r="C351" s="11">
        <v>0.5</v>
      </c>
      <c r="D351" s="9" t="s">
        <v>170</v>
      </c>
      <c r="E351" s="10">
        <v>100</v>
      </c>
      <c r="F351" s="10">
        <f t="shared" si="5"/>
        <v>50</v>
      </c>
    </row>
    <row r="352" spans="1:6" x14ac:dyDescent="0.25">
      <c r="B352" s="4"/>
      <c r="C352" s="11">
        <v>0.5</v>
      </c>
      <c r="D352" s="9" t="s">
        <v>170</v>
      </c>
      <c r="E352" s="10">
        <v>100</v>
      </c>
      <c r="F352" s="10">
        <f t="shared" si="5"/>
        <v>50</v>
      </c>
    </row>
    <row r="353" spans="1:6" x14ac:dyDescent="0.25">
      <c r="B353" s="9"/>
      <c r="C353" s="5">
        <v>15</v>
      </c>
      <c r="D353" s="9" t="s">
        <v>161</v>
      </c>
      <c r="E353" s="10">
        <v>145</v>
      </c>
      <c r="F353" s="10">
        <f t="shared" si="5"/>
        <v>2175</v>
      </c>
    </row>
    <row r="354" spans="1:6" x14ac:dyDescent="0.25">
      <c r="B354" s="9"/>
      <c r="D354" s="9"/>
      <c r="F354" s="8">
        <f>SUM(F350:F353)</f>
        <v>2325</v>
      </c>
    </row>
    <row r="355" spans="1:6" x14ac:dyDescent="0.25">
      <c r="B355" s="9"/>
      <c r="D355" s="9"/>
    </row>
    <row r="356" spans="1:6" x14ac:dyDescent="0.25">
      <c r="A356" t="s">
        <v>724</v>
      </c>
      <c r="B356" s="4">
        <v>45936</v>
      </c>
      <c r="C356" s="5">
        <v>15</v>
      </c>
      <c r="D356" s="9" t="s">
        <v>98</v>
      </c>
      <c r="E356" s="10">
        <v>110</v>
      </c>
      <c r="F356" s="10">
        <f t="shared" si="5"/>
        <v>1650</v>
      </c>
    </row>
    <row r="357" spans="1:6" x14ac:dyDescent="0.25">
      <c r="B357" s="4"/>
      <c r="D357" s="9"/>
      <c r="F357" s="8">
        <f>SUM(F356)</f>
        <v>1650</v>
      </c>
    </row>
    <row r="358" spans="1:6" x14ac:dyDescent="0.25">
      <c r="B358" s="9"/>
      <c r="D358" s="9"/>
    </row>
    <row r="359" spans="1:6" x14ac:dyDescent="0.25">
      <c r="A359" t="s">
        <v>15</v>
      </c>
      <c r="B359" s="4">
        <v>45936</v>
      </c>
      <c r="C359" s="5">
        <v>60</v>
      </c>
      <c r="D359" s="9" t="s">
        <v>98</v>
      </c>
      <c r="E359" s="10">
        <v>110</v>
      </c>
      <c r="F359" s="10">
        <f t="shared" si="5"/>
        <v>6600</v>
      </c>
    </row>
    <row r="360" spans="1:6" x14ac:dyDescent="0.25">
      <c r="B360" s="4"/>
      <c r="D360" s="9"/>
      <c r="F360" s="8">
        <f>SUM(F359)</f>
        <v>6600</v>
      </c>
    </row>
    <row r="361" spans="1:6" x14ac:dyDescent="0.25">
      <c r="B361" s="9"/>
      <c r="D361" s="9"/>
    </row>
    <row r="362" spans="1:6" x14ac:dyDescent="0.25">
      <c r="A362" t="s">
        <v>58</v>
      </c>
      <c r="B362" s="4">
        <v>45936</v>
      </c>
      <c r="C362" s="5">
        <v>7</v>
      </c>
      <c r="D362" s="9" t="s">
        <v>13</v>
      </c>
      <c r="E362" s="10">
        <v>155</v>
      </c>
      <c r="F362" s="10">
        <f t="shared" si="5"/>
        <v>1085</v>
      </c>
    </row>
    <row r="363" spans="1:6" x14ac:dyDescent="0.25">
      <c r="B363" s="4"/>
      <c r="D363" s="9"/>
      <c r="F363" s="8">
        <f>SUM(F362)</f>
        <v>1085</v>
      </c>
    </row>
    <row r="364" spans="1:6" x14ac:dyDescent="0.25">
      <c r="B364" s="9"/>
      <c r="D364" s="9"/>
    </row>
    <row r="365" spans="1:6" x14ac:dyDescent="0.25">
      <c r="A365" t="s">
        <v>79</v>
      </c>
      <c r="B365" s="4">
        <v>45936</v>
      </c>
      <c r="C365" s="5">
        <v>10</v>
      </c>
      <c r="D365" s="9" t="s">
        <v>13</v>
      </c>
      <c r="E365" s="10">
        <v>155</v>
      </c>
      <c r="F365" s="10">
        <f t="shared" si="5"/>
        <v>1550</v>
      </c>
    </row>
    <row r="366" spans="1:6" x14ac:dyDescent="0.25">
      <c r="B366" s="4"/>
      <c r="D366" s="9"/>
      <c r="F366" s="8">
        <f>SUM(F365)</f>
        <v>1550</v>
      </c>
    </row>
    <row r="367" spans="1:6" x14ac:dyDescent="0.25">
      <c r="B367" s="9"/>
      <c r="D367" s="9"/>
    </row>
    <row r="368" spans="1:6" x14ac:dyDescent="0.25">
      <c r="A368" t="s">
        <v>20</v>
      </c>
      <c r="B368" s="4">
        <v>45936</v>
      </c>
      <c r="C368" s="5">
        <v>20</v>
      </c>
      <c r="D368" s="9" t="s">
        <v>8</v>
      </c>
      <c r="E368" s="10">
        <v>165</v>
      </c>
      <c r="F368" s="10">
        <f t="shared" si="5"/>
        <v>3300</v>
      </c>
    </row>
    <row r="369" spans="1:6" x14ac:dyDescent="0.25">
      <c r="B369" s="9"/>
      <c r="C369" s="5">
        <v>20</v>
      </c>
      <c r="D369" s="9" t="s">
        <v>13</v>
      </c>
      <c r="E369" s="10">
        <v>160</v>
      </c>
      <c r="F369" s="10">
        <f t="shared" si="5"/>
        <v>3200</v>
      </c>
    </row>
    <row r="370" spans="1:6" x14ac:dyDescent="0.25">
      <c r="B370" s="4"/>
      <c r="D370" s="9"/>
      <c r="F370" s="8">
        <f>SUM(F368:F369)</f>
        <v>6500</v>
      </c>
    </row>
    <row r="371" spans="1:6" x14ac:dyDescent="0.25">
      <c r="B371" s="9"/>
      <c r="D371" s="9"/>
    </row>
    <row r="372" spans="1:6" x14ac:dyDescent="0.25">
      <c r="A372" t="s">
        <v>1016</v>
      </c>
      <c r="B372" s="4">
        <v>45936</v>
      </c>
      <c r="C372" s="5">
        <v>10</v>
      </c>
      <c r="D372" s="9" t="s">
        <v>8</v>
      </c>
      <c r="E372" s="10">
        <v>165</v>
      </c>
      <c r="F372" s="10">
        <f t="shared" si="5"/>
        <v>1650</v>
      </c>
    </row>
    <row r="373" spans="1:6" x14ac:dyDescent="0.25">
      <c r="B373" s="9"/>
      <c r="C373" s="5">
        <v>20</v>
      </c>
      <c r="D373" s="9" t="s">
        <v>12</v>
      </c>
      <c r="E373" s="10">
        <v>150</v>
      </c>
      <c r="F373" s="10">
        <f t="shared" si="5"/>
        <v>3000</v>
      </c>
    </row>
    <row r="374" spans="1:6" x14ac:dyDescent="0.25">
      <c r="B374" s="4"/>
      <c r="C374" s="5">
        <v>32</v>
      </c>
      <c r="D374" s="9" t="s">
        <v>50</v>
      </c>
      <c r="E374" s="10">
        <v>135</v>
      </c>
      <c r="F374" s="10">
        <f t="shared" si="5"/>
        <v>4320</v>
      </c>
    </row>
    <row r="375" spans="1:6" x14ac:dyDescent="0.25">
      <c r="B375" s="9"/>
      <c r="C375" s="5">
        <v>20</v>
      </c>
      <c r="D375" s="9" t="s">
        <v>13</v>
      </c>
      <c r="E375" s="10">
        <v>160</v>
      </c>
      <c r="F375" s="10">
        <f t="shared" si="5"/>
        <v>3200</v>
      </c>
    </row>
    <row r="376" spans="1:6" x14ac:dyDescent="0.25">
      <c r="B376" s="9"/>
      <c r="D376" s="9"/>
      <c r="F376" s="8">
        <f>SUM(F372:F375)</f>
        <v>12170</v>
      </c>
    </row>
    <row r="377" spans="1:6" x14ac:dyDescent="0.25">
      <c r="B377" s="9"/>
      <c r="D377" s="9"/>
    </row>
    <row r="378" spans="1:6" x14ac:dyDescent="0.25">
      <c r="A378" t="s">
        <v>1017</v>
      </c>
      <c r="B378" s="4">
        <v>45936</v>
      </c>
      <c r="C378" s="5">
        <v>15</v>
      </c>
      <c r="D378" s="9" t="s">
        <v>12</v>
      </c>
      <c r="E378" s="10">
        <v>150</v>
      </c>
      <c r="F378" s="10">
        <f t="shared" si="5"/>
        <v>2250</v>
      </c>
    </row>
    <row r="379" spans="1:6" x14ac:dyDescent="0.25">
      <c r="B379" s="4"/>
      <c r="C379" s="5">
        <v>15</v>
      </c>
      <c r="D379" s="9" t="s">
        <v>13</v>
      </c>
      <c r="E379" s="10">
        <v>160</v>
      </c>
      <c r="F379" s="10">
        <f t="shared" si="5"/>
        <v>2400</v>
      </c>
    </row>
    <row r="380" spans="1:6" x14ac:dyDescent="0.25">
      <c r="B380" s="9"/>
      <c r="C380" s="5">
        <v>15</v>
      </c>
      <c r="D380" s="9" t="s">
        <v>22</v>
      </c>
      <c r="E380" s="10">
        <v>140</v>
      </c>
      <c r="F380" s="10">
        <f t="shared" si="5"/>
        <v>2100</v>
      </c>
    </row>
    <row r="381" spans="1:6" x14ac:dyDescent="0.25">
      <c r="B381" s="9"/>
      <c r="C381" s="5">
        <v>12</v>
      </c>
      <c r="D381" s="9"/>
      <c r="E381" s="10">
        <v>165</v>
      </c>
      <c r="F381" s="10">
        <f t="shared" si="5"/>
        <v>1980</v>
      </c>
    </row>
    <row r="382" spans="1:6" x14ac:dyDescent="0.25">
      <c r="B382" s="9"/>
      <c r="D382" s="9"/>
      <c r="F382" s="8">
        <f>SUM(F378:F381)</f>
        <v>8730</v>
      </c>
    </row>
    <row r="383" spans="1:6" x14ac:dyDescent="0.25">
      <c r="B383" s="9"/>
      <c r="D383" s="9"/>
    </row>
    <row r="384" spans="1:6" x14ac:dyDescent="0.25">
      <c r="A384" t="s">
        <v>39</v>
      </c>
      <c r="B384" s="4">
        <v>45936</v>
      </c>
      <c r="C384" s="5">
        <v>30</v>
      </c>
      <c r="D384" s="9" t="s">
        <v>8</v>
      </c>
      <c r="E384" s="10">
        <v>165</v>
      </c>
      <c r="F384" s="10">
        <f t="shared" si="5"/>
        <v>4950</v>
      </c>
    </row>
    <row r="385" spans="1:6" x14ac:dyDescent="0.25">
      <c r="B385" s="4"/>
      <c r="C385" s="5">
        <v>10</v>
      </c>
      <c r="D385" s="9" t="s">
        <v>14</v>
      </c>
      <c r="E385" s="10">
        <v>155</v>
      </c>
      <c r="F385" s="10">
        <f t="shared" si="5"/>
        <v>1550</v>
      </c>
    </row>
    <row r="386" spans="1:6" x14ac:dyDescent="0.25">
      <c r="B386" s="9"/>
      <c r="D386" s="9"/>
      <c r="F386" s="8">
        <f>SUM(F384:F385)</f>
        <v>6500</v>
      </c>
    </row>
    <row r="387" spans="1:6" x14ac:dyDescent="0.25">
      <c r="B387" s="9"/>
      <c r="D387" s="9"/>
    </row>
    <row r="388" spans="1:6" x14ac:dyDescent="0.25">
      <c r="A388" t="s">
        <v>40</v>
      </c>
      <c r="B388" s="4">
        <v>45936</v>
      </c>
      <c r="C388" s="5">
        <v>20</v>
      </c>
      <c r="D388" s="9" t="s">
        <v>14</v>
      </c>
      <c r="E388" s="10">
        <v>155</v>
      </c>
      <c r="F388" s="10">
        <f t="shared" ref="F388:F451" si="6">+C388*E388</f>
        <v>3100</v>
      </c>
    </row>
    <row r="389" spans="1:6" x14ac:dyDescent="0.25">
      <c r="B389" s="9"/>
      <c r="C389" s="5">
        <v>10</v>
      </c>
      <c r="D389" s="9" t="s">
        <v>1018</v>
      </c>
      <c r="E389" s="10">
        <v>135</v>
      </c>
      <c r="F389" s="10">
        <f t="shared" si="6"/>
        <v>1350</v>
      </c>
    </row>
    <row r="390" spans="1:6" x14ac:dyDescent="0.25">
      <c r="B390" s="4"/>
      <c r="C390" s="5">
        <v>15</v>
      </c>
      <c r="D390" s="9" t="s">
        <v>22</v>
      </c>
      <c r="E390" s="10">
        <v>140</v>
      </c>
      <c r="F390" s="10">
        <f t="shared" si="6"/>
        <v>2100</v>
      </c>
    </row>
    <row r="391" spans="1:6" x14ac:dyDescent="0.25">
      <c r="B391" s="9"/>
      <c r="C391" s="5">
        <v>15</v>
      </c>
      <c r="D391" s="9" t="s">
        <v>8</v>
      </c>
      <c r="E391" s="10">
        <v>165</v>
      </c>
      <c r="F391" s="10">
        <f t="shared" si="6"/>
        <v>2475</v>
      </c>
    </row>
    <row r="392" spans="1:6" x14ac:dyDescent="0.25">
      <c r="B392" s="9"/>
      <c r="D392" s="9"/>
      <c r="F392" s="8">
        <f>SUM(F388:F391)</f>
        <v>9025</v>
      </c>
    </row>
    <row r="393" spans="1:6" x14ac:dyDescent="0.25">
      <c r="B393" s="9"/>
      <c r="D393" s="9"/>
    </row>
    <row r="394" spans="1:6" x14ac:dyDescent="0.25">
      <c r="A394" t="s">
        <v>1019</v>
      </c>
      <c r="B394" s="4">
        <v>45936</v>
      </c>
      <c r="C394" s="5">
        <v>5</v>
      </c>
      <c r="D394" s="9" t="s">
        <v>8</v>
      </c>
      <c r="E394" s="10">
        <v>165</v>
      </c>
      <c r="F394" s="10">
        <f t="shared" si="6"/>
        <v>825</v>
      </c>
    </row>
    <row r="395" spans="1:6" x14ac:dyDescent="0.25">
      <c r="B395" s="9"/>
      <c r="D395" s="9"/>
      <c r="F395" s="8">
        <f>SUM(F394)</f>
        <v>825</v>
      </c>
    </row>
    <row r="396" spans="1:6" x14ac:dyDescent="0.25">
      <c r="B396" s="9"/>
      <c r="D396" s="9"/>
    </row>
    <row r="397" spans="1:6" x14ac:dyDescent="0.25">
      <c r="A397" t="s">
        <v>609</v>
      </c>
      <c r="B397" s="4">
        <v>45936</v>
      </c>
      <c r="C397" s="5">
        <v>100</v>
      </c>
      <c r="D397" s="9" t="s">
        <v>13</v>
      </c>
      <c r="E397" s="10">
        <v>150</v>
      </c>
      <c r="F397" s="10">
        <f t="shared" si="6"/>
        <v>15000</v>
      </c>
    </row>
    <row r="398" spans="1:6" x14ac:dyDescent="0.25">
      <c r="B398" s="9"/>
      <c r="C398" s="5">
        <v>20</v>
      </c>
      <c r="D398" s="9" t="s">
        <v>8</v>
      </c>
      <c r="E398" s="10">
        <v>155</v>
      </c>
      <c r="F398" s="10">
        <f t="shared" si="6"/>
        <v>3100</v>
      </c>
    </row>
    <row r="399" spans="1:6" x14ac:dyDescent="0.25">
      <c r="B399" s="4"/>
      <c r="C399" s="5">
        <v>20</v>
      </c>
      <c r="D399" s="9" t="s">
        <v>22</v>
      </c>
      <c r="E399" s="10">
        <v>125</v>
      </c>
      <c r="F399" s="10">
        <f t="shared" si="6"/>
        <v>2500</v>
      </c>
    </row>
    <row r="400" spans="1:6" x14ac:dyDescent="0.25">
      <c r="B400" s="9"/>
      <c r="D400" s="9"/>
      <c r="F400" s="8">
        <f>SUM(F397:F399)</f>
        <v>20600</v>
      </c>
    </row>
    <row r="401" spans="1:6" x14ac:dyDescent="0.25">
      <c r="B401" s="9"/>
      <c r="D401" s="9"/>
    </row>
    <row r="402" spans="1:6" x14ac:dyDescent="0.25">
      <c r="A402" t="s">
        <v>89</v>
      </c>
      <c r="B402" s="4">
        <v>45936</v>
      </c>
      <c r="C402" s="5">
        <v>20</v>
      </c>
      <c r="D402" s="9" t="s">
        <v>13</v>
      </c>
      <c r="E402" s="10">
        <v>150</v>
      </c>
      <c r="F402" s="10">
        <f t="shared" si="6"/>
        <v>3000</v>
      </c>
    </row>
    <row r="403" spans="1:6" x14ac:dyDescent="0.25">
      <c r="B403" s="9"/>
      <c r="C403" s="5">
        <v>60</v>
      </c>
      <c r="D403" s="9" t="s">
        <v>12</v>
      </c>
      <c r="E403" s="10">
        <v>145</v>
      </c>
      <c r="F403" s="10">
        <f t="shared" si="6"/>
        <v>8700</v>
      </c>
    </row>
    <row r="404" spans="1:6" x14ac:dyDescent="0.25">
      <c r="B404" s="9"/>
      <c r="D404" s="9"/>
      <c r="F404" s="8">
        <f>SUM(F402:F403)</f>
        <v>11700</v>
      </c>
    </row>
    <row r="405" spans="1:6" x14ac:dyDescent="0.25">
      <c r="B405" s="9"/>
      <c r="D405" s="9"/>
    </row>
    <row r="406" spans="1:6" x14ac:dyDescent="0.25">
      <c r="A406" t="s">
        <v>684</v>
      </c>
      <c r="B406" s="4">
        <v>45936</v>
      </c>
      <c r="C406" s="5">
        <v>4</v>
      </c>
      <c r="D406" s="9" t="s">
        <v>13</v>
      </c>
      <c r="E406" s="10">
        <v>140</v>
      </c>
      <c r="F406" s="10">
        <f t="shared" si="6"/>
        <v>560</v>
      </c>
    </row>
    <row r="407" spans="1:6" x14ac:dyDescent="0.25">
      <c r="B407" s="4"/>
      <c r="D407" s="9"/>
      <c r="F407" s="8">
        <f>SUM(F406)</f>
        <v>560</v>
      </c>
    </row>
    <row r="408" spans="1:6" x14ac:dyDescent="0.25">
      <c r="B408" s="9"/>
      <c r="D408" s="9"/>
    </row>
    <row r="409" spans="1:6" x14ac:dyDescent="0.25">
      <c r="A409" t="s">
        <v>103</v>
      </c>
      <c r="B409" s="4">
        <v>45936</v>
      </c>
      <c r="C409" s="5">
        <v>4</v>
      </c>
      <c r="D409" s="9" t="s">
        <v>13</v>
      </c>
      <c r="E409" s="10">
        <v>160</v>
      </c>
      <c r="F409" s="10">
        <f t="shared" si="6"/>
        <v>640</v>
      </c>
    </row>
    <row r="410" spans="1:6" x14ac:dyDescent="0.25">
      <c r="B410" s="9"/>
      <c r="D410" s="9"/>
      <c r="F410" s="8">
        <f>SUM(F409)</f>
        <v>640</v>
      </c>
    </row>
    <row r="411" spans="1:6" x14ac:dyDescent="0.25">
      <c r="B411" s="9"/>
      <c r="D411" s="9"/>
    </row>
    <row r="412" spans="1:6" x14ac:dyDescent="0.25">
      <c r="A412" t="s">
        <v>1020</v>
      </c>
      <c r="B412" s="4">
        <v>45936</v>
      </c>
      <c r="C412" s="5">
        <v>30</v>
      </c>
      <c r="D412" s="9" t="s">
        <v>13</v>
      </c>
      <c r="E412" s="10">
        <v>150</v>
      </c>
      <c r="F412" s="10">
        <f t="shared" si="6"/>
        <v>4500</v>
      </c>
    </row>
    <row r="413" spans="1:6" x14ac:dyDescent="0.25">
      <c r="B413" s="4"/>
      <c r="D413" s="9"/>
      <c r="F413" s="8">
        <f>SUM(F412)</f>
        <v>4500</v>
      </c>
    </row>
    <row r="414" spans="1:6" x14ac:dyDescent="0.25">
      <c r="B414" s="9"/>
      <c r="D414" s="9"/>
    </row>
    <row r="415" spans="1:6" x14ac:dyDescent="0.25">
      <c r="A415" t="s">
        <v>41</v>
      </c>
      <c r="B415" s="4">
        <v>45936</v>
      </c>
      <c r="C415" s="5">
        <v>35</v>
      </c>
      <c r="D415" s="9" t="s">
        <v>14</v>
      </c>
      <c r="E415" s="10">
        <v>140</v>
      </c>
      <c r="F415" s="10">
        <f t="shared" si="6"/>
        <v>4900</v>
      </c>
    </row>
    <row r="416" spans="1:6" x14ac:dyDescent="0.25">
      <c r="B416" s="4"/>
      <c r="D416" s="9"/>
      <c r="F416" s="8">
        <f>SUM(F415)</f>
        <v>4900</v>
      </c>
    </row>
    <row r="417" spans="1:6" x14ac:dyDescent="0.25">
      <c r="B417" s="9"/>
      <c r="D417" s="9"/>
    </row>
    <row r="418" spans="1:6" x14ac:dyDescent="0.25">
      <c r="A418" t="s">
        <v>1021</v>
      </c>
      <c r="B418" s="4">
        <v>45936</v>
      </c>
      <c r="C418" s="5">
        <v>15</v>
      </c>
      <c r="D418" s="9" t="s">
        <v>13</v>
      </c>
      <c r="E418" s="10">
        <v>155</v>
      </c>
      <c r="F418" s="10">
        <f t="shared" si="6"/>
        <v>2325</v>
      </c>
    </row>
    <row r="419" spans="1:6" x14ac:dyDescent="0.25">
      <c r="B419" s="9"/>
      <c r="D419" s="9"/>
      <c r="F419" s="8">
        <f>SUM(F418)</f>
        <v>2325</v>
      </c>
    </row>
    <row r="420" spans="1:6" x14ac:dyDescent="0.25">
      <c r="B420" s="4"/>
      <c r="D420" s="9"/>
    </row>
    <row r="421" spans="1:6" x14ac:dyDescent="0.25">
      <c r="A421" t="s">
        <v>43</v>
      </c>
      <c r="B421" s="4">
        <v>45936</v>
      </c>
      <c r="C421" s="5">
        <v>30</v>
      </c>
      <c r="D421" s="9" t="s">
        <v>49</v>
      </c>
      <c r="E421" s="10">
        <v>160</v>
      </c>
      <c r="F421" s="10">
        <f t="shared" si="6"/>
        <v>4800</v>
      </c>
    </row>
    <row r="422" spans="1:6" x14ac:dyDescent="0.25">
      <c r="B422" s="9"/>
      <c r="C422" s="5">
        <v>10</v>
      </c>
      <c r="D422" s="9" t="s">
        <v>13</v>
      </c>
      <c r="E422" s="10">
        <v>155</v>
      </c>
      <c r="F422" s="10">
        <f t="shared" si="6"/>
        <v>1550</v>
      </c>
    </row>
    <row r="423" spans="1:6" x14ac:dyDescent="0.25">
      <c r="B423" s="4"/>
      <c r="D423" s="9"/>
      <c r="F423" s="8">
        <f>SUM(F421:F422)</f>
        <v>6350</v>
      </c>
    </row>
    <row r="424" spans="1:6" x14ac:dyDescent="0.25">
      <c r="B424" s="9"/>
      <c r="D424" s="9"/>
    </row>
    <row r="425" spans="1:6" x14ac:dyDescent="0.25">
      <c r="A425" t="s">
        <v>960</v>
      </c>
      <c r="B425" s="4">
        <v>45936</v>
      </c>
      <c r="C425" s="5">
        <v>10</v>
      </c>
      <c r="D425" s="9" t="s">
        <v>14</v>
      </c>
      <c r="E425" s="10">
        <v>155</v>
      </c>
      <c r="F425" s="10">
        <f t="shared" si="6"/>
        <v>1550</v>
      </c>
    </row>
    <row r="426" spans="1:6" x14ac:dyDescent="0.25">
      <c r="B426" s="4"/>
      <c r="D426" s="9"/>
      <c r="F426" s="8">
        <f>SUM(F425)</f>
        <v>1550</v>
      </c>
    </row>
    <row r="427" spans="1:6" x14ac:dyDescent="0.25">
      <c r="B427" s="9"/>
      <c r="D427" s="9"/>
    </row>
    <row r="428" spans="1:6" x14ac:dyDescent="0.25">
      <c r="A428" t="s">
        <v>44</v>
      </c>
      <c r="B428" s="4">
        <v>45936</v>
      </c>
      <c r="C428" s="5">
        <v>70</v>
      </c>
      <c r="D428" s="9" t="s">
        <v>14</v>
      </c>
      <c r="E428" s="10">
        <v>155</v>
      </c>
      <c r="F428" s="10">
        <f t="shared" si="6"/>
        <v>10850</v>
      </c>
    </row>
    <row r="429" spans="1:6" x14ac:dyDescent="0.25">
      <c r="B429" s="4"/>
      <c r="D429" s="9"/>
      <c r="F429" s="8">
        <f>SUM(F428)</f>
        <v>10850</v>
      </c>
    </row>
    <row r="430" spans="1:6" x14ac:dyDescent="0.25">
      <c r="B430" s="9"/>
      <c r="D430" s="9"/>
    </row>
    <row r="431" spans="1:6" x14ac:dyDescent="0.25">
      <c r="A431" t="s">
        <v>18</v>
      </c>
      <c r="B431" s="4">
        <v>45936</v>
      </c>
      <c r="C431" s="5">
        <v>20</v>
      </c>
      <c r="D431" s="9" t="s">
        <v>50</v>
      </c>
      <c r="E431" s="10">
        <v>140</v>
      </c>
      <c r="F431" s="10">
        <f t="shared" si="6"/>
        <v>2800</v>
      </c>
    </row>
    <row r="432" spans="1:6" x14ac:dyDescent="0.25">
      <c r="B432" s="4"/>
      <c r="D432" s="9"/>
      <c r="F432" s="8">
        <f>SUM(F431)</f>
        <v>2800</v>
      </c>
    </row>
    <row r="433" spans="1:6" x14ac:dyDescent="0.25">
      <c r="B433" s="9"/>
      <c r="D433" s="9"/>
    </row>
    <row r="434" spans="1:6" x14ac:dyDescent="0.25">
      <c r="A434" t="s">
        <v>42</v>
      </c>
      <c r="B434" s="4">
        <v>45936</v>
      </c>
      <c r="C434" s="5">
        <v>10</v>
      </c>
      <c r="D434" s="9" t="s">
        <v>14</v>
      </c>
      <c r="E434" s="10">
        <v>155</v>
      </c>
      <c r="F434" s="10">
        <f t="shared" si="6"/>
        <v>1550</v>
      </c>
    </row>
    <row r="435" spans="1:6" x14ac:dyDescent="0.25">
      <c r="B435" s="4"/>
      <c r="D435" s="9"/>
      <c r="F435" s="8">
        <f>SUM(F434)</f>
        <v>1550</v>
      </c>
    </row>
    <row r="436" spans="1:6" x14ac:dyDescent="0.25">
      <c r="B436" s="9"/>
      <c r="D436" s="9"/>
    </row>
    <row r="437" spans="1:6" x14ac:dyDescent="0.25">
      <c r="A437" t="s">
        <v>138</v>
      </c>
      <c r="B437" s="4">
        <v>45936</v>
      </c>
      <c r="C437" s="5">
        <v>20</v>
      </c>
      <c r="D437" s="9" t="s">
        <v>14</v>
      </c>
      <c r="E437" s="10">
        <v>155</v>
      </c>
      <c r="F437" s="10">
        <f t="shared" si="6"/>
        <v>3100</v>
      </c>
    </row>
    <row r="438" spans="1:6" x14ac:dyDescent="0.25">
      <c r="B438" s="4"/>
      <c r="C438" s="5">
        <v>12</v>
      </c>
      <c r="D438" s="9" t="s">
        <v>14</v>
      </c>
      <c r="E438" s="10">
        <v>155</v>
      </c>
      <c r="F438" s="10">
        <f t="shared" si="6"/>
        <v>1860</v>
      </c>
    </row>
    <row r="439" spans="1:6" x14ac:dyDescent="0.25">
      <c r="B439" s="9"/>
      <c r="D439" s="9"/>
      <c r="F439" s="8">
        <f>SUM(F437:F438)</f>
        <v>4960</v>
      </c>
    </row>
    <row r="440" spans="1:6" x14ac:dyDescent="0.25">
      <c r="B440" s="9"/>
      <c r="D440" s="9"/>
    </row>
    <row r="441" spans="1:6" x14ac:dyDescent="0.25">
      <c r="A441" t="s">
        <v>76</v>
      </c>
      <c r="B441" s="4">
        <v>45936</v>
      </c>
      <c r="C441" s="5">
        <v>337</v>
      </c>
      <c r="D441" s="9" t="s">
        <v>14</v>
      </c>
      <c r="E441" s="10">
        <v>148</v>
      </c>
      <c r="F441" s="10">
        <f t="shared" si="6"/>
        <v>49876</v>
      </c>
    </row>
    <row r="442" spans="1:6" x14ac:dyDescent="0.25">
      <c r="B442" s="9"/>
      <c r="C442" s="5">
        <v>130</v>
      </c>
      <c r="D442" s="9" t="s">
        <v>11</v>
      </c>
      <c r="E442" s="10">
        <v>143</v>
      </c>
      <c r="F442" s="10">
        <f t="shared" si="6"/>
        <v>18590</v>
      </c>
    </row>
    <row r="443" spans="1:6" x14ac:dyDescent="0.25">
      <c r="B443" s="9"/>
      <c r="C443" s="5">
        <v>10</v>
      </c>
      <c r="D443" s="9" t="s">
        <v>50</v>
      </c>
      <c r="E443" s="10">
        <v>120</v>
      </c>
      <c r="F443" s="10">
        <f t="shared" si="6"/>
        <v>1200</v>
      </c>
    </row>
    <row r="444" spans="1:6" x14ac:dyDescent="0.25">
      <c r="B444" s="9"/>
      <c r="D444" s="9"/>
      <c r="F444" s="8">
        <f>SUM(F441:F443)</f>
        <v>69666</v>
      </c>
    </row>
    <row r="445" spans="1:6" x14ac:dyDescent="0.25">
      <c r="B445" s="9"/>
      <c r="D445" s="9"/>
    </row>
    <row r="446" spans="1:6" x14ac:dyDescent="0.25">
      <c r="A446" t="s">
        <v>330</v>
      </c>
      <c r="B446" s="4">
        <v>45936</v>
      </c>
      <c r="C446" s="5">
        <v>200</v>
      </c>
      <c r="D446" s="9" t="s">
        <v>14</v>
      </c>
      <c r="F446" s="10">
        <f t="shared" si="6"/>
        <v>0</v>
      </c>
    </row>
    <row r="447" spans="1:6" x14ac:dyDescent="0.25">
      <c r="B447" s="4"/>
      <c r="C447" s="5">
        <v>100</v>
      </c>
      <c r="D447" s="9" t="s">
        <v>11</v>
      </c>
      <c r="F447" s="10">
        <f t="shared" si="6"/>
        <v>0</v>
      </c>
    </row>
    <row r="448" spans="1:6" x14ac:dyDescent="0.25">
      <c r="B448" s="9"/>
      <c r="D448" s="9"/>
      <c r="F448" s="8">
        <f>SUM(F446:F447)</f>
        <v>0</v>
      </c>
    </row>
    <row r="449" spans="1:6" x14ac:dyDescent="0.25">
      <c r="B449" s="9"/>
      <c r="D449" s="9"/>
    </row>
    <row r="450" spans="1:6" x14ac:dyDescent="0.25">
      <c r="A450" t="s">
        <v>29</v>
      </c>
      <c r="B450" s="4">
        <v>45936</v>
      </c>
      <c r="C450" s="5">
        <v>3</v>
      </c>
      <c r="D450" s="9" t="s">
        <v>8</v>
      </c>
      <c r="E450" s="10">
        <v>170</v>
      </c>
      <c r="F450" s="10">
        <f t="shared" si="6"/>
        <v>510</v>
      </c>
    </row>
    <row r="451" spans="1:6" x14ac:dyDescent="0.25">
      <c r="B451" s="9"/>
      <c r="C451" s="5">
        <v>3</v>
      </c>
      <c r="D451" s="9" t="s">
        <v>1022</v>
      </c>
      <c r="E451" s="10">
        <v>155</v>
      </c>
      <c r="F451" s="10">
        <f t="shared" si="6"/>
        <v>465</v>
      </c>
    </row>
    <row r="452" spans="1:6" x14ac:dyDescent="0.25">
      <c r="B452" s="9"/>
      <c r="C452" s="5">
        <v>1</v>
      </c>
      <c r="D452" s="9" t="s">
        <v>12</v>
      </c>
      <c r="E452" s="10">
        <v>150</v>
      </c>
      <c r="F452" s="10">
        <f t="shared" ref="F452:F513" si="7">+C452*E452</f>
        <v>150</v>
      </c>
    </row>
    <row r="453" spans="1:6" x14ac:dyDescent="0.25">
      <c r="B453" s="4"/>
      <c r="D453" s="9"/>
      <c r="F453" s="8">
        <f>SUM(F450:F452)</f>
        <v>1125</v>
      </c>
    </row>
    <row r="454" spans="1:6" x14ac:dyDescent="0.25">
      <c r="B454" s="9"/>
      <c r="D454" s="9"/>
    </row>
    <row r="455" spans="1:6" x14ac:dyDescent="0.25">
      <c r="A455" t="s">
        <v>7</v>
      </c>
      <c r="B455" s="4">
        <v>45936</v>
      </c>
      <c r="C455" s="5">
        <v>1</v>
      </c>
      <c r="D455" s="9" t="s">
        <v>13</v>
      </c>
      <c r="E455" s="10">
        <v>160</v>
      </c>
      <c r="F455" s="10">
        <f t="shared" si="7"/>
        <v>160</v>
      </c>
    </row>
    <row r="456" spans="1:6" x14ac:dyDescent="0.25">
      <c r="B456" s="4"/>
      <c r="C456" s="5">
        <v>1</v>
      </c>
      <c r="D456" s="9" t="s">
        <v>1022</v>
      </c>
      <c r="E456" s="10">
        <v>155</v>
      </c>
      <c r="F456" s="10">
        <f t="shared" si="7"/>
        <v>155</v>
      </c>
    </row>
    <row r="457" spans="1:6" x14ac:dyDescent="0.25">
      <c r="B457" s="9"/>
      <c r="C457" s="5">
        <v>10</v>
      </c>
      <c r="D457" s="9" t="s">
        <v>168</v>
      </c>
      <c r="E457" s="10">
        <v>150</v>
      </c>
      <c r="F457" s="10">
        <f t="shared" si="7"/>
        <v>1500</v>
      </c>
    </row>
    <row r="458" spans="1:6" x14ac:dyDescent="0.25">
      <c r="B458" s="9"/>
      <c r="D458" s="9"/>
      <c r="F458" s="8">
        <f>SUM(F455:F457)</f>
        <v>1815</v>
      </c>
    </row>
    <row r="459" spans="1:6" x14ac:dyDescent="0.25">
      <c r="B459" s="4"/>
      <c r="D459" s="9"/>
    </row>
    <row r="460" spans="1:6" x14ac:dyDescent="0.25">
      <c r="A460" t="s">
        <v>292</v>
      </c>
      <c r="B460" s="4">
        <v>45937</v>
      </c>
      <c r="C460" s="5">
        <v>30</v>
      </c>
      <c r="D460" s="9" t="s">
        <v>11</v>
      </c>
      <c r="E460" s="10">
        <v>145</v>
      </c>
      <c r="F460" s="10">
        <f t="shared" si="7"/>
        <v>4350</v>
      </c>
    </row>
    <row r="461" spans="1:6" x14ac:dyDescent="0.25">
      <c r="B461" s="9"/>
      <c r="C461" s="5">
        <v>4</v>
      </c>
      <c r="D461" s="9" t="s">
        <v>8</v>
      </c>
      <c r="E461" s="10">
        <v>160</v>
      </c>
      <c r="F461" s="10">
        <f t="shared" si="7"/>
        <v>640</v>
      </c>
    </row>
    <row r="462" spans="1:6" x14ac:dyDescent="0.25">
      <c r="B462" s="9"/>
      <c r="D462" s="9"/>
      <c r="F462" s="8">
        <f>SUM(F460:F461)</f>
        <v>4990</v>
      </c>
    </row>
    <row r="463" spans="1:6" x14ac:dyDescent="0.25">
      <c r="B463" s="9"/>
      <c r="D463" s="9"/>
    </row>
    <row r="464" spans="1:6" x14ac:dyDescent="0.25">
      <c r="A464" t="s">
        <v>48</v>
      </c>
      <c r="B464" s="4">
        <v>45937</v>
      </c>
      <c r="C464" s="5">
        <v>200</v>
      </c>
      <c r="D464" s="9" t="s">
        <v>14</v>
      </c>
      <c r="E464" s="10">
        <v>148</v>
      </c>
      <c r="F464" s="10">
        <f t="shared" si="7"/>
        <v>29600</v>
      </c>
    </row>
    <row r="465" spans="1:6" x14ac:dyDescent="0.25">
      <c r="B465" s="9"/>
      <c r="C465" s="5">
        <v>100</v>
      </c>
      <c r="D465" s="9" t="s">
        <v>11</v>
      </c>
      <c r="E465" s="10">
        <v>143</v>
      </c>
      <c r="F465" s="10">
        <f t="shared" si="7"/>
        <v>14300</v>
      </c>
    </row>
    <row r="466" spans="1:6" x14ac:dyDescent="0.25">
      <c r="B466" s="9"/>
      <c r="C466" s="5">
        <v>50</v>
      </c>
      <c r="D466" s="9" t="s">
        <v>49</v>
      </c>
      <c r="E466" s="10">
        <v>150</v>
      </c>
      <c r="F466" s="10">
        <f t="shared" si="7"/>
        <v>7500</v>
      </c>
    </row>
    <row r="467" spans="1:6" x14ac:dyDescent="0.25">
      <c r="B467" s="9"/>
      <c r="D467" s="9"/>
      <c r="F467" s="8">
        <f>SUM(F464:F466)</f>
        <v>51400</v>
      </c>
    </row>
    <row r="468" spans="1:6" x14ac:dyDescent="0.25">
      <c r="B468" s="4"/>
      <c r="D468" s="9"/>
    </row>
    <row r="469" spans="1:6" x14ac:dyDescent="0.25">
      <c r="A469" t="s">
        <v>883</v>
      </c>
      <c r="B469" s="4">
        <v>45937</v>
      </c>
      <c r="C469" s="5">
        <v>38</v>
      </c>
      <c r="D469" s="9" t="s">
        <v>1023</v>
      </c>
      <c r="E469" s="10">
        <v>155</v>
      </c>
      <c r="F469" s="10">
        <f t="shared" si="7"/>
        <v>5890</v>
      </c>
    </row>
    <row r="470" spans="1:6" x14ac:dyDescent="0.25">
      <c r="B470" s="9"/>
      <c r="C470" s="5">
        <v>270</v>
      </c>
      <c r="D470" s="9" t="s">
        <v>1024</v>
      </c>
      <c r="E470" s="10">
        <v>145</v>
      </c>
      <c r="F470" s="10">
        <f t="shared" si="7"/>
        <v>39150</v>
      </c>
    </row>
    <row r="471" spans="1:6" x14ac:dyDescent="0.25">
      <c r="B471" s="9"/>
      <c r="C471" s="5">
        <v>77</v>
      </c>
      <c r="D471" s="9" t="s">
        <v>1025</v>
      </c>
      <c r="E471" s="10">
        <v>140</v>
      </c>
      <c r="F471" s="10">
        <f t="shared" si="7"/>
        <v>10780</v>
      </c>
    </row>
    <row r="472" spans="1:6" x14ac:dyDescent="0.25">
      <c r="B472" s="4"/>
      <c r="C472" s="5">
        <v>47</v>
      </c>
      <c r="D472" s="9" t="s">
        <v>50</v>
      </c>
      <c r="E472" s="10">
        <v>120</v>
      </c>
      <c r="F472" s="10">
        <f t="shared" si="7"/>
        <v>5640</v>
      </c>
    </row>
    <row r="473" spans="1:6" x14ac:dyDescent="0.25">
      <c r="B473" s="9"/>
      <c r="C473" s="5">
        <v>52</v>
      </c>
      <c r="D473" s="9" t="s">
        <v>22</v>
      </c>
      <c r="E473" s="10">
        <v>125</v>
      </c>
      <c r="F473" s="10">
        <f t="shared" si="7"/>
        <v>6500</v>
      </c>
    </row>
    <row r="474" spans="1:6" x14ac:dyDescent="0.25">
      <c r="B474" s="9"/>
      <c r="D474" s="9"/>
      <c r="F474" s="8">
        <f>SUM(F469:F473)</f>
        <v>67960</v>
      </c>
    </row>
    <row r="475" spans="1:6" x14ac:dyDescent="0.25">
      <c r="B475" s="9"/>
      <c r="D475" s="9"/>
    </row>
    <row r="476" spans="1:6" x14ac:dyDescent="0.25">
      <c r="A476" t="s">
        <v>68</v>
      </c>
      <c r="B476" s="4">
        <v>45937</v>
      </c>
      <c r="C476" s="5">
        <v>4</v>
      </c>
      <c r="D476" s="9" t="s">
        <v>13</v>
      </c>
      <c r="E476" s="10">
        <v>160</v>
      </c>
      <c r="F476" s="10">
        <f t="shared" si="7"/>
        <v>640</v>
      </c>
    </row>
    <row r="477" spans="1:6" x14ac:dyDescent="0.25">
      <c r="B477" s="9"/>
      <c r="D477" s="9"/>
      <c r="F477" s="8">
        <f>SUM(F476)</f>
        <v>640</v>
      </c>
    </row>
    <row r="478" spans="1:6" x14ac:dyDescent="0.25">
      <c r="B478" s="9"/>
      <c r="D478" s="9"/>
    </row>
    <row r="479" spans="1:6" x14ac:dyDescent="0.25">
      <c r="A479" t="s">
        <v>102</v>
      </c>
      <c r="B479" s="4">
        <v>45937</v>
      </c>
      <c r="C479" s="5">
        <v>6</v>
      </c>
      <c r="D479" s="9" t="s">
        <v>13</v>
      </c>
      <c r="E479" s="10">
        <v>160</v>
      </c>
      <c r="F479" s="10">
        <f t="shared" si="7"/>
        <v>960</v>
      </c>
    </row>
    <row r="480" spans="1:6" x14ac:dyDescent="0.25">
      <c r="B480" s="9"/>
      <c r="D480" s="9"/>
      <c r="F480" s="8">
        <f>SUM(F479)</f>
        <v>960</v>
      </c>
    </row>
    <row r="481" spans="1:6" x14ac:dyDescent="0.25">
      <c r="B481" s="9"/>
      <c r="D481" s="9"/>
    </row>
    <row r="482" spans="1:6" x14ac:dyDescent="0.25">
      <c r="A482" t="s">
        <v>128</v>
      </c>
      <c r="B482" s="4">
        <v>45937</v>
      </c>
      <c r="C482" s="5">
        <v>5</v>
      </c>
      <c r="D482" s="9" t="s">
        <v>8</v>
      </c>
      <c r="E482" s="10">
        <v>165</v>
      </c>
      <c r="F482" s="10">
        <f t="shared" si="7"/>
        <v>825</v>
      </c>
    </row>
    <row r="483" spans="1:6" x14ac:dyDescent="0.25">
      <c r="B483" s="9"/>
      <c r="D483" s="9"/>
      <c r="F483" s="8">
        <f>SUM(F482)</f>
        <v>825</v>
      </c>
    </row>
    <row r="484" spans="1:6" x14ac:dyDescent="0.25">
      <c r="B484" s="9"/>
      <c r="D484" s="9"/>
    </row>
    <row r="485" spans="1:6" x14ac:dyDescent="0.25">
      <c r="A485" t="s">
        <v>160</v>
      </c>
      <c r="B485" s="4">
        <v>45937</v>
      </c>
      <c r="C485" s="5">
        <v>5</v>
      </c>
      <c r="D485" s="9" t="s">
        <v>12</v>
      </c>
      <c r="E485" s="10">
        <v>150</v>
      </c>
      <c r="F485" s="10">
        <f t="shared" si="7"/>
        <v>750</v>
      </c>
    </row>
    <row r="486" spans="1:6" x14ac:dyDescent="0.25">
      <c r="B486" s="9"/>
      <c r="D486" s="9"/>
      <c r="F486" s="8">
        <f>SUM(F485)</f>
        <v>750</v>
      </c>
    </row>
    <row r="487" spans="1:6" x14ac:dyDescent="0.25">
      <c r="B487" s="9"/>
      <c r="D487" s="9"/>
    </row>
    <row r="488" spans="1:6" x14ac:dyDescent="0.25">
      <c r="A488" t="s">
        <v>1026</v>
      </c>
      <c r="B488" s="4">
        <v>45937</v>
      </c>
      <c r="C488" s="5">
        <v>5</v>
      </c>
      <c r="D488" s="9" t="s">
        <v>12</v>
      </c>
      <c r="E488" s="10">
        <v>150</v>
      </c>
      <c r="F488" s="10">
        <f t="shared" si="7"/>
        <v>750</v>
      </c>
    </row>
    <row r="489" spans="1:6" x14ac:dyDescent="0.25">
      <c r="B489" s="9"/>
      <c r="D489" s="9"/>
      <c r="F489" s="8">
        <f>SUM(F488)</f>
        <v>750</v>
      </c>
    </row>
    <row r="490" spans="1:6" x14ac:dyDescent="0.25">
      <c r="B490" s="9"/>
      <c r="D490" s="9"/>
    </row>
    <row r="491" spans="1:6" x14ac:dyDescent="0.25">
      <c r="A491" t="s">
        <v>85</v>
      </c>
      <c r="B491" s="4">
        <v>45937</v>
      </c>
      <c r="C491" s="5">
        <v>100</v>
      </c>
      <c r="D491" s="9" t="s">
        <v>13</v>
      </c>
      <c r="E491" s="10">
        <v>150</v>
      </c>
      <c r="F491" s="10">
        <f t="shared" si="7"/>
        <v>15000</v>
      </c>
    </row>
    <row r="492" spans="1:6" x14ac:dyDescent="0.25">
      <c r="B492" s="9"/>
      <c r="D492" s="9"/>
      <c r="F492" s="8">
        <f>SUM(F491)</f>
        <v>15000</v>
      </c>
    </row>
    <row r="493" spans="1:6" x14ac:dyDescent="0.25">
      <c r="B493" s="9"/>
      <c r="D493" s="9"/>
    </row>
    <row r="494" spans="1:6" x14ac:dyDescent="0.25">
      <c r="A494" t="s">
        <v>85</v>
      </c>
      <c r="B494" s="4">
        <v>45937</v>
      </c>
      <c r="C494" s="5">
        <v>10</v>
      </c>
      <c r="D494" s="9" t="s">
        <v>8</v>
      </c>
      <c r="E494" s="10">
        <v>165</v>
      </c>
      <c r="F494" s="10">
        <f t="shared" si="7"/>
        <v>1650</v>
      </c>
    </row>
    <row r="495" spans="1:6" x14ac:dyDescent="0.25">
      <c r="B495" s="9"/>
      <c r="D495" s="9"/>
      <c r="F495" s="8">
        <f>SUM(F494)</f>
        <v>1650</v>
      </c>
    </row>
    <row r="496" spans="1:6" x14ac:dyDescent="0.25">
      <c r="B496" s="9"/>
      <c r="D496" s="9"/>
    </row>
    <row r="497" spans="1:6" x14ac:dyDescent="0.25">
      <c r="A497" t="s">
        <v>538</v>
      </c>
      <c r="B497" s="4">
        <v>45937</v>
      </c>
      <c r="C497" s="5">
        <v>100</v>
      </c>
      <c r="D497" s="9" t="s">
        <v>13</v>
      </c>
      <c r="E497" s="10">
        <v>150</v>
      </c>
      <c r="F497" s="10">
        <f t="shared" si="7"/>
        <v>15000</v>
      </c>
    </row>
    <row r="498" spans="1:6" x14ac:dyDescent="0.25">
      <c r="B498" s="9"/>
      <c r="C498" s="5">
        <v>50</v>
      </c>
      <c r="D498" s="9" t="s">
        <v>22</v>
      </c>
      <c r="E498" s="10">
        <v>125</v>
      </c>
      <c r="F498" s="10">
        <f t="shared" si="7"/>
        <v>6250</v>
      </c>
    </row>
    <row r="499" spans="1:6" x14ac:dyDescent="0.25">
      <c r="B499" s="9"/>
      <c r="C499" s="5">
        <v>30</v>
      </c>
      <c r="D499" s="9" t="s">
        <v>22</v>
      </c>
      <c r="E499" s="10">
        <v>138</v>
      </c>
      <c r="F499" s="10">
        <f t="shared" si="7"/>
        <v>4140</v>
      </c>
    </row>
    <row r="500" spans="1:6" x14ac:dyDescent="0.25">
      <c r="B500" s="9"/>
      <c r="C500" s="5">
        <v>20</v>
      </c>
      <c r="D500" s="9" t="s">
        <v>14</v>
      </c>
      <c r="E500" s="10">
        <v>150</v>
      </c>
      <c r="F500" s="10">
        <f t="shared" si="7"/>
        <v>3000</v>
      </c>
    </row>
    <row r="501" spans="1:6" x14ac:dyDescent="0.25">
      <c r="B501" s="9"/>
      <c r="C501" s="5">
        <v>40</v>
      </c>
      <c r="D501" s="9" t="s">
        <v>11</v>
      </c>
      <c r="E501" s="10">
        <v>145</v>
      </c>
      <c r="F501" s="10">
        <f t="shared" si="7"/>
        <v>5800</v>
      </c>
    </row>
    <row r="502" spans="1:6" x14ac:dyDescent="0.25">
      <c r="B502" s="9"/>
      <c r="D502" s="9"/>
      <c r="F502" s="8">
        <f>SUM(F497:F501)</f>
        <v>34190</v>
      </c>
    </row>
    <row r="503" spans="1:6" x14ac:dyDescent="0.25">
      <c r="B503" s="4"/>
      <c r="D503" s="9"/>
    </row>
    <row r="504" spans="1:6" x14ac:dyDescent="0.25">
      <c r="A504" t="s">
        <v>61</v>
      </c>
      <c r="B504" s="4">
        <v>45937</v>
      </c>
      <c r="C504" s="5">
        <v>60</v>
      </c>
      <c r="D504" s="9" t="s">
        <v>13</v>
      </c>
      <c r="E504" s="10">
        <v>160</v>
      </c>
      <c r="F504" s="10">
        <f t="shared" si="7"/>
        <v>9600</v>
      </c>
    </row>
    <row r="505" spans="1:6" x14ac:dyDescent="0.25">
      <c r="B505" s="9"/>
      <c r="D505" s="9"/>
      <c r="F505" s="8">
        <f>SUM(F504)</f>
        <v>9600</v>
      </c>
    </row>
    <row r="506" spans="1:6" x14ac:dyDescent="0.25">
      <c r="B506" s="9"/>
      <c r="D506" s="9"/>
    </row>
    <row r="507" spans="1:6" x14ac:dyDescent="0.25">
      <c r="A507" t="s">
        <v>255</v>
      </c>
      <c r="B507" s="4">
        <v>45937</v>
      </c>
      <c r="C507" s="5">
        <v>60</v>
      </c>
      <c r="D507" s="9" t="s">
        <v>8</v>
      </c>
      <c r="E507" s="10">
        <v>165</v>
      </c>
      <c r="F507" s="10">
        <f t="shared" si="7"/>
        <v>9900</v>
      </c>
    </row>
    <row r="508" spans="1:6" x14ac:dyDescent="0.25">
      <c r="B508" s="9"/>
      <c r="D508" s="9"/>
      <c r="F508" s="8">
        <f>SUM(F507)</f>
        <v>9900</v>
      </c>
    </row>
    <row r="509" spans="1:6" x14ac:dyDescent="0.25">
      <c r="B509" s="9"/>
      <c r="D509" s="9"/>
    </row>
    <row r="510" spans="1:6" x14ac:dyDescent="0.25">
      <c r="A510" t="s">
        <v>101</v>
      </c>
      <c r="B510" s="4">
        <v>45937</v>
      </c>
      <c r="C510" s="5">
        <v>1</v>
      </c>
      <c r="D510" s="9" t="s">
        <v>13</v>
      </c>
      <c r="E510" s="10">
        <v>140</v>
      </c>
      <c r="F510" s="10">
        <f t="shared" si="7"/>
        <v>140</v>
      </c>
    </row>
    <row r="511" spans="1:6" x14ac:dyDescent="0.25">
      <c r="B511" s="4"/>
      <c r="D511" s="9"/>
      <c r="F511" s="8">
        <f>SUM(F510)</f>
        <v>140</v>
      </c>
    </row>
    <row r="512" spans="1:6" x14ac:dyDescent="0.25">
      <c r="B512" s="9"/>
      <c r="D512" s="9"/>
    </row>
    <row r="513" spans="1:6" x14ac:dyDescent="0.25">
      <c r="A513" t="s">
        <v>7</v>
      </c>
      <c r="B513" s="4">
        <v>45937</v>
      </c>
      <c r="C513" s="5">
        <v>1</v>
      </c>
      <c r="D513" s="9" t="s">
        <v>13</v>
      </c>
      <c r="E513" s="10">
        <v>140</v>
      </c>
      <c r="F513" s="10">
        <f t="shared" si="7"/>
        <v>140</v>
      </c>
    </row>
    <row r="514" spans="1:6" x14ac:dyDescent="0.25">
      <c r="B514" s="9"/>
      <c r="D514" s="9"/>
      <c r="F514" s="8">
        <f>SUM(F513)</f>
        <v>140</v>
      </c>
    </row>
    <row r="515" spans="1:6" x14ac:dyDescent="0.25">
      <c r="B515" s="9"/>
      <c r="D515" s="9"/>
    </row>
    <row r="516" spans="1:6" x14ac:dyDescent="0.25">
      <c r="A516" t="s">
        <v>174</v>
      </c>
      <c r="B516" s="4">
        <v>45938</v>
      </c>
      <c r="C516" s="5">
        <v>70</v>
      </c>
      <c r="D516" s="9" t="s">
        <v>22</v>
      </c>
      <c r="E516" s="10">
        <v>135</v>
      </c>
      <c r="F516" s="10">
        <f t="shared" ref="F516:F578" si="8">+C516*E516</f>
        <v>9450</v>
      </c>
    </row>
    <row r="517" spans="1:6" x14ac:dyDescent="0.25">
      <c r="B517" s="9"/>
      <c r="C517" s="5">
        <v>70</v>
      </c>
      <c r="D517" s="9" t="s">
        <v>12</v>
      </c>
      <c r="E517" s="10">
        <v>145</v>
      </c>
      <c r="F517" s="10">
        <f t="shared" si="8"/>
        <v>10150</v>
      </c>
    </row>
    <row r="518" spans="1:6" x14ac:dyDescent="0.25">
      <c r="B518" s="4"/>
      <c r="D518" s="9"/>
      <c r="F518" s="8">
        <f>SUM(F516:F517)</f>
        <v>19600</v>
      </c>
    </row>
    <row r="519" spans="1:6" x14ac:dyDescent="0.25">
      <c r="B519" s="9"/>
      <c r="D519" s="9"/>
    </row>
    <row r="520" spans="1:6" x14ac:dyDescent="0.25">
      <c r="A520" t="s">
        <v>957</v>
      </c>
      <c r="B520" s="4">
        <v>45938</v>
      </c>
      <c r="C520" s="5">
        <v>15</v>
      </c>
      <c r="D520" s="9" t="s">
        <v>8</v>
      </c>
      <c r="E520" s="10">
        <v>160</v>
      </c>
      <c r="F520" s="10">
        <f t="shared" si="8"/>
        <v>2400</v>
      </c>
    </row>
    <row r="521" spans="1:6" x14ac:dyDescent="0.25">
      <c r="B521" s="9"/>
      <c r="D521" s="9"/>
      <c r="F521" s="8">
        <f>SUM(F520)</f>
        <v>2400</v>
      </c>
    </row>
    <row r="522" spans="1:6" x14ac:dyDescent="0.25">
      <c r="B522" s="9"/>
      <c r="D522" s="9"/>
    </row>
    <row r="523" spans="1:6" x14ac:dyDescent="0.25">
      <c r="A523" t="s">
        <v>1027</v>
      </c>
      <c r="B523" s="4">
        <v>45938</v>
      </c>
      <c r="C523" s="5">
        <v>5</v>
      </c>
      <c r="D523" s="9" t="s">
        <v>98</v>
      </c>
      <c r="E523" s="10">
        <v>115</v>
      </c>
      <c r="F523" s="10">
        <f t="shared" si="8"/>
        <v>575</v>
      </c>
    </row>
    <row r="524" spans="1:6" x14ac:dyDescent="0.25">
      <c r="B524" s="9"/>
      <c r="D524" s="9"/>
      <c r="F524" s="8">
        <f>SUM(F523)</f>
        <v>575</v>
      </c>
    </row>
    <row r="525" spans="1:6" x14ac:dyDescent="0.25">
      <c r="B525" s="4"/>
      <c r="D525" s="9"/>
    </row>
    <row r="526" spans="1:6" x14ac:dyDescent="0.25">
      <c r="A526" t="s">
        <v>487</v>
      </c>
      <c r="B526" s="4">
        <v>45938</v>
      </c>
      <c r="C526" s="5">
        <v>5</v>
      </c>
      <c r="D526" s="9" t="s">
        <v>12</v>
      </c>
      <c r="E526" s="10">
        <v>150</v>
      </c>
      <c r="F526" s="10">
        <f t="shared" si="8"/>
        <v>750</v>
      </c>
    </row>
    <row r="527" spans="1:6" x14ac:dyDescent="0.25">
      <c r="B527" s="9"/>
      <c r="D527" s="9"/>
      <c r="F527" s="8">
        <f>SUM(F526)</f>
        <v>750</v>
      </c>
    </row>
    <row r="528" spans="1:6" x14ac:dyDescent="0.25">
      <c r="B528" s="4"/>
      <c r="D528" s="9"/>
    </row>
    <row r="529" spans="1:6" x14ac:dyDescent="0.25">
      <c r="A529" t="s">
        <v>211</v>
      </c>
      <c r="B529" s="4">
        <v>45938</v>
      </c>
      <c r="C529" s="5">
        <v>10</v>
      </c>
      <c r="D529" s="9" t="s">
        <v>22</v>
      </c>
      <c r="E529" s="10">
        <v>135</v>
      </c>
      <c r="F529" s="10">
        <f t="shared" si="8"/>
        <v>1350</v>
      </c>
    </row>
    <row r="530" spans="1:6" x14ac:dyDescent="0.25">
      <c r="B530" s="9"/>
      <c r="D530" s="9"/>
      <c r="F530" s="8">
        <f>SUM(F529)</f>
        <v>1350</v>
      </c>
    </row>
    <row r="531" spans="1:6" x14ac:dyDescent="0.25">
      <c r="B531" s="4"/>
      <c r="D531" s="9"/>
    </row>
    <row r="532" spans="1:6" x14ac:dyDescent="0.25">
      <c r="A532" t="s">
        <v>44</v>
      </c>
      <c r="B532" s="4">
        <v>45938</v>
      </c>
      <c r="C532" s="5">
        <v>8</v>
      </c>
      <c r="D532" s="9" t="s">
        <v>13</v>
      </c>
      <c r="E532" s="10">
        <v>155</v>
      </c>
      <c r="F532" s="10">
        <f t="shared" si="8"/>
        <v>1240</v>
      </c>
    </row>
    <row r="533" spans="1:6" x14ac:dyDescent="0.25">
      <c r="B533" s="9"/>
      <c r="D533" s="9"/>
      <c r="F533" s="8">
        <f>SUM(F532)</f>
        <v>1240</v>
      </c>
    </row>
    <row r="534" spans="1:6" x14ac:dyDescent="0.25">
      <c r="B534" s="4"/>
      <c r="D534" s="9"/>
    </row>
    <row r="535" spans="1:6" x14ac:dyDescent="0.25">
      <c r="A535" t="s">
        <v>514</v>
      </c>
      <c r="B535" s="4">
        <v>45938</v>
      </c>
      <c r="C535" s="5">
        <v>10</v>
      </c>
      <c r="D535" s="9" t="s">
        <v>98</v>
      </c>
      <c r="E535" s="10">
        <v>110</v>
      </c>
      <c r="F535" s="10">
        <f t="shared" si="8"/>
        <v>1100</v>
      </c>
    </row>
    <row r="536" spans="1:6" x14ac:dyDescent="0.25">
      <c r="B536" s="9"/>
      <c r="D536" s="9"/>
      <c r="F536" s="8">
        <f>SUM(F535)</f>
        <v>1100</v>
      </c>
    </row>
    <row r="537" spans="1:6" x14ac:dyDescent="0.25">
      <c r="B537" s="4"/>
      <c r="D537" s="9"/>
    </row>
    <row r="538" spans="1:6" x14ac:dyDescent="0.25">
      <c r="A538" t="s">
        <v>15</v>
      </c>
      <c r="B538" s="4">
        <v>45938</v>
      </c>
      <c r="C538" s="5">
        <v>60</v>
      </c>
      <c r="D538" s="9" t="s">
        <v>98</v>
      </c>
      <c r="E538" s="10">
        <v>110</v>
      </c>
      <c r="F538" s="10">
        <f t="shared" si="8"/>
        <v>6600</v>
      </c>
    </row>
    <row r="539" spans="1:6" x14ac:dyDescent="0.25">
      <c r="B539" s="9"/>
      <c r="D539" s="9"/>
      <c r="F539" s="8">
        <f>SUM(F538)</f>
        <v>6600</v>
      </c>
    </row>
    <row r="540" spans="1:6" x14ac:dyDescent="0.25">
      <c r="B540" s="4"/>
      <c r="D540" s="9"/>
    </row>
    <row r="541" spans="1:6" x14ac:dyDescent="0.25">
      <c r="A541" t="s">
        <v>58</v>
      </c>
      <c r="B541" s="4">
        <v>45938</v>
      </c>
      <c r="C541" s="5">
        <v>5</v>
      </c>
      <c r="D541" s="9" t="s">
        <v>13</v>
      </c>
      <c r="E541" s="10">
        <v>155</v>
      </c>
      <c r="F541" s="10">
        <f t="shared" si="8"/>
        <v>775</v>
      </c>
    </row>
    <row r="542" spans="1:6" x14ac:dyDescent="0.25">
      <c r="B542" s="9"/>
      <c r="D542" s="9"/>
      <c r="F542" s="8">
        <f>SUM(F541)</f>
        <v>775</v>
      </c>
    </row>
    <row r="543" spans="1:6" x14ac:dyDescent="0.25">
      <c r="B543" s="4"/>
      <c r="D543" s="9"/>
    </row>
    <row r="544" spans="1:6" x14ac:dyDescent="0.25">
      <c r="A544" t="s">
        <v>37</v>
      </c>
      <c r="B544" s="4">
        <v>45938</v>
      </c>
      <c r="C544" s="5">
        <v>15</v>
      </c>
      <c r="D544" s="9" t="s">
        <v>12</v>
      </c>
      <c r="E544" s="10">
        <v>150</v>
      </c>
      <c r="F544" s="10">
        <f t="shared" si="8"/>
        <v>2250</v>
      </c>
    </row>
    <row r="545" spans="1:6" x14ac:dyDescent="0.25">
      <c r="B545" s="9"/>
      <c r="D545" s="9"/>
      <c r="F545" s="8">
        <f>SUM(F544)</f>
        <v>2250</v>
      </c>
    </row>
    <row r="546" spans="1:6" x14ac:dyDescent="0.25">
      <c r="B546" s="4"/>
      <c r="D546" s="9"/>
    </row>
    <row r="547" spans="1:6" x14ac:dyDescent="0.25">
      <c r="A547" t="s">
        <v>17</v>
      </c>
      <c r="B547" s="4">
        <v>45938</v>
      </c>
      <c r="C547" s="5">
        <v>10</v>
      </c>
      <c r="D547" s="9" t="s">
        <v>13</v>
      </c>
      <c r="E547" s="10">
        <v>160</v>
      </c>
      <c r="F547" s="10">
        <f t="shared" si="8"/>
        <v>1600</v>
      </c>
    </row>
    <row r="548" spans="1:6" x14ac:dyDescent="0.25">
      <c r="B548" s="9"/>
      <c r="D548" s="9"/>
      <c r="F548" s="8">
        <f>SUM(F547)</f>
        <v>1600</v>
      </c>
    </row>
    <row r="549" spans="1:6" x14ac:dyDescent="0.25">
      <c r="B549" s="4"/>
      <c r="D549" s="9"/>
    </row>
    <row r="550" spans="1:6" x14ac:dyDescent="0.25">
      <c r="A550" t="s">
        <v>20</v>
      </c>
      <c r="B550" s="4">
        <v>45938</v>
      </c>
      <c r="C550" s="5">
        <v>10</v>
      </c>
      <c r="D550" s="9" t="s">
        <v>13</v>
      </c>
      <c r="E550" s="10">
        <v>160</v>
      </c>
      <c r="F550" s="10">
        <f t="shared" si="8"/>
        <v>1600</v>
      </c>
    </row>
    <row r="551" spans="1:6" x14ac:dyDescent="0.25">
      <c r="B551" s="9"/>
      <c r="D551" s="9"/>
      <c r="F551" s="8">
        <f>SUM(F550)</f>
        <v>1600</v>
      </c>
    </row>
    <row r="552" spans="1:6" x14ac:dyDescent="0.25">
      <c r="B552" s="4"/>
      <c r="D552" s="9"/>
    </row>
    <row r="553" spans="1:6" x14ac:dyDescent="0.25">
      <c r="A553" t="s">
        <v>808</v>
      </c>
      <c r="B553" s="4">
        <v>45938</v>
      </c>
      <c r="C553" s="5">
        <v>10</v>
      </c>
      <c r="D553" s="9" t="s">
        <v>13</v>
      </c>
      <c r="E553" s="10">
        <v>160</v>
      </c>
      <c r="F553" s="10">
        <f t="shared" si="8"/>
        <v>1600</v>
      </c>
    </row>
    <row r="554" spans="1:6" x14ac:dyDescent="0.25">
      <c r="B554" s="9"/>
      <c r="C554" s="5">
        <v>20</v>
      </c>
      <c r="D554" s="9" t="s">
        <v>12</v>
      </c>
      <c r="E554" s="10">
        <v>150</v>
      </c>
      <c r="F554" s="10">
        <f t="shared" si="8"/>
        <v>3000</v>
      </c>
    </row>
    <row r="555" spans="1:6" x14ac:dyDescent="0.25">
      <c r="B555" s="9"/>
      <c r="C555" s="5">
        <v>20</v>
      </c>
      <c r="D555" s="9" t="s">
        <v>22</v>
      </c>
      <c r="E555" s="10">
        <v>140</v>
      </c>
      <c r="F555" s="10">
        <f t="shared" si="8"/>
        <v>2800</v>
      </c>
    </row>
    <row r="556" spans="1:6" x14ac:dyDescent="0.25">
      <c r="B556" s="9"/>
      <c r="C556" s="5">
        <v>9</v>
      </c>
      <c r="D556" s="9" t="s">
        <v>8</v>
      </c>
      <c r="E556" s="10">
        <v>165</v>
      </c>
      <c r="F556" s="10">
        <f t="shared" si="8"/>
        <v>1485</v>
      </c>
    </row>
    <row r="557" spans="1:6" x14ac:dyDescent="0.25">
      <c r="B557" s="4"/>
      <c r="D557" s="9"/>
      <c r="F557" s="8">
        <f>SUM(F553:F556)</f>
        <v>8885</v>
      </c>
    </row>
    <row r="558" spans="1:6" x14ac:dyDescent="0.25">
      <c r="B558" s="9"/>
      <c r="D558" s="9"/>
    </row>
    <row r="559" spans="1:6" x14ac:dyDescent="0.25">
      <c r="A559" t="s">
        <v>367</v>
      </c>
      <c r="B559" s="4">
        <v>45938</v>
      </c>
      <c r="C559" s="5">
        <v>10</v>
      </c>
      <c r="D559" s="9" t="s">
        <v>13</v>
      </c>
      <c r="E559" s="10">
        <v>160</v>
      </c>
      <c r="F559" s="10">
        <f t="shared" si="8"/>
        <v>1600</v>
      </c>
    </row>
    <row r="560" spans="1:6" x14ac:dyDescent="0.25">
      <c r="B560" s="9"/>
      <c r="C560" s="5">
        <v>10</v>
      </c>
      <c r="D560" s="9" t="s">
        <v>14</v>
      </c>
      <c r="E560" s="10">
        <v>155</v>
      </c>
      <c r="F560" s="10">
        <f t="shared" si="8"/>
        <v>1550</v>
      </c>
    </row>
    <row r="561" spans="1:6" x14ac:dyDescent="0.25">
      <c r="B561" s="4"/>
      <c r="D561" s="9"/>
      <c r="F561" s="8">
        <f>SUM(F559:F560)</f>
        <v>3150</v>
      </c>
    </row>
    <row r="562" spans="1:6" x14ac:dyDescent="0.25">
      <c r="B562" s="9"/>
      <c r="D562" s="9"/>
    </row>
    <row r="563" spans="1:6" x14ac:dyDescent="0.25">
      <c r="A563" t="s">
        <v>25</v>
      </c>
      <c r="B563" s="4">
        <v>45938</v>
      </c>
      <c r="C563" s="5">
        <v>10</v>
      </c>
      <c r="D563" s="9" t="s">
        <v>1028</v>
      </c>
      <c r="E563" s="10">
        <v>150</v>
      </c>
      <c r="F563" s="10">
        <f t="shared" si="8"/>
        <v>1500</v>
      </c>
    </row>
    <row r="564" spans="1:6" x14ac:dyDescent="0.25">
      <c r="B564" s="9"/>
      <c r="D564" s="9"/>
      <c r="F564" s="8">
        <f>SUM(F563)</f>
        <v>1500</v>
      </c>
    </row>
    <row r="565" spans="1:6" x14ac:dyDescent="0.25">
      <c r="B565" s="4"/>
      <c r="D565" s="9"/>
    </row>
    <row r="566" spans="1:6" x14ac:dyDescent="0.25">
      <c r="A566" t="s">
        <v>40</v>
      </c>
      <c r="B566" s="4">
        <v>45938</v>
      </c>
      <c r="C566" s="5">
        <v>10</v>
      </c>
      <c r="D566" s="9" t="s">
        <v>22</v>
      </c>
      <c r="E566" s="10">
        <v>140</v>
      </c>
      <c r="F566" s="10">
        <f t="shared" si="8"/>
        <v>1400</v>
      </c>
    </row>
    <row r="567" spans="1:6" x14ac:dyDescent="0.25">
      <c r="B567" s="9"/>
      <c r="D567" s="9"/>
      <c r="F567" s="8">
        <f>SUM(F566)</f>
        <v>1400</v>
      </c>
    </row>
    <row r="568" spans="1:6" x14ac:dyDescent="0.25">
      <c r="B568" s="9"/>
      <c r="D568" s="9"/>
    </row>
    <row r="569" spans="1:6" x14ac:dyDescent="0.25">
      <c r="A569" t="s">
        <v>1001</v>
      </c>
      <c r="B569" s="4">
        <v>45938</v>
      </c>
      <c r="C569" s="5">
        <v>60</v>
      </c>
      <c r="D569" s="9" t="s">
        <v>14</v>
      </c>
      <c r="E569" s="10">
        <v>150</v>
      </c>
      <c r="F569" s="10">
        <f t="shared" si="8"/>
        <v>9000</v>
      </c>
    </row>
    <row r="570" spans="1:6" x14ac:dyDescent="0.25">
      <c r="B570" s="9"/>
      <c r="D570" s="9"/>
      <c r="F570" s="8">
        <f>SUM(F569)</f>
        <v>9000</v>
      </c>
    </row>
    <row r="571" spans="1:6" x14ac:dyDescent="0.25">
      <c r="B571" s="9"/>
      <c r="D571" s="9"/>
    </row>
    <row r="572" spans="1:6" x14ac:dyDescent="0.25">
      <c r="A572" t="s">
        <v>780</v>
      </c>
      <c r="B572" s="4">
        <v>45938</v>
      </c>
      <c r="C572" s="5">
        <v>5</v>
      </c>
      <c r="D572" s="9" t="s">
        <v>13</v>
      </c>
      <c r="E572" s="10">
        <v>155</v>
      </c>
      <c r="F572" s="10">
        <f t="shared" si="8"/>
        <v>775</v>
      </c>
    </row>
    <row r="573" spans="1:6" x14ac:dyDescent="0.25">
      <c r="B573" s="9"/>
      <c r="D573" s="9"/>
      <c r="F573" s="8">
        <f>SUM(F572)</f>
        <v>775</v>
      </c>
    </row>
    <row r="574" spans="1:6" x14ac:dyDescent="0.25">
      <c r="B574" s="9"/>
      <c r="D574" s="9"/>
    </row>
    <row r="575" spans="1:6" x14ac:dyDescent="0.25">
      <c r="A575" t="s">
        <v>41</v>
      </c>
      <c r="B575" s="4">
        <v>45938</v>
      </c>
      <c r="C575" s="5">
        <v>30</v>
      </c>
      <c r="D575" s="9" t="s">
        <v>14</v>
      </c>
      <c r="E575" s="10">
        <v>140</v>
      </c>
      <c r="F575" s="10">
        <f t="shared" si="8"/>
        <v>4200</v>
      </c>
    </row>
    <row r="576" spans="1:6" x14ac:dyDescent="0.25">
      <c r="B576" s="9"/>
      <c r="D576" s="9"/>
      <c r="F576" s="8">
        <f>SUM(F575)</f>
        <v>4200</v>
      </c>
    </row>
    <row r="577" spans="1:6" x14ac:dyDescent="0.25">
      <c r="B577" s="9"/>
      <c r="D577" s="9"/>
    </row>
    <row r="578" spans="1:6" x14ac:dyDescent="0.25">
      <c r="A578" t="s">
        <v>107</v>
      </c>
      <c r="B578" s="4">
        <v>45938</v>
      </c>
      <c r="C578" s="5">
        <v>64</v>
      </c>
      <c r="D578" s="9" t="s">
        <v>11</v>
      </c>
      <c r="E578" s="10">
        <v>145</v>
      </c>
      <c r="F578" s="10">
        <f t="shared" si="8"/>
        <v>9280</v>
      </c>
    </row>
    <row r="579" spans="1:6" x14ac:dyDescent="0.25">
      <c r="B579" s="9"/>
      <c r="D579" s="9"/>
      <c r="F579" s="8">
        <f>SUM(F578)</f>
        <v>9280</v>
      </c>
    </row>
    <row r="580" spans="1:6" x14ac:dyDescent="0.25">
      <c r="B580" s="9"/>
      <c r="D580" s="9"/>
    </row>
    <row r="581" spans="1:6" x14ac:dyDescent="0.25">
      <c r="A581" t="s">
        <v>43</v>
      </c>
      <c r="B581" s="4">
        <v>45938</v>
      </c>
      <c r="C581" s="5">
        <v>33</v>
      </c>
      <c r="D581" s="9" t="s">
        <v>49</v>
      </c>
      <c r="E581" s="10">
        <v>160</v>
      </c>
      <c r="F581" s="10">
        <f t="shared" ref="F581:F642" si="9">+C581*E581</f>
        <v>5280</v>
      </c>
    </row>
    <row r="582" spans="1:6" x14ac:dyDescent="0.25">
      <c r="B582" s="9"/>
      <c r="C582" s="5">
        <v>20</v>
      </c>
      <c r="D582" s="9" t="s">
        <v>14</v>
      </c>
      <c r="E582" s="10">
        <v>155</v>
      </c>
      <c r="F582" s="10">
        <f t="shared" si="9"/>
        <v>3100</v>
      </c>
    </row>
    <row r="583" spans="1:6" x14ac:dyDescent="0.25">
      <c r="B583" s="9"/>
      <c r="D583" s="9"/>
      <c r="F583" s="8">
        <f>SUM(F581:F582)</f>
        <v>8380</v>
      </c>
    </row>
    <row r="584" spans="1:6" x14ac:dyDescent="0.25">
      <c r="B584" s="9"/>
      <c r="D584" s="9"/>
    </row>
    <row r="585" spans="1:6" x14ac:dyDescent="0.25">
      <c r="A585" t="s">
        <v>85</v>
      </c>
      <c r="B585" s="4">
        <v>45938</v>
      </c>
      <c r="C585" s="5">
        <v>40</v>
      </c>
      <c r="D585" s="9" t="s">
        <v>14</v>
      </c>
      <c r="E585" s="10">
        <v>155</v>
      </c>
      <c r="F585" s="10">
        <f t="shared" si="9"/>
        <v>6200</v>
      </c>
    </row>
    <row r="586" spans="1:6" x14ac:dyDescent="0.25">
      <c r="B586" s="9"/>
      <c r="D586" s="9"/>
      <c r="F586" s="8">
        <f>SUM(F585)</f>
        <v>6200</v>
      </c>
    </row>
    <row r="587" spans="1:6" x14ac:dyDescent="0.25">
      <c r="B587" s="9"/>
      <c r="D587" s="9"/>
    </row>
    <row r="588" spans="1:6" x14ac:dyDescent="0.25">
      <c r="A588" t="s">
        <v>18</v>
      </c>
      <c r="B588" s="4">
        <v>45938</v>
      </c>
      <c r="C588" s="5">
        <v>10</v>
      </c>
      <c r="D588" s="9" t="s">
        <v>14</v>
      </c>
      <c r="E588" s="10">
        <v>155</v>
      </c>
      <c r="F588" s="10">
        <f t="shared" si="9"/>
        <v>1550</v>
      </c>
    </row>
    <row r="589" spans="1:6" x14ac:dyDescent="0.25">
      <c r="B589" s="9"/>
      <c r="D589" s="9"/>
      <c r="F589" s="8">
        <f>SUM(F588)</f>
        <v>1550</v>
      </c>
    </row>
    <row r="590" spans="1:6" x14ac:dyDescent="0.25">
      <c r="B590" s="9"/>
      <c r="D590" s="9"/>
    </row>
    <row r="591" spans="1:6" x14ac:dyDescent="0.25">
      <c r="A591" t="s">
        <v>138</v>
      </c>
      <c r="B591" s="4">
        <v>45938</v>
      </c>
      <c r="C591" s="5">
        <v>20</v>
      </c>
      <c r="D591" s="9" t="s">
        <v>14</v>
      </c>
      <c r="E591" s="10">
        <v>155</v>
      </c>
      <c r="F591" s="10">
        <f t="shared" si="9"/>
        <v>3100</v>
      </c>
    </row>
    <row r="592" spans="1:6" x14ac:dyDescent="0.25">
      <c r="B592" s="9"/>
      <c r="D592" s="9"/>
      <c r="F592" s="8">
        <f>SUM(F591)</f>
        <v>3100</v>
      </c>
    </row>
    <row r="593" spans="1:6" x14ac:dyDescent="0.25">
      <c r="B593" s="4"/>
      <c r="D593" s="9"/>
    </row>
    <row r="594" spans="1:6" x14ac:dyDescent="0.25">
      <c r="A594" t="s">
        <v>88</v>
      </c>
      <c r="B594" s="4">
        <v>45938</v>
      </c>
      <c r="C594" s="5">
        <v>10</v>
      </c>
      <c r="D594" s="9" t="s">
        <v>14</v>
      </c>
      <c r="E594" s="10">
        <v>150</v>
      </c>
      <c r="F594" s="10">
        <f t="shared" si="9"/>
        <v>1500</v>
      </c>
    </row>
    <row r="595" spans="1:6" x14ac:dyDescent="0.25">
      <c r="B595" s="9"/>
      <c r="C595" s="5">
        <v>5</v>
      </c>
      <c r="D595" s="9" t="s">
        <v>13</v>
      </c>
      <c r="E595" s="10">
        <v>160</v>
      </c>
      <c r="F595" s="10">
        <f t="shared" si="9"/>
        <v>800</v>
      </c>
    </row>
    <row r="596" spans="1:6" x14ac:dyDescent="0.25">
      <c r="B596" s="4"/>
      <c r="D596" s="9"/>
      <c r="F596" s="8">
        <f>SUM(F594:F595)</f>
        <v>2300</v>
      </c>
    </row>
    <row r="597" spans="1:6" x14ac:dyDescent="0.25">
      <c r="B597" s="9"/>
      <c r="D597" s="9"/>
    </row>
    <row r="598" spans="1:6" x14ac:dyDescent="0.25">
      <c r="A598" t="s">
        <v>245</v>
      </c>
      <c r="B598" s="4">
        <v>45938</v>
      </c>
      <c r="C598" s="5">
        <v>20</v>
      </c>
      <c r="D598" s="9" t="s">
        <v>1029</v>
      </c>
      <c r="E598" s="10">
        <v>150</v>
      </c>
      <c r="F598" s="10">
        <f t="shared" si="9"/>
        <v>3000</v>
      </c>
    </row>
    <row r="599" spans="1:6" x14ac:dyDescent="0.25">
      <c r="B599" s="4"/>
      <c r="D599" s="9"/>
      <c r="F599" s="8">
        <f>SUM(F598)</f>
        <v>3000</v>
      </c>
    </row>
    <row r="600" spans="1:6" x14ac:dyDescent="0.25">
      <c r="B600" s="9"/>
      <c r="D600" s="9"/>
    </row>
    <row r="601" spans="1:6" x14ac:dyDescent="0.25">
      <c r="A601" t="s">
        <v>66</v>
      </c>
      <c r="B601" s="4">
        <v>45938</v>
      </c>
      <c r="C601" s="5">
        <v>20</v>
      </c>
      <c r="D601" s="9" t="s">
        <v>8</v>
      </c>
      <c r="E601" s="10">
        <v>165</v>
      </c>
      <c r="F601" s="10">
        <f t="shared" si="9"/>
        <v>3300</v>
      </c>
    </row>
    <row r="602" spans="1:6" x14ac:dyDescent="0.25">
      <c r="B602" s="9"/>
      <c r="D602" s="9"/>
      <c r="F602" s="8">
        <f>SUM(F601)</f>
        <v>3300</v>
      </c>
    </row>
    <row r="603" spans="1:6" x14ac:dyDescent="0.25">
      <c r="B603" s="4"/>
      <c r="D603" s="9"/>
    </row>
    <row r="604" spans="1:6" x14ac:dyDescent="0.25">
      <c r="A604" t="s">
        <v>113</v>
      </c>
      <c r="B604" s="4">
        <v>45938</v>
      </c>
      <c r="C604" s="5">
        <v>20</v>
      </c>
      <c r="D604" s="9" t="s">
        <v>8</v>
      </c>
      <c r="E604" s="10">
        <v>165</v>
      </c>
      <c r="F604" s="10">
        <f t="shared" si="9"/>
        <v>3300</v>
      </c>
    </row>
    <row r="605" spans="1:6" x14ac:dyDescent="0.25">
      <c r="B605" s="9"/>
      <c r="D605" s="9"/>
      <c r="F605" s="8">
        <f>SUM(F604)</f>
        <v>3300</v>
      </c>
    </row>
    <row r="606" spans="1:6" x14ac:dyDescent="0.25">
      <c r="B606" s="9"/>
      <c r="D606" s="9"/>
    </row>
    <row r="607" spans="1:6" x14ac:dyDescent="0.25">
      <c r="A607" t="s">
        <v>544</v>
      </c>
      <c r="B607" s="4">
        <v>45938</v>
      </c>
      <c r="C607" s="5">
        <v>5</v>
      </c>
      <c r="D607" s="9" t="s">
        <v>12</v>
      </c>
      <c r="E607" s="10">
        <v>150</v>
      </c>
      <c r="F607" s="10">
        <f t="shared" si="9"/>
        <v>750</v>
      </c>
    </row>
    <row r="608" spans="1:6" x14ac:dyDescent="0.25">
      <c r="B608" s="9"/>
      <c r="D608" s="9"/>
      <c r="F608" s="8">
        <f>SUM(F607)</f>
        <v>750</v>
      </c>
    </row>
    <row r="609" spans="1:6" x14ac:dyDescent="0.25">
      <c r="B609" s="9"/>
      <c r="D609" s="9"/>
    </row>
    <row r="610" spans="1:6" x14ac:dyDescent="0.25">
      <c r="A610" t="s">
        <v>1012</v>
      </c>
      <c r="B610" s="4">
        <v>45938</v>
      </c>
      <c r="C610" s="5">
        <v>250</v>
      </c>
      <c r="D610" s="9" t="s">
        <v>13</v>
      </c>
      <c r="E610" s="10">
        <v>150</v>
      </c>
      <c r="F610" s="10">
        <f t="shared" si="9"/>
        <v>37500</v>
      </c>
    </row>
    <row r="611" spans="1:6" x14ac:dyDescent="0.25">
      <c r="B611" s="9"/>
      <c r="C611" s="5">
        <v>100</v>
      </c>
      <c r="D611" s="9" t="s">
        <v>12</v>
      </c>
      <c r="E611" s="10">
        <v>145</v>
      </c>
      <c r="F611" s="10">
        <f t="shared" si="9"/>
        <v>14500</v>
      </c>
    </row>
    <row r="612" spans="1:6" x14ac:dyDescent="0.25">
      <c r="B612" s="9"/>
      <c r="C612" s="5">
        <v>50</v>
      </c>
      <c r="D612" s="9" t="s">
        <v>14</v>
      </c>
      <c r="E612" s="10">
        <v>145</v>
      </c>
      <c r="F612" s="10">
        <f t="shared" si="9"/>
        <v>7250</v>
      </c>
    </row>
    <row r="613" spans="1:6" x14ac:dyDescent="0.25">
      <c r="B613" s="4"/>
      <c r="C613" s="5">
        <v>60</v>
      </c>
      <c r="D613" s="9" t="s">
        <v>11</v>
      </c>
      <c r="E613" s="10">
        <v>140</v>
      </c>
      <c r="F613" s="10">
        <f t="shared" si="9"/>
        <v>8400</v>
      </c>
    </row>
    <row r="614" spans="1:6" x14ac:dyDescent="0.25">
      <c r="B614" s="9"/>
      <c r="D614" s="9"/>
      <c r="F614" s="8">
        <f>SUM(F610:F613)</f>
        <v>67650</v>
      </c>
    </row>
    <row r="615" spans="1:6" x14ac:dyDescent="0.25">
      <c r="B615" s="9"/>
      <c r="D615" s="9"/>
    </row>
    <row r="616" spans="1:6" x14ac:dyDescent="0.25">
      <c r="A616" t="s">
        <v>76</v>
      </c>
      <c r="B616" s="4">
        <v>45938</v>
      </c>
      <c r="C616" s="5">
        <v>130</v>
      </c>
      <c r="D616" s="9" t="s">
        <v>13</v>
      </c>
      <c r="E616" s="10">
        <v>150</v>
      </c>
      <c r="F616" s="10">
        <f t="shared" si="9"/>
        <v>19500</v>
      </c>
    </row>
    <row r="617" spans="1:6" x14ac:dyDescent="0.25">
      <c r="B617" s="9"/>
      <c r="C617" s="5">
        <v>150</v>
      </c>
      <c r="D617" s="9" t="s">
        <v>12</v>
      </c>
      <c r="E617" s="10">
        <v>145</v>
      </c>
      <c r="F617" s="10">
        <f t="shared" si="9"/>
        <v>21750</v>
      </c>
    </row>
    <row r="618" spans="1:6" x14ac:dyDescent="0.25">
      <c r="B618" s="9"/>
      <c r="C618" s="5">
        <v>50</v>
      </c>
      <c r="D618" s="9" t="s">
        <v>22</v>
      </c>
      <c r="E618" s="10">
        <v>125</v>
      </c>
      <c r="F618" s="10">
        <f t="shared" si="9"/>
        <v>6250</v>
      </c>
    </row>
    <row r="619" spans="1:6" x14ac:dyDescent="0.25">
      <c r="B619" s="9"/>
      <c r="C619" s="5">
        <v>40</v>
      </c>
      <c r="D619" s="9" t="s">
        <v>22</v>
      </c>
      <c r="E619" s="10">
        <v>130</v>
      </c>
      <c r="F619" s="10">
        <f t="shared" si="9"/>
        <v>5200</v>
      </c>
    </row>
    <row r="620" spans="1:6" x14ac:dyDescent="0.25">
      <c r="B620" s="9"/>
      <c r="D620" s="9"/>
      <c r="F620" s="8">
        <f>SUM(F616:F619)</f>
        <v>52700</v>
      </c>
    </row>
    <row r="621" spans="1:6" x14ac:dyDescent="0.25">
      <c r="B621" s="9"/>
      <c r="D621" s="9"/>
    </row>
    <row r="622" spans="1:6" x14ac:dyDescent="0.25">
      <c r="A622" t="s">
        <v>101</v>
      </c>
      <c r="B622" s="4">
        <v>45938</v>
      </c>
      <c r="C622" s="5">
        <v>1</v>
      </c>
      <c r="D622" s="9" t="s">
        <v>12</v>
      </c>
      <c r="E622" s="10">
        <v>150</v>
      </c>
      <c r="F622" s="10">
        <f t="shared" si="9"/>
        <v>150</v>
      </c>
    </row>
    <row r="623" spans="1:6" x14ac:dyDescent="0.25">
      <c r="B623" s="4"/>
      <c r="C623" s="5">
        <v>1</v>
      </c>
      <c r="D623" s="9" t="s">
        <v>13</v>
      </c>
      <c r="E623" s="10">
        <v>160</v>
      </c>
      <c r="F623" s="10">
        <f t="shared" si="9"/>
        <v>160</v>
      </c>
    </row>
    <row r="624" spans="1:6" x14ac:dyDescent="0.25">
      <c r="B624" s="9"/>
      <c r="C624" s="5">
        <v>8</v>
      </c>
      <c r="D624" s="9" t="s">
        <v>161</v>
      </c>
      <c r="E624" s="10">
        <v>145</v>
      </c>
      <c r="F624" s="10">
        <f t="shared" si="9"/>
        <v>1160</v>
      </c>
    </row>
    <row r="625" spans="1:6" x14ac:dyDescent="0.25">
      <c r="B625" s="9"/>
      <c r="C625" s="28">
        <v>10</v>
      </c>
      <c r="D625" s="9" t="s">
        <v>168</v>
      </c>
      <c r="E625" s="10">
        <v>150</v>
      </c>
      <c r="F625" s="10">
        <f t="shared" si="9"/>
        <v>1500</v>
      </c>
    </row>
    <row r="626" spans="1:6" x14ac:dyDescent="0.25">
      <c r="B626" s="9"/>
      <c r="C626" s="5">
        <v>2</v>
      </c>
      <c r="D626" s="9" t="s">
        <v>600</v>
      </c>
      <c r="E626" s="10">
        <v>160</v>
      </c>
      <c r="F626" s="10">
        <f t="shared" si="9"/>
        <v>320</v>
      </c>
    </row>
    <row r="627" spans="1:6" x14ac:dyDescent="0.25">
      <c r="B627" s="9"/>
      <c r="D627" s="9"/>
      <c r="F627" s="8">
        <f>SUM(F622:F626)</f>
        <v>3290</v>
      </c>
    </row>
    <row r="628" spans="1:6" x14ac:dyDescent="0.25">
      <c r="B628" s="9"/>
      <c r="D628" s="9"/>
    </row>
    <row r="629" spans="1:6" x14ac:dyDescent="0.25">
      <c r="A629" t="s">
        <v>7</v>
      </c>
      <c r="B629" s="4">
        <v>45938</v>
      </c>
      <c r="C629" s="5">
        <v>1</v>
      </c>
      <c r="D629" s="9" t="s">
        <v>8</v>
      </c>
      <c r="E629" s="10">
        <v>170</v>
      </c>
      <c r="F629" s="10">
        <f t="shared" si="9"/>
        <v>170</v>
      </c>
    </row>
    <row r="630" spans="1:6" x14ac:dyDescent="0.25">
      <c r="B630" s="9"/>
      <c r="C630" s="5">
        <v>2</v>
      </c>
      <c r="D630" s="9" t="s">
        <v>13</v>
      </c>
      <c r="E630" s="10">
        <v>160</v>
      </c>
      <c r="F630" s="10">
        <f t="shared" si="9"/>
        <v>320</v>
      </c>
    </row>
    <row r="631" spans="1:6" x14ac:dyDescent="0.25">
      <c r="B631" s="9"/>
      <c r="C631" s="5">
        <v>1</v>
      </c>
      <c r="D631" s="9" t="s">
        <v>14</v>
      </c>
      <c r="E631" s="10">
        <v>170</v>
      </c>
      <c r="F631" s="10">
        <f t="shared" si="9"/>
        <v>170</v>
      </c>
    </row>
    <row r="632" spans="1:6" x14ac:dyDescent="0.25">
      <c r="B632" s="4"/>
      <c r="D632" s="9"/>
      <c r="F632" s="8">
        <f>SUM(F629:F631)</f>
        <v>660</v>
      </c>
    </row>
    <row r="633" spans="1:6" x14ac:dyDescent="0.25">
      <c r="B633" s="9"/>
      <c r="D633" s="9"/>
    </row>
    <row r="634" spans="1:6" x14ac:dyDescent="0.25">
      <c r="A634" t="s">
        <v>32</v>
      </c>
      <c r="B634" s="4">
        <v>45939</v>
      </c>
      <c r="C634" s="5">
        <v>30</v>
      </c>
      <c r="D634" s="9" t="s">
        <v>13</v>
      </c>
      <c r="E634" s="10">
        <v>150</v>
      </c>
      <c r="F634" s="10">
        <f t="shared" si="9"/>
        <v>4500</v>
      </c>
    </row>
    <row r="635" spans="1:6" x14ac:dyDescent="0.25">
      <c r="B635" s="4"/>
      <c r="D635" s="9"/>
      <c r="F635" s="8">
        <f>SUM(F634)</f>
        <v>4500</v>
      </c>
    </row>
    <row r="636" spans="1:6" x14ac:dyDescent="0.25">
      <c r="B636" s="9"/>
      <c r="D636" s="9"/>
    </row>
    <row r="637" spans="1:6" x14ac:dyDescent="0.25">
      <c r="A637" t="s">
        <v>141</v>
      </c>
      <c r="B637" s="4">
        <v>45939</v>
      </c>
      <c r="C637" s="5">
        <v>10</v>
      </c>
      <c r="D637" s="9" t="s">
        <v>8</v>
      </c>
      <c r="E637" s="10">
        <v>165</v>
      </c>
      <c r="F637" s="10">
        <f t="shared" si="9"/>
        <v>1650</v>
      </c>
    </row>
    <row r="638" spans="1:6" x14ac:dyDescent="0.25">
      <c r="B638" s="4"/>
      <c r="D638" s="9"/>
      <c r="F638" s="8">
        <f>SUM(F637)</f>
        <v>1650</v>
      </c>
    </row>
    <row r="639" spans="1:6" x14ac:dyDescent="0.25">
      <c r="B639" s="9"/>
      <c r="D639" s="9"/>
    </row>
    <row r="640" spans="1:6" x14ac:dyDescent="0.25">
      <c r="A640" t="s">
        <v>112</v>
      </c>
      <c r="B640" s="4">
        <v>45939</v>
      </c>
      <c r="C640" s="5">
        <v>50</v>
      </c>
      <c r="D640" s="9" t="s">
        <v>13</v>
      </c>
      <c r="E640" s="10">
        <v>150</v>
      </c>
      <c r="F640" s="10">
        <f t="shared" si="9"/>
        <v>7500</v>
      </c>
    </row>
    <row r="641" spans="1:6" x14ac:dyDescent="0.25">
      <c r="B641" s="9"/>
      <c r="C641" s="5">
        <v>20</v>
      </c>
      <c r="D641" s="9" t="s">
        <v>22</v>
      </c>
      <c r="E641" s="10">
        <v>138</v>
      </c>
      <c r="F641" s="10">
        <f t="shared" si="9"/>
        <v>2760</v>
      </c>
    </row>
    <row r="642" spans="1:6" x14ac:dyDescent="0.25">
      <c r="B642" s="9"/>
      <c r="C642" s="5">
        <v>30</v>
      </c>
      <c r="D642" s="9" t="s">
        <v>8</v>
      </c>
      <c r="E642" s="10">
        <v>155</v>
      </c>
      <c r="F642" s="10">
        <f t="shared" si="9"/>
        <v>4650</v>
      </c>
    </row>
    <row r="643" spans="1:6" x14ac:dyDescent="0.25">
      <c r="B643" s="9"/>
      <c r="D643" s="9"/>
      <c r="F643" s="8">
        <f>SUM(F640:F642)</f>
        <v>14910</v>
      </c>
    </row>
    <row r="644" spans="1:6" x14ac:dyDescent="0.25">
      <c r="B644" s="4"/>
      <c r="D644" s="9"/>
    </row>
    <row r="645" spans="1:6" x14ac:dyDescent="0.25">
      <c r="A645" t="s">
        <v>61</v>
      </c>
      <c r="B645" s="4">
        <v>45939</v>
      </c>
      <c r="C645" s="5">
        <v>50</v>
      </c>
      <c r="D645" s="9" t="s">
        <v>13</v>
      </c>
      <c r="E645" s="10">
        <v>160</v>
      </c>
      <c r="F645" s="10">
        <f t="shared" ref="F645:F706" si="10">+C645*E645</f>
        <v>8000</v>
      </c>
    </row>
    <row r="646" spans="1:6" x14ac:dyDescent="0.25">
      <c r="B646" s="9"/>
      <c r="D646" s="9"/>
      <c r="F646" s="8">
        <f>SUM(F645)</f>
        <v>8000</v>
      </c>
    </row>
    <row r="647" spans="1:6" x14ac:dyDescent="0.25">
      <c r="B647" s="4"/>
      <c r="D647" s="9"/>
    </row>
    <row r="648" spans="1:6" x14ac:dyDescent="0.25">
      <c r="A648" t="s">
        <v>501</v>
      </c>
      <c r="B648" s="4">
        <v>45939</v>
      </c>
      <c r="C648" s="5">
        <v>10</v>
      </c>
      <c r="D648" s="9" t="s">
        <v>13</v>
      </c>
      <c r="E648" s="10">
        <v>160</v>
      </c>
      <c r="F648" s="10">
        <f t="shared" si="10"/>
        <v>1600</v>
      </c>
    </row>
    <row r="649" spans="1:6" x14ac:dyDescent="0.25">
      <c r="B649" s="9"/>
      <c r="D649" s="9"/>
      <c r="F649" s="8">
        <f>SUM(F648)</f>
        <v>1600</v>
      </c>
    </row>
    <row r="650" spans="1:6" x14ac:dyDescent="0.25">
      <c r="B650" s="4"/>
      <c r="D650" s="9"/>
    </row>
    <row r="651" spans="1:6" x14ac:dyDescent="0.25">
      <c r="A651" t="s">
        <v>7</v>
      </c>
      <c r="B651" s="4">
        <v>45939</v>
      </c>
      <c r="C651" s="5">
        <v>10</v>
      </c>
      <c r="D651" s="9" t="s">
        <v>1007</v>
      </c>
      <c r="E651" s="10">
        <v>155</v>
      </c>
      <c r="F651" s="10">
        <f t="shared" si="10"/>
        <v>1550</v>
      </c>
    </row>
    <row r="652" spans="1:6" x14ac:dyDescent="0.25">
      <c r="B652" s="9"/>
      <c r="D652" s="9"/>
      <c r="F652" s="8">
        <f>SUM(F651)</f>
        <v>1550</v>
      </c>
    </row>
    <row r="653" spans="1:6" x14ac:dyDescent="0.25">
      <c r="B653" s="4"/>
      <c r="D653" s="9"/>
    </row>
    <row r="654" spans="1:6" x14ac:dyDescent="0.25">
      <c r="A654" t="s">
        <v>181</v>
      </c>
      <c r="B654" s="4">
        <v>45939</v>
      </c>
      <c r="C654" s="5">
        <v>2</v>
      </c>
      <c r="D654" s="9" t="s">
        <v>1030</v>
      </c>
      <c r="E654" s="10">
        <v>150</v>
      </c>
      <c r="F654" s="10">
        <f t="shared" si="10"/>
        <v>300</v>
      </c>
    </row>
    <row r="655" spans="1:6" x14ac:dyDescent="0.25">
      <c r="B655" s="9"/>
      <c r="C655" s="5">
        <v>1</v>
      </c>
      <c r="D655" s="9" t="s">
        <v>13</v>
      </c>
      <c r="E655" s="10">
        <v>160</v>
      </c>
      <c r="F655" s="10">
        <f t="shared" si="10"/>
        <v>160</v>
      </c>
    </row>
    <row r="656" spans="1:6" x14ac:dyDescent="0.25">
      <c r="B656" s="4"/>
      <c r="C656" s="11">
        <v>1.5</v>
      </c>
      <c r="D656" s="9" t="s">
        <v>1031</v>
      </c>
      <c r="E656" s="10">
        <v>150</v>
      </c>
      <c r="F656" s="10">
        <f t="shared" si="10"/>
        <v>225</v>
      </c>
    </row>
    <row r="657" spans="1:6" x14ac:dyDescent="0.25">
      <c r="B657" s="9"/>
      <c r="C657" s="5">
        <v>5</v>
      </c>
      <c r="D657" s="9" t="s">
        <v>13</v>
      </c>
      <c r="E657" s="10">
        <v>160</v>
      </c>
      <c r="F657" s="10">
        <f t="shared" si="10"/>
        <v>800</v>
      </c>
    </row>
    <row r="658" spans="1:6" x14ac:dyDescent="0.25">
      <c r="B658" s="9"/>
      <c r="D658" s="9"/>
      <c r="F658" s="8">
        <f>SUM(F654:F657)</f>
        <v>1485</v>
      </c>
    </row>
    <row r="659" spans="1:6" x14ac:dyDescent="0.25">
      <c r="B659" s="9"/>
      <c r="D659" s="9"/>
    </row>
    <row r="660" spans="1:6" x14ac:dyDescent="0.25">
      <c r="A660" t="s">
        <v>949</v>
      </c>
      <c r="B660" s="4">
        <v>45940</v>
      </c>
      <c r="C660" s="5">
        <v>4</v>
      </c>
      <c r="D660" s="9" t="s">
        <v>12</v>
      </c>
      <c r="E660" s="10">
        <v>150</v>
      </c>
      <c r="F660" s="10">
        <f t="shared" si="10"/>
        <v>600</v>
      </c>
    </row>
    <row r="661" spans="1:6" x14ac:dyDescent="0.25">
      <c r="B661" s="9"/>
      <c r="D661" s="9"/>
      <c r="F661" s="8">
        <f>SUM(F660)</f>
        <v>600</v>
      </c>
    </row>
    <row r="662" spans="1:6" x14ac:dyDescent="0.25">
      <c r="B662" s="9"/>
      <c r="D662" s="9"/>
    </row>
    <row r="663" spans="1:6" x14ac:dyDescent="0.25">
      <c r="A663" t="s">
        <v>68</v>
      </c>
      <c r="B663" s="4">
        <v>45940</v>
      </c>
      <c r="C663" s="5">
        <v>3</v>
      </c>
      <c r="D663" s="9" t="s">
        <v>472</v>
      </c>
      <c r="E663" s="10">
        <v>160</v>
      </c>
      <c r="F663" s="10">
        <f t="shared" si="10"/>
        <v>480</v>
      </c>
    </row>
    <row r="664" spans="1:6" x14ac:dyDescent="0.25">
      <c r="B664" s="9"/>
      <c r="D664" s="9"/>
      <c r="F664" s="8">
        <f>SUM(F663)</f>
        <v>480</v>
      </c>
    </row>
    <row r="665" spans="1:6" x14ac:dyDescent="0.25">
      <c r="B665" s="9"/>
      <c r="D665" s="9"/>
    </row>
    <row r="666" spans="1:6" x14ac:dyDescent="0.25">
      <c r="A666" t="s">
        <v>514</v>
      </c>
      <c r="B666" s="4">
        <v>45940</v>
      </c>
      <c r="C666" s="5">
        <v>15</v>
      </c>
      <c r="D666" s="9" t="s">
        <v>98</v>
      </c>
      <c r="E666" s="10">
        <v>115</v>
      </c>
      <c r="F666" s="10">
        <f t="shared" si="10"/>
        <v>1725</v>
      </c>
    </row>
    <row r="667" spans="1:6" x14ac:dyDescent="0.25">
      <c r="B667" s="4"/>
      <c r="D667" s="9"/>
      <c r="F667" s="8">
        <f>SUM(F666)</f>
        <v>1725</v>
      </c>
    </row>
    <row r="668" spans="1:6" x14ac:dyDescent="0.25">
      <c r="B668" s="9"/>
      <c r="D668" s="9"/>
    </row>
    <row r="669" spans="1:6" x14ac:dyDescent="0.25">
      <c r="A669" t="s">
        <v>271</v>
      </c>
      <c r="B669" s="4">
        <v>45940</v>
      </c>
      <c r="C669" s="5">
        <v>60</v>
      </c>
      <c r="D669" s="9" t="s">
        <v>1032</v>
      </c>
      <c r="E669" s="10">
        <v>115</v>
      </c>
      <c r="F669" s="10">
        <f t="shared" si="10"/>
        <v>6900</v>
      </c>
    </row>
    <row r="670" spans="1:6" x14ac:dyDescent="0.25">
      <c r="B670" s="9"/>
      <c r="D670" s="9"/>
      <c r="F670" s="8">
        <f>SUM(F669)</f>
        <v>6900</v>
      </c>
    </row>
    <row r="671" spans="1:6" x14ac:dyDescent="0.25">
      <c r="B671" s="4"/>
      <c r="D671" s="9"/>
    </row>
    <row r="672" spans="1:6" x14ac:dyDescent="0.25">
      <c r="A672" t="s">
        <v>688</v>
      </c>
      <c r="B672" s="4">
        <v>45940</v>
      </c>
      <c r="C672" s="5">
        <v>4</v>
      </c>
      <c r="D672" s="9" t="s">
        <v>13</v>
      </c>
      <c r="E672" s="10">
        <v>155</v>
      </c>
      <c r="F672" s="10">
        <f t="shared" si="10"/>
        <v>620</v>
      </c>
    </row>
    <row r="673" spans="1:6" x14ac:dyDescent="0.25">
      <c r="B673" s="9"/>
      <c r="D673" s="9"/>
      <c r="F673" s="8">
        <f>SUM(F672)</f>
        <v>620</v>
      </c>
    </row>
    <row r="674" spans="1:6" x14ac:dyDescent="0.25">
      <c r="B674" s="9"/>
      <c r="D674" s="9"/>
    </row>
    <row r="675" spans="1:6" x14ac:dyDescent="0.25">
      <c r="A675" t="s">
        <v>1033</v>
      </c>
      <c r="B675" s="4">
        <v>45940</v>
      </c>
      <c r="C675" s="5">
        <v>8</v>
      </c>
      <c r="D675" s="9" t="s">
        <v>13</v>
      </c>
      <c r="E675" s="10">
        <v>155</v>
      </c>
      <c r="F675" s="10">
        <f t="shared" si="10"/>
        <v>1240</v>
      </c>
    </row>
    <row r="676" spans="1:6" x14ac:dyDescent="0.25">
      <c r="B676" s="9"/>
      <c r="D676" s="9"/>
      <c r="F676" s="8">
        <f>SUM(F675)</f>
        <v>1240</v>
      </c>
    </row>
    <row r="677" spans="1:6" x14ac:dyDescent="0.25">
      <c r="B677" s="9"/>
      <c r="D677" s="9"/>
    </row>
    <row r="678" spans="1:6" x14ac:dyDescent="0.25">
      <c r="A678" t="s">
        <v>40</v>
      </c>
      <c r="B678" s="4">
        <v>45940</v>
      </c>
      <c r="C678" s="5">
        <v>10</v>
      </c>
      <c r="D678" s="9" t="s">
        <v>8</v>
      </c>
      <c r="E678" s="10">
        <v>165</v>
      </c>
      <c r="F678" s="10">
        <f t="shared" si="10"/>
        <v>1650</v>
      </c>
    </row>
    <row r="679" spans="1:6" x14ac:dyDescent="0.25">
      <c r="B679" s="9"/>
      <c r="C679" s="5">
        <v>8</v>
      </c>
      <c r="D679" s="9" t="s">
        <v>22</v>
      </c>
      <c r="E679" s="10">
        <v>135</v>
      </c>
      <c r="F679" s="10">
        <f t="shared" si="10"/>
        <v>1080</v>
      </c>
    </row>
    <row r="680" spans="1:6" x14ac:dyDescent="0.25">
      <c r="B680" s="9"/>
      <c r="C680" s="5">
        <v>15</v>
      </c>
      <c r="D680" s="9" t="s">
        <v>14</v>
      </c>
      <c r="E680" s="10">
        <v>155</v>
      </c>
      <c r="F680" s="10">
        <f t="shared" si="10"/>
        <v>2325</v>
      </c>
    </row>
    <row r="681" spans="1:6" x14ac:dyDescent="0.25">
      <c r="B681" s="4"/>
      <c r="D681" s="9"/>
      <c r="F681" s="8">
        <f>SUM(F678:F680)</f>
        <v>5055</v>
      </c>
    </row>
    <row r="682" spans="1:6" x14ac:dyDescent="0.25">
      <c r="B682" s="9"/>
      <c r="D682" s="9"/>
    </row>
    <row r="683" spans="1:6" x14ac:dyDescent="0.25">
      <c r="A683" t="s">
        <v>20</v>
      </c>
      <c r="B683" s="4">
        <v>45940</v>
      </c>
      <c r="C683" s="5">
        <v>20</v>
      </c>
      <c r="D683" s="9" t="s">
        <v>13</v>
      </c>
      <c r="E683" s="10">
        <v>160</v>
      </c>
      <c r="F683" s="10">
        <f t="shared" si="10"/>
        <v>3200</v>
      </c>
    </row>
    <row r="684" spans="1:6" x14ac:dyDescent="0.25">
      <c r="B684" s="4"/>
      <c r="C684" s="11"/>
      <c r="D684" s="9"/>
      <c r="F684" s="8">
        <f>SUM(F683)</f>
        <v>3200</v>
      </c>
    </row>
    <row r="685" spans="1:6" x14ac:dyDescent="0.25">
      <c r="B685" s="9"/>
      <c r="D685" s="9"/>
    </row>
    <row r="686" spans="1:6" x14ac:dyDescent="0.25">
      <c r="A686" t="s">
        <v>17</v>
      </c>
      <c r="B686" s="4">
        <v>45940</v>
      </c>
      <c r="C686" s="5">
        <v>8</v>
      </c>
      <c r="D686" s="9" t="s">
        <v>13</v>
      </c>
      <c r="E686" s="10">
        <v>160</v>
      </c>
      <c r="F686" s="10">
        <f t="shared" si="10"/>
        <v>1280</v>
      </c>
    </row>
    <row r="687" spans="1:6" x14ac:dyDescent="0.25">
      <c r="B687" s="9"/>
      <c r="D687" s="9"/>
      <c r="F687" s="8">
        <f>SUM(F686)</f>
        <v>1280</v>
      </c>
    </row>
    <row r="688" spans="1:6" x14ac:dyDescent="0.25">
      <c r="B688" s="9"/>
      <c r="D688" s="9"/>
    </row>
    <row r="689" spans="1:6" x14ac:dyDescent="0.25">
      <c r="A689" t="s">
        <v>808</v>
      </c>
      <c r="B689" s="4">
        <v>45940</v>
      </c>
      <c r="C689" s="5">
        <v>40</v>
      </c>
      <c r="D689" s="9" t="s">
        <v>12</v>
      </c>
      <c r="E689" s="10">
        <v>150</v>
      </c>
      <c r="F689" s="10">
        <f t="shared" si="10"/>
        <v>6000</v>
      </c>
    </row>
    <row r="690" spans="1:6" x14ac:dyDescent="0.25">
      <c r="B690" s="9"/>
      <c r="C690" s="5">
        <v>40</v>
      </c>
      <c r="D690" s="9" t="s">
        <v>13</v>
      </c>
      <c r="E690" s="10">
        <v>160</v>
      </c>
      <c r="F690" s="10">
        <f t="shared" si="10"/>
        <v>6400</v>
      </c>
    </row>
    <row r="691" spans="1:6" x14ac:dyDescent="0.25">
      <c r="B691" s="9"/>
      <c r="C691" s="5">
        <v>10</v>
      </c>
      <c r="D691" s="9" t="s">
        <v>14</v>
      </c>
      <c r="E691" s="10">
        <v>155</v>
      </c>
      <c r="F691" s="10">
        <f t="shared" si="10"/>
        <v>1550</v>
      </c>
    </row>
    <row r="692" spans="1:6" x14ac:dyDescent="0.25">
      <c r="B692" s="4"/>
      <c r="C692" s="5">
        <v>10</v>
      </c>
      <c r="D692" s="9" t="s">
        <v>8</v>
      </c>
      <c r="E692" s="10">
        <v>165</v>
      </c>
      <c r="F692" s="10">
        <f t="shared" si="10"/>
        <v>1650</v>
      </c>
    </row>
    <row r="693" spans="1:6" x14ac:dyDescent="0.25">
      <c r="B693" s="9"/>
      <c r="D693" s="9"/>
      <c r="F693" s="8">
        <f>SUM(F689:F692)</f>
        <v>15600</v>
      </c>
    </row>
    <row r="694" spans="1:6" x14ac:dyDescent="0.25">
      <c r="B694" s="9"/>
      <c r="D694" s="9"/>
    </row>
    <row r="695" spans="1:6" x14ac:dyDescent="0.25">
      <c r="A695" t="s">
        <v>37</v>
      </c>
      <c r="B695" s="4">
        <v>45940</v>
      </c>
      <c r="C695" s="5">
        <v>15</v>
      </c>
      <c r="D695" s="9" t="s">
        <v>12</v>
      </c>
      <c r="E695" s="10">
        <v>150</v>
      </c>
      <c r="F695" s="10">
        <f t="shared" si="10"/>
        <v>2250</v>
      </c>
    </row>
    <row r="696" spans="1:6" x14ac:dyDescent="0.25">
      <c r="B696" s="9"/>
      <c r="D696" s="9"/>
      <c r="F696" s="8">
        <f>SUM(F695)</f>
        <v>2250</v>
      </c>
    </row>
    <row r="697" spans="1:6" x14ac:dyDescent="0.25">
      <c r="B697" s="9"/>
      <c r="D697" s="9"/>
    </row>
    <row r="698" spans="1:6" x14ac:dyDescent="0.25">
      <c r="A698" t="s">
        <v>1017</v>
      </c>
      <c r="B698" s="4">
        <v>45940</v>
      </c>
      <c r="C698" s="5">
        <v>15</v>
      </c>
      <c r="D698" s="9" t="s">
        <v>8</v>
      </c>
      <c r="E698" s="10">
        <v>165</v>
      </c>
      <c r="F698" s="10">
        <f t="shared" si="10"/>
        <v>2475</v>
      </c>
    </row>
    <row r="699" spans="1:6" x14ac:dyDescent="0.25">
      <c r="B699" s="9"/>
      <c r="C699" s="5">
        <v>15</v>
      </c>
      <c r="D699" s="9" t="s">
        <v>12</v>
      </c>
      <c r="E699" s="10">
        <v>150</v>
      </c>
      <c r="F699" s="10">
        <f t="shared" si="10"/>
        <v>2250</v>
      </c>
    </row>
    <row r="700" spans="1:6" x14ac:dyDescent="0.25">
      <c r="B700" s="9"/>
      <c r="C700" s="5">
        <v>10</v>
      </c>
      <c r="D700" s="9" t="s">
        <v>13</v>
      </c>
      <c r="E700" s="10">
        <v>160</v>
      </c>
      <c r="F700" s="10">
        <f t="shared" si="10"/>
        <v>1600</v>
      </c>
    </row>
    <row r="701" spans="1:6" x14ac:dyDescent="0.25">
      <c r="B701" s="9"/>
      <c r="D701" s="9"/>
      <c r="F701" s="8">
        <f>SUM(F698:F700)</f>
        <v>6325</v>
      </c>
    </row>
    <row r="702" spans="1:6" x14ac:dyDescent="0.25">
      <c r="B702" s="4"/>
      <c r="D702" s="9"/>
    </row>
    <row r="703" spans="1:6" x14ac:dyDescent="0.25">
      <c r="A703" t="s">
        <v>1001</v>
      </c>
      <c r="B703" s="4">
        <v>45940</v>
      </c>
      <c r="C703" s="5">
        <v>60</v>
      </c>
      <c r="D703" s="9" t="s">
        <v>14</v>
      </c>
      <c r="E703" s="10">
        <v>150</v>
      </c>
      <c r="F703" s="10">
        <f t="shared" si="10"/>
        <v>9000</v>
      </c>
    </row>
    <row r="704" spans="1:6" x14ac:dyDescent="0.25">
      <c r="B704" s="9"/>
      <c r="D704" s="9"/>
      <c r="F704" s="8">
        <f>SUM(F703)</f>
        <v>9000</v>
      </c>
    </row>
    <row r="705" spans="1:6" x14ac:dyDescent="0.25">
      <c r="B705" s="9"/>
      <c r="D705" s="9"/>
    </row>
    <row r="706" spans="1:6" x14ac:dyDescent="0.25">
      <c r="A706" t="s">
        <v>106</v>
      </c>
      <c r="B706" s="4">
        <v>45940</v>
      </c>
      <c r="C706" s="5">
        <v>80</v>
      </c>
      <c r="D706" s="9" t="s">
        <v>12</v>
      </c>
      <c r="E706" s="10">
        <v>145</v>
      </c>
      <c r="F706" s="10">
        <f t="shared" si="10"/>
        <v>11600</v>
      </c>
    </row>
    <row r="707" spans="1:6" x14ac:dyDescent="0.25">
      <c r="B707" s="9"/>
      <c r="D707" s="9"/>
      <c r="F707" s="8">
        <f>SUM(F706)</f>
        <v>11600</v>
      </c>
    </row>
    <row r="708" spans="1:6" x14ac:dyDescent="0.25">
      <c r="B708" s="4"/>
      <c r="D708" s="9"/>
    </row>
    <row r="709" spans="1:6" x14ac:dyDescent="0.25">
      <c r="A709" t="s">
        <v>41</v>
      </c>
      <c r="B709" s="4">
        <v>45940</v>
      </c>
      <c r="C709" s="5">
        <v>30</v>
      </c>
      <c r="D709" s="9" t="s">
        <v>14</v>
      </c>
      <c r="E709" s="10">
        <v>140</v>
      </c>
      <c r="F709" s="10">
        <f t="shared" ref="F709:F770" si="11">+C709*E709</f>
        <v>4200</v>
      </c>
    </row>
    <row r="710" spans="1:6" x14ac:dyDescent="0.25">
      <c r="B710" s="9"/>
      <c r="D710" s="9"/>
      <c r="F710" s="8">
        <f>SUM(F709)</f>
        <v>4200</v>
      </c>
    </row>
    <row r="711" spans="1:6" x14ac:dyDescent="0.25">
      <c r="B711" s="4"/>
      <c r="D711" s="9"/>
    </row>
    <row r="712" spans="1:6" x14ac:dyDescent="0.25">
      <c r="A712" t="s">
        <v>262</v>
      </c>
      <c r="B712" s="4">
        <v>45940</v>
      </c>
      <c r="C712" s="5">
        <v>34</v>
      </c>
      <c r="D712" s="9" t="s">
        <v>14</v>
      </c>
      <c r="E712" s="10">
        <v>155</v>
      </c>
      <c r="F712" s="10">
        <f t="shared" si="11"/>
        <v>5270</v>
      </c>
    </row>
    <row r="713" spans="1:6" x14ac:dyDescent="0.25">
      <c r="B713" s="9"/>
      <c r="D713" s="9"/>
      <c r="F713" s="8">
        <f>SUM(F712)</f>
        <v>5270</v>
      </c>
    </row>
    <row r="714" spans="1:6" x14ac:dyDescent="0.25">
      <c r="B714" s="9"/>
      <c r="D714" s="9"/>
    </row>
    <row r="715" spans="1:6" x14ac:dyDescent="0.25">
      <c r="A715" t="s">
        <v>960</v>
      </c>
      <c r="B715" s="4">
        <v>45940</v>
      </c>
      <c r="C715" s="5">
        <v>10</v>
      </c>
      <c r="D715" s="9" t="s">
        <v>14</v>
      </c>
      <c r="E715" s="10">
        <v>155</v>
      </c>
      <c r="F715" s="10">
        <f t="shared" si="11"/>
        <v>1550</v>
      </c>
    </row>
    <row r="716" spans="1:6" x14ac:dyDescent="0.25">
      <c r="B716" s="9"/>
      <c r="D716" s="9"/>
      <c r="F716" s="8">
        <f>SUM(F715)</f>
        <v>1550</v>
      </c>
    </row>
    <row r="717" spans="1:6" x14ac:dyDescent="0.25">
      <c r="B717" s="9"/>
      <c r="D717" s="9"/>
    </row>
    <row r="718" spans="1:6" x14ac:dyDescent="0.25">
      <c r="A718" t="s">
        <v>44</v>
      </c>
      <c r="B718" s="4">
        <v>45940</v>
      </c>
      <c r="C718" s="5">
        <v>60</v>
      </c>
      <c r="D718" s="9" t="s">
        <v>14</v>
      </c>
      <c r="E718" s="10">
        <v>155</v>
      </c>
      <c r="F718" s="10">
        <f t="shared" si="11"/>
        <v>9300</v>
      </c>
    </row>
    <row r="719" spans="1:6" x14ac:dyDescent="0.25">
      <c r="B719" s="9"/>
      <c r="D719" s="9"/>
      <c r="F719" s="8">
        <f>SUM(F718)</f>
        <v>9300</v>
      </c>
    </row>
    <row r="720" spans="1:6" x14ac:dyDescent="0.25">
      <c r="B720" s="9"/>
      <c r="D720" s="9"/>
    </row>
    <row r="721" spans="1:6" x14ac:dyDescent="0.25">
      <c r="A721" t="s">
        <v>18</v>
      </c>
      <c r="B721" s="4">
        <v>45940</v>
      </c>
      <c r="C721" s="5">
        <v>20</v>
      </c>
      <c r="D721" s="9" t="s">
        <v>14</v>
      </c>
      <c r="E721" s="10">
        <v>155</v>
      </c>
      <c r="F721" s="10">
        <f t="shared" si="11"/>
        <v>3100</v>
      </c>
    </row>
    <row r="722" spans="1:6" x14ac:dyDescent="0.25">
      <c r="B722" s="9"/>
      <c r="C722" s="5">
        <v>30</v>
      </c>
      <c r="D722" s="9" t="s">
        <v>11</v>
      </c>
      <c r="E722" s="10">
        <v>145</v>
      </c>
      <c r="F722" s="10">
        <f t="shared" si="11"/>
        <v>4350</v>
      </c>
    </row>
    <row r="723" spans="1:6" x14ac:dyDescent="0.25">
      <c r="B723" s="9"/>
      <c r="C723" s="5">
        <v>7</v>
      </c>
      <c r="D723" s="9" t="s">
        <v>50</v>
      </c>
      <c r="E723" s="10">
        <v>140</v>
      </c>
      <c r="F723" s="10">
        <f t="shared" si="11"/>
        <v>980</v>
      </c>
    </row>
    <row r="724" spans="1:6" x14ac:dyDescent="0.25">
      <c r="B724" s="4"/>
      <c r="D724" s="9"/>
      <c r="F724" s="8">
        <f>SUM(F721:F723)</f>
        <v>8430</v>
      </c>
    </row>
    <row r="725" spans="1:6" x14ac:dyDescent="0.25">
      <c r="B725" s="9"/>
      <c r="D725" s="9"/>
    </row>
    <row r="726" spans="1:6" x14ac:dyDescent="0.25">
      <c r="A726" t="s">
        <v>46</v>
      </c>
      <c r="B726" s="4">
        <v>45940</v>
      </c>
      <c r="C726" s="5">
        <v>10</v>
      </c>
      <c r="D726" s="9" t="s">
        <v>14</v>
      </c>
      <c r="E726" s="10">
        <v>155</v>
      </c>
      <c r="F726" s="10">
        <f t="shared" si="11"/>
        <v>1550</v>
      </c>
    </row>
    <row r="727" spans="1:6" x14ac:dyDescent="0.25">
      <c r="B727" s="4"/>
      <c r="D727" s="9"/>
      <c r="F727" s="8">
        <f>SUM(F726)</f>
        <v>1550</v>
      </c>
    </row>
    <row r="728" spans="1:6" x14ac:dyDescent="0.25">
      <c r="B728" s="9"/>
      <c r="D728" s="9"/>
    </row>
    <row r="729" spans="1:6" x14ac:dyDescent="0.25">
      <c r="A729" t="s">
        <v>253</v>
      </c>
      <c r="B729" s="4">
        <v>45940</v>
      </c>
      <c r="C729" s="5">
        <v>10</v>
      </c>
      <c r="D729" s="9" t="s">
        <v>12</v>
      </c>
      <c r="E729" s="10">
        <v>145</v>
      </c>
      <c r="F729" s="10">
        <f t="shared" si="11"/>
        <v>1450</v>
      </c>
    </row>
    <row r="730" spans="1:6" x14ac:dyDescent="0.25">
      <c r="B730" s="4"/>
      <c r="C730" s="5">
        <v>9</v>
      </c>
      <c r="D730" s="9" t="s">
        <v>14</v>
      </c>
      <c r="E730" s="10">
        <v>155</v>
      </c>
      <c r="F730" s="10">
        <f t="shared" si="11"/>
        <v>1395</v>
      </c>
    </row>
    <row r="731" spans="1:6" x14ac:dyDescent="0.25">
      <c r="B731" s="9"/>
      <c r="D731" s="9"/>
      <c r="F731" s="8">
        <f>SUM(F729:F730)</f>
        <v>2845</v>
      </c>
    </row>
    <row r="732" spans="1:6" x14ac:dyDescent="0.25">
      <c r="B732" s="9"/>
      <c r="D732" s="9"/>
    </row>
    <row r="733" spans="1:6" x14ac:dyDescent="0.25">
      <c r="A733" t="s">
        <v>76</v>
      </c>
      <c r="B733" s="4">
        <v>45940</v>
      </c>
      <c r="C733" s="5">
        <v>19</v>
      </c>
      <c r="D733" s="9" t="s">
        <v>49</v>
      </c>
      <c r="F733" s="10">
        <f t="shared" si="11"/>
        <v>0</v>
      </c>
    </row>
    <row r="734" spans="1:6" x14ac:dyDescent="0.25">
      <c r="B734" s="9"/>
      <c r="C734" s="5">
        <v>179</v>
      </c>
      <c r="D734" s="9" t="s">
        <v>14</v>
      </c>
      <c r="F734" s="10">
        <f t="shared" si="11"/>
        <v>0</v>
      </c>
    </row>
    <row r="735" spans="1:6" x14ac:dyDescent="0.25">
      <c r="B735" s="9"/>
      <c r="C735" s="5">
        <v>58</v>
      </c>
      <c r="D735" s="9" t="s">
        <v>11</v>
      </c>
      <c r="F735" s="10">
        <f t="shared" si="11"/>
        <v>0</v>
      </c>
    </row>
    <row r="736" spans="1:6" x14ac:dyDescent="0.25">
      <c r="B736" s="9"/>
      <c r="C736" s="5">
        <v>59</v>
      </c>
      <c r="D736" s="9" t="s">
        <v>1034</v>
      </c>
      <c r="F736" s="10">
        <f t="shared" si="11"/>
        <v>0</v>
      </c>
    </row>
    <row r="737" spans="1:6" x14ac:dyDescent="0.25">
      <c r="B737" s="9"/>
      <c r="C737" s="5">
        <v>51</v>
      </c>
      <c r="D737" s="9" t="s">
        <v>22</v>
      </c>
      <c r="F737" s="10">
        <f t="shared" si="11"/>
        <v>0</v>
      </c>
    </row>
    <row r="738" spans="1:6" x14ac:dyDescent="0.25">
      <c r="B738" s="4"/>
      <c r="C738" s="5">
        <v>2</v>
      </c>
      <c r="D738" s="9" t="s">
        <v>13</v>
      </c>
      <c r="F738" s="10">
        <f t="shared" si="11"/>
        <v>0</v>
      </c>
    </row>
    <row r="739" spans="1:6" x14ac:dyDescent="0.25">
      <c r="B739" s="9"/>
      <c r="D739" s="9"/>
      <c r="F739" s="8">
        <f>SUM(F733:F738)</f>
        <v>0</v>
      </c>
    </row>
    <row r="740" spans="1:6" x14ac:dyDescent="0.25">
      <c r="B740" s="9"/>
      <c r="D740" s="9"/>
    </row>
    <row r="741" spans="1:6" x14ac:dyDescent="0.25">
      <c r="A741" t="s">
        <v>89</v>
      </c>
      <c r="B741" s="4">
        <v>45940</v>
      </c>
      <c r="C741" s="5">
        <v>20</v>
      </c>
      <c r="D741" s="9" t="s">
        <v>13</v>
      </c>
      <c r="E741" s="10">
        <v>150</v>
      </c>
      <c r="F741" s="10">
        <f t="shared" si="11"/>
        <v>3000</v>
      </c>
    </row>
    <row r="742" spans="1:6" x14ac:dyDescent="0.25">
      <c r="B742" s="4"/>
      <c r="C742" s="5">
        <v>60</v>
      </c>
      <c r="D742" s="9" t="s">
        <v>12</v>
      </c>
      <c r="E742" s="10">
        <v>145</v>
      </c>
      <c r="F742" s="10">
        <f t="shared" si="11"/>
        <v>8700</v>
      </c>
    </row>
    <row r="743" spans="1:6" x14ac:dyDescent="0.25">
      <c r="B743" s="9"/>
      <c r="D743" s="9"/>
      <c r="F743" s="8">
        <f>SUM(F741:F742)</f>
        <v>11700</v>
      </c>
    </row>
    <row r="744" spans="1:6" x14ac:dyDescent="0.25">
      <c r="B744" s="9"/>
      <c r="D744" s="9"/>
    </row>
    <row r="745" spans="1:6" x14ac:dyDescent="0.25">
      <c r="A745" t="s">
        <v>734</v>
      </c>
      <c r="B745" s="4">
        <v>38635</v>
      </c>
      <c r="C745" s="5">
        <v>7</v>
      </c>
      <c r="D745" s="9" t="s">
        <v>13</v>
      </c>
      <c r="E745" s="10">
        <v>160</v>
      </c>
      <c r="F745" s="10">
        <f t="shared" si="11"/>
        <v>1120</v>
      </c>
    </row>
    <row r="746" spans="1:6" x14ac:dyDescent="0.25">
      <c r="B746" s="9"/>
      <c r="D746" s="9"/>
      <c r="F746" s="8">
        <f>SUM(F745)</f>
        <v>1120</v>
      </c>
    </row>
    <row r="747" spans="1:6" x14ac:dyDescent="0.25">
      <c r="B747" s="9"/>
      <c r="D747" s="9"/>
    </row>
    <row r="748" spans="1:6" x14ac:dyDescent="0.25">
      <c r="A748" t="s">
        <v>26</v>
      </c>
      <c r="B748" s="4">
        <v>45940</v>
      </c>
      <c r="C748" s="5">
        <v>20</v>
      </c>
      <c r="D748" s="9" t="s">
        <v>14</v>
      </c>
      <c r="E748" s="10">
        <v>150</v>
      </c>
      <c r="F748" s="10">
        <f t="shared" si="11"/>
        <v>3000</v>
      </c>
    </row>
    <row r="749" spans="1:6" x14ac:dyDescent="0.25">
      <c r="B749" s="9"/>
      <c r="D749" s="9"/>
      <c r="F749" s="8">
        <f>SUM(F748)</f>
        <v>3000</v>
      </c>
    </row>
    <row r="750" spans="1:6" x14ac:dyDescent="0.25">
      <c r="B750" s="9"/>
      <c r="D750" s="9"/>
    </row>
    <row r="751" spans="1:6" x14ac:dyDescent="0.25">
      <c r="A751" t="s">
        <v>117</v>
      </c>
      <c r="B751" s="4">
        <v>45940</v>
      </c>
      <c r="C751" s="5">
        <v>5</v>
      </c>
      <c r="D751" s="9" t="s">
        <v>13</v>
      </c>
      <c r="E751" s="10">
        <v>160</v>
      </c>
      <c r="F751" s="10">
        <f t="shared" si="11"/>
        <v>800</v>
      </c>
    </row>
    <row r="752" spans="1:6" x14ac:dyDescent="0.25">
      <c r="B752" s="4"/>
      <c r="D752" s="9"/>
      <c r="F752" s="8">
        <f>SUM(F751)</f>
        <v>800</v>
      </c>
    </row>
    <row r="753" spans="1:6" x14ac:dyDescent="0.25">
      <c r="B753" s="9"/>
      <c r="D753" s="9"/>
    </row>
    <row r="754" spans="1:6" x14ac:dyDescent="0.25">
      <c r="A754" t="s">
        <v>112</v>
      </c>
      <c r="B754" s="4">
        <v>45940</v>
      </c>
      <c r="C754" s="5">
        <v>100</v>
      </c>
      <c r="D754" s="9" t="s">
        <v>13</v>
      </c>
      <c r="E754" s="10">
        <v>150</v>
      </c>
      <c r="F754" s="10">
        <f t="shared" si="11"/>
        <v>15000</v>
      </c>
    </row>
    <row r="755" spans="1:6" x14ac:dyDescent="0.25">
      <c r="B755" s="4"/>
      <c r="C755" s="5">
        <v>30</v>
      </c>
      <c r="D755" s="9" t="s">
        <v>8</v>
      </c>
      <c r="E755" s="10">
        <v>155</v>
      </c>
      <c r="F755" s="10">
        <f t="shared" si="11"/>
        <v>4650</v>
      </c>
    </row>
    <row r="756" spans="1:6" x14ac:dyDescent="0.25">
      <c r="B756" s="9"/>
      <c r="C756" s="5">
        <v>30</v>
      </c>
      <c r="D756" s="9" t="s">
        <v>14</v>
      </c>
      <c r="E756" s="10">
        <v>150</v>
      </c>
      <c r="F756" s="10">
        <f t="shared" si="11"/>
        <v>4500</v>
      </c>
    </row>
    <row r="757" spans="1:6" x14ac:dyDescent="0.25">
      <c r="B757" s="9"/>
      <c r="C757" s="5">
        <v>50</v>
      </c>
      <c r="D757" s="9" t="s">
        <v>12</v>
      </c>
      <c r="E757" s="10">
        <v>145</v>
      </c>
      <c r="F757" s="10">
        <f t="shared" si="11"/>
        <v>7250</v>
      </c>
    </row>
    <row r="758" spans="1:6" x14ac:dyDescent="0.25">
      <c r="B758" s="9"/>
      <c r="C758" s="5">
        <v>40</v>
      </c>
      <c r="D758" s="9" t="s">
        <v>11</v>
      </c>
      <c r="E758" s="10">
        <v>145</v>
      </c>
      <c r="F758" s="10">
        <f t="shared" si="11"/>
        <v>5800</v>
      </c>
    </row>
    <row r="759" spans="1:6" x14ac:dyDescent="0.25">
      <c r="B759" s="4"/>
      <c r="D759" s="9"/>
      <c r="F759" s="8">
        <f>SUM(F754:F758)</f>
        <v>37200</v>
      </c>
    </row>
    <row r="760" spans="1:6" x14ac:dyDescent="0.25">
      <c r="B760" s="9"/>
      <c r="D760" s="9"/>
    </row>
    <row r="761" spans="1:6" x14ac:dyDescent="0.25">
      <c r="A761" t="s">
        <v>29</v>
      </c>
      <c r="B761" s="4">
        <v>45940</v>
      </c>
      <c r="C761" s="5">
        <v>3</v>
      </c>
      <c r="D761" s="9" t="s">
        <v>846</v>
      </c>
      <c r="E761" s="10">
        <v>140</v>
      </c>
      <c r="F761" s="10">
        <f t="shared" si="11"/>
        <v>420</v>
      </c>
    </row>
    <row r="762" spans="1:6" x14ac:dyDescent="0.25">
      <c r="B762" s="4"/>
      <c r="C762" s="5">
        <v>2</v>
      </c>
      <c r="D762" s="9" t="s">
        <v>12</v>
      </c>
      <c r="E762" s="10">
        <v>150</v>
      </c>
      <c r="F762" s="10">
        <f t="shared" si="11"/>
        <v>300</v>
      </c>
    </row>
    <row r="763" spans="1:6" x14ac:dyDescent="0.25">
      <c r="B763" s="9"/>
      <c r="C763" s="5">
        <v>1</v>
      </c>
      <c r="D763" s="9" t="s">
        <v>78</v>
      </c>
      <c r="E763" s="10">
        <v>110</v>
      </c>
      <c r="F763" s="10">
        <f t="shared" si="11"/>
        <v>110</v>
      </c>
    </row>
    <row r="764" spans="1:6" x14ac:dyDescent="0.25">
      <c r="B764" s="9"/>
      <c r="C764" s="5">
        <v>2</v>
      </c>
      <c r="D764" s="9" t="s">
        <v>8</v>
      </c>
      <c r="E764" s="10">
        <v>170</v>
      </c>
      <c r="F764" s="10">
        <f t="shared" si="11"/>
        <v>340</v>
      </c>
    </row>
    <row r="765" spans="1:6" x14ac:dyDescent="0.25">
      <c r="B765" s="4"/>
      <c r="D765" s="9"/>
      <c r="F765" s="8">
        <f>SUM(F761:F764)</f>
        <v>1170</v>
      </c>
    </row>
    <row r="766" spans="1:6" x14ac:dyDescent="0.25">
      <c r="B766" s="9"/>
      <c r="D766" s="9"/>
    </row>
    <row r="767" spans="1:6" x14ac:dyDescent="0.25">
      <c r="A767" t="s">
        <v>7</v>
      </c>
      <c r="B767" s="4">
        <v>45940</v>
      </c>
      <c r="C767" s="5">
        <v>1</v>
      </c>
      <c r="D767" s="9" t="s">
        <v>1035</v>
      </c>
      <c r="E767" s="10">
        <v>140</v>
      </c>
      <c r="F767" s="10">
        <f t="shared" si="11"/>
        <v>140</v>
      </c>
    </row>
    <row r="768" spans="1:6" x14ac:dyDescent="0.25">
      <c r="B768" s="4"/>
      <c r="C768" s="5">
        <v>3</v>
      </c>
      <c r="D768" s="9" t="s">
        <v>8</v>
      </c>
      <c r="E768" s="10">
        <v>170</v>
      </c>
      <c r="F768" s="10">
        <f t="shared" si="11"/>
        <v>510</v>
      </c>
    </row>
    <row r="769" spans="1:6" x14ac:dyDescent="0.25">
      <c r="B769" s="9"/>
      <c r="C769" s="5">
        <v>1</v>
      </c>
      <c r="D769" s="9" t="s">
        <v>13</v>
      </c>
      <c r="E769" s="10">
        <v>160</v>
      </c>
      <c r="F769" s="10">
        <f t="shared" si="11"/>
        <v>160</v>
      </c>
    </row>
    <row r="770" spans="1:6" x14ac:dyDescent="0.25">
      <c r="B770" s="9"/>
      <c r="C770" s="5">
        <v>1</v>
      </c>
      <c r="D770" s="9" t="s">
        <v>8</v>
      </c>
      <c r="E770" s="10">
        <v>170</v>
      </c>
      <c r="F770" s="10">
        <f t="shared" si="11"/>
        <v>170</v>
      </c>
    </row>
    <row r="771" spans="1:6" x14ac:dyDescent="0.25">
      <c r="B771" s="4"/>
      <c r="D771" s="9"/>
      <c r="F771" s="8">
        <f>SUM(F767:F770)</f>
        <v>980</v>
      </c>
    </row>
    <row r="772" spans="1:6" x14ac:dyDescent="0.25">
      <c r="B772" s="9"/>
      <c r="D772" s="9"/>
    </row>
    <row r="773" spans="1:6" x14ac:dyDescent="0.25">
      <c r="A773" t="s">
        <v>58</v>
      </c>
      <c r="B773" s="4">
        <v>45941</v>
      </c>
      <c r="C773" s="5">
        <v>10</v>
      </c>
      <c r="D773" s="9" t="s">
        <v>13</v>
      </c>
      <c r="E773" s="10">
        <v>155</v>
      </c>
      <c r="F773" s="10">
        <f t="shared" ref="F773:F834" si="12">+C773*E773</f>
        <v>1550</v>
      </c>
    </row>
    <row r="774" spans="1:6" x14ac:dyDescent="0.25">
      <c r="B774" s="4"/>
      <c r="D774" s="9"/>
      <c r="F774" s="8">
        <f>SUM(F773)</f>
        <v>1550</v>
      </c>
    </row>
    <row r="775" spans="1:6" x14ac:dyDescent="0.25">
      <c r="B775" s="9"/>
      <c r="D775" s="9"/>
    </row>
    <row r="776" spans="1:6" x14ac:dyDescent="0.25">
      <c r="A776" t="s">
        <v>427</v>
      </c>
      <c r="B776" s="4">
        <v>45941</v>
      </c>
      <c r="C776" s="5">
        <v>10</v>
      </c>
      <c r="D776" s="9" t="s">
        <v>13</v>
      </c>
      <c r="E776" s="10">
        <v>160</v>
      </c>
      <c r="F776" s="10">
        <f t="shared" si="12"/>
        <v>1600</v>
      </c>
    </row>
    <row r="777" spans="1:6" x14ac:dyDescent="0.25">
      <c r="B777" s="9"/>
      <c r="D777" s="9"/>
      <c r="F777" s="8">
        <f>SUM(F776)</f>
        <v>1600</v>
      </c>
    </row>
    <row r="778" spans="1:6" x14ac:dyDescent="0.25">
      <c r="B778" s="4"/>
      <c r="D778" s="9"/>
    </row>
    <row r="779" spans="1:6" x14ac:dyDescent="0.25">
      <c r="A779" t="s">
        <v>25</v>
      </c>
      <c r="B779" s="4">
        <v>45941</v>
      </c>
      <c r="C779" s="5">
        <v>20</v>
      </c>
      <c r="D779" s="9" t="s">
        <v>14</v>
      </c>
      <c r="E779" s="10">
        <v>155</v>
      </c>
      <c r="F779" s="10">
        <f t="shared" si="12"/>
        <v>3100</v>
      </c>
    </row>
    <row r="780" spans="1:6" x14ac:dyDescent="0.25">
      <c r="B780" s="9"/>
      <c r="C780" s="5">
        <v>20</v>
      </c>
      <c r="D780" s="9" t="s">
        <v>8</v>
      </c>
      <c r="E780" s="10">
        <v>165</v>
      </c>
      <c r="F780" s="10">
        <f t="shared" si="12"/>
        <v>3300</v>
      </c>
    </row>
    <row r="781" spans="1:6" x14ac:dyDescent="0.25">
      <c r="B781" s="9"/>
      <c r="D781" s="9"/>
      <c r="F781" s="8">
        <f>SUM(F779:F780)</f>
        <v>6400</v>
      </c>
    </row>
    <row r="782" spans="1:6" x14ac:dyDescent="0.25">
      <c r="B782" s="4"/>
      <c r="D782" s="9"/>
    </row>
    <row r="783" spans="1:6" x14ac:dyDescent="0.25">
      <c r="A783" t="s">
        <v>40</v>
      </c>
      <c r="B783" s="4">
        <v>45941</v>
      </c>
      <c r="C783" s="5">
        <v>10</v>
      </c>
      <c r="D783" s="9" t="s">
        <v>8</v>
      </c>
      <c r="E783" s="10">
        <v>165</v>
      </c>
      <c r="F783" s="10">
        <f t="shared" si="12"/>
        <v>1650</v>
      </c>
    </row>
    <row r="784" spans="1:6" x14ac:dyDescent="0.25">
      <c r="B784" s="9"/>
      <c r="C784" s="5">
        <v>10</v>
      </c>
      <c r="D784" s="9" t="s">
        <v>14</v>
      </c>
      <c r="E784" s="10">
        <v>155</v>
      </c>
      <c r="F784" s="10">
        <f t="shared" si="12"/>
        <v>1550</v>
      </c>
    </row>
    <row r="785" spans="1:6" x14ac:dyDescent="0.25">
      <c r="B785" s="9"/>
      <c r="D785" s="9"/>
      <c r="F785" s="8">
        <f>SUM(F783:F784)</f>
        <v>3200</v>
      </c>
    </row>
    <row r="786" spans="1:6" x14ac:dyDescent="0.25">
      <c r="B786" s="4"/>
      <c r="D786" s="9"/>
    </row>
    <row r="787" spans="1:6" x14ac:dyDescent="0.25">
      <c r="A787" t="s">
        <v>127</v>
      </c>
      <c r="B787" s="4">
        <v>45941</v>
      </c>
      <c r="C787" s="5">
        <v>140</v>
      </c>
      <c r="D787" s="9" t="s">
        <v>13</v>
      </c>
      <c r="E787" s="10">
        <v>160</v>
      </c>
      <c r="F787" s="10">
        <f t="shared" si="12"/>
        <v>22400</v>
      </c>
    </row>
    <row r="788" spans="1:6" x14ac:dyDescent="0.25">
      <c r="B788" s="9"/>
      <c r="D788" s="9"/>
      <c r="F788" s="8">
        <f>SUM(F787)</f>
        <v>22400</v>
      </c>
    </row>
    <row r="789" spans="1:6" x14ac:dyDescent="0.25">
      <c r="B789" s="4"/>
      <c r="D789" s="9"/>
    </row>
    <row r="790" spans="1:6" x14ac:dyDescent="0.25">
      <c r="A790" t="s">
        <v>61</v>
      </c>
      <c r="B790" s="4">
        <v>45941</v>
      </c>
      <c r="C790" s="5">
        <v>40</v>
      </c>
      <c r="D790" s="9" t="s">
        <v>13</v>
      </c>
      <c r="E790" s="10">
        <v>160</v>
      </c>
      <c r="F790" s="10">
        <f t="shared" si="12"/>
        <v>6400</v>
      </c>
    </row>
    <row r="791" spans="1:6" x14ac:dyDescent="0.25">
      <c r="B791" s="9"/>
      <c r="D791" s="9"/>
      <c r="F791" s="8">
        <f>SUM(F790)</f>
        <v>6400</v>
      </c>
    </row>
    <row r="792" spans="1:6" x14ac:dyDescent="0.25">
      <c r="B792" s="4"/>
      <c r="D792" s="9"/>
    </row>
    <row r="793" spans="1:6" x14ac:dyDescent="0.25">
      <c r="A793" t="s">
        <v>904</v>
      </c>
      <c r="B793" s="4">
        <v>45941</v>
      </c>
      <c r="C793" s="5">
        <v>3</v>
      </c>
      <c r="D793" s="9" t="s">
        <v>13</v>
      </c>
      <c r="E793" s="10">
        <v>160</v>
      </c>
      <c r="F793" s="10">
        <f t="shared" si="12"/>
        <v>480</v>
      </c>
    </row>
    <row r="794" spans="1:6" x14ac:dyDescent="0.25">
      <c r="B794" s="9"/>
      <c r="D794" s="9"/>
      <c r="F794" s="8">
        <f>SUM(F793)</f>
        <v>480</v>
      </c>
    </row>
    <row r="795" spans="1:6" x14ac:dyDescent="0.25">
      <c r="B795" s="4"/>
      <c r="D795" s="9"/>
    </row>
    <row r="796" spans="1:6" x14ac:dyDescent="0.25">
      <c r="A796" t="s">
        <v>103</v>
      </c>
      <c r="B796" s="4">
        <v>45941</v>
      </c>
      <c r="C796" s="5">
        <v>4</v>
      </c>
      <c r="D796" s="9" t="s">
        <v>13</v>
      </c>
      <c r="E796" s="10">
        <v>160</v>
      </c>
      <c r="F796" s="10">
        <f t="shared" si="12"/>
        <v>640</v>
      </c>
    </row>
    <row r="797" spans="1:6" x14ac:dyDescent="0.25">
      <c r="B797" s="9"/>
      <c r="D797" s="9"/>
      <c r="F797" s="8">
        <f>SUM(F796)</f>
        <v>640</v>
      </c>
    </row>
    <row r="798" spans="1:6" x14ac:dyDescent="0.25">
      <c r="B798" s="4"/>
      <c r="D798" s="9"/>
    </row>
    <row r="799" spans="1:6" x14ac:dyDescent="0.25">
      <c r="A799" t="s">
        <v>1036</v>
      </c>
      <c r="B799" s="4">
        <v>45941</v>
      </c>
      <c r="C799" s="5">
        <v>200</v>
      </c>
      <c r="D799" s="9" t="s">
        <v>304</v>
      </c>
      <c r="E799" s="10">
        <v>150</v>
      </c>
      <c r="F799" s="10">
        <f t="shared" si="12"/>
        <v>30000</v>
      </c>
    </row>
    <row r="800" spans="1:6" x14ac:dyDescent="0.25">
      <c r="B800" s="9"/>
      <c r="C800" s="5">
        <v>200</v>
      </c>
      <c r="D800" s="9" t="s">
        <v>12</v>
      </c>
      <c r="E800" s="10">
        <v>145</v>
      </c>
      <c r="F800" s="10">
        <f t="shared" si="12"/>
        <v>29000</v>
      </c>
    </row>
    <row r="801" spans="1:6" x14ac:dyDescent="0.25">
      <c r="B801" s="9"/>
      <c r="C801" s="5">
        <v>20</v>
      </c>
      <c r="D801" s="9" t="s">
        <v>14</v>
      </c>
      <c r="E801" s="10">
        <v>145</v>
      </c>
      <c r="F801" s="10">
        <f t="shared" si="12"/>
        <v>2900</v>
      </c>
    </row>
    <row r="802" spans="1:6" x14ac:dyDescent="0.25">
      <c r="B802" s="9"/>
      <c r="C802" s="5">
        <v>100</v>
      </c>
      <c r="D802" s="9" t="s">
        <v>11</v>
      </c>
      <c r="E802" s="10">
        <v>140</v>
      </c>
      <c r="F802" s="10">
        <f t="shared" si="12"/>
        <v>14000</v>
      </c>
    </row>
    <row r="803" spans="1:6" x14ac:dyDescent="0.25">
      <c r="B803" s="9"/>
      <c r="D803" s="9"/>
      <c r="F803" s="8">
        <f>SUM(F799:F802)</f>
        <v>75900</v>
      </c>
    </row>
    <row r="804" spans="1:6" x14ac:dyDescent="0.25">
      <c r="B804" s="9"/>
      <c r="D804" s="9"/>
    </row>
    <row r="805" spans="1:6" x14ac:dyDescent="0.25">
      <c r="A805" s="4" t="s">
        <v>76</v>
      </c>
      <c r="B805" s="4">
        <v>45941</v>
      </c>
      <c r="C805" s="5">
        <v>110</v>
      </c>
      <c r="D805" s="9" t="s">
        <v>12</v>
      </c>
      <c r="E805" s="10">
        <v>145</v>
      </c>
      <c r="F805" s="10">
        <f t="shared" si="12"/>
        <v>15950</v>
      </c>
    </row>
    <row r="806" spans="1:6" x14ac:dyDescent="0.25">
      <c r="B806" s="9"/>
      <c r="C806" s="5">
        <v>40</v>
      </c>
      <c r="D806" s="9" t="s">
        <v>13</v>
      </c>
      <c r="E806" s="10">
        <v>150</v>
      </c>
      <c r="F806" s="10">
        <f t="shared" si="12"/>
        <v>6000</v>
      </c>
    </row>
    <row r="807" spans="1:6" x14ac:dyDescent="0.25">
      <c r="B807" s="9"/>
      <c r="D807" s="9"/>
      <c r="F807" s="8">
        <f>SUM(F805:F806)</f>
        <v>21950</v>
      </c>
    </row>
    <row r="808" spans="1:6" x14ac:dyDescent="0.25">
      <c r="B808" s="9"/>
      <c r="D808" s="9"/>
    </row>
    <row r="809" spans="1:6" x14ac:dyDescent="0.25">
      <c r="A809" t="s">
        <v>29</v>
      </c>
      <c r="B809" s="4">
        <v>45941</v>
      </c>
      <c r="C809" s="5">
        <v>1</v>
      </c>
      <c r="D809" s="9" t="s">
        <v>13</v>
      </c>
      <c r="E809" s="10">
        <v>150</v>
      </c>
      <c r="F809" s="10">
        <f t="shared" si="12"/>
        <v>150</v>
      </c>
    </row>
    <row r="810" spans="1:6" x14ac:dyDescent="0.25">
      <c r="B810" s="9"/>
      <c r="D810" s="9"/>
      <c r="F810" s="8">
        <f>SUM(F809)</f>
        <v>150</v>
      </c>
    </row>
    <row r="811" spans="1:6" x14ac:dyDescent="0.25">
      <c r="B811" s="4"/>
      <c r="D811" s="9"/>
    </row>
    <row r="812" spans="1:6" x14ac:dyDescent="0.25">
      <c r="A812" t="s">
        <v>7</v>
      </c>
      <c r="B812" s="4">
        <v>45941</v>
      </c>
      <c r="C812" s="5">
        <v>4</v>
      </c>
      <c r="D812" s="9" t="s">
        <v>8</v>
      </c>
      <c r="E812" s="10">
        <v>170</v>
      </c>
      <c r="F812" s="10">
        <f t="shared" si="12"/>
        <v>680</v>
      </c>
    </row>
    <row r="813" spans="1:6" x14ac:dyDescent="0.25">
      <c r="B813" s="9"/>
      <c r="C813" s="5">
        <v>1</v>
      </c>
      <c r="D813" s="9" t="s">
        <v>695</v>
      </c>
      <c r="E813" s="10">
        <v>140</v>
      </c>
      <c r="F813" s="10">
        <f t="shared" si="12"/>
        <v>140</v>
      </c>
    </row>
    <row r="814" spans="1:6" x14ac:dyDescent="0.25">
      <c r="B814" s="9"/>
      <c r="D814" s="9"/>
      <c r="F814" s="8">
        <f>SUM(F812:F813)</f>
        <v>820</v>
      </c>
    </row>
    <row r="815" spans="1:6" x14ac:dyDescent="0.25">
      <c r="B815" s="9"/>
      <c r="D815" s="9"/>
    </row>
    <row r="816" spans="1:6" x14ac:dyDescent="0.25">
      <c r="A816" t="s">
        <v>65</v>
      </c>
      <c r="B816" s="4">
        <v>45942</v>
      </c>
      <c r="C816" s="5">
        <v>224</v>
      </c>
      <c r="D816" s="9" t="s">
        <v>12</v>
      </c>
      <c r="E816" s="10">
        <v>150</v>
      </c>
      <c r="F816" s="10">
        <f t="shared" si="12"/>
        <v>33600</v>
      </c>
    </row>
    <row r="817" spans="1:6" x14ac:dyDescent="0.25">
      <c r="B817" s="4"/>
      <c r="C817" s="5">
        <v>34</v>
      </c>
      <c r="D817" s="9" t="s">
        <v>22</v>
      </c>
      <c r="E817" s="10">
        <v>135</v>
      </c>
      <c r="F817" s="10">
        <f t="shared" si="12"/>
        <v>4590</v>
      </c>
    </row>
    <row r="818" spans="1:6" x14ac:dyDescent="0.25">
      <c r="B818" s="9"/>
      <c r="C818" s="5">
        <v>41</v>
      </c>
      <c r="D818" s="9" t="s">
        <v>795</v>
      </c>
      <c r="E818" s="10">
        <v>145</v>
      </c>
      <c r="F818" s="10">
        <f t="shared" si="12"/>
        <v>5945</v>
      </c>
    </row>
    <row r="819" spans="1:6" x14ac:dyDescent="0.25">
      <c r="B819" s="9"/>
      <c r="C819" s="5">
        <v>250</v>
      </c>
      <c r="D819" s="9" t="s">
        <v>14</v>
      </c>
      <c r="E819" s="10">
        <v>150</v>
      </c>
      <c r="F819" s="10">
        <f t="shared" si="12"/>
        <v>37500</v>
      </c>
    </row>
    <row r="820" spans="1:6" x14ac:dyDescent="0.25">
      <c r="B820" s="9"/>
      <c r="C820" s="5">
        <v>50</v>
      </c>
      <c r="D820" s="9" t="s">
        <v>13</v>
      </c>
      <c r="E820" s="10">
        <v>155</v>
      </c>
      <c r="F820" s="10">
        <f t="shared" si="12"/>
        <v>7750</v>
      </c>
    </row>
    <row r="821" spans="1:6" x14ac:dyDescent="0.25">
      <c r="B821" s="4"/>
      <c r="D821" s="9"/>
      <c r="F821" s="8">
        <f>SUM(F816:F820)</f>
        <v>89385</v>
      </c>
    </row>
    <row r="822" spans="1:6" x14ac:dyDescent="0.25">
      <c r="B822" s="9"/>
      <c r="D822" s="9"/>
    </row>
    <row r="823" spans="1:6" x14ac:dyDescent="0.25">
      <c r="A823" t="s">
        <v>7</v>
      </c>
      <c r="B823" s="4">
        <v>45942</v>
      </c>
      <c r="C823" s="5">
        <v>1</v>
      </c>
      <c r="D823" s="9" t="s">
        <v>13</v>
      </c>
      <c r="E823" s="10">
        <v>160</v>
      </c>
      <c r="F823" s="10">
        <f t="shared" si="12"/>
        <v>160</v>
      </c>
    </row>
    <row r="824" spans="1:6" x14ac:dyDescent="0.25">
      <c r="B824" s="4"/>
      <c r="C824" s="5">
        <v>1</v>
      </c>
      <c r="D824" s="9" t="s">
        <v>12</v>
      </c>
      <c r="E824" s="10">
        <v>150</v>
      </c>
      <c r="F824" s="10">
        <f t="shared" si="12"/>
        <v>150</v>
      </c>
    </row>
    <row r="825" spans="1:6" x14ac:dyDescent="0.25">
      <c r="B825" s="9"/>
      <c r="C825" s="5">
        <v>15</v>
      </c>
      <c r="D825" s="9" t="s">
        <v>1037</v>
      </c>
      <c r="E825" s="10">
        <v>3.3332999999999999</v>
      </c>
      <c r="F825" s="10">
        <f t="shared" si="12"/>
        <v>49.999499999999998</v>
      </c>
    </row>
    <row r="826" spans="1:6" x14ac:dyDescent="0.25">
      <c r="B826" s="9"/>
      <c r="D826" s="9"/>
      <c r="F826" s="8">
        <f>SUM(F823:F825)</f>
        <v>359.99950000000001</v>
      </c>
    </row>
    <row r="827" spans="1:6" x14ac:dyDescent="0.25">
      <c r="B827" s="4"/>
      <c r="D827" s="9"/>
    </row>
    <row r="828" spans="1:6" x14ac:dyDescent="0.25">
      <c r="A828" t="s">
        <v>514</v>
      </c>
      <c r="B828" s="4">
        <v>45943</v>
      </c>
      <c r="C828" s="5">
        <v>10</v>
      </c>
      <c r="D828" s="9" t="s">
        <v>98</v>
      </c>
      <c r="E828" s="10">
        <v>115</v>
      </c>
      <c r="F828" s="10">
        <f t="shared" si="12"/>
        <v>1150</v>
      </c>
    </row>
    <row r="829" spans="1:6" x14ac:dyDescent="0.25">
      <c r="B829" s="9"/>
      <c r="D829" s="9"/>
      <c r="F829" s="8">
        <f>SUM(F828)</f>
        <v>1150</v>
      </c>
    </row>
    <row r="830" spans="1:6" x14ac:dyDescent="0.25">
      <c r="B830" s="4"/>
      <c r="D830" s="9"/>
    </row>
    <row r="831" spans="1:6" x14ac:dyDescent="0.25">
      <c r="A831" t="s">
        <v>15</v>
      </c>
      <c r="B831" s="4">
        <v>45943</v>
      </c>
      <c r="C831" s="5">
        <v>60</v>
      </c>
      <c r="D831" s="9" t="s">
        <v>275</v>
      </c>
      <c r="E831" s="10">
        <v>115</v>
      </c>
      <c r="F831" s="10">
        <f t="shared" si="12"/>
        <v>6900</v>
      </c>
    </row>
    <row r="832" spans="1:6" x14ac:dyDescent="0.25">
      <c r="B832" s="9"/>
      <c r="D832" s="9"/>
      <c r="F832" s="8">
        <f>SUM(F831)</f>
        <v>6900</v>
      </c>
    </row>
    <row r="833" spans="1:6" x14ac:dyDescent="0.25">
      <c r="B833" s="4"/>
      <c r="D833" s="9"/>
    </row>
    <row r="834" spans="1:6" x14ac:dyDescent="0.25">
      <c r="A834" t="s">
        <v>79</v>
      </c>
      <c r="B834" s="4">
        <v>45943</v>
      </c>
      <c r="C834" s="5">
        <v>12</v>
      </c>
      <c r="D834" s="9" t="s">
        <v>13</v>
      </c>
      <c r="E834" s="10">
        <v>155</v>
      </c>
      <c r="F834" s="10">
        <f t="shared" si="12"/>
        <v>1860</v>
      </c>
    </row>
    <row r="835" spans="1:6" x14ac:dyDescent="0.25">
      <c r="B835" s="9"/>
      <c r="D835" s="9"/>
      <c r="F835" s="8">
        <f>SUM(F834)</f>
        <v>1860</v>
      </c>
    </row>
    <row r="836" spans="1:6" x14ac:dyDescent="0.25">
      <c r="B836" s="4"/>
      <c r="D836" s="9"/>
    </row>
    <row r="837" spans="1:6" x14ac:dyDescent="0.25">
      <c r="A837" t="s">
        <v>366</v>
      </c>
      <c r="B837" s="4">
        <v>45943</v>
      </c>
      <c r="C837" s="11">
        <v>18</v>
      </c>
      <c r="D837" s="9" t="s">
        <v>13</v>
      </c>
      <c r="E837" s="10">
        <v>160</v>
      </c>
      <c r="F837" s="10">
        <f t="shared" ref="F837:F899" si="13">+C837*E837</f>
        <v>2880</v>
      </c>
    </row>
    <row r="838" spans="1:6" x14ac:dyDescent="0.25">
      <c r="B838" s="9"/>
      <c r="D838" s="9"/>
      <c r="F838" s="8">
        <f>SUM(F837)</f>
        <v>2880</v>
      </c>
    </row>
    <row r="839" spans="1:6" x14ac:dyDescent="0.25">
      <c r="B839" s="9"/>
      <c r="D839" s="9"/>
    </row>
    <row r="840" spans="1:6" x14ac:dyDescent="0.25">
      <c r="A840" t="s">
        <v>21</v>
      </c>
      <c r="B840" s="4">
        <v>45943</v>
      </c>
      <c r="C840" s="5">
        <v>10</v>
      </c>
      <c r="D840" s="9" t="s">
        <v>8</v>
      </c>
      <c r="E840" s="10">
        <v>165</v>
      </c>
      <c r="F840" s="10">
        <f t="shared" si="13"/>
        <v>1650</v>
      </c>
    </row>
    <row r="841" spans="1:6" x14ac:dyDescent="0.25">
      <c r="B841" s="4"/>
      <c r="C841" s="5">
        <v>10</v>
      </c>
      <c r="D841" s="9" t="s">
        <v>13</v>
      </c>
      <c r="E841" s="10">
        <v>155</v>
      </c>
      <c r="F841" s="10">
        <f t="shared" si="13"/>
        <v>1550</v>
      </c>
    </row>
    <row r="842" spans="1:6" x14ac:dyDescent="0.25">
      <c r="B842" s="9"/>
      <c r="C842" s="5">
        <v>10</v>
      </c>
      <c r="D842" s="9" t="s">
        <v>12</v>
      </c>
      <c r="E842" s="10">
        <v>145</v>
      </c>
      <c r="F842" s="10">
        <f t="shared" si="13"/>
        <v>1450</v>
      </c>
    </row>
    <row r="843" spans="1:6" x14ac:dyDescent="0.25">
      <c r="B843" s="9"/>
      <c r="D843" s="9"/>
      <c r="F843" s="8">
        <f>SUM(F840:F842)</f>
        <v>4650</v>
      </c>
    </row>
    <row r="844" spans="1:6" x14ac:dyDescent="0.25">
      <c r="B844" s="9"/>
      <c r="D844" s="9"/>
    </row>
    <row r="845" spans="1:6" x14ac:dyDescent="0.25">
      <c r="A845" t="s">
        <v>57</v>
      </c>
      <c r="B845" s="4">
        <v>45943</v>
      </c>
      <c r="C845" s="5">
        <v>10</v>
      </c>
      <c r="D845" s="9" t="s">
        <v>13</v>
      </c>
      <c r="E845" s="10">
        <v>160</v>
      </c>
      <c r="F845" s="10">
        <f t="shared" si="13"/>
        <v>1600</v>
      </c>
    </row>
    <row r="846" spans="1:6" x14ac:dyDescent="0.25">
      <c r="B846" s="4"/>
      <c r="D846" s="9"/>
      <c r="F846" s="8">
        <f>SUM(F845)</f>
        <v>1600</v>
      </c>
    </row>
    <row r="847" spans="1:6" x14ac:dyDescent="0.25">
      <c r="B847" s="9"/>
      <c r="D847" s="9"/>
    </row>
    <row r="848" spans="1:6" x14ac:dyDescent="0.25">
      <c r="A848" t="s">
        <v>791</v>
      </c>
      <c r="B848" s="4">
        <v>45943</v>
      </c>
      <c r="C848" s="5">
        <v>20</v>
      </c>
      <c r="D848" s="9" t="s">
        <v>8</v>
      </c>
      <c r="E848" s="10">
        <v>165</v>
      </c>
      <c r="F848" s="10">
        <f t="shared" si="13"/>
        <v>3300</v>
      </c>
    </row>
    <row r="849" spans="1:6" x14ac:dyDescent="0.25">
      <c r="B849" s="4"/>
      <c r="D849" s="9"/>
      <c r="F849" s="8">
        <f>SUM(F848)</f>
        <v>3300</v>
      </c>
    </row>
    <row r="850" spans="1:6" x14ac:dyDescent="0.25">
      <c r="B850" s="9"/>
      <c r="D850" s="9"/>
    </row>
    <row r="851" spans="1:6" x14ac:dyDescent="0.25">
      <c r="A851" t="s">
        <v>923</v>
      </c>
      <c r="B851" s="4">
        <v>45943</v>
      </c>
      <c r="C851" s="5">
        <v>10</v>
      </c>
      <c r="D851" s="9" t="s">
        <v>12</v>
      </c>
      <c r="E851" s="10">
        <v>150</v>
      </c>
      <c r="F851" s="10">
        <f t="shared" si="13"/>
        <v>1500</v>
      </c>
    </row>
    <row r="852" spans="1:6" x14ac:dyDescent="0.25">
      <c r="B852" s="4"/>
      <c r="C852" s="5">
        <v>10</v>
      </c>
      <c r="D852" s="9" t="s">
        <v>8</v>
      </c>
      <c r="E852" s="10">
        <v>165</v>
      </c>
      <c r="F852" s="10">
        <f t="shared" si="13"/>
        <v>1650</v>
      </c>
    </row>
    <row r="853" spans="1:6" x14ac:dyDescent="0.25">
      <c r="B853" s="9"/>
      <c r="D853" s="9"/>
      <c r="F853" s="8">
        <f>SUM(F851:F852)</f>
        <v>3150</v>
      </c>
    </row>
    <row r="854" spans="1:6" x14ac:dyDescent="0.25">
      <c r="B854" s="9"/>
      <c r="D854" s="9"/>
    </row>
    <row r="855" spans="1:6" x14ac:dyDescent="0.25">
      <c r="A855" t="s">
        <v>25</v>
      </c>
      <c r="B855" s="4">
        <v>45943</v>
      </c>
      <c r="C855" s="5">
        <v>30</v>
      </c>
      <c r="D855" s="9" t="s">
        <v>8</v>
      </c>
      <c r="E855" s="10">
        <v>165</v>
      </c>
      <c r="F855" s="10">
        <f t="shared" si="13"/>
        <v>4950</v>
      </c>
    </row>
    <row r="856" spans="1:6" x14ac:dyDescent="0.25">
      <c r="B856" s="9"/>
      <c r="D856" s="9"/>
      <c r="F856" s="8">
        <f>SUM(F855)</f>
        <v>4950</v>
      </c>
    </row>
    <row r="857" spans="1:6" x14ac:dyDescent="0.25">
      <c r="B857" s="9"/>
      <c r="D857" s="9"/>
    </row>
    <row r="858" spans="1:6" x14ac:dyDescent="0.25">
      <c r="A858" t="s">
        <v>40</v>
      </c>
      <c r="B858" s="4">
        <v>45943</v>
      </c>
      <c r="C858" s="5">
        <v>10</v>
      </c>
      <c r="D858" s="9" t="s">
        <v>13</v>
      </c>
      <c r="E858" s="10">
        <v>160</v>
      </c>
      <c r="F858" s="10">
        <f t="shared" si="13"/>
        <v>1600</v>
      </c>
    </row>
    <row r="859" spans="1:6" x14ac:dyDescent="0.25">
      <c r="B859" s="9"/>
      <c r="C859" s="5">
        <v>10</v>
      </c>
      <c r="D859" s="9" t="s">
        <v>12</v>
      </c>
      <c r="E859" s="10">
        <v>150</v>
      </c>
      <c r="F859" s="10">
        <f t="shared" si="13"/>
        <v>1500</v>
      </c>
    </row>
    <row r="860" spans="1:6" x14ac:dyDescent="0.25">
      <c r="B860" s="9"/>
      <c r="C860" s="5">
        <v>10</v>
      </c>
      <c r="D860" s="9" t="s">
        <v>14</v>
      </c>
      <c r="E860" s="10">
        <v>155</v>
      </c>
      <c r="F860" s="10">
        <f t="shared" si="13"/>
        <v>1550</v>
      </c>
    </row>
    <row r="861" spans="1:6" x14ac:dyDescent="0.25">
      <c r="B861" s="4"/>
      <c r="C861" s="5">
        <v>20</v>
      </c>
      <c r="D861" s="9" t="s">
        <v>8</v>
      </c>
      <c r="E861" s="10">
        <v>165</v>
      </c>
      <c r="F861" s="10">
        <f t="shared" si="13"/>
        <v>3300</v>
      </c>
    </row>
    <row r="862" spans="1:6" x14ac:dyDescent="0.25">
      <c r="B862" s="9"/>
      <c r="D862" s="9"/>
      <c r="F862" s="8">
        <f>SUM(F858:F861)</f>
        <v>7950</v>
      </c>
    </row>
    <row r="863" spans="1:6" x14ac:dyDescent="0.25">
      <c r="B863" s="9"/>
      <c r="D863" s="9"/>
    </row>
    <row r="864" spans="1:6" x14ac:dyDescent="0.25">
      <c r="A864" t="s">
        <v>18</v>
      </c>
      <c r="B864" s="4">
        <v>45943</v>
      </c>
      <c r="C864" s="5">
        <v>6</v>
      </c>
      <c r="D864" s="9" t="s">
        <v>13</v>
      </c>
      <c r="E864" s="10">
        <v>160</v>
      </c>
      <c r="F864" s="10">
        <f t="shared" si="13"/>
        <v>960</v>
      </c>
    </row>
    <row r="865" spans="1:6" x14ac:dyDescent="0.25">
      <c r="B865" s="9"/>
      <c r="D865" s="9"/>
      <c r="F865" s="8">
        <f>SUM(F864)</f>
        <v>960</v>
      </c>
    </row>
    <row r="866" spans="1:6" x14ac:dyDescent="0.25">
      <c r="B866" s="9"/>
      <c r="D866" s="9"/>
    </row>
    <row r="867" spans="1:6" x14ac:dyDescent="0.25">
      <c r="A867" t="s">
        <v>43</v>
      </c>
      <c r="B867" s="4">
        <v>45943</v>
      </c>
      <c r="C867" s="5">
        <v>10</v>
      </c>
      <c r="D867" s="9" t="s">
        <v>8</v>
      </c>
      <c r="E867" s="10">
        <v>160</v>
      </c>
      <c r="F867" s="10">
        <f t="shared" si="13"/>
        <v>1600</v>
      </c>
    </row>
    <row r="868" spans="1:6" x14ac:dyDescent="0.25">
      <c r="B868" s="4"/>
      <c r="C868" s="5">
        <v>30</v>
      </c>
      <c r="D868" s="9" t="s">
        <v>13</v>
      </c>
      <c r="E868" s="10">
        <v>155</v>
      </c>
      <c r="F868" s="10">
        <f t="shared" si="13"/>
        <v>4650</v>
      </c>
    </row>
    <row r="869" spans="1:6" x14ac:dyDescent="0.25">
      <c r="B869" s="9"/>
      <c r="D869" s="9"/>
      <c r="F869" s="8">
        <f>SUM(F867:F868)</f>
        <v>6250</v>
      </c>
    </row>
    <row r="870" spans="1:6" x14ac:dyDescent="0.25">
      <c r="B870" s="9"/>
      <c r="D870" s="9"/>
    </row>
    <row r="871" spans="1:6" x14ac:dyDescent="0.25">
      <c r="A871" t="s">
        <v>81</v>
      </c>
      <c r="B871" s="4">
        <v>45943</v>
      </c>
      <c r="C871" s="5">
        <v>10</v>
      </c>
      <c r="D871" s="9" t="s">
        <v>13</v>
      </c>
      <c r="E871" s="10">
        <v>150</v>
      </c>
      <c r="F871" s="10">
        <f t="shared" si="13"/>
        <v>1500</v>
      </c>
    </row>
    <row r="872" spans="1:6" x14ac:dyDescent="0.25">
      <c r="B872" s="9"/>
      <c r="C872" s="5">
        <v>30</v>
      </c>
      <c r="D872" s="9" t="s">
        <v>11</v>
      </c>
      <c r="E872" s="10">
        <v>145</v>
      </c>
      <c r="F872" s="10">
        <f t="shared" si="13"/>
        <v>4350</v>
      </c>
    </row>
    <row r="873" spans="1:6" x14ac:dyDescent="0.25">
      <c r="B873" s="9"/>
      <c r="C873" s="5">
        <v>5</v>
      </c>
      <c r="D873" s="9" t="s">
        <v>50</v>
      </c>
      <c r="E873" s="10">
        <v>140</v>
      </c>
      <c r="F873" s="10">
        <f t="shared" si="13"/>
        <v>700</v>
      </c>
    </row>
    <row r="874" spans="1:6" x14ac:dyDescent="0.25">
      <c r="B874" s="9"/>
      <c r="D874" s="9"/>
      <c r="F874" s="8">
        <f>SUM(F871:F873)</f>
        <v>6550</v>
      </c>
    </row>
    <row r="875" spans="1:6" x14ac:dyDescent="0.25">
      <c r="B875" s="9"/>
      <c r="D875" s="9"/>
    </row>
    <row r="876" spans="1:6" x14ac:dyDescent="0.25">
      <c r="A876" t="s">
        <v>44</v>
      </c>
      <c r="B876" s="4">
        <v>45943</v>
      </c>
      <c r="C876" s="5">
        <v>80</v>
      </c>
      <c r="D876" s="9" t="s">
        <v>14</v>
      </c>
      <c r="E876" s="10">
        <v>155</v>
      </c>
      <c r="F876" s="10">
        <f t="shared" si="13"/>
        <v>12400</v>
      </c>
    </row>
    <row r="877" spans="1:6" x14ac:dyDescent="0.25">
      <c r="B877" s="4"/>
      <c r="D877" s="9"/>
      <c r="F877" s="8">
        <f>SUM(F876)</f>
        <v>12400</v>
      </c>
    </row>
    <row r="878" spans="1:6" x14ac:dyDescent="0.25">
      <c r="B878" s="9"/>
      <c r="D878" s="9"/>
    </row>
    <row r="879" spans="1:6" x14ac:dyDescent="0.25">
      <c r="A879" t="s">
        <v>46</v>
      </c>
      <c r="B879" s="4">
        <v>45943</v>
      </c>
      <c r="C879" s="5">
        <v>16</v>
      </c>
      <c r="D879" s="9" t="s">
        <v>13</v>
      </c>
      <c r="E879" s="10">
        <v>155</v>
      </c>
      <c r="F879" s="10">
        <f t="shared" si="13"/>
        <v>2480</v>
      </c>
    </row>
    <row r="880" spans="1:6" x14ac:dyDescent="0.25">
      <c r="B880" s="4"/>
      <c r="D880" s="9"/>
      <c r="F880" s="8">
        <f>SUM(F879)</f>
        <v>2480</v>
      </c>
    </row>
    <row r="881" spans="1:6" x14ac:dyDescent="0.25">
      <c r="B881" s="9"/>
      <c r="D881" s="9"/>
    </row>
    <row r="882" spans="1:6" x14ac:dyDescent="0.25">
      <c r="A882" t="s">
        <v>780</v>
      </c>
      <c r="B882" s="4">
        <v>45943</v>
      </c>
      <c r="C882" s="5">
        <v>5</v>
      </c>
      <c r="D882" s="9" t="s">
        <v>14</v>
      </c>
      <c r="E882" s="10">
        <v>155</v>
      </c>
      <c r="F882" s="10">
        <f t="shared" si="13"/>
        <v>775</v>
      </c>
    </row>
    <row r="883" spans="1:6" x14ac:dyDescent="0.25">
      <c r="B883" s="4"/>
      <c r="D883" s="9"/>
      <c r="F883" s="8">
        <f>SUM(F882)</f>
        <v>775</v>
      </c>
    </row>
    <row r="884" spans="1:6" x14ac:dyDescent="0.25">
      <c r="B884" s="9"/>
      <c r="D884" s="9"/>
    </row>
    <row r="885" spans="1:6" x14ac:dyDescent="0.25">
      <c r="A885" t="s">
        <v>1001</v>
      </c>
      <c r="B885" s="4">
        <v>45943</v>
      </c>
      <c r="C885" s="5">
        <v>60</v>
      </c>
      <c r="D885" s="9" t="s">
        <v>14</v>
      </c>
      <c r="E885" s="10">
        <v>150</v>
      </c>
      <c r="F885" s="10">
        <f t="shared" si="13"/>
        <v>9000</v>
      </c>
    </row>
    <row r="886" spans="1:6" x14ac:dyDescent="0.25">
      <c r="B886" s="4"/>
      <c r="D886" s="9"/>
      <c r="F886" s="8">
        <f>SUM(F885)</f>
        <v>9000</v>
      </c>
    </row>
    <row r="887" spans="1:6" x14ac:dyDescent="0.25">
      <c r="B887" s="9"/>
      <c r="D887" s="9"/>
    </row>
    <row r="888" spans="1:6" x14ac:dyDescent="0.25">
      <c r="A888" t="s">
        <v>41</v>
      </c>
      <c r="B888" s="4">
        <v>45943</v>
      </c>
      <c r="C888" s="5">
        <v>35</v>
      </c>
      <c r="D888" s="9" t="s">
        <v>14</v>
      </c>
      <c r="E888" s="10">
        <v>140</v>
      </c>
      <c r="F888" s="10">
        <f t="shared" si="13"/>
        <v>4900</v>
      </c>
    </row>
    <row r="889" spans="1:6" x14ac:dyDescent="0.25">
      <c r="B889" s="4"/>
      <c r="D889" s="9"/>
      <c r="F889" s="8">
        <f>SUM(F888)</f>
        <v>4900</v>
      </c>
    </row>
    <row r="890" spans="1:6" x14ac:dyDescent="0.25">
      <c r="B890" s="9"/>
      <c r="D890" s="9"/>
    </row>
    <row r="891" spans="1:6" x14ac:dyDescent="0.25">
      <c r="A891" t="s">
        <v>88</v>
      </c>
      <c r="B891" s="4">
        <v>45943</v>
      </c>
      <c r="C891" s="5">
        <v>5</v>
      </c>
      <c r="D891" s="9" t="s">
        <v>13</v>
      </c>
      <c r="E891" s="10">
        <v>160</v>
      </c>
      <c r="F891" s="10">
        <f t="shared" si="13"/>
        <v>800</v>
      </c>
    </row>
    <row r="892" spans="1:6" x14ac:dyDescent="0.25">
      <c r="B892" s="9"/>
      <c r="C892" s="5">
        <v>10</v>
      </c>
      <c r="D892" s="9" t="s">
        <v>14</v>
      </c>
      <c r="E892" s="10">
        <v>150</v>
      </c>
      <c r="F892" s="10">
        <f t="shared" si="13"/>
        <v>1500</v>
      </c>
    </row>
    <row r="893" spans="1:6" x14ac:dyDescent="0.25">
      <c r="B893" s="4"/>
      <c r="D893" s="9"/>
      <c r="F893" s="8">
        <f>SUM(F891:F892)</f>
        <v>2300</v>
      </c>
    </row>
    <row r="894" spans="1:6" x14ac:dyDescent="0.25">
      <c r="B894" s="9"/>
      <c r="D894" s="9"/>
    </row>
    <row r="895" spans="1:6" x14ac:dyDescent="0.25">
      <c r="A895" t="s">
        <v>151</v>
      </c>
      <c r="B895" s="4">
        <v>45943</v>
      </c>
      <c r="C895" s="5">
        <v>40</v>
      </c>
      <c r="D895" s="9" t="s">
        <v>8</v>
      </c>
      <c r="E895" s="10">
        <v>155</v>
      </c>
      <c r="F895" s="10">
        <f t="shared" si="13"/>
        <v>6200</v>
      </c>
    </row>
    <row r="896" spans="1:6" x14ac:dyDescent="0.25">
      <c r="B896" s="4"/>
      <c r="C896" s="5">
        <v>50</v>
      </c>
      <c r="D896" s="9" t="s">
        <v>22</v>
      </c>
      <c r="E896" s="10">
        <v>138</v>
      </c>
      <c r="F896" s="10">
        <f t="shared" si="13"/>
        <v>6900</v>
      </c>
    </row>
    <row r="897" spans="1:6" x14ac:dyDescent="0.25">
      <c r="B897" s="9"/>
      <c r="D897" s="9"/>
      <c r="F897" s="8">
        <f>SUM(F895:F896)</f>
        <v>13100</v>
      </c>
    </row>
    <row r="898" spans="1:6" x14ac:dyDescent="0.25">
      <c r="B898" s="9"/>
      <c r="D898" s="9"/>
    </row>
    <row r="899" spans="1:6" x14ac:dyDescent="0.25">
      <c r="A899" t="s">
        <v>48</v>
      </c>
      <c r="B899" s="4">
        <v>45943</v>
      </c>
      <c r="C899" s="5">
        <v>480</v>
      </c>
      <c r="D899" s="9" t="s">
        <v>14</v>
      </c>
      <c r="F899" s="10">
        <f t="shared" si="13"/>
        <v>0</v>
      </c>
    </row>
    <row r="900" spans="1:6" x14ac:dyDescent="0.25">
      <c r="B900" s="9"/>
      <c r="C900" s="5">
        <v>70</v>
      </c>
      <c r="D900" s="9" t="s">
        <v>11</v>
      </c>
      <c r="F900" s="10">
        <f t="shared" ref="F900:F961" si="14">+C900*E900</f>
        <v>0</v>
      </c>
    </row>
    <row r="901" spans="1:6" x14ac:dyDescent="0.25">
      <c r="B901" s="9"/>
      <c r="D901" s="9"/>
      <c r="F901" s="8">
        <f>SUM(F899:F900)</f>
        <v>0</v>
      </c>
    </row>
    <row r="902" spans="1:6" x14ac:dyDescent="0.25">
      <c r="B902" s="9"/>
      <c r="D902" s="9"/>
    </row>
    <row r="903" spans="1:6" x14ac:dyDescent="0.25">
      <c r="A903" t="s">
        <v>558</v>
      </c>
      <c r="B903" s="4">
        <v>45943</v>
      </c>
      <c r="C903" s="5">
        <v>5</v>
      </c>
      <c r="D903" s="9" t="s">
        <v>14</v>
      </c>
      <c r="E903" s="10">
        <v>150</v>
      </c>
      <c r="F903" s="10">
        <f t="shared" si="14"/>
        <v>750</v>
      </c>
    </row>
    <row r="904" spans="1:6" x14ac:dyDescent="0.25">
      <c r="B904" s="4"/>
      <c r="D904" s="9"/>
      <c r="F904" s="8">
        <f>SUM(F903)</f>
        <v>750</v>
      </c>
    </row>
    <row r="905" spans="1:6" x14ac:dyDescent="0.25">
      <c r="B905" s="9"/>
      <c r="D905" s="9"/>
    </row>
    <row r="906" spans="1:6" x14ac:dyDescent="0.25">
      <c r="A906" t="s">
        <v>259</v>
      </c>
      <c r="B906" s="4">
        <v>45943</v>
      </c>
      <c r="C906" s="5">
        <v>100</v>
      </c>
      <c r="D906" s="9" t="s">
        <v>14</v>
      </c>
      <c r="F906" s="10">
        <f t="shared" si="14"/>
        <v>0</v>
      </c>
    </row>
    <row r="907" spans="1:6" x14ac:dyDescent="0.25">
      <c r="B907" s="4"/>
      <c r="C907" s="5">
        <v>100</v>
      </c>
      <c r="D907" s="9" t="s">
        <v>11</v>
      </c>
      <c r="F907" s="10">
        <f t="shared" si="14"/>
        <v>0</v>
      </c>
    </row>
    <row r="908" spans="1:6" x14ac:dyDescent="0.25">
      <c r="B908" s="9"/>
      <c r="D908" s="9"/>
      <c r="F908" s="8">
        <f>SUM(F906:F907)</f>
        <v>0</v>
      </c>
    </row>
    <row r="909" spans="1:6" x14ac:dyDescent="0.25">
      <c r="B909" s="9"/>
      <c r="D909" s="9"/>
    </row>
    <row r="910" spans="1:6" x14ac:dyDescent="0.25">
      <c r="A910" t="s">
        <v>181</v>
      </c>
      <c r="B910" s="4">
        <v>45943</v>
      </c>
      <c r="C910" s="5">
        <v>1</v>
      </c>
      <c r="D910" s="9" t="s">
        <v>8</v>
      </c>
      <c r="E910" s="10">
        <v>170</v>
      </c>
      <c r="F910" s="10">
        <f t="shared" si="14"/>
        <v>170</v>
      </c>
    </row>
    <row r="911" spans="1:6" x14ac:dyDescent="0.25">
      <c r="B911" s="4"/>
      <c r="C911" s="5">
        <v>1</v>
      </c>
      <c r="D911" s="9" t="s">
        <v>8</v>
      </c>
      <c r="E911" s="10">
        <v>170</v>
      </c>
      <c r="F911" s="10">
        <f t="shared" si="14"/>
        <v>170</v>
      </c>
    </row>
    <row r="912" spans="1:6" x14ac:dyDescent="0.25">
      <c r="B912" s="9"/>
      <c r="C912" s="5">
        <v>1</v>
      </c>
      <c r="D912" s="9" t="s">
        <v>12</v>
      </c>
      <c r="E912" s="10">
        <v>150</v>
      </c>
      <c r="F912" s="10">
        <f t="shared" si="14"/>
        <v>150</v>
      </c>
    </row>
    <row r="913" spans="1:6" x14ac:dyDescent="0.25">
      <c r="B913" s="9"/>
      <c r="C913" s="5">
        <v>10</v>
      </c>
      <c r="D913" s="9" t="s">
        <v>1007</v>
      </c>
      <c r="E913" s="10">
        <v>155</v>
      </c>
      <c r="F913" s="10">
        <f t="shared" si="14"/>
        <v>1550</v>
      </c>
    </row>
    <row r="914" spans="1:6" x14ac:dyDescent="0.25">
      <c r="B914" s="4"/>
      <c r="C914" s="5">
        <v>10</v>
      </c>
      <c r="D914" s="9" t="s">
        <v>570</v>
      </c>
      <c r="E914" s="10">
        <v>145</v>
      </c>
      <c r="F914" s="10">
        <f t="shared" si="14"/>
        <v>1450</v>
      </c>
    </row>
    <row r="915" spans="1:6" x14ac:dyDescent="0.25">
      <c r="B915" s="9"/>
      <c r="C915" s="11">
        <v>1</v>
      </c>
      <c r="D915" s="9" t="s">
        <v>98</v>
      </c>
      <c r="E915" s="10">
        <v>110</v>
      </c>
      <c r="F915" s="10">
        <f t="shared" si="14"/>
        <v>110</v>
      </c>
    </row>
    <row r="916" spans="1:6" x14ac:dyDescent="0.25">
      <c r="B916" s="9"/>
      <c r="C916" s="5">
        <v>1</v>
      </c>
      <c r="D916" s="9" t="s">
        <v>49</v>
      </c>
      <c r="E916" s="10">
        <v>170</v>
      </c>
      <c r="F916" s="10">
        <f t="shared" si="14"/>
        <v>170</v>
      </c>
    </row>
    <row r="917" spans="1:6" x14ac:dyDescent="0.25">
      <c r="B917" s="9"/>
      <c r="C917" s="5">
        <v>1</v>
      </c>
      <c r="D917" s="9" t="s">
        <v>54</v>
      </c>
      <c r="E917" s="10">
        <v>140</v>
      </c>
      <c r="F917" s="10">
        <f t="shared" si="14"/>
        <v>140</v>
      </c>
    </row>
    <row r="918" spans="1:6" x14ac:dyDescent="0.25">
      <c r="B918" s="4"/>
      <c r="D918" s="9"/>
      <c r="F918" s="8">
        <f>SUM(F910:F917)</f>
        <v>3910</v>
      </c>
    </row>
    <row r="919" spans="1:6" x14ac:dyDescent="0.25">
      <c r="B919" s="9"/>
      <c r="D919" s="9"/>
    </row>
    <row r="920" spans="1:6" x14ac:dyDescent="0.25">
      <c r="A920" t="s">
        <v>7</v>
      </c>
      <c r="B920" s="4">
        <v>45943</v>
      </c>
      <c r="C920" s="5">
        <v>2</v>
      </c>
      <c r="D920" s="9" t="s">
        <v>13</v>
      </c>
      <c r="E920" s="10">
        <v>160</v>
      </c>
      <c r="F920" s="10">
        <f t="shared" si="14"/>
        <v>320</v>
      </c>
    </row>
    <row r="921" spans="1:6" x14ac:dyDescent="0.25">
      <c r="B921" s="4"/>
      <c r="D921" s="9"/>
      <c r="F921" s="8">
        <f>SUM(F920)</f>
        <v>320</v>
      </c>
    </row>
    <row r="922" spans="1:6" x14ac:dyDescent="0.25">
      <c r="B922" s="9"/>
      <c r="D922" s="9"/>
    </row>
    <row r="923" spans="1:6" x14ac:dyDescent="0.25">
      <c r="A923" t="s">
        <v>140</v>
      </c>
      <c r="B923" s="4">
        <v>45944</v>
      </c>
      <c r="C923" s="5">
        <v>150</v>
      </c>
      <c r="D923" s="9" t="s">
        <v>13</v>
      </c>
      <c r="E923" s="10">
        <v>155</v>
      </c>
      <c r="F923" s="10">
        <f t="shared" si="14"/>
        <v>23250</v>
      </c>
    </row>
    <row r="924" spans="1:6" x14ac:dyDescent="0.25">
      <c r="B924" s="4"/>
      <c r="C924" s="5">
        <v>200</v>
      </c>
      <c r="D924" s="9" t="s">
        <v>8</v>
      </c>
      <c r="E924" s="10">
        <v>165</v>
      </c>
      <c r="F924" s="10">
        <f t="shared" si="14"/>
        <v>33000</v>
      </c>
    </row>
    <row r="925" spans="1:6" x14ac:dyDescent="0.25">
      <c r="B925" s="9"/>
      <c r="C925" s="5">
        <v>50</v>
      </c>
      <c r="D925" s="9" t="s">
        <v>12</v>
      </c>
      <c r="E925" s="10">
        <v>150</v>
      </c>
      <c r="F925" s="10">
        <f t="shared" si="14"/>
        <v>7500</v>
      </c>
    </row>
    <row r="926" spans="1:6" x14ac:dyDescent="0.25">
      <c r="B926" s="9"/>
      <c r="C926" s="5">
        <v>50</v>
      </c>
      <c r="D926" s="9" t="s">
        <v>11</v>
      </c>
      <c r="E926" s="10">
        <v>145</v>
      </c>
      <c r="F926" s="10">
        <f t="shared" si="14"/>
        <v>7250</v>
      </c>
    </row>
    <row r="927" spans="1:6" x14ac:dyDescent="0.25">
      <c r="B927" s="4"/>
      <c r="D927" s="9"/>
      <c r="F927" s="8">
        <f>SUM(F923:F926)</f>
        <v>71000</v>
      </c>
    </row>
    <row r="928" spans="1:6" x14ac:dyDescent="0.25">
      <c r="B928" s="9"/>
      <c r="D928" s="9"/>
    </row>
    <row r="929" spans="1:6" x14ac:dyDescent="0.25">
      <c r="A929" t="s">
        <v>487</v>
      </c>
      <c r="B929" s="4">
        <v>45944</v>
      </c>
      <c r="C929" s="5">
        <v>5</v>
      </c>
      <c r="D929" s="9" t="s">
        <v>12</v>
      </c>
      <c r="E929" s="10">
        <v>150</v>
      </c>
      <c r="F929" s="10">
        <f t="shared" si="14"/>
        <v>750</v>
      </c>
    </row>
    <row r="930" spans="1:6" x14ac:dyDescent="0.25">
      <c r="B930" s="4"/>
      <c r="D930" s="9"/>
      <c r="F930" s="8">
        <f>SUM(F929)</f>
        <v>750</v>
      </c>
    </row>
    <row r="931" spans="1:6" x14ac:dyDescent="0.25">
      <c r="B931" s="9"/>
      <c r="D931" s="9"/>
    </row>
    <row r="932" spans="1:6" x14ac:dyDescent="0.25">
      <c r="A932" t="s">
        <v>127</v>
      </c>
      <c r="B932" s="4">
        <v>45944</v>
      </c>
      <c r="C932" s="5">
        <v>30</v>
      </c>
      <c r="D932" s="9" t="s">
        <v>13</v>
      </c>
      <c r="E932" s="10">
        <v>160</v>
      </c>
      <c r="F932" s="10">
        <f t="shared" si="14"/>
        <v>4800</v>
      </c>
    </row>
    <row r="933" spans="1:6" x14ac:dyDescent="0.25">
      <c r="B933" s="4"/>
      <c r="D933" s="9"/>
      <c r="F933" s="8">
        <f>SUM(F932)</f>
        <v>4800</v>
      </c>
    </row>
    <row r="934" spans="1:6" x14ac:dyDescent="0.25">
      <c r="B934" s="9"/>
      <c r="D934" s="9"/>
    </row>
    <row r="935" spans="1:6" x14ac:dyDescent="0.25">
      <c r="A935" t="s">
        <v>609</v>
      </c>
      <c r="B935" s="4">
        <v>45944</v>
      </c>
      <c r="C935" s="5">
        <v>30</v>
      </c>
      <c r="D935" s="9" t="s">
        <v>13</v>
      </c>
      <c r="E935" s="10">
        <v>150</v>
      </c>
      <c r="F935" s="10">
        <f t="shared" si="14"/>
        <v>4500</v>
      </c>
    </row>
    <row r="936" spans="1:6" x14ac:dyDescent="0.25">
      <c r="B936" s="4"/>
      <c r="C936" s="5">
        <v>30</v>
      </c>
      <c r="D936" s="9" t="s">
        <v>14</v>
      </c>
      <c r="E936" s="10">
        <v>150</v>
      </c>
      <c r="F936" s="10">
        <f t="shared" si="14"/>
        <v>4500</v>
      </c>
    </row>
    <row r="937" spans="1:6" x14ac:dyDescent="0.25">
      <c r="B937" s="9"/>
      <c r="C937" s="5">
        <v>40</v>
      </c>
      <c r="D937" s="9" t="s">
        <v>11</v>
      </c>
      <c r="E937" s="10">
        <v>145</v>
      </c>
      <c r="F937" s="10">
        <f t="shared" si="14"/>
        <v>5800</v>
      </c>
    </row>
    <row r="938" spans="1:6" x14ac:dyDescent="0.25">
      <c r="B938" s="9"/>
      <c r="C938" s="5">
        <v>20</v>
      </c>
      <c r="D938" s="9" t="s">
        <v>50</v>
      </c>
      <c r="E938" s="10">
        <v>135</v>
      </c>
      <c r="F938" s="10">
        <f t="shared" si="14"/>
        <v>2700</v>
      </c>
    </row>
    <row r="939" spans="1:6" x14ac:dyDescent="0.25">
      <c r="B939" s="4"/>
      <c r="C939" s="5">
        <v>30</v>
      </c>
      <c r="D939" s="9" t="s">
        <v>8</v>
      </c>
      <c r="E939" s="10">
        <v>155</v>
      </c>
      <c r="F939" s="10">
        <f t="shared" si="14"/>
        <v>4650</v>
      </c>
    </row>
    <row r="940" spans="1:6" x14ac:dyDescent="0.25">
      <c r="B940" s="9"/>
      <c r="D940" s="9"/>
      <c r="F940" s="8">
        <f>SUM(F935:F939)</f>
        <v>22150</v>
      </c>
    </row>
    <row r="941" spans="1:6" x14ac:dyDescent="0.25">
      <c r="B941" s="9"/>
      <c r="D941" s="9"/>
    </row>
    <row r="942" spans="1:6" x14ac:dyDescent="0.25">
      <c r="A942" t="s">
        <v>65</v>
      </c>
      <c r="B942" s="4">
        <v>45944</v>
      </c>
      <c r="C942" s="5">
        <v>87</v>
      </c>
      <c r="D942" s="9" t="s">
        <v>22</v>
      </c>
      <c r="E942" s="10">
        <v>135</v>
      </c>
      <c r="F942" s="10">
        <f t="shared" si="14"/>
        <v>11745</v>
      </c>
    </row>
    <row r="943" spans="1:6" x14ac:dyDescent="0.25">
      <c r="B943" s="4"/>
      <c r="C943" s="5">
        <v>450</v>
      </c>
      <c r="D943" s="9" t="s">
        <v>12</v>
      </c>
      <c r="E943" s="10">
        <v>150</v>
      </c>
      <c r="F943" s="10">
        <f t="shared" si="14"/>
        <v>67500</v>
      </c>
    </row>
    <row r="944" spans="1:6" x14ac:dyDescent="0.25">
      <c r="B944" s="9"/>
      <c r="C944" s="5">
        <v>160</v>
      </c>
      <c r="D944" s="9" t="s">
        <v>304</v>
      </c>
      <c r="E944" s="10">
        <v>155</v>
      </c>
      <c r="F944" s="10">
        <f t="shared" si="14"/>
        <v>24800</v>
      </c>
    </row>
    <row r="945" spans="1:6" x14ac:dyDescent="0.25">
      <c r="B945" s="9"/>
      <c r="D945" s="9"/>
      <c r="F945" s="8">
        <f>SUM(F942:F944)</f>
        <v>104045</v>
      </c>
    </row>
    <row r="946" spans="1:6" x14ac:dyDescent="0.25">
      <c r="B946" s="4"/>
      <c r="D946" s="9"/>
    </row>
    <row r="947" spans="1:6" x14ac:dyDescent="0.25">
      <c r="A947" t="s">
        <v>1038</v>
      </c>
      <c r="B947" s="4">
        <v>45944</v>
      </c>
      <c r="C947" s="5">
        <v>4</v>
      </c>
      <c r="D947" s="9" t="s">
        <v>8</v>
      </c>
      <c r="E947" s="10">
        <v>160</v>
      </c>
      <c r="F947" s="10">
        <f t="shared" si="14"/>
        <v>640</v>
      </c>
    </row>
    <row r="948" spans="1:6" x14ac:dyDescent="0.25">
      <c r="B948" s="9"/>
      <c r="D948" s="9"/>
      <c r="F948" s="8">
        <f>SUM(F947)</f>
        <v>640</v>
      </c>
    </row>
    <row r="949" spans="1:6" x14ac:dyDescent="0.25">
      <c r="B949" s="4"/>
      <c r="D949" s="9"/>
    </row>
    <row r="950" spans="1:6" x14ac:dyDescent="0.25">
      <c r="A950" t="s">
        <v>191</v>
      </c>
      <c r="B950" s="4">
        <v>45944</v>
      </c>
      <c r="C950" s="5">
        <v>100</v>
      </c>
      <c r="D950" s="9" t="s">
        <v>11</v>
      </c>
      <c r="F950" s="10">
        <f t="shared" si="14"/>
        <v>0</v>
      </c>
    </row>
    <row r="951" spans="1:6" x14ac:dyDescent="0.25">
      <c r="B951" s="9"/>
      <c r="D951" s="9"/>
      <c r="F951" s="8">
        <f>SUM(F950)</f>
        <v>0</v>
      </c>
    </row>
    <row r="952" spans="1:6" x14ac:dyDescent="0.25">
      <c r="B952" s="9"/>
      <c r="D952" s="9"/>
    </row>
    <row r="953" spans="1:6" x14ac:dyDescent="0.25">
      <c r="A953" t="s">
        <v>136</v>
      </c>
      <c r="B953" s="4">
        <v>45944</v>
      </c>
      <c r="C953" s="5">
        <v>13</v>
      </c>
      <c r="D953" s="9" t="s">
        <v>13</v>
      </c>
      <c r="E953" s="10">
        <v>145</v>
      </c>
      <c r="F953" s="10">
        <f t="shared" si="14"/>
        <v>1885</v>
      </c>
    </row>
    <row r="954" spans="1:6" x14ac:dyDescent="0.25">
      <c r="B954" s="9"/>
      <c r="D954" s="9"/>
      <c r="F954" s="8">
        <f>SUM(F953)</f>
        <v>1885</v>
      </c>
    </row>
    <row r="955" spans="1:6" x14ac:dyDescent="0.25">
      <c r="B955" s="9"/>
      <c r="D955" s="9"/>
    </row>
    <row r="956" spans="1:6" x14ac:dyDescent="0.25">
      <c r="A956" t="s">
        <v>101</v>
      </c>
      <c r="B956" s="4">
        <v>45944</v>
      </c>
      <c r="C956" s="5">
        <v>2</v>
      </c>
      <c r="D956" s="9" t="s">
        <v>12</v>
      </c>
      <c r="E956" s="10">
        <v>150</v>
      </c>
      <c r="F956" s="10">
        <f t="shared" si="14"/>
        <v>300</v>
      </c>
    </row>
    <row r="957" spans="1:6" x14ac:dyDescent="0.25">
      <c r="B957" s="9"/>
      <c r="C957" s="5">
        <v>2</v>
      </c>
      <c r="D957" s="9" t="s">
        <v>600</v>
      </c>
      <c r="E957" s="10">
        <v>140</v>
      </c>
      <c r="F957" s="10">
        <f t="shared" si="14"/>
        <v>280</v>
      </c>
    </row>
    <row r="958" spans="1:6" x14ac:dyDescent="0.25">
      <c r="B958" s="9"/>
      <c r="C958" s="5">
        <v>1</v>
      </c>
      <c r="D958" s="9" t="s">
        <v>1039</v>
      </c>
      <c r="E958" s="10">
        <v>130</v>
      </c>
      <c r="F958" s="10">
        <f t="shared" si="14"/>
        <v>130</v>
      </c>
    </row>
    <row r="959" spans="1:6" x14ac:dyDescent="0.25">
      <c r="B959" s="4"/>
      <c r="C959" s="5">
        <v>1</v>
      </c>
      <c r="D959" s="9" t="s">
        <v>12</v>
      </c>
      <c r="E959" s="10">
        <v>100</v>
      </c>
      <c r="F959" s="10">
        <f t="shared" si="14"/>
        <v>100</v>
      </c>
    </row>
    <row r="960" spans="1:6" x14ac:dyDescent="0.25">
      <c r="B960" s="9"/>
      <c r="C960" s="5">
        <v>2</v>
      </c>
      <c r="D960" s="9" t="s">
        <v>13</v>
      </c>
      <c r="E960" s="10">
        <v>145</v>
      </c>
      <c r="F960" s="10">
        <f t="shared" si="14"/>
        <v>290</v>
      </c>
    </row>
    <row r="961" spans="1:6" x14ac:dyDescent="0.25">
      <c r="B961" s="9"/>
      <c r="C961" s="5">
        <v>10</v>
      </c>
      <c r="D961" s="9" t="s">
        <v>1040</v>
      </c>
      <c r="E961" s="10">
        <v>165</v>
      </c>
      <c r="F961" s="10">
        <f t="shared" si="14"/>
        <v>1650</v>
      </c>
    </row>
    <row r="962" spans="1:6" x14ac:dyDescent="0.25">
      <c r="B962" s="4"/>
      <c r="D962" s="9"/>
      <c r="F962" s="8">
        <f>SUM(F956:F961)</f>
        <v>2750</v>
      </c>
    </row>
    <row r="963" spans="1:6" x14ac:dyDescent="0.25">
      <c r="B963" s="9"/>
      <c r="D963" s="9"/>
    </row>
    <row r="964" spans="1:6" x14ac:dyDescent="0.25">
      <c r="A964" t="s">
        <v>7</v>
      </c>
      <c r="B964" s="4">
        <v>45944</v>
      </c>
      <c r="C964" s="5">
        <v>10</v>
      </c>
      <c r="D964" s="9" t="s">
        <v>13</v>
      </c>
      <c r="E964" s="10">
        <v>150</v>
      </c>
      <c r="F964" s="10">
        <f t="shared" ref="F964:F1027" si="15">+C964*E964</f>
        <v>1500</v>
      </c>
    </row>
    <row r="965" spans="1:6" x14ac:dyDescent="0.25">
      <c r="B965" s="9"/>
      <c r="C965" s="5">
        <v>1</v>
      </c>
      <c r="D965" s="9" t="s">
        <v>8</v>
      </c>
      <c r="E965" s="10">
        <v>170</v>
      </c>
      <c r="F965" s="10">
        <f t="shared" si="15"/>
        <v>170</v>
      </c>
    </row>
    <row r="966" spans="1:6" x14ac:dyDescent="0.25">
      <c r="B966" s="9"/>
      <c r="C966" s="5">
        <v>1</v>
      </c>
      <c r="D966" s="9" t="s">
        <v>13</v>
      </c>
      <c r="E966" s="10">
        <v>160</v>
      </c>
      <c r="F966" s="10">
        <f t="shared" si="15"/>
        <v>160</v>
      </c>
    </row>
    <row r="967" spans="1:6" x14ac:dyDescent="0.25">
      <c r="B967" s="9"/>
      <c r="D967" s="9"/>
      <c r="F967" s="8">
        <f>SUM(F964:F966)</f>
        <v>1830</v>
      </c>
    </row>
    <row r="968" spans="1:6" x14ac:dyDescent="0.25">
      <c r="B968" s="4"/>
      <c r="D968" s="9"/>
    </row>
    <row r="969" spans="1:6" x14ac:dyDescent="0.25">
      <c r="A969" t="s">
        <v>550</v>
      </c>
      <c r="B969" s="4">
        <v>45945</v>
      </c>
      <c r="C969" s="5">
        <v>15</v>
      </c>
      <c r="D969" s="9" t="s">
        <v>98</v>
      </c>
      <c r="E969" s="10">
        <v>115</v>
      </c>
      <c r="F969" s="10">
        <f t="shared" si="15"/>
        <v>1725</v>
      </c>
    </row>
    <row r="970" spans="1:6" x14ac:dyDescent="0.25">
      <c r="B970" s="9"/>
      <c r="D970" s="9"/>
      <c r="F970" s="8">
        <f>SUM(F969)</f>
        <v>1725</v>
      </c>
    </row>
    <row r="971" spans="1:6" x14ac:dyDescent="0.25">
      <c r="B971" s="4"/>
      <c r="D971" s="9"/>
    </row>
    <row r="972" spans="1:6" x14ac:dyDescent="0.25">
      <c r="A972" t="s">
        <v>1041</v>
      </c>
      <c r="B972" s="4">
        <v>45945</v>
      </c>
      <c r="C972" s="5">
        <v>60</v>
      </c>
      <c r="D972" s="9" t="s">
        <v>98</v>
      </c>
      <c r="E972" s="10">
        <v>115</v>
      </c>
      <c r="F972" s="10">
        <f t="shared" si="15"/>
        <v>6900</v>
      </c>
    </row>
    <row r="973" spans="1:6" x14ac:dyDescent="0.25">
      <c r="B973" s="9"/>
      <c r="D973" s="9"/>
      <c r="F973" s="8">
        <f>SUM(F972)</f>
        <v>6900</v>
      </c>
    </row>
    <row r="974" spans="1:6" x14ac:dyDescent="0.25">
      <c r="B974" s="4"/>
      <c r="D974" s="9"/>
    </row>
    <row r="975" spans="1:6" x14ac:dyDescent="0.25">
      <c r="A975" t="s">
        <v>58</v>
      </c>
      <c r="B975" s="4">
        <v>45945</v>
      </c>
      <c r="C975" s="5">
        <v>9</v>
      </c>
      <c r="D975" s="9" t="s">
        <v>13</v>
      </c>
      <c r="E975" s="10">
        <v>155</v>
      </c>
      <c r="F975" s="10">
        <f t="shared" si="15"/>
        <v>1395</v>
      </c>
    </row>
    <row r="976" spans="1:6" x14ac:dyDescent="0.25">
      <c r="B976" s="9"/>
      <c r="D976" s="9"/>
      <c r="F976" s="8">
        <f>SUM(F975)</f>
        <v>1395</v>
      </c>
    </row>
    <row r="977" spans="1:6" x14ac:dyDescent="0.25">
      <c r="B977" s="4"/>
      <c r="D977" s="9"/>
    </row>
    <row r="978" spans="1:6" x14ac:dyDescent="0.25">
      <c r="A978" t="s">
        <v>79</v>
      </c>
      <c r="B978" s="4">
        <v>45945</v>
      </c>
      <c r="C978" s="5">
        <v>13</v>
      </c>
      <c r="D978" s="9" t="s">
        <v>13</v>
      </c>
      <c r="E978" s="10">
        <v>155</v>
      </c>
      <c r="F978" s="10">
        <f t="shared" si="15"/>
        <v>2015</v>
      </c>
    </row>
    <row r="979" spans="1:6" x14ac:dyDescent="0.25">
      <c r="B979" s="9"/>
      <c r="D979" s="9"/>
      <c r="F979" s="8">
        <f>SUM(F978)</f>
        <v>2015</v>
      </c>
    </row>
    <row r="980" spans="1:6" x14ac:dyDescent="0.25">
      <c r="B980" s="9"/>
      <c r="D980" s="9"/>
    </row>
    <row r="981" spans="1:6" x14ac:dyDescent="0.25">
      <c r="A981" t="s">
        <v>427</v>
      </c>
      <c r="B981" s="4">
        <v>45945</v>
      </c>
      <c r="C981" s="5">
        <v>10</v>
      </c>
      <c r="D981" s="9" t="s">
        <v>12</v>
      </c>
      <c r="E981" s="10">
        <v>150</v>
      </c>
      <c r="F981" s="10">
        <f t="shared" si="15"/>
        <v>1500</v>
      </c>
    </row>
    <row r="982" spans="1:6" x14ac:dyDescent="0.25">
      <c r="B982" s="9"/>
      <c r="D982" s="9"/>
      <c r="F982" s="8">
        <f>SUM(F981)</f>
        <v>1500</v>
      </c>
    </row>
    <row r="983" spans="1:6" x14ac:dyDescent="0.25">
      <c r="B983" s="9"/>
      <c r="D983" s="9"/>
    </row>
    <row r="984" spans="1:6" x14ac:dyDescent="0.25">
      <c r="A984" t="s">
        <v>20</v>
      </c>
      <c r="B984" s="4">
        <v>45945</v>
      </c>
      <c r="C984" s="5">
        <v>15</v>
      </c>
      <c r="D984" s="9" t="s">
        <v>13</v>
      </c>
      <c r="E984" s="10">
        <v>160</v>
      </c>
      <c r="F984" s="10">
        <f t="shared" si="15"/>
        <v>2400</v>
      </c>
    </row>
    <row r="985" spans="1:6" x14ac:dyDescent="0.25">
      <c r="B985" s="9"/>
      <c r="D985" s="9"/>
      <c r="F985" s="8">
        <f>SUM(F984)</f>
        <v>2400</v>
      </c>
    </row>
    <row r="986" spans="1:6" x14ac:dyDescent="0.25">
      <c r="B986" s="9"/>
      <c r="D986" s="9"/>
    </row>
    <row r="987" spans="1:6" x14ac:dyDescent="0.25">
      <c r="A987" t="s">
        <v>21</v>
      </c>
      <c r="B987" s="4">
        <v>45945</v>
      </c>
      <c r="C987" s="5">
        <v>10</v>
      </c>
      <c r="D987" s="9" t="s">
        <v>8</v>
      </c>
      <c r="E987" s="10">
        <v>165</v>
      </c>
      <c r="F987" s="10">
        <f t="shared" si="15"/>
        <v>1650</v>
      </c>
    </row>
    <row r="988" spans="1:6" x14ac:dyDescent="0.25">
      <c r="B988" s="9"/>
      <c r="C988" s="5">
        <v>10</v>
      </c>
      <c r="D988" s="9" t="s">
        <v>12</v>
      </c>
      <c r="E988" s="10">
        <v>150</v>
      </c>
      <c r="F988" s="10">
        <f t="shared" si="15"/>
        <v>1500</v>
      </c>
    </row>
    <row r="989" spans="1:6" x14ac:dyDescent="0.25">
      <c r="B989" s="9"/>
      <c r="C989" s="5">
        <v>20</v>
      </c>
      <c r="D989" s="9" t="s">
        <v>22</v>
      </c>
      <c r="E989" s="10">
        <v>140</v>
      </c>
      <c r="F989" s="10">
        <f t="shared" si="15"/>
        <v>2800</v>
      </c>
    </row>
    <row r="990" spans="1:6" x14ac:dyDescent="0.25">
      <c r="B990" s="9"/>
      <c r="C990" s="5">
        <v>10</v>
      </c>
      <c r="D990" s="9" t="s">
        <v>13</v>
      </c>
      <c r="E990" s="10">
        <v>160</v>
      </c>
      <c r="F990" s="10">
        <f t="shared" si="15"/>
        <v>1600</v>
      </c>
    </row>
    <row r="991" spans="1:6" x14ac:dyDescent="0.25">
      <c r="B991" s="4"/>
      <c r="D991" s="9"/>
      <c r="F991" s="8">
        <f>SUM(F987:F990)</f>
        <v>7550</v>
      </c>
    </row>
    <row r="992" spans="1:6" x14ac:dyDescent="0.25">
      <c r="B992" s="9"/>
      <c r="D992" s="9"/>
    </row>
    <row r="993" spans="1:6" x14ac:dyDescent="0.25">
      <c r="A993" t="s">
        <v>367</v>
      </c>
      <c r="B993" s="4">
        <v>45945</v>
      </c>
      <c r="C993" s="5">
        <v>15</v>
      </c>
      <c r="D993" s="9" t="s">
        <v>13</v>
      </c>
      <c r="E993" s="10">
        <v>160</v>
      </c>
      <c r="F993" s="10">
        <f t="shared" si="15"/>
        <v>2400</v>
      </c>
    </row>
    <row r="994" spans="1:6" x14ac:dyDescent="0.25">
      <c r="B994" s="4"/>
      <c r="C994" s="5">
        <v>10</v>
      </c>
      <c r="D994" s="9" t="s">
        <v>14</v>
      </c>
      <c r="E994" s="10">
        <v>155</v>
      </c>
      <c r="F994" s="10">
        <f t="shared" si="15"/>
        <v>1550</v>
      </c>
    </row>
    <row r="995" spans="1:6" x14ac:dyDescent="0.25">
      <c r="B995" s="9"/>
      <c r="D995" s="9"/>
      <c r="F995" s="8">
        <f>SUM(F993:F994)</f>
        <v>3950</v>
      </c>
    </row>
    <row r="996" spans="1:6" x14ac:dyDescent="0.25">
      <c r="B996" s="9"/>
      <c r="D996" s="9"/>
    </row>
    <row r="997" spans="1:6" x14ac:dyDescent="0.25">
      <c r="A997" t="s">
        <v>923</v>
      </c>
      <c r="B997" s="4">
        <v>45945</v>
      </c>
      <c r="C997" s="5">
        <v>15</v>
      </c>
      <c r="D997" s="9" t="s">
        <v>13</v>
      </c>
      <c r="E997" s="10">
        <v>160</v>
      </c>
      <c r="F997" s="10">
        <f t="shared" si="15"/>
        <v>2400</v>
      </c>
    </row>
    <row r="998" spans="1:6" x14ac:dyDescent="0.25">
      <c r="B998" s="9"/>
      <c r="C998" s="5">
        <v>6</v>
      </c>
      <c r="D998" s="9" t="s">
        <v>8</v>
      </c>
      <c r="E998" s="10">
        <v>165</v>
      </c>
      <c r="F998" s="10">
        <f t="shared" si="15"/>
        <v>990</v>
      </c>
    </row>
    <row r="999" spans="1:6" x14ac:dyDescent="0.25">
      <c r="B999" s="9"/>
      <c r="C999" s="5">
        <v>10</v>
      </c>
      <c r="D999" s="9" t="s">
        <v>12</v>
      </c>
      <c r="E999" s="10">
        <v>150</v>
      </c>
      <c r="F999" s="10">
        <f t="shared" si="15"/>
        <v>1500</v>
      </c>
    </row>
    <row r="1000" spans="1:6" s="9" customFormat="1" x14ac:dyDescent="0.25">
      <c r="C1000" s="5">
        <v>15</v>
      </c>
      <c r="D1000" s="9" t="s">
        <v>22</v>
      </c>
      <c r="E1000" s="10">
        <v>145</v>
      </c>
      <c r="F1000" s="10">
        <f t="shared" si="15"/>
        <v>2175</v>
      </c>
    </row>
    <row r="1001" spans="1:6" s="9" customFormat="1" x14ac:dyDescent="0.25">
      <c r="B1001" s="4"/>
      <c r="C1001" s="5"/>
      <c r="E1001" s="10"/>
      <c r="F1001" s="8">
        <f>SUM(F997:F1000)</f>
        <v>7065</v>
      </c>
    </row>
    <row r="1002" spans="1:6" s="9" customFormat="1" x14ac:dyDescent="0.25">
      <c r="C1002" s="5"/>
      <c r="E1002" s="10"/>
      <c r="F1002" s="10"/>
    </row>
    <row r="1003" spans="1:6" s="9" customFormat="1" x14ac:dyDescent="0.25">
      <c r="A1003" s="9" t="s">
        <v>41</v>
      </c>
      <c r="B1003" s="4">
        <v>45945</v>
      </c>
      <c r="C1003" s="5">
        <v>35</v>
      </c>
      <c r="D1003" s="9" t="s">
        <v>14</v>
      </c>
      <c r="E1003" s="10">
        <v>140</v>
      </c>
      <c r="F1003" s="10">
        <f t="shared" si="15"/>
        <v>4900</v>
      </c>
    </row>
    <row r="1004" spans="1:6" s="9" customFormat="1" x14ac:dyDescent="0.25">
      <c r="C1004" s="5"/>
      <c r="E1004" s="10"/>
      <c r="F1004" s="8">
        <f>SUM(F1003)</f>
        <v>4900</v>
      </c>
    </row>
    <row r="1005" spans="1:6" s="9" customFormat="1" x14ac:dyDescent="0.25">
      <c r="C1005" s="5"/>
      <c r="E1005" s="10"/>
      <c r="F1005" s="10"/>
    </row>
    <row r="1006" spans="1:6" s="9" customFormat="1" x14ac:dyDescent="0.25">
      <c r="A1006" s="9" t="s">
        <v>107</v>
      </c>
      <c r="B1006" s="4">
        <v>45945</v>
      </c>
      <c r="C1006" s="5">
        <v>23</v>
      </c>
      <c r="D1006" s="9" t="s">
        <v>14</v>
      </c>
      <c r="E1006" s="10">
        <v>145</v>
      </c>
      <c r="F1006" s="10">
        <f t="shared" si="15"/>
        <v>3335</v>
      </c>
    </row>
    <row r="1007" spans="1:6" s="9" customFormat="1" x14ac:dyDescent="0.25">
      <c r="C1007" s="5">
        <v>25</v>
      </c>
      <c r="D1007" s="9" t="s">
        <v>11</v>
      </c>
      <c r="E1007" s="10">
        <v>145</v>
      </c>
      <c r="F1007" s="10">
        <f t="shared" si="15"/>
        <v>3625</v>
      </c>
    </row>
    <row r="1008" spans="1:6" s="9" customFormat="1" x14ac:dyDescent="0.25">
      <c r="B1008" s="4"/>
      <c r="C1008" s="5"/>
      <c r="E1008" s="10"/>
      <c r="F1008" s="8">
        <f>SUM(F1006:F1007)</f>
        <v>6960</v>
      </c>
    </row>
    <row r="1009" spans="1:6" s="9" customFormat="1" x14ac:dyDescent="0.25">
      <c r="C1009" s="5"/>
      <c r="E1009" s="10"/>
      <c r="F1009" s="10"/>
    </row>
    <row r="1010" spans="1:6" s="9" customFormat="1" x14ac:dyDescent="0.25">
      <c r="A1010" s="9" t="s">
        <v>43</v>
      </c>
      <c r="B1010" s="4">
        <v>45945</v>
      </c>
      <c r="C1010" s="5">
        <v>20</v>
      </c>
      <c r="D1010" s="9" t="s">
        <v>8</v>
      </c>
      <c r="E1010" s="10">
        <v>155</v>
      </c>
      <c r="F1010" s="10">
        <f t="shared" si="15"/>
        <v>3100</v>
      </c>
    </row>
    <row r="1011" spans="1:6" s="9" customFormat="1" x14ac:dyDescent="0.25">
      <c r="B1011" s="4"/>
      <c r="C1011" s="5">
        <v>10</v>
      </c>
      <c r="D1011" s="9" t="s">
        <v>14</v>
      </c>
      <c r="E1011" s="10">
        <v>155</v>
      </c>
      <c r="F1011" s="10">
        <f t="shared" si="15"/>
        <v>1550</v>
      </c>
    </row>
    <row r="1012" spans="1:6" s="9" customFormat="1" x14ac:dyDescent="0.25">
      <c r="C1012" s="5"/>
      <c r="E1012" s="10"/>
      <c r="F1012" s="8">
        <f>SUM(F1010:F1011)</f>
        <v>4650</v>
      </c>
    </row>
    <row r="1013" spans="1:6" s="9" customFormat="1" x14ac:dyDescent="0.25">
      <c r="C1013" s="5"/>
      <c r="E1013" s="10"/>
      <c r="F1013" s="10"/>
    </row>
    <row r="1014" spans="1:6" s="9" customFormat="1" x14ac:dyDescent="0.25">
      <c r="A1014" s="9" t="s">
        <v>959</v>
      </c>
      <c r="B1014" s="4">
        <v>45945</v>
      </c>
      <c r="C1014" s="5">
        <v>13</v>
      </c>
      <c r="D1014" s="9" t="s">
        <v>14</v>
      </c>
      <c r="E1014" s="10">
        <v>155</v>
      </c>
      <c r="F1014" s="10">
        <f t="shared" si="15"/>
        <v>2015</v>
      </c>
    </row>
    <row r="1015" spans="1:6" s="9" customFormat="1" x14ac:dyDescent="0.25">
      <c r="C1015" s="5"/>
      <c r="E1015" s="10"/>
      <c r="F1015" s="8">
        <f>SUM(F1014)</f>
        <v>2015</v>
      </c>
    </row>
    <row r="1016" spans="1:6" s="9" customFormat="1" x14ac:dyDescent="0.25">
      <c r="C1016" s="5"/>
      <c r="E1016" s="10"/>
      <c r="F1016" s="10"/>
    </row>
    <row r="1017" spans="1:6" s="9" customFormat="1" x14ac:dyDescent="0.25">
      <c r="A1017" s="9" t="s">
        <v>18</v>
      </c>
      <c r="B1017" s="4">
        <v>45945</v>
      </c>
      <c r="C1017" s="5">
        <v>20</v>
      </c>
      <c r="D1017" s="9" t="s">
        <v>50</v>
      </c>
      <c r="E1017" s="10">
        <v>140</v>
      </c>
      <c r="F1017" s="10">
        <f t="shared" si="15"/>
        <v>2800</v>
      </c>
    </row>
    <row r="1018" spans="1:6" s="9" customFormat="1" x14ac:dyDescent="0.25">
      <c r="B1018" s="4"/>
      <c r="C1018" s="5">
        <v>10</v>
      </c>
      <c r="D1018" s="9" t="s">
        <v>12</v>
      </c>
      <c r="E1018" s="10">
        <v>145</v>
      </c>
      <c r="F1018" s="10">
        <f t="shared" si="15"/>
        <v>1450</v>
      </c>
    </row>
    <row r="1019" spans="1:6" s="9" customFormat="1" x14ac:dyDescent="0.25">
      <c r="C1019" s="5"/>
      <c r="E1019" s="10"/>
      <c r="F1019" s="8">
        <f>SUM(F1017:F1018)</f>
        <v>4250</v>
      </c>
    </row>
    <row r="1020" spans="1:6" s="9" customFormat="1" x14ac:dyDescent="0.25">
      <c r="C1020" s="5"/>
      <c r="E1020" s="10"/>
      <c r="F1020" s="10"/>
    </row>
    <row r="1021" spans="1:6" s="9" customFormat="1" x14ac:dyDescent="0.25">
      <c r="A1021" s="9" t="s">
        <v>1021</v>
      </c>
      <c r="B1021" s="4">
        <v>45945</v>
      </c>
      <c r="C1021" s="5">
        <v>15</v>
      </c>
      <c r="D1021" s="9" t="s">
        <v>14</v>
      </c>
      <c r="E1021" s="10">
        <v>155</v>
      </c>
      <c r="F1021" s="10">
        <f t="shared" si="15"/>
        <v>2325</v>
      </c>
    </row>
    <row r="1022" spans="1:6" s="9" customFormat="1" x14ac:dyDescent="0.25">
      <c r="B1022" s="4"/>
      <c r="C1022" s="5"/>
      <c r="E1022" s="10"/>
      <c r="F1022" s="8">
        <f>SUM(F1021)</f>
        <v>2325</v>
      </c>
    </row>
    <row r="1023" spans="1:6" s="9" customFormat="1" x14ac:dyDescent="0.25">
      <c r="C1023" s="5"/>
      <c r="E1023" s="10"/>
      <c r="F1023" s="10"/>
    </row>
    <row r="1024" spans="1:6" s="9" customFormat="1" x14ac:dyDescent="0.25">
      <c r="A1024" s="9" t="s">
        <v>46</v>
      </c>
      <c r="B1024" s="4">
        <v>45945</v>
      </c>
      <c r="C1024" s="5">
        <v>30</v>
      </c>
      <c r="D1024" s="9" t="s">
        <v>14</v>
      </c>
      <c r="E1024" s="10">
        <v>155</v>
      </c>
      <c r="F1024" s="10">
        <f t="shared" si="15"/>
        <v>4650</v>
      </c>
    </row>
    <row r="1025" spans="1:6" s="9" customFormat="1" x14ac:dyDescent="0.25">
      <c r="C1025" s="5"/>
      <c r="E1025" s="10"/>
      <c r="F1025" s="8">
        <f>SUM(F1024)</f>
        <v>4650</v>
      </c>
    </row>
    <row r="1026" spans="1:6" s="9" customFormat="1" x14ac:dyDescent="0.25">
      <c r="C1026" s="5"/>
      <c r="E1026" s="10"/>
      <c r="F1026" s="10"/>
    </row>
    <row r="1027" spans="1:6" s="9" customFormat="1" x14ac:dyDescent="0.25">
      <c r="A1027" s="9" t="s">
        <v>44</v>
      </c>
      <c r="B1027" s="4">
        <v>45945</v>
      </c>
      <c r="C1027" s="5">
        <v>20</v>
      </c>
      <c r="D1027" s="9" t="s">
        <v>14</v>
      </c>
      <c r="E1027" s="10">
        <v>155</v>
      </c>
      <c r="F1027" s="10">
        <f t="shared" si="15"/>
        <v>3100</v>
      </c>
    </row>
    <row r="1028" spans="1:6" s="9" customFormat="1" x14ac:dyDescent="0.25">
      <c r="B1028" s="4"/>
      <c r="C1028" s="5"/>
      <c r="E1028" s="10"/>
      <c r="F1028" s="8">
        <f>SUM(F1027)</f>
        <v>3100</v>
      </c>
    </row>
    <row r="1029" spans="1:6" s="9" customFormat="1" x14ac:dyDescent="0.25">
      <c r="C1029" s="5"/>
      <c r="E1029" s="10"/>
      <c r="F1029" s="10"/>
    </row>
    <row r="1030" spans="1:6" s="9" customFormat="1" x14ac:dyDescent="0.25">
      <c r="A1030" s="9" t="s">
        <v>1042</v>
      </c>
      <c r="B1030" s="4">
        <v>45945</v>
      </c>
      <c r="C1030" s="5">
        <v>230</v>
      </c>
      <c r="D1030" s="9" t="s">
        <v>13</v>
      </c>
      <c r="E1030" s="10">
        <v>150</v>
      </c>
      <c r="F1030" s="10">
        <f t="shared" ref="F1030:F1091" si="16">+C1030*E1030</f>
        <v>34500</v>
      </c>
    </row>
    <row r="1031" spans="1:6" s="9" customFormat="1" x14ac:dyDescent="0.25">
      <c r="C1031" s="5">
        <v>60</v>
      </c>
      <c r="D1031" s="9" t="s">
        <v>12</v>
      </c>
      <c r="E1031" s="10">
        <v>145</v>
      </c>
      <c r="F1031" s="10">
        <f t="shared" si="16"/>
        <v>8700</v>
      </c>
    </row>
    <row r="1032" spans="1:6" s="9" customFormat="1" x14ac:dyDescent="0.25">
      <c r="B1032" s="4"/>
      <c r="C1032" s="5">
        <v>100</v>
      </c>
      <c r="D1032" s="9" t="s">
        <v>14</v>
      </c>
      <c r="E1032" s="10">
        <v>150</v>
      </c>
      <c r="F1032" s="10">
        <f t="shared" si="16"/>
        <v>15000</v>
      </c>
    </row>
    <row r="1033" spans="1:6" s="9" customFormat="1" x14ac:dyDescent="0.25">
      <c r="C1033" s="5">
        <v>40</v>
      </c>
      <c r="D1033" s="9" t="s">
        <v>11</v>
      </c>
      <c r="E1033" s="10">
        <v>145</v>
      </c>
      <c r="F1033" s="10">
        <f t="shared" si="16"/>
        <v>5800</v>
      </c>
    </row>
    <row r="1034" spans="1:6" s="9" customFormat="1" x14ac:dyDescent="0.25">
      <c r="C1034" s="5"/>
      <c r="E1034" s="10"/>
      <c r="F1034" s="8">
        <f>SUM(F1030:F1033)</f>
        <v>64000</v>
      </c>
    </row>
    <row r="1035" spans="1:6" s="9" customFormat="1" x14ac:dyDescent="0.25">
      <c r="C1035" s="5"/>
      <c r="E1035" s="10"/>
      <c r="F1035" s="10"/>
    </row>
    <row r="1036" spans="1:6" s="9" customFormat="1" x14ac:dyDescent="0.25">
      <c r="A1036" s="9" t="s">
        <v>76</v>
      </c>
      <c r="B1036" s="4">
        <v>45945</v>
      </c>
      <c r="C1036" s="5">
        <v>70</v>
      </c>
      <c r="D1036" s="9" t="s">
        <v>13</v>
      </c>
      <c r="E1036" s="10">
        <v>150</v>
      </c>
      <c r="F1036" s="10">
        <f t="shared" si="16"/>
        <v>10500</v>
      </c>
    </row>
    <row r="1037" spans="1:6" s="9" customFormat="1" x14ac:dyDescent="0.25">
      <c r="C1037" s="5">
        <v>30</v>
      </c>
      <c r="D1037" s="9" t="s">
        <v>8</v>
      </c>
      <c r="E1037" s="10">
        <v>156</v>
      </c>
      <c r="F1037" s="10">
        <f t="shared" si="16"/>
        <v>4680</v>
      </c>
    </row>
    <row r="1038" spans="1:6" s="9" customFormat="1" x14ac:dyDescent="0.25">
      <c r="C1038" s="5">
        <v>40</v>
      </c>
      <c r="D1038" s="9" t="s">
        <v>12</v>
      </c>
      <c r="E1038" s="10">
        <v>145</v>
      </c>
      <c r="F1038" s="10">
        <f t="shared" si="16"/>
        <v>5800</v>
      </c>
    </row>
    <row r="1039" spans="1:6" s="9" customFormat="1" x14ac:dyDescent="0.25">
      <c r="C1039" s="5">
        <v>23</v>
      </c>
      <c r="D1039" s="9" t="s">
        <v>22</v>
      </c>
      <c r="E1039" s="10">
        <v>131</v>
      </c>
      <c r="F1039" s="10">
        <f t="shared" si="16"/>
        <v>3013</v>
      </c>
    </row>
    <row r="1040" spans="1:6" s="9" customFormat="1" x14ac:dyDescent="0.25">
      <c r="C1040" s="5">
        <v>42</v>
      </c>
      <c r="D1040" s="9" t="s">
        <v>50</v>
      </c>
      <c r="E1040" s="10">
        <v>131</v>
      </c>
      <c r="F1040" s="10">
        <f t="shared" si="16"/>
        <v>5502</v>
      </c>
    </row>
    <row r="1041" spans="1:6" s="9" customFormat="1" x14ac:dyDescent="0.25">
      <c r="B1041" s="4"/>
      <c r="C1041" s="5"/>
      <c r="E1041" s="10"/>
      <c r="F1041" s="8">
        <f>SUM(F1036:F1040)</f>
        <v>29495</v>
      </c>
    </row>
    <row r="1042" spans="1:6" s="9" customFormat="1" x14ac:dyDescent="0.25">
      <c r="C1042" s="5"/>
      <c r="E1042" s="10"/>
      <c r="F1042" s="10"/>
    </row>
    <row r="1043" spans="1:6" s="9" customFormat="1" x14ac:dyDescent="0.25">
      <c r="A1043" s="9" t="s">
        <v>112</v>
      </c>
      <c r="B1043" s="4">
        <v>45945</v>
      </c>
      <c r="C1043" s="5">
        <v>36</v>
      </c>
      <c r="D1043" s="9" t="s">
        <v>22</v>
      </c>
      <c r="E1043" s="10">
        <v>138</v>
      </c>
      <c r="F1043" s="10">
        <f t="shared" si="16"/>
        <v>4968</v>
      </c>
    </row>
    <row r="1044" spans="1:6" s="9" customFormat="1" x14ac:dyDescent="0.25">
      <c r="B1044" s="4"/>
      <c r="C1044" s="5">
        <v>60</v>
      </c>
      <c r="D1044" s="9" t="s">
        <v>13</v>
      </c>
      <c r="E1044" s="10">
        <v>150</v>
      </c>
      <c r="F1044" s="10">
        <f t="shared" si="16"/>
        <v>9000</v>
      </c>
    </row>
    <row r="1045" spans="1:6" s="9" customFormat="1" x14ac:dyDescent="0.25">
      <c r="C1045" s="5">
        <v>50</v>
      </c>
      <c r="D1045" s="9" t="s">
        <v>8</v>
      </c>
      <c r="E1045" s="10">
        <v>155</v>
      </c>
      <c r="F1045" s="10">
        <f t="shared" si="16"/>
        <v>7750</v>
      </c>
    </row>
    <row r="1046" spans="1:6" s="9" customFormat="1" x14ac:dyDescent="0.25">
      <c r="C1046" s="5"/>
      <c r="E1046" s="10"/>
      <c r="F1046" s="8">
        <f>SUM(F1043:F1045)</f>
        <v>21718</v>
      </c>
    </row>
    <row r="1047" spans="1:6" s="9" customFormat="1" x14ac:dyDescent="0.25">
      <c r="C1047" s="5"/>
      <c r="E1047" s="10"/>
      <c r="F1047" s="10"/>
    </row>
    <row r="1048" spans="1:6" s="9" customFormat="1" x14ac:dyDescent="0.25">
      <c r="A1048" s="9" t="s">
        <v>68</v>
      </c>
      <c r="B1048" s="4">
        <v>45945</v>
      </c>
      <c r="C1048" s="5">
        <v>4</v>
      </c>
      <c r="D1048" s="9" t="s">
        <v>13</v>
      </c>
      <c r="E1048" s="10">
        <v>160</v>
      </c>
      <c r="F1048" s="10">
        <f t="shared" si="16"/>
        <v>640</v>
      </c>
    </row>
    <row r="1049" spans="1:6" s="9" customFormat="1" x14ac:dyDescent="0.25">
      <c r="C1049" s="5"/>
      <c r="E1049" s="10"/>
      <c r="F1049" s="8">
        <f>SUM(F1048)</f>
        <v>640</v>
      </c>
    </row>
    <row r="1050" spans="1:6" s="9" customFormat="1" x14ac:dyDescent="0.25">
      <c r="C1050" s="5"/>
      <c r="E1050" s="10"/>
      <c r="F1050" s="10"/>
    </row>
    <row r="1051" spans="1:6" s="9" customFormat="1" x14ac:dyDescent="0.25">
      <c r="A1051" s="9" t="s">
        <v>32</v>
      </c>
      <c r="B1051" s="4">
        <v>45945</v>
      </c>
      <c r="C1051" s="5">
        <v>20</v>
      </c>
      <c r="D1051" s="9" t="s">
        <v>13</v>
      </c>
      <c r="E1051" s="10">
        <v>150</v>
      </c>
      <c r="F1051" s="10">
        <f t="shared" si="16"/>
        <v>3000</v>
      </c>
    </row>
    <row r="1052" spans="1:6" s="9" customFormat="1" x14ac:dyDescent="0.25">
      <c r="C1052" s="5"/>
      <c r="E1052" s="10"/>
      <c r="F1052" s="8">
        <f>SUM(F1051)</f>
        <v>3000</v>
      </c>
    </row>
    <row r="1053" spans="1:6" s="9" customFormat="1" x14ac:dyDescent="0.25">
      <c r="C1053" s="5"/>
      <c r="E1053" s="10"/>
      <c r="F1053" s="10"/>
    </row>
    <row r="1054" spans="1:6" s="9" customFormat="1" x14ac:dyDescent="0.25">
      <c r="A1054" s="9" t="s">
        <v>7</v>
      </c>
      <c r="B1054" s="4">
        <v>45945</v>
      </c>
      <c r="C1054" s="5">
        <v>9</v>
      </c>
      <c r="D1054" s="9" t="s">
        <v>8</v>
      </c>
      <c r="E1054" s="10">
        <v>170</v>
      </c>
      <c r="F1054" s="10">
        <f t="shared" si="16"/>
        <v>1530</v>
      </c>
    </row>
    <row r="1055" spans="1:6" s="9" customFormat="1" x14ac:dyDescent="0.25">
      <c r="B1055" s="4"/>
      <c r="C1055" s="5">
        <v>6</v>
      </c>
      <c r="D1055" s="9" t="s">
        <v>168</v>
      </c>
      <c r="E1055" s="10">
        <v>150</v>
      </c>
      <c r="F1055" s="10">
        <f t="shared" si="16"/>
        <v>900</v>
      </c>
    </row>
    <row r="1056" spans="1:6" s="9" customFormat="1" x14ac:dyDescent="0.25">
      <c r="C1056" s="5">
        <v>1</v>
      </c>
      <c r="D1056" s="9" t="s">
        <v>13</v>
      </c>
      <c r="E1056" s="10">
        <v>160</v>
      </c>
      <c r="F1056" s="10">
        <f t="shared" si="16"/>
        <v>160</v>
      </c>
    </row>
    <row r="1057" spans="1:6" s="9" customFormat="1" x14ac:dyDescent="0.25">
      <c r="C1057" s="5"/>
      <c r="E1057" s="10"/>
      <c r="F1057" s="8">
        <f>SUM(F1054:F1056)</f>
        <v>2590</v>
      </c>
    </row>
    <row r="1058" spans="1:6" s="9" customFormat="1" x14ac:dyDescent="0.25">
      <c r="B1058" s="4"/>
      <c r="C1058" s="5"/>
      <c r="E1058" s="10"/>
      <c r="F1058" s="10"/>
    </row>
    <row r="1059" spans="1:6" s="9" customFormat="1" x14ac:dyDescent="0.25">
      <c r="A1059" s="9" t="s">
        <v>66</v>
      </c>
      <c r="B1059" s="4">
        <v>45946</v>
      </c>
      <c r="C1059" s="5">
        <v>20</v>
      </c>
      <c r="D1059" s="9" t="s">
        <v>8</v>
      </c>
      <c r="E1059" s="10">
        <v>165</v>
      </c>
      <c r="F1059" s="10">
        <f t="shared" si="16"/>
        <v>3300</v>
      </c>
    </row>
    <row r="1060" spans="1:6" s="9" customFormat="1" x14ac:dyDescent="0.25">
      <c r="C1060" s="5"/>
      <c r="E1060" s="10"/>
      <c r="F1060" s="8">
        <f>SUM(F1059)</f>
        <v>3300</v>
      </c>
    </row>
    <row r="1061" spans="1:6" s="9" customFormat="1" x14ac:dyDescent="0.25">
      <c r="C1061" s="5"/>
      <c r="E1061" s="10"/>
      <c r="F1061" s="10"/>
    </row>
    <row r="1062" spans="1:6" s="9" customFormat="1" x14ac:dyDescent="0.25">
      <c r="A1062" s="9" t="s">
        <v>113</v>
      </c>
      <c r="B1062" s="4">
        <v>45946</v>
      </c>
      <c r="C1062" s="5">
        <v>20</v>
      </c>
      <c r="D1062" s="9" t="s">
        <v>8</v>
      </c>
      <c r="E1062" s="10">
        <v>165</v>
      </c>
      <c r="F1062" s="10">
        <f t="shared" si="16"/>
        <v>3300</v>
      </c>
    </row>
    <row r="1063" spans="1:6" s="9" customFormat="1" x14ac:dyDescent="0.25">
      <c r="C1063" s="5"/>
      <c r="E1063" s="10"/>
      <c r="F1063" s="8">
        <f>SUM(F1062)</f>
        <v>3300</v>
      </c>
    </row>
    <row r="1064" spans="1:6" s="9" customFormat="1" x14ac:dyDescent="0.25">
      <c r="B1064" s="4"/>
      <c r="C1064" s="5"/>
      <c r="E1064" s="10"/>
      <c r="F1064" s="10"/>
    </row>
    <row r="1065" spans="1:6" s="9" customFormat="1" x14ac:dyDescent="0.25">
      <c r="A1065" s="9" t="s">
        <v>89</v>
      </c>
      <c r="B1065" s="4">
        <v>45946</v>
      </c>
      <c r="C1065" s="5">
        <v>40</v>
      </c>
      <c r="D1065" s="9" t="s">
        <v>13</v>
      </c>
      <c r="E1065" s="10">
        <v>150</v>
      </c>
      <c r="F1065" s="10">
        <f t="shared" si="16"/>
        <v>6000</v>
      </c>
    </row>
    <row r="1066" spans="1:6" s="9" customFormat="1" x14ac:dyDescent="0.25">
      <c r="C1066" s="5">
        <v>30</v>
      </c>
      <c r="D1066" s="9" t="s">
        <v>12</v>
      </c>
      <c r="E1066" s="10">
        <v>145</v>
      </c>
      <c r="F1066" s="10">
        <f t="shared" si="16"/>
        <v>4350</v>
      </c>
    </row>
    <row r="1067" spans="1:6" s="9" customFormat="1" x14ac:dyDescent="0.25">
      <c r="B1067" s="4"/>
      <c r="C1067" s="5"/>
      <c r="E1067" s="10"/>
      <c r="F1067" s="8">
        <f>SUM(F1065:F1066)</f>
        <v>10350</v>
      </c>
    </row>
    <row r="1068" spans="1:6" s="9" customFormat="1" x14ac:dyDescent="0.25">
      <c r="C1068" s="5"/>
      <c r="E1068" s="10"/>
      <c r="F1068" s="10"/>
    </row>
    <row r="1069" spans="1:6" s="9" customFormat="1" x14ac:dyDescent="0.25">
      <c r="A1069" s="9" t="s">
        <v>245</v>
      </c>
      <c r="B1069" s="4">
        <v>45946</v>
      </c>
      <c r="C1069" s="5">
        <v>20</v>
      </c>
      <c r="D1069" s="9" t="s">
        <v>13</v>
      </c>
      <c r="E1069" s="10">
        <v>150</v>
      </c>
      <c r="F1069" s="10">
        <f t="shared" si="16"/>
        <v>3000</v>
      </c>
    </row>
    <row r="1070" spans="1:6" s="9" customFormat="1" x14ac:dyDescent="0.25">
      <c r="C1070" s="5"/>
      <c r="E1070" s="10"/>
      <c r="F1070" s="8">
        <f>SUM(F1069)</f>
        <v>3000</v>
      </c>
    </row>
    <row r="1071" spans="1:6" s="9" customFormat="1" x14ac:dyDescent="0.25">
      <c r="B1071" s="4"/>
      <c r="C1071" s="5"/>
      <c r="E1071" s="10"/>
      <c r="F1071" s="10"/>
    </row>
    <row r="1072" spans="1:6" s="9" customFormat="1" x14ac:dyDescent="0.25">
      <c r="A1072" s="9" t="s">
        <v>661</v>
      </c>
      <c r="B1072" s="4">
        <v>45946</v>
      </c>
      <c r="C1072" s="5">
        <v>6</v>
      </c>
      <c r="D1072" s="9" t="s">
        <v>13</v>
      </c>
      <c r="E1072" s="10">
        <v>160</v>
      </c>
      <c r="F1072" s="10">
        <f t="shared" si="16"/>
        <v>960</v>
      </c>
    </row>
    <row r="1073" spans="1:6" s="9" customFormat="1" x14ac:dyDescent="0.25">
      <c r="C1073" s="5"/>
      <c r="E1073" s="10"/>
      <c r="F1073" s="8">
        <f>SUM(F1072)</f>
        <v>960</v>
      </c>
    </row>
    <row r="1074" spans="1:6" s="9" customFormat="1" x14ac:dyDescent="0.25">
      <c r="B1074" s="4"/>
      <c r="C1074" s="5"/>
      <c r="E1074" s="10"/>
      <c r="F1074" s="10"/>
    </row>
    <row r="1075" spans="1:6" s="9" customFormat="1" x14ac:dyDescent="0.25">
      <c r="A1075" s="9" t="s">
        <v>117</v>
      </c>
      <c r="B1075" s="4">
        <v>45946</v>
      </c>
      <c r="C1075" s="5">
        <v>5</v>
      </c>
      <c r="D1075" s="9" t="s">
        <v>13</v>
      </c>
      <c r="E1075" s="10">
        <v>160</v>
      </c>
      <c r="F1075" s="10">
        <f t="shared" si="16"/>
        <v>800</v>
      </c>
    </row>
    <row r="1076" spans="1:6" s="9" customFormat="1" x14ac:dyDescent="0.25">
      <c r="C1076" s="5"/>
      <c r="E1076" s="10"/>
      <c r="F1076" s="8">
        <f>SUM(F1075)</f>
        <v>800</v>
      </c>
    </row>
    <row r="1077" spans="1:6" s="9" customFormat="1" x14ac:dyDescent="0.25">
      <c r="C1077" s="5"/>
      <c r="E1077" s="10"/>
      <c r="F1077" s="10"/>
    </row>
    <row r="1078" spans="1:6" s="9" customFormat="1" x14ac:dyDescent="0.25">
      <c r="A1078" s="9" t="s">
        <v>255</v>
      </c>
      <c r="B1078" s="4">
        <v>45946</v>
      </c>
      <c r="C1078" s="5">
        <v>30</v>
      </c>
      <c r="D1078" s="9" t="s">
        <v>8</v>
      </c>
      <c r="E1078" s="10">
        <v>165</v>
      </c>
      <c r="F1078" s="10">
        <f t="shared" si="16"/>
        <v>4950</v>
      </c>
    </row>
    <row r="1079" spans="1:6" s="9" customFormat="1" x14ac:dyDescent="0.25">
      <c r="C1079" s="5"/>
      <c r="E1079" s="10"/>
      <c r="F1079" s="8">
        <f>SUM(F1078)</f>
        <v>4950</v>
      </c>
    </row>
    <row r="1080" spans="1:6" s="9" customFormat="1" x14ac:dyDescent="0.25">
      <c r="C1080" s="5"/>
      <c r="E1080" s="10"/>
      <c r="F1080" s="10"/>
    </row>
    <row r="1081" spans="1:6" s="9" customFormat="1" x14ac:dyDescent="0.25">
      <c r="A1081" s="9" t="s">
        <v>61</v>
      </c>
      <c r="B1081" s="4">
        <v>45946</v>
      </c>
      <c r="C1081" s="5">
        <v>40</v>
      </c>
      <c r="D1081" s="9" t="s">
        <v>13</v>
      </c>
      <c r="E1081" s="10">
        <v>160</v>
      </c>
      <c r="F1081" s="10">
        <f t="shared" si="16"/>
        <v>6400</v>
      </c>
    </row>
    <row r="1082" spans="1:6" s="9" customFormat="1" x14ac:dyDescent="0.25">
      <c r="C1082" s="5"/>
      <c r="E1082" s="10"/>
      <c r="F1082" s="8">
        <f>SUM(F1081)</f>
        <v>6400</v>
      </c>
    </row>
    <row r="1083" spans="1:6" s="9" customFormat="1" x14ac:dyDescent="0.25">
      <c r="C1083" s="5"/>
      <c r="E1083" s="10"/>
      <c r="F1083" s="10"/>
    </row>
    <row r="1084" spans="1:6" s="9" customFormat="1" x14ac:dyDescent="0.25">
      <c r="A1084" s="9" t="s">
        <v>112</v>
      </c>
      <c r="B1084" s="4">
        <v>45946</v>
      </c>
      <c r="C1084" s="5">
        <v>60</v>
      </c>
      <c r="D1084" s="9" t="s">
        <v>13</v>
      </c>
      <c r="E1084" s="10">
        <v>150</v>
      </c>
      <c r="F1084" s="10">
        <f t="shared" si="16"/>
        <v>9000</v>
      </c>
    </row>
    <row r="1085" spans="1:6" s="9" customFormat="1" x14ac:dyDescent="0.25">
      <c r="C1085" s="5">
        <v>19</v>
      </c>
      <c r="D1085" s="9" t="s">
        <v>22</v>
      </c>
      <c r="E1085" s="10">
        <v>130</v>
      </c>
      <c r="F1085" s="10">
        <f t="shared" si="16"/>
        <v>2470</v>
      </c>
    </row>
    <row r="1086" spans="1:6" s="9" customFormat="1" x14ac:dyDescent="0.25">
      <c r="C1086" s="5"/>
      <c r="E1086" s="10"/>
      <c r="F1086" s="8">
        <f>SUM(F1084:F1085)</f>
        <v>11470</v>
      </c>
    </row>
    <row r="1087" spans="1:6" s="9" customFormat="1" x14ac:dyDescent="0.25">
      <c r="B1087" s="4"/>
      <c r="C1087" s="5"/>
      <c r="E1087" s="10"/>
      <c r="F1087" s="10"/>
    </row>
    <row r="1088" spans="1:6" s="9" customFormat="1" x14ac:dyDescent="0.25">
      <c r="A1088" s="9" t="s">
        <v>313</v>
      </c>
      <c r="B1088" s="4">
        <v>45946</v>
      </c>
      <c r="C1088" s="5">
        <v>7</v>
      </c>
      <c r="D1088" s="9" t="s">
        <v>458</v>
      </c>
      <c r="E1088" s="10">
        <v>150</v>
      </c>
      <c r="F1088" s="10">
        <f t="shared" si="16"/>
        <v>1050</v>
      </c>
    </row>
    <row r="1089" spans="1:6" s="9" customFormat="1" x14ac:dyDescent="0.25">
      <c r="C1089" s="5"/>
      <c r="E1089" s="10"/>
      <c r="F1089" s="8">
        <f>SUM(F1088)</f>
        <v>1050</v>
      </c>
    </row>
    <row r="1090" spans="1:6" s="9" customFormat="1" x14ac:dyDescent="0.25">
      <c r="C1090" s="5"/>
      <c r="E1090" s="10"/>
      <c r="F1090" s="10"/>
    </row>
    <row r="1091" spans="1:6" s="9" customFormat="1" x14ac:dyDescent="0.25">
      <c r="A1091" s="9" t="s">
        <v>734</v>
      </c>
      <c r="B1091" s="4">
        <v>45946</v>
      </c>
      <c r="C1091" s="5">
        <v>7</v>
      </c>
      <c r="D1091" s="9" t="s">
        <v>13</v>
      </c>
      <c r="E1091" s="10">
        <v>160</v>
      </c>
      <c r="F1091" s="10">
        <f t="shared" si="16"/>
        <v>1120</v>
      </c>
    </row>
    <row r="1092" spans="1:6" s="9" customFormat="1" x14ac:dyDescent="0.25">
      <c r="C1092" s="5"/>
      <c r="E1092" s="10"/>
      <c r="F1092" s="8">
        <f>SUM(F1091)</f>
        <v>1120</v>
      </c>
    </row>
    <row r="1093" spans="1:6" s="9" customFormat="1" x14ac:dyDescent="0.25">
      <c r="C1093" s="5"/>
      <c r="E1093" s="10"/>
      <c r="F1093" s="10"/>
    </row>
    <row r="1094" spans="1:6" s="9" customFormat="1" x14ac:dyDescent="0.25">
      <c r="A1094" s="9" t="s">
        <v>101</v>
      </c>
      <c r="B1094" s="4">
        <v>45946</v>
      </c>
      <c r="C1094" s="5">
        <v>1</v>
      </c>
      <c r="D1094" s="9" t="s">
        <v>13</v>
      </c>
      <c r="E1094" s="10">
        <v>160</v>
      </c>
      <c r="F1094" s="10">
        <f t="shared" ref="F1094:F1155" si="17">+C1094*E1094</f>
        <v>160</v>
      </c>
    </row>
    <row r="1095" spans="1:6" s="9" customFormat="1" x14ac:dyDescent="0.25">
      <c r="C1095" s="5"/>
      <c r="E1095" s="10"/>
      <c r="F1095" s="8">
        <f>SUM(F1094)</f>
        <v>160</v>
      </c>
    </row>
    <row r="1096" spans="1:6" s="9" customFormat="1" x14ac:dyDescent="0.25">
      <c r="C1096" s="5"/>
      <c r="E1096" s="10"/>
      <c r="F1096" s="10"/>
    </row>
    <row r="1097" spans="1:6" s="9" customFormat="1" x14ac:dyDescent="0.25">
      <c r="A1097" s="9" t="s">
        <v>7</v>
      </c>
      <c r="B1097" s="4">
        <v>45946</v>
      </c>
      <c r="C1097" s="5">
        <v>2</v>
      </c>
      <c r="D1097" s="9" t="s">
        <v>12</v>
      </c>
      <c r="E1097" s="10">
        <v>150</v>
      </c>
      <c r="F1097" s="10">
        <f t="shared" si="17"/>
        <v>300</v>
      </c>
    </row>
    <row r="1098" spans="1:6" s="9" customFormat="1" x14ac:dyDescent="0.25">
      <c r="C1098" s="5">
        <v>1</v>
      </c>
      <c r="D1098" s="9" t="s">
        <v>222</v>
      </c>
      <c r="E1098" s="10">
        <v>160</v>
      </c>
      <c r="F1098" s="10">
        <f t="shared" si="17"/>
        <v>160</v>
      </c>
    </row>
    <row r="1099" spans="1:6" s="9" customFormat="1" x14ac:dyDescent="0.25">
      <c r="B1099" s="4"/>
      <c r="C1099" s="5">
        <v>7</v>
      </c>
      <c r="D1099" s="9" t="s">
        <v>1043</v>
      </c>
      <c r="E1099" s="10">
        <v>170</v>
      </c>
      <c r="F1099" s="10">
        <f t="shared" si="17"/>
        <v>1190</v>
      </c>
    </row>
    <row r="1100" spans="1:6" s="9" customFormat="1" x14ac:dyDescent="0.25">
      <c r="C1100" s="5">
        <v>10</v>
      </c>
      <c r="D1100" s="9" t="s">
        <v>1044</v>
      </c>
      <c r="E1100" s="10">
        <v>155</v>
      </c>
      <c r="F1100" s="10">
        <f t="shared" si="17"/>
        <v>1550</v>
      </c>
    </row>
    <row r="1101" spans="1:6" s="9" customFormat="1" x14ac:dyDescent="0.25">
      <c r="C1101" s="5"/>
      <c r="E1101" s="10"/>
      <c r="F1101" s="8">
        <f>SUM(F1097:F1100)</f>
        <v>3200</v>
      </c>
    </row>
    <row r="1102" spans="1:6" s="9" customFormat="1" x14ac:dyDescent="0.25">
      <c r="C1102" s="5"/>
      <c r="E1102" s="10"/>
      <c r="F1102" s="10"/>
    </row>
    <row r="1103" spans="1:6" s="9" customFormat="1" x14ac:dyDescent="0.25">
      <c r="A1103" s="9" t="s">
        <v>514</v>
      </c>
      <c r="B1103" s="4">
        <v>45947</v>
      </c>
      <c r="C1103" s="5">
        <v>15</v>
      </c>
      <c r="D1103" s="9" t="s">
        <v>98</v>
      </c>
      <c r="E1103" s="10">
        <v>115</v>
      </c>
      <c r="F1103" s="10">
        <f t="shared" si="17"/>
        <v>1725</v>
      </c>
    </row>
    <row r="1104" spans="1:6" s="9" customFormat="1" x14ac:dyDescent="0.25">
      <c r="C1104" s="5"/>
      <c r="E1104" s="10"/>
      <c r="F1104" s="8">
        <f>SUM(F1103)</f>
        <v>1725</v>
      </c>
    </row>
    <row r="1105" spans="1:6" s="9" customFormat="1" x14ac:dyDescent="0.25">
      <c r="B1105" s="4"/>
      <c r="C1105" s="5"/>
      <c r="E1105" s="10"/>
      <c r="F1105" s="10"/>
    </row>
    <row r="1106" spans="1:6" s="9" customFormat="1" x14ac:dyDescent="0.25">
      <c r="A1106" s="9" t="s">
        <v>15</v>
      </c>
      <c r="B1106" s="4">
        <v>45947</v>
      </c>
      <c r="C1106" s="5">
        <v>49</v>
      </c>
      <c r="D1106" s="9" t="s">
        <v>98</v>
      </c>
      <c r="E1106" s="10">
        <v>115</v>
      </c>
      <c r="F1106" s="10">
        <f t="shared" si="17"/>
        <v>5635</v>
      </c>
    </row>
    <row r="1107" spans="1:6" s="9" customFormat="1" x14ac:dyDescent="0.25">
      <c r="C1107" s="5"/>
      <c r="E1107" s="10"/>
      <c r="F1107" s="8">
        <f>SUM(F1106)</f>
        <v>5635</v>
      </c>
    </row>
    <row r="1108" spans="1:6" s="9" customFormat="1" x14ac:dyDescent="0.25">
      <c r="C1108" s="5"/>
      <c r="E1108" s="10"/>
      <c r="F1108" s="10"/>
    </row>
    <row r="1109" spans="1:6" s="9" customFormat="1" x14ac:dyDescent="0.25">
      <c r="A1109" s="9" t="s">
        <v>58</v>
      </c>
      <c r="B1109" s="4">
        <v>45947</v>
      </c>
      <c r="C1109" s="5">
        <v>6</v>
      </c>
      <c r="D1109" s="9" t="s">
        <v>13</v>
      </c>
      <c r="E1109" s="10">
        <v>155</v>
      </c>
      <c r="F1109" s="10">
        <f t="shared" si="17"/>
        <v>930</v>
      </c>
    </row>
    <row r="1110" spans="1:6" s="9" customFormat="1" x14ac:dyDescent="0.25">
      <c r="C1110" s="5"/>
      <c r="E1110" s="10"/>
      <c r="F1110" s="8">
        <f>SUM(F1109)</f>
        <v>930</v>
      </c>
    </row>
    <row r="1111" spans="1:6" s="9" customFormat="1" x14ac:dyDescent="0.25">
      <c r="C1111" s="5"/>
      <c r="E1111" s="10"/>
      <c r="F1111" s="10"/>
    </row>
    <row r="1112" spans="1:6" s="9" customFormat="1" x14ac:dyDescent="0.25">
      <c r="A1112" s="9" t="s">
        <v>81</v>
      </c>
      <c r="B1112" s="4">
        <v>45947</v>
      </c>
      <c r="C1112" s="5">
        <v>9</v>
      </c>
      <c r="D1112" s="9" t="s">
        <v>13</v>
      </c>
      <c r="E1112" s="10">
        <v>160</v>
      </c>
      <c r="F1112" s="10">
        <f t="shared" si="17"/>
        <v>1440</v>
      </c>
    </row>
    <row r="1113" spans="1:6" s="9" customFormat="1" x14ac:dyDescent="0.25">
      <c r="C1113" s="5"/>
      <c r="E1113" s="10"/>
      <c r="F1113" s="8">
        <f>SUM(F1112)</f>
        <v>1440</v>
      </c>
    </row>
    <row r="1114" spans="1:6" s="9" customFormat="1" x14ac:dyDescent="0.25">
      <c r="C1114" s="5"/>
      <c r="E1114" s="10"/>
      <c r="F1114" s="10"/>
    </row>
    <row r="1115" spans="1:6" s="9" customFormat="1" x14ac:dyDescent="0.25">
      <c r="A1115" s="9" t="s">
        <v>20</v>
      </c>
      <c r="B1115" s="4">
        <v>45947</v>
      </c>
      <c r="C1115" s="5">
        <v>14</v>
      </c>
      <c r="D1115" s="9" t="s">
        <v>13</v>
      </c>
      <c r="E1115" s="10">
        <v>160</v>
      </c>
      <c r="F1115" s="10">
        <f t="shared" si="17"/>
        <v>2240</v>
      </c>
    </row>
    <row r="1116" spans="1:6" s="9" customFormat="1" x14ac:dyDescent="0.25">
      <c r="C1116" s="5"/>
      <c r="E1116" s="10"/>
      <c r="F1116" s="8">
        <f>SUM(F1115)</f>
        <v>2240</v>
      </c>
    </row>
    <row r="1117" spans="1:6" s="9" customFormat="1" x14ac:dyDescent="0.25">
      <c r="C1117" s="5"/>
      <c r="E1117" s="10"/>
      <c r="F1117" s="10"/>
    </row>
    <row r="1118" spans="1:6" s="9" customFormat="1" x14ac:dyDescent="0.25">
      <c r="A1118" s="9" t="s">
        <v>601</v>
      </c>
      <c r="B1118" s="4">
        <v>45947</v>
      </c>
      <c r="C1118" s="5">
        <v>10</v>
      </c>
      <c r="D1118" s="9" t="s">
        <v>13</v>
      </c>
      <c r="E1118" s="10">
        <v>160</v>
      </c>
      <c r="F1118" s="10">
        <f t="shared" si="17"/>
        <v>1600</v>
      </c>
    </row>
    <row r="1119" spans="1:6" s="9" customFormat="1" x14ac:dyDescent="0.25">
      <c r="B1119" s="4"/>
      <c r="C1119" s="5"/>
      <c r="E1119" s="10"/>
      <c r="F1119" s="8">
        <f>SUM(F1118)</f>
        <v>1600</v>
      </c>
    </row>
    <row r="1120" spans="1:6" s="9" customFormat="1" x14ac:dyDescent="0.25">
      <c r="C1120" s="5"/>
      <c r="E1120" s="10"/>
      <c r="F1120" s="10"/>
    </row>
    <row r="1121" spans="1:6" s="9" customFormat="1" x14ac:dyDescent="0.25">
      <c r="A1121" s="9" t="s">
        <v>808</v>
      </c>
      <c r="B1121" s="4">
        <v>45947</v>
      </c>
      <c r="C1121" s="5">
        <v>30</v>
      </c>
      <c r="D1121" s="9" t="s">
        <v>12</v>
      </c>
      <c r="E1121" s="10">
        <v>150</v>
      </c>
      <c r="F1121" s="10">
        <f t="shared" si="17"/>
        <v>4500</v>
      </c>
    </row>
    <row r="1122" spans="1:6" s="9" customFormat="1" x14ac:dyDescent="0.25">
      <c r="B1122" s="4"/>
      <c r="C1122" s="5">
        <v>10</v>
      </c>
      <c r="D1122" s="9" t="s">
        <v>13</v>
      </c>
      <c r="E1122" s="10">
        <v>160</v>
      </c>
      <c r="F1122" s="10">
        <f t="shared" si="17"/>
        <v>1600</v>
      </c>
    </row>
    <row r="1123" spans="1:6" s="9" customFormat="1" x14ac:dyDescent="0.25">
      <c r="C1123" s="5"/>
      <c r="E1123" s="10"/>
      <c r="F1123" s="8">
        <f>SUM(F1121:F1122)</f>
        <v>6100</v>
      </c>
    </row>
    <row r="1124" spans="1:6" s="9" customFormat="1" x14ac:dyDescent="0.25">
      <c r="C1124" s="5"/>
      <c r="E1124" s="10"/>
      <c r="F1124" s="10"/>
    </row>
    <row r="1125" spans="1:6" s="9" customFormat="1" x14ac:dyDescent="0.25">
      <c r="A1125" s="9" t="s">
        <v>37</v>
      </c>
      <c r="B1125" s="4">
        <v>45947</v>
      </c>
      <c r="C1125" s="5">
        <v>10</v>
      </c>
      <c r="D1125" s="9" t="s">
        <v>12</v>
      </c>
      <c r="E1125" s="10">
        <v>150</v>
      </c>
      <c r="F1125" s="10">
        <f t="shared" si="17"/>
        <v>1500</v>
      </c>
    </row>
    <row r="1126" spans="1:6" s="9" customFormat="1" x14ac:dyDescent="0.25">
      <c r="C1126" s="5"/>
      <c r="E1126" s="10"/>
      <c r="F1126" s="8">
        <f>SUM(F1125)</f>
        <v>1500</v>
      </c>
    </row>
    <row r="1127" spans="1:6" s="9" customFormat="1" x14ac:dyDescent="0.25">
      <c r="C1127" s="5"/>
      <c r="E1127" s="10"/>
      <c r="F1127" s="10"/>
    </row>
    <row r="1128" spans="1:6" s="9" customFormat="1" x14ac:dyDescent="0.25">
      <c r="A1128" s="9" t="s">
        <v>21</v>
      </c>
      <c r="B1128" s="4">
        <v>45947</v>
      </c>
      <c r="C1128" s="5">
        <v>10</v>
      </c>
      <c r="D1128" s="9" t="s">
        <v>12</v>
      </c>
      <c r="E1128" s="10">
        <v>150</v>
      </c>
      <c r="F1128" s="10">
        <f t="shared" si="17"/>
        <v>1500</v>
      </c>
    </row>
    <row r="1129" spans="1:6" s="9" customFormat="1" x14ac:dyDescent="0.25">
      <c r="C1129" s="5"/>
      <c r="E1129" s="10"/>
      <c r="F1129" s="8">
        <f>SUM(F1128)</f>
        <v>1500</v>
      </c>
    </row>
    <row r="1130" spans="1:6" s="9" customFormat="1" x14ac:dyDescent="0.25">
      <c r="C1130" s="5"/>
      <c r="E1130" s="10"/>
      <c r="F1130" s="10"/>
    </row>
    <row r="1131" spans="1:6" s="9" customFormat="1" x14ac:dyDescent="0.25">
      <c r="A1131" s="9" t="s">
        <v>923</v>
      </c>
      <c r="B1131" s="4">
        <v>45947</v>
      </c>
      <c r="C1131" s="5">
        <v>10</v>
      </c>
      <c r="D1131" s="9" t="s">
        <v>8</v>
      </c>
      <c r="E1131" s="10">
        <v>165</v>
      </c>
      <c r="F1131" s="10">
        <f t="shared" si="17"/>
        <v>1650</v>
      </c>
    </row>
    <row r="1132" spans="1:6" s="9" customFormat="1" x14ac:dyDescent="0.25">
      <c r="C1132" s="5">
        <v>10</v>
      </c>
      <c r="D1132" s="9" t="s">
        <v>12</v>
      </c>
      <c r="E1132" s="10">
        <v>150</v>
      </c>
      <c r="F1132" s="10">
        <f t="shared" si="17"/>
        <v>1500</v>
      </c>
    </row>
    <row r="1133" spans="1:6" s="9" customFormat="1" x14ac:dyDescent="0.25">
      <c r="C1133" s="5">
        <v>10</v>
      </c>
      <c r="D1133" s="9" t="s">
        <v>13</v>
      </c>
      <c r="E1133" s="10">
        <v>160</v>
      </c>
      <c r="F1133" s="10">
        <f t="shared" si="17"/>
        <v>1600</v>
      </c>
    </row>
    <row r="1134" spans="1:6" s="9" customFormat="1" x14ac:dyDescent="0.25">
      <c r="B1134" s="4"/>
      <c r="C1134" s="5"/>
      <c r="E1134" s="10"/>
      <c r="F1134" s="8">
        <f>SUM(F1131:F1133)</f>
        <v>4750</v>
      </c>
    </row>
    <row r="1135" spans="1:6" s="9" customFormat="1" x14ac:dyDescent="0.25">
      <c r="C1135" s="5"/>
      <c r="E1135" s="10"/>
      <c r="F1135" s="10"/>
    </row>
    <row r="1136" spans="1:6" s="9" customFormat="1" x14ac:dyDescent="0.25">
      <c r="A1136" s="9" t="s">
        <v>25</v>
      </c>
      <c r="B1136" s="4">
        <v>45947</v>
      </c>
      <c r="C1136" s="5">
        <v>20</v>
      </c>
      <c r="D1136" s="9" t="s">
        <v>8</v>
      </c>
      <c r="E1136" s="10">
        <v>165</v>
      </c>
      <c r="F1136" s="10">
        <f t="shared" si="17"/>
        <v>3300</v>
      </c>
    </row>
    <row r="1137" spans="1:6" s="9" customFormat="1" x14ac:dyDescent="0.25">
      <c r="B1137" s="4"/>
      <c r="C1137" s="5"/>
      <c r="E1137" s="10"/>
      <c r="F1137" s="8">
        <f>SUM(F1136)</f>
        <v>3300</v>
      </c>
    </row>
    <row r="1138" spans="1:6" s="9" customFormat="1" x14ac:dyDescent="0.25">
      <c r="C1138" s="5"/>
      <c r="E1138" s="10"/>
      <c r="F1138" s="10"/>
    </row>
    <row r="1139" spans="1:6" s="9" customFormat="1" x14ac:dyDescent="0.25">
      <c r="A1139" s="9" t="s">
        <v>40</v>
      </c>
      <c r="B1139" s="4">
        <v>45947</v>
      </c>
      <c r="C1139" s="5">
        <v>10</v>
      </c>
      <c r="D1139" s="9" t="s">
        <v>8</v>
      </c>
      <c r="E1139" s="10">
        <v>165</v>
      </c>
      <c r="F1139" s="10">
        <f t="shared" si="17"/>
        <v>1650</v>
      </c>
    </row>
    <row r="1140" spans="1:6" s="9" customFormat="1" x14ac:dyDescent="0.25">
      <c r="B1140" s="4"/>
      <c r="C1140" s="5">
        <v>10</v>
      </c>
      <c r="D1140" s="9" t="s">
        <v>14</v>
      </c>
      <c r="E1140" s="10">
        <v>155</v>
      </c>
      <c r="F1140" s="10">
        <f t="shared" si="17"/>
        <v>1550</v>
      </c>
    </row>
    <row r="1141" spans="1:6" s="9" customFormat="1" x14ac:dyDescent="0.25">
      <c r="C1141" s="5"/>
      <c r="E1141" s="10"/>
      <c r="F1141" s="8">
        <f>SUM(F1139:F1140)</f>
        <v>3200</v>
      </c>
    </row>
    <row r="1142" spans="1:6" s="9" customFormat="1" x14ac:dyDescent="0.25">
      <c r="C1142" s="5"/>
      <c r="E1142" s="10"/>
      <c r="F1142" s="10"/>
    </row>
    <row r="1143" spans="1:6" s="9" customFormat="1" x14ac:dyDescent="0.25">
      <c r="A1143" s="9" t="s">
        <v>85</v>
      </c>
      <c r="B1143" s="4">
        <v>45947</v>
      </c>
      <c r="C1143" s="5">
        <v>8</v>
      </c>
      <c r="D1143" s="9" t="s">
        <v>13</v>
      </c>
      <c r="E1143" s="10">
        <v>155</v>
      </c>
      <c r="F1143" s="10">
        <f t="shared" si="17"/>
        <v>1240</v>
      </c>
    </row>
    <row r="1144" spans="1:6" s="9" customFormat="1" x14ac:dyDescent="0.25">
      <c r="B1144" s="4"/>
      <c r="C1144" s="5"/>
      <c r="E1144" s="10"/>
      <c r="F1144" s="8">
        <f>SUM(F1143)</f>
        <v>1240</v>
      </c>
    </row>
    <row r="1145" spans="1:6" s="9" customFormat="1" x14ac:dyDescent="0.25">
      <c r="C1145" s="5"/>
      <c r="E1145" s="10"/>
      <c r="F1145" s="10"/>
    </row>
    <row r="1146" spans="1:6" s="9" customFormat="1" x14ac:dyDescent="0.25">
      <c r="A1146" s="9" t="s">
        <v>106</v>
      </c>
      <c r="B1146" s="4">
        <v>45947</v>
      </c>
      <c r="C1146" s="5">
        <v>80</v>
      </c>
      <c r="D1146" s="9" t="s">
        <v>11</v>
      </c>
      <c r="E1146" s="10">
        <v>145</v>
      </c>
      <c r="F1146" s="10">
        <f t="shared" si="17"/>
        <v>11600</v>
      </c>
    </row>
    <row r="1147" spans="1:6" s="9" customFormat="1" x14ac:dyDescent="0.25">
      <c r="C1147" s="5"/>
      <c r="E1147" s="10"/>
      <c r="F1147" s="8">
        <f>SUM(F1146)</f>
        <v>11600</v>
      </c>
    </row>
    <row r="1148" spans="1:6" s="9" customFormat="1" x14ac:dyDescent="0.25">
      <c r="C1148" s="5"/>
      <c r="E1148" s="10"/>
      <c r="F1148" s="10"/>
    </row>
    <row r="1149" spans="1:6" s="9" customFormat="1" x14ac:dyDescent="0.25">
      <c r="A1149" s="9" t="s">
        <v>41</v>
      </c>
      <c r="B1149" s="4">
        <v>45947</v>
      </c>
      <c r="C1149" s="5">
        <v>35</v>
      </c>
      <c r="D1149" s="9" t="s">
        <v>14</v>
      </c>
      <c r="E1149" s="10">
        <v>140</v>
      </c>
      <c r="F1149" s="10">
        <f t="shared" si="17"/>
        <v>4900</v>
      </c>
    </row>
    <row r="1150" spans="1:6" s="9" customFormat="1" x14ac:dyDescent="0.25">
      <c r="C1150" s="5"/>
      <c r="E1150" s="10"/>
      <c r="F1150" s="8">
        <f>SUM(F1149)</f>
        <v>4900</v>
      </c>
    </row>
    <row r="1151" spans="1:6" x14ac:dyDescent="0.25">
      <c r="B1151" s="9"/>
      <c r="D1151" s="9"/>
    </row>
    <row r="1152" spans="1:6" x14ac:dyDescent="0.25">
      <c r="A1152" t="s">
        <v>43</v>
      </c>
      <c r="B1152" s="4">
        <v>45947</v>
      </c>
      <c r="C1152" s="5">
        <v>31</v>
      </c>
      <c r="D1152" s="9" t="s">
        <v>14</v>
      </c>
      <c r="E1152" s="10">
        <v>155</v>
      </c>
      <c r="F1152" s="10">
        <f t="shared" si="17"/>
        <v>4805</v>
      </c>
    </row>
    <row r="1153" spans="1:6" x14ac:dyDescent="0.25">
      <c r="B1153" s="4"/>
      <c r="D1153" s="9"/>
      <c r="F1153" s="8">
        <f>SUM(F1152)</f>
        <v>4805</v>
      </c>
    </row>
    <row r="1154" spans="1:6" x14ac:dyDescent="0.25">
      <c r="B1154" s="9"/>
      <c r="D1154" s="9"/>
    </row>
    <row r="1155" spans="1:6" s="9" customFormat="1" x14ac:dyDescent="0.25">
      <c r="A1155" s="9" t="s">
        <v>960</v>
      </c>
      <c r="B1155" s="4">
        <v>45947</v>
      </c>
      <c r="C1155" s="5">
        <v>10</v>
      </c>
      <c r="D1155" s="9" t="s">
        <v>483</v>
      </c>
      <c r="E1155" s="10">
        <v>155</v>
      </c>
      <c r="F1155" s="10">
        <f t="shared" si="17"/>
        <v>1550</v>
      </c>
    </row>
    <row r="1156" spans="1:6" s="9" customFormat="1" x14ac:dyDescent="0.25">
      <c r="C1156" s="5"/>
      <c r="E1156" s="10"/>
      <c r="F1156" s="8">
        <f>SUM(F1155)</f>
        <v>1550</v>
      </c>
    </row>
    <row r="1157" spans="1:6" s="9" customFormat="1" x14ac:dyDescent="0.25">
      <c r="B1157" s="4"/>
      <c r="C1157" s="5"/>
      <c r="E1157" s="10"/>
      <c r="F1157" s="10"/>
    </row>
    <row r="1158" spans="1:6" s="9" customFormat="1" x14ac:dyDescent="0.25">
      <c r="A1158" s="9" t="s">
        <v>44</v>
      </c>
      <c r="B1158" s="4">
        <v>45947</v>
      </c>
      <c r="C1158" s="5">
        <v>70</v>
      </c>
      <c r="D1158" s="9" t="s">
        <v>14</v>
      </c>
      <c r="E1158" s="10">
        <v>155</v>
      </c>
      <c r="F1158" s="10">
        <f t="shared" ref="F1158:F1219" si="18">+C1158*E1158</f>
        <v>10850</v>
      </c>
    </row>
    <row r="1159" spans="1:6" s="9" customFormat="1" x14ac:dyDescent="0.25">
      <c r="C1159" s="5"/>
      <c r="E1159" s="10"/>
      <c r="F1159" s="8">
        <f>SUM(F1158)</f>
        <v>10850</v>
      </c>
    </row>
    <row r="1160" spans="1:6" s="9" customFormat="1" x14ac:dyDescent="0.25">
      <c r="B1160" s="4"/>
      <c r="C1160" s="5"/>
      <c r="E1160" s="10"/>
      <c r="F1160" s="10"/>
    </row>
    <row r="1161" spans="1:6" s="9" customFormat="1" x14ac:dyDescent="0.25">
      <c r="A1161" s="9" t="s">
        <v>18</v>
      </c>
      <c r="B1161" s="4">
        <v>45947</v>
      </c>
      <c r="C1161" s="5">
        <v>10</v>
      </c>
      <c r="D1161" s="9" t="s">
        <v>14</v>
      </c>
      <c r="E1161" s="10">
        <v>155</v>
      </c>
      <c r="F1161" s="10">
        <f t="shared" si="18"/>
        <v>1550</v>
      </c>
    </row>
    <row r="1162" spans="1:6" s="9" customFormat="1" x14ac:dyDescent="0.25">
      <c r="C1162" s="5">
        <v>30</v>
      </c>
      <c r="D1162" s="9" t="s">
        <v>819</v>
      </c>
      <c r="E1162" s="10">
        <v>145</v>
      </c>
      <c r="F1162" s="10">
        <f t="shared" si="18"/>
        <v>4350</v>
      </c>
    </row>
    <row r="1163" spans="1:6" s="9" customFormat="1" x14ac:dyDescent="0.25">
      <c r="B1163" s="4"/>
      <c r="C1163" s="5"/>
      <c r="E1163" s="10"/>
      <c r="F1163" s="8">
        <f>SUM(F1161:F1162)</f>
        <v>5900</v>
      </c>
    </row>
    <row r="1164" spans="1:6" s="9" customFormat="1" x14ac:dyDescent="0.25">
      <c r="C1164" s="5"/>
      <c r="E1164" s="10"/>
      <c r="F1164" s="10"/>
    </row>
    <row r="1165" spans="1:6" s="9" customFormat="1" x14ac:dyDescent="0.25">
      <c r="A1165" s="9" t="s">
        <v>46</v>
      </c>
      <c r="B1165" s="4">
        <v>45947</v>
      </c>
      <c r="C1165" s="5">
        <v>20</v>
      </c>
      <c r="D1165" s="9" t="s">
        <v>11</v>
      </c>
      <c r="E1165" s="10">
        <v>145</v>
      </c>
      <c r="F1165" s="10">
        <f t="shared" si="18"/>
        <v>2900</v>
      </c>
    </row>
    <row r="1166" spans="1:6" s="9" customFormat="1" x14ac:dyDescent="0.25">
      <c r="B1166" s="4"/>
      <c r="C1166" s="5"/>
      <c r="E1166" s="10"/>
      <c r="F1166" s="8">
        <f>SUM(F1165)</f>
        <v>2900</v>
      </c>
    </row>
    <row r="1167" spans="1:6" s="9" customFormat="1" x14ac:dyDescent="0.25">
      <c r="C1167" s="5"/>
      <c r="E1167" s="10"/>
      <c r="F1167" s="10"/>
    </row>
    <row r="1168" spans="1:6" s="9" customFormat="1" x14ac:dyDescent="0.25">
      <c r="A1168" s="9" t="s">
        <v>253</v>
      </c>
      <c r="B1168" s="4">
        <v>45947</v>
      </c>
      <c r="C1168" s="5">
        <v>19</v>
      </c>
      <c r="D1168" s="9" t="s">
        <v>11</v>
      </c>
      <c r="E1168" s="10">
        <v>145</v>
      </c>
      <c r="F1168" s="10">
        <f t="shared" si="18"/>
        <v>2755</v>
      </c>
    </row>
    <row r="1169" spans="1:6" s="9" customFormat="1" x14ac:dyDescent="0.25">
      <c r="B1169" s="4"/>
      <c r="C1169" s="5"/>
      <c r="E1169" s="10"/>
      <c r="F1169" s="8">
        <f>SUM(F1168)</f>
        <v>2755</v>
      </c>
    </row>
    <row r="1170" spans="1:6" s="9" customFormat="1" x14ac:dyDescent="0.25">
      <c r="C1170" s="5"/>
      <c r="E1170" s="10"/>
      <c r="F1170" s="10"/>
    </row>
    <row r="1171" spans="1:6" s="9" customFormat="1" x14ac:dyDescent="0.25">
      <c r="A1171" s="9" t="s">
        <v>292</v>
      </c>
      <c r="B1171" s="4">
        <v>45947</v>
      </c>
      <c r="C1171" s="5">
        <v>5</v>
      </c>
      <c r="D1171" s="9" t="s">
        <v>14</v>
      </c>
      <c r="E1171" s="10">
        <v>150</v>
      </c>
      <c r="F1171" s="10">
        <f t="shared" si="18"/>
        <v>750</v>
      </c>
    </row>
    <row r="1172" spans="1:6" s="9" customFormat="1" x14ac:dyDescent="0.25">
      <c r="B1172" s="4"/>
      <c r="C1172" s="5">
        <v>5</v>
      </c>
      <c r="D1172" s="9" t="s">
        <v>11</v>
      </c>
      <c r="E1172" s="10">
        <v>140</v>
      </c>
      <c r="F1172" s="10">
        <f t="shared" si="18"/>
        <v>700</v>
      </c>
    </row>
    <row r="1173" spans="1:6" s="9" customFormat="1" x14ac:dyDescent="0.25">
      <c r="C1173" s="5"/>
      <c r="E1173" s="10"/>
      <c r="F1173" s="8">
        <f>SUM(F1171:F1172)</f>
        <v>1450</v>
      </c>
    </row>
    <row r="1174" spans="1:6" s="9" customFormat="1" x14ac:dyDescent="0.25">
      <c r="C1174" s="5"/>
      <c r="E1174" s="10"/>
      <c r="F1174" s="10"/>
    </row>
    <row r="1175" spans="1:6" s="9" customFormat="1" x14ac:dyDescent="0.25">
      <c r="A1175" s="9" t="s">
        <v>904</v>
      </c>
      <c r="B1175" s="4">
        <v>45947</v>
      </c>
      <c r="C1175" s="5">
        <v>3</v>
      </c>
      <c r="D1175" s="9" t="s">
        <v>13</v>
      </c>
      <c r="E1175" s="10">
        <v>160</v>
      </c>
      <c r="F1175" s="10">
        <f t="shared" si="18"/>
        <v>480</v>
      </c>
    </row>
    <row r="1176" spans="1:6" s="9" customFormat="1" x14ac:dyDescent="0.25">
      <c r="C1176" s="5"/>
      <c r="E1176" s="10"/>
      <c r="F1176" s="8">
        <f>SUM(F1175)</f>
        <v>480</v>
      </c>
    </row>
    <row r="1177" spans="1:6" s="9" customFormat="1" x14ac:dyDescent="0.25">
      <c r="B1177" s="4"/>
      <c r="C1177" s="5"/>
      <c r="E1177" s="10"/>
      <c r="F1177" s="10"/>
    </row>
    <row r="1178" spans="1:6" s="9" customFormat="1" x14ac:dyDescent="0.25">
      <c r="A1178" s="9" t="s">
        <v>487</v>
      </c>
      <c r="B1178" s="4">
        <v>45947</v>
      </c>
      <c r="C1178" s="5">
        <v>5</v>
      </c>
      <c r="D1178" s="9" t="s">
        <v>12</v>
      </c>
      <c r="E1178" s="10">
        <v>150</v>
      </c>
      <c r="F1178" s="10">
        <f t="shared" si="18"/>
        <v>750</v>
      </c>
    </row>
    <row r="1179" spans="1:6" s="9" customFormat="1" x14ac:dyDescent="0.25">
      <c r="C1179" s="5"/>
      <c r="E1179" s="10"/>
      <c r="F1179" s="8">
        <f>SUM(F1178)</f>
        <v>750</v>
      </c>
    </row>
    <row r="1180" spans="1:6" s="9" customFormat="1" x14ac:dyDescent="0.25">
      <c r="C1180" s="5"/>
      <c r="E1180" s="10"/>
      <c r="F1180" s="10"/>
    </row>
    <row r="1181" spans="1:6" s="9" customFormat="1" x14ac:dyDescent="0.25">
      <c r="A1181" s="9" t="s">
        <v>1045</v>
      </c>
      <c r="B1181" s="4">
        <v>45947</v>
      </c>
      <c r="C1181" s="5">
        <v>12</v>
      </c>
      <c r="D1181" s="9" t="s">
        <v>13</v>
      </c>
      <c r="E1181" s="10">
        <v>160</v>
      </c>
      <c r="F1181" s="10">
        <f t="shared" si="18"/>
        <v>1920</v>
      </c>
    </row>
    <row r="1182" spans="1:6" s="9" customFormat="1" x14ac:dyDescent="0.25">
      <c r="C1182" s="5"/>
      <c r="E1182" s="10"/>
      <c r="F1182" s="8">
        <f>SUM(F1181)</f>
        <v>1920</v>
      </c>
    </row>
    <row r="1183" spans="1:6" s="9" customFormat="1" x14ac:dyDescent="0.25">
      <c r="C1183" s="5"/>
      <c r="E1183" s="10"/>
      <c r="F1183" s="10"/>
    </row>
    <row r="1184" spans="1:6" s="9" customFormat="1" x14ac:dyDescent="0.25">
      <c r="A1184" s="9" t="s">
        <v>112</v>
      </c>
      <c r="B1184" s="4">
        <v>45947</v>
      </c>
      <c r="C1184" s="5">
        <v>65</v>
      </c>
      <c r="D1184" s="9" t="s">
        <v>1046</v>
      </c>
      <c r="E1184" s="10">
        <v>150</v>
      </c>
      <c r="F1184" s="10">
        <f t="shared" si="18"/>
        <v>9750</v>
      </c>
    </row>
    <row r="1185" spans="1:6" s="9" customFormat="1" x14ac:dyDescent="0.25">
      <c r="C1185" s="5">
        <v>40</v>
      </c>
      <c r="D1185" s="9" t="s">
        <v>8</v>
      </c>
      <c r="E1185" s="10">
        <v>155</v>
      </c>
      <c r="F1185" s="10">
        <f t="shared" si="18"/>
        <v>6200</v>
      </c>
    </row>
    <row r="1186" spans="1:6" s="9" customFormat="1" x14ac:dyDescent="0.25">
      <c r="C1186" s="5">
        <v>40</v>
      </c>
      <c r="D1186" s="9" t="s">
        <v>11</v>
      </c>
      <c r="E1186" s="10">
        <v>145</v>
      </c>
      <c r="F1186" s="10">
        <f t="shared" si="18"/>
        <v>5800</v>
      </c>
    </row>
    <row r="1187" spans="1:6" s="9" customFormat="1" x14ac:dyDescent="0.25">
      <c r="B1187" s="4"/>
      <c r="C1187" s="5">
        <v>25</v>
      </c>
      <c r="D1187" s="9" t="s">
        <v>14</v>
      </c>
      <c r="E1187" s="10">
        <v>150</v>
      </c>
      <c r="F1187" s="10">
        <f t="shared" si="18"/>
        <v>3750</v>
      </c>
    </row>
    <row r="1188" spans="1:6" s="9" customFormat="1" x14ac:dyDescent="0.25">
      <c r="C1188" s="5"/>
      <c r="E1188" s="10"/>
      <c r="F1188" s="8">
        <f>SUM(F1184:F1187)</f>
        <v>25500</v>
      </c>
    </row>
    <row r="1189" spans="1:6" s="9" customFormat="1" x14ac:dyDescent="0.25">
      <c r="C1189" s="5"/>
      <c r="E1189" s="10"/>
      <c r="F1189" s="10"/>
    </row>
    <row r="1190" spans="1:6" s="9" customFormat="1" x14ac:dyDescent="0.25">
      <c r="A1190" s="9" t="s">
        <v>245</v>
      </c>
      <c r="B1190" s="4">
        <v>45947</v>
      </c>
      <c r="C1190" s="5">
        <v>10</v>
      </c>
      <c r="D1190" s="9" t="s">
        <v>14</v>
      </c>
      <c r="E1190" s="10">
        <v>150</v>
      </c>
      <c r="F1190" s="10">
        <f t="shared" si="18"/>
        <v>1500</v>
      </c>
    </row>
    <row r="1191" spans="1:6" s="9" customFormat="1" x14ac:dyDescent="0.25">
      <c r="C1191" s="5"/>
      <c r="E1191" s="10"/>
      <c r="F1191" s="8">
        <f>SUM(F1190)</f>
        <v>1500</v>
      </c>
    </row>
    <row r="1192" spans="1:6" s="9" customFormat="1" x14ac:dyDescent="0.25">
      <c r="C1192" s="5"/>
      <c r="E1192" s="10"/>
      <c r="F1192" s="10"/>
    </row>
    <row r="1193" spans="1:6" s="9" customFormat="1" x14ac:dyDescent="0.25">
      <c r="A1193" s="9" t="s">
        <v>245</v>
      </c>
      <c r="B1193" s="4">
        <v>45947</v>
      </c>
      <c r="C1193" s="5">
        <v>1000</v>
      </c>
      <c r="D1193" s="9" t="s">
        <v>13</v>
      </c>
      <c r="E1193" s="10">
        <v>150</v>
      </c>
      <c r="F1193" s="10">
        <f t="shared" si="18"/>
        <v>150000</v>
      </c>
    </row>
    <row r="1194" spans="1:6" s="9" customFormat="1" x14ac:dyDescent="0.25">
      <c r="C1194" s="5"/>
      <c r="E1194" s="10"/>
      <c r="F1194" s="8">
        <f>SUM(F1193)</f>
        <v>150000</v>
      </c>
    </row>
    <row r="1195" spans="1:6" s="9" customFormat="1" x14ac:dyDescent="0.25">
      <c r="C1195" s="5"/>
      <c r="E1195" s="10"/>
      <c r="F1195" s="10"/>
    </row>
    <row r="1196" spans="1:6" s="9" customFormat="1" x14ac:dyDescent="0.25">
      <c r="A1196" s="9" t="s">
        <v>29</v>
      </c>
      <c r="B1196" s="4">
        <v>45947</v>
      </c>
      <c r="C1196" s="5">
        <v>1</v>
      </c>
      <c r="D1196" s="9" t="s">
        <v>12</v>
      </c>
      <c r="E1196" s="10">
        <v>150</v>
      </c>
      <c r="F1196" s="10">
        <f t="shared" si="18"/>
        <v>150</v>
      </c>
    </row>
    <row r="1197" spans="1:6" s="9" customFormat="1" x14ac:dyDescent="0.25">
      <c r="C1197" s="5">
        <v>1</v>
      </c>
      <c r="D1197" s="9" t="s">
        <v>12</v>
      </c>
      <c r="E1197" s="10">
        <v>130</v>
      </c>
      <c r="F1197" s="10">
        <f t="shared" si="18"/>
        <v>130</v>
      </c>
    </row>
    <row r="1198" spans="1:6" s="9" customFormat="1" x14ac:dyDescent="0.25">
      <c r="C1198" s="5"/>
      <c r="E1198" s="10"/>
      <c r="F1198" s="8">
        <f>SUM(F1196:F1197)</f>
        <v>280</v>
      </c>
    </row>
    <row r="1199" spans="1:6" s="9" customFormat="1" x14ac:dyDescent="0.25">
      <c r="B1199" s="4"/>
      <c r="C1199" s="5"/>
      <c r="E1199" s="10"/>
      <c r="F1199" s="10"/>
    </row>
    <row r="1200" spans="1:6" s="9" customFormat="1" x14ac:dyDescent="0.25">
      <c r="A1200" s="9" t="s">
        <v>7</v>
      </c>
      <c r="B1200" s="4">
        <v>45947</v>
      </c>
      <c r="C1200" s="5">
        <v>2</v>
      </c>
      <c r="D1200" s="9" t="s">
        <v>13</v>
      </c>
      <c r="E1200" s="10">
        <v>160</v>
      </c>
      <c r="F1200" s="10">
        <f t="shared" si="18"/>
        <v>320</v>
      </c>
    </row>
    <row r="1201" spans="1:6" s="9" customFormat="1" x14ac:dyDescent="0.25">
      <c r="C1201" s="11">
        <v>0.5</v>
      </c>
      <c r="D1201" s="9" t="s">
        <v>78</v>
      </c>
      <c r="E1201" s="10">
        <v>110</v>
      </c>
      <c r="F1201" s="10">
        <f t="shared" si="18"/>
        <v>55</v>
      </c>
    </row>
    <row r="1202" spans="1:6" s="9" customFormat="1" x14ac:dyDescent="0.25">
      <c r="B1202" s="4"/>
      <c r="C1202" s="5">
        <v>2</v>
      </c>
      <c r="D1202" s="9" t="s">
        <v>8</v>
      </c>
      <c r="E1202" s="10">
        <v>170</v>
      </c>
      <c r="F1202" s="10">
        <f t="shared" si="18"/>
        <v>340</v>
      </c>
    </row>
    <row r="1203" spans="1:6" s="9" customFormat="1" x14ac:dyDescent="0.25">
      <c r="C1203" s="5"/>
      <c r="E1203" s="10"/>
      <c r="F1203" s="8">
        <f>SUM(F1200:F1202)</f>
        <v>715</v>
      </c>
    </row>
    <row r="1204" spans="1:6" s="9" customFormat="1" x14ac:dyDescent="0.25">
      <c r="C1204" s="5"/>
      <c r="E1204" s="10"/>
      <c r="F1204" s="10"/>
    </row>
    <row r="1205" spans="1:6" s="9" customFormat="1" x14ac:dyDescent="0.25">
      <c r="A1205" s="9" t="s">
        <v>20</v>
      </c>
      <c r="B1205" s="4">
        <v>45948</v>
      </c>
      <c r="C1205" s="5">
        <v>20</v>
      </c>
      <c r="D1205" s="9" t="s">
        <v>8</v>
      </c>
      <c r="E1205" s="10">
        <v>165</v>
      </c>
      <c r="F1205" s="10">
        <f t="shared" si="18"/>
        <v>3300</v>
      </c>
    </row>
    <row r="1206" spans="1:6" s="9" customFormat="1" x14ac:dyDescent="0.25">
      <c r="C1206" s="5">
        <v>19</v>
      </c>
      <c r="D1206" s="9" t="s">
        <v>13</v>
      </c>
      <c r="E1206" s="10">
        <v>160</v>
      </c>
      <c r="F1206" s="10">
        <f t="shared" si="18"/>
        <v>3040</v>
      </c>
    </row>
    <row r="1207" spans="1:6" s="9" customFormat="1" x14ac:dyDescent="0.25">
      <c r="C1207" s="5"/>
      <c r="E1207" s="10"/>
      <c r="F1207" s="8">
        <f>SUM(F1205:F1206)</f>
        <v>6340</v>
      </c>
    </row>
    <row r="1208" spans="1:6" s="9" customFormat="1" x14ac:dyDescent="0.25">
      <c r="B1208" s="4"/>
      <c r="C1208" s="5"/>
      <c r="E1208" s="10"/>
      <c r="F1208" s="10"/>
    </row>
    <row r="1209" spans="1:6" s="9" customFormat="1" x14ac:dyDescent="0.25">
      <c r="A1209" s="9" t="s">
        <v>17</v>
      </c>
      <c r="B1209" s="4">
        <v>45948</v>
      </c>
      <c r="C1209" s="5">
        <v>15</v>
      </c>
      <c r="D1209" s="9" t="s">
        <v>13</v>
      </c>
      <c r="E1209" s="10">
        <v>160</v>
      </c>
      <c r="F1209" s="10">
        <f t="shared" si="18"/>
        <v>2400</v>
      </c>
    </row>
    <row r="1210" spans="1:6" s="9" customFormat="1" x14ac:dyDescent="0.25">
      <c r="C1210" s="5"/>
      <c r="E1210" s="10"/>
      <c r="F1210" s="8">
        <f>SUM(F1209)</f>
        <v>2400</v>
      </c>
    </row>
    <row r="1211" spans="1:6" s="9" customFormat="1" x14ac:dyDescent="0.25">
      <c r="C1211" s="5"/>
      <c r="E1211" s="10"/>
      <c r="F1211" s="10"/>
    </row>
    <row r="1212" spans="1:6" s="9" customFormat="1" x14ac:dyDescent="0.25">
      <c r="A1212" s="9" t="s">
        <v>427</v>
      </c>
      <c r="B1212" s="4">
        <v>45948</v>
      </c>
      <c r="C1212" s="5">
        <v>10</v>
      </c>
      <c r="D1212" s="9" t="s">
        <v>13</v>
      </c>
      <c r="E1212" s="10">
        <v>160</v>
      </c>
      <c r="F1212" s="10">
        <f t="shared" si="18"/>
        <v>1600</v>
      </c>
    </row>
    <row r="1213" spans="1:6" s="9" customFormat="1" x14ac:dyDescent="0.25">
      <c r="B1213" s="4"/>
      <c r="C1213" s="5"/>
      <c r="E1213" s="10"/>
      <c r="F1213" s="8">
        <f>SUM(F1212)</f>
        <v>1600</v>
      </c>
    </row>
    <row r="1214" spans="1:6" s="9" customFormat="1" x14ac:dyDescent="0.25">
      <c r="C1214" s="5"/>
      <c r="E1214" s="10"/>
      <c r="F1214" s="10"/>
    </row>
    <row r="1215" spans="1:6" s="9" customFormat="1" x14ac:dyDescent="0.25">
      <c r="A1215" s="9" t="s">
        <v>808</v>
      </c>
      <c r="B1215" s="4">
        <v>45948</v>
      </c>
      <c r="C1215" s="5">
        <v>20</v>
      </c>
      <c r="D1215" s="9" t="s">
        <v>13</v>
      </c>
      <c r="E1215" s="10">
        <v>160</v>
      </c>
      <c r="F1215" s="10">
        <f t="shared" si="18"/>
        <v>3200</v>
      </c>
    </row>
    <row r="1216" spans="1:6" s="9" customFormat="1" x14ac:dyDescent="0.25">
      <c r="C1216" s="5"/>
      <c r="E1216" s="10"/>
      <c r="F1216" s="8">
        <f>SUM(F1215)</f>
        <v>3200</v>
      </c>
    </row>
    <row r="1217" spans="1:6" s="9" customFormat="1" x14ac:dyDescent="0.25">
      <c r="C1217" s="5"/>
      <c r="E1217" s="10"/>
      <c r="F1217" s="10"/>
    </row>
    <row r="1218" spans="1:6" s="9" customFormat="1" x14ac:dyDescent="0.25">
      <c r="A1218" s="9" t="s">
        <v>57</v>
      </c>
      <c r="B1218" s="4">
        <v>45948</v>
      </c>
      <c r="C1218" s="5">
        <v>15</v>
      </c>
      <c r="D1218" s="9" t="s">
        <v>13</v>
      </c>
      <c r="E1218" s="10">
        <v>160</v>
      </c>
      <c r="F1218" s="10">
        <f t="shared" si="18"/>
        <v>2400</v>
      </c>
    </row>
    <row r="1219" spans="1:6" s="9" customFormat="1" x14ac:dyDescent="0.25">
      <c r="C1219" s="5">
        <v>15</v>
      </c>
      <c r="D1219" s="9" t="s">
        <v>14</v>
      </c>
      <c r="E1219" s="10">
        <v>155</v>
      </c>
      <c r="F1219" s="10">
        <f t="shared" si="18"/>
        <v>2325</v>
      </c>
    </row>
    <row r="1220" spans="1:6" s="9" customFormat="1" x14ac:dyDescent="0.25">
      <c r="C1220" s="5"/>
      <c r="E1220" s="10"/>
      <c r="F1220" s="8">
        <f>SUM(F1218:F1219)</f>
        <v>4725</v>
      </c>
    </row>
    <row r="1221" spans="1:6" s="9" customFormat="1" x14ac:dyDescent="0.25">
      <c r="C1221" s="5"/>
      <c r="E1221" s="10"/>
      <c r="F1221" s="10"/>
    </row>
    <row r="1222" spans="1:6" s="9" customFormat="1" x14ac:dyDescent="0.25">
      <c r="A1222" s="9" t="s">
        <v>791</v>
      </c>
      <c r="B1222" s="4">
        <v>45948</v>
      </c>
      <c r="C1222" s="5">
        <v>10</v>
      </c>
      <c r="D1222" s="9" t="s">
        <v>8</v>
      </c>
      <c r="E1222" s="10">
        <v>165</v>
      </c>
      <c r="F1222" s="10">
        <f t="shared" ref="F1222:F1283" si="19">+C1222*E1222</f>
        <v>1650</v>
      </c>
    </row>
    <row r="1223" spans="1:6" s="9" customFormat="1" x14ac:dyDescent="0.25">
      <c r="C1223" s="5"/>
      <c r="E1223" s="10"/>
      <c r="F1223" s="8">
        <f>SUM(F1222)</f>
        <v>1650</v>
      </c>
    </row>
    <row r="1224" spans="1:6" s="9" customFormat="1" x14ac:dyDescent="0.25">
      <c r="B1224" s="4"/>
      <c r="C1224" s="5"/>
      <c r="E1224" s="10"/>
      <c r="F1224" s="10"/>
    </row>
    <row r="1225" spans="1:6" s="9" customFormat="1" x14ac:dyDescent="0.25">
      <c r="A1225" s="9" t="s">
        <v>25</v>
      </c>
      <c r="B1225" s="4">
        <v>45948</v>
      </c>
      <c r="C1225" s="5">
        <v>50</v>
      </c>
      <c r="D1225" s="9" t="s">
        <v>8</v>
      </c>
      <c r="E1225" s="10">
        <v>165</v>
      </c>
      <c r="F1225" s="10">
        <f t="shared" si="19"/>
        <v>8250</v>
      </c>
    </row>
    <row r="1226" spans="1:6" s="9" customFormat="1" x14ac:dyDescent="0.25">
      <c r="C1226" s="5"/>
      <c r="E1226" s="10"/>
      <c r="F1226" s="8">
        <f>SUM(F1225)</f>
        <v>8250</v>
      </c>
    </row>
    <row r="1227" spans="1:6" s="9" customFormat="1" x14ac:dyDescent="0.25">
      <c r="C1227" s="5"/>
      <c r="E1227" s="10"/>
      <c r="F1227" s="10"/>
    </row>
    <row r="1228" spans="1:6" s="9" customFormat="1" x14ac:dyDescent="0.25">
      <c r="A1228" s="9" t="s">
        <v>923</v>
      </c>
      <c r="B1228" s="4">
        <v>45948</v>
      </c>
      <c r="C1228" s="5">
        <v>10</v>
      </c>
      <c r="D1228" s="9" t="s">
        <v>542</v>
      </c>
      <c r="E1228" s="10">
        <v>160</v>
      </c>
      <c r="F1228" s="10">
        <f t="shared" si="19"/>
        <v>1600</v>
      </c>
    </row>
    <row r="1229" spans="1:6" s="9" customFormat="1" x14ac:dyDescent="0.25">
      <c r="C1229" s="5"/>
      <c r="E1229" s="10"/>
      <c r="F1229" s="8">
        <f>SUM(F1228)</f>
        <v>1600</v>
      </c>
    </row>
    <row r="1230" spans="1:6" s="9" customFormat="1" x14ac:dyDescent="0.25">
      <c r="B1230" s="4"/>
      <c r="C1230" s="5"/>
      <c r="E1230" s="10"/>
      <c r="F1230" s="10"/>
    </row>
    <row r="1231" spans="1:6" s="9" customFormat="1" x14ac:dyDescent="0.25">
      <c r="A1231" s="9" t="s">
        <v>40</v>
      </c>
      <c r="B1231" s="4">
        <v>45948</v>
      </c>
      <c r="C1231" s="5">
        <v>20</v>
      </c>
      <c r="D1231" s="9" t="s">
        <v>12</v>
      </c>
      <c r="E1231" s="10">
        <v>150</v>
      </c>
      <c r="F1231" s="10">
        <f t="shared" si="19"/>
        <v>3000</v>
      </c>
    </row>
    <row r="1232" spans="1:6" s="9" customFormat="1" x14ac:dyDescent="0.25">
      <c r="C1232" s="5">
        <v>20</v>
      </c>
      <c r="D1232" s="9" t="s">
        <v>14</v>
      </c>
      <c r="E1232" s="10">
        <v>155</v>
      </c>
      <c r="F1232" s="10">
        <f t="shared" si="19"/>
        <v>3100</v>
      </c>
    </row>
    <row r="1233" spans="1:6" s="9" customFormat="1" x14ac:dyDescent="0.25">
      <c r="C1233" s="5">
        <v>20</v>
      </c>
      <c r="D1233" s="9" t="s">
        <v>8</v>
      </c>
      <c r="E1233" s="10">
        <v>165</v>
      </c>
      <c r="F1233" s="10">
        <f t="shared" si="19"/>
        <v>3300</v>
      </c>
    </row>
    <row r="1234" spans="1:6" s="9" customFormat="1" x14ac:dyDescent="0.25">
      <c r="C1234" s="5"/>
      <c r="E1234" s="10"/>
      <c r="F1234" s="8">
        <f>SUM(F1231:F1233)</f>
        <v>9400</v>
      </c>
    </row>
    <row r="1235" spans="1:6" s="9" customFormat="1" x14ac:dyDescent="0.25">
      <c r="C1235" s="5"/>
      <c r="E1235" s="10"/>
      <c r="F1235" s="10"/>
    </row>
    <row r="1236" spans="1:6" s="9" customFormat="1" x14ac:dyDescent="0.25">
      <c r="A1236" s="9" t="s">
        <v>1047</v>
      </c>
      <c r="B1236" s="4">
        <v>45948</v>
      </c>
      <c r="C1236" s="5">
        <v>5</v>
      </c>
      <c r="D1236" s="9" t="s">
        <v>13</v>
      </c>
      <c r="E1236" s="10">
        <v>150</v>
      </c>
      <c r="F1236" s="10">
        <f t="shared" si="19"/>
        <v>750</v>
      </c>
    </row>
    <row r="1237" spans="1:6" s="9" customFormat="1" x14ac:dyDescent="0.25">
      <c r="C1237" s="5"/>
      <c r="E1237" s="10"/>
      <c r="F1237" s="8">
        <f>SUM(F1236)</f>
        <v>750</v>
      </c>
    </row>
    <row r="1238" spans="1:6" s="9" customFormat="1" x14ac:dyDescent="0.25">
      <c r="B1238" s="4"/>
      <c r="C1238" s="5"/>
      <c r="E1238" s="10"/>
      <c r="F1238" s="10"/>
    </row>
    <row r="1239" spans="1:6" s="9" customFormat="1" x14ac:dyDescent="0.25">
      <c r="A1239" s="9" t="s">
        <v>112</v>
      </c>
      <c r="B1239" s="4">
        <v>45948</v>
      </c>
      <c r="C1239" s="5">
        <v>50</v>
      </c>
      <c r="D1239" s="9" t="s">
        <v>13</v>
      </c>
      <c r="E1239" s="10">
        <v>150</v>
      </c>
      <c r="F1239" s="10">
        <f t="shared" si="19"/>
        <v>7500</v>
      </c>
    </row>
    <row r="1240" spans="1:6" s="9" customFormat="1" x14ac:dyDescent="0.25">
      <c r="C1240" s="5">
        <v>60</v>
      </c>
      <c r="D1240" s="9" t="s">
        <v>8</v>
      </c>
      <c r="E1240" s="10">
        <v>155</v>
      </c>
      <c r="F1240" s="10">
        <f t="shared" si="19"/>
        <v>9300</v>
      </c>
    </row>
    <row r="1241" spans="1:6" s="9" customFormat="1" x14ac:dyDescent="0.25">
      <c r="B1241" s="4"/>
      <c r="C1241" s="5"/>
      <c r="E1241" s="10"/>
      <c r="F1241" s="8">
        <f>SUM(F1239:F1240)</f>
        <v>16800</v>
      </c>
    </row>
    <row r="1242" spans="1:6" s="9" customFormat="1" x14ac:dyDescent="0.25">
      <c r="C1242" s="5"/>
      <c r="E1242" s="10"/>
      <c r="F1242" s="10"/>
    </row>
    <row r="1243" spans="1:6" s="9" customFormat="1" x14ac:dyDescent="0.25">
      <c r="A1243" s="9" t="s">
        <v>72</v>
      </c>
      <c r="B1243" s="4">
        <v>45948</v>
      </c>
      <c r="C1243" s="5">
        <v>310</v>
      </c>
      <c r="D1243" s="9" t="s">
        <v>13</v>
      </c>
      <c r="E1243" s="10">
        <v>150</v>
      </c>
      <c r="F1243" s="10">
        <f t="shared" si="19"/>
        <v>46500</v>
      </c>
    </row>
    <row r="1244" spans="1:6" s="9" customFormat="1" x14ac:dyDescent="0.25">
      <c r="C1244" s="5">
        <v>130</v>
      </c>
      <c r="D1244" s="9" t="s">
        <v>12</v>
      </c>
      <c r="E1244" s="10">
        <v>145</v>
      </c>
      <c r="F1244" s="10">
        <f t="shared" si="19"/>
        <v>18850</v>
      </c>
    </row>
    <row r="1245" spans="1:6" s="9" customFormat="1" x14ac:dyDescent="0.25">
      <c r="C1245" s="5">
        <v>60</v>
      </c>
      <c r="D1245" s="9" t="s">
        <v>14</v>
      </c>
      <c r="E1245" s="10">
        <v>150</v>
      </c>
      <c r="F1245" s="10">
        <f t="shared" si="19"/>
        <v>9000</v>
      </c>
    </row>
    <row r="1246" spans="1:6" s="9" customFormat="1" x14ac:dyDescent="0.25">
      <c r="C1246" s="5">
        <v>50</v>
      </c>
      <c r="D1246" s="9" t="s">
        <v>11</v>
      </c>
      <c r="E1246" s="10">
        <v>145</v>
      </c>
      <c r="F1246" s="10">
        <f t="shared" si="19"/>
        <v>7250</v>
      </c>
    </row>
    <row r="1247" spans="1:6" s="9" customFormat="1" x14ac:dyDescent="0.25">
      <c r="B1247" s="4"/>
      <c r="C1247" s="5"/>
      <c r="E1247" s="10"/>
      <c r="F1247" s="8">
        <f>SUM(F1243:F1246)</f>
        <v>81600</v>
      </c>
    </row>
    <row r="1248" spans="1:6" s="9" customFormat="1" x14ac:dyDescent="0.25">
      <c r="C1248" s="5"/>
      <c r="E1248" s="10"/>
      <c r="F1248" s="10"/>
    </row>
    <row r="1249" spans="1:6" s="9" customFormat="1" x14ac:dyDescent="0.25">
      <c r="A1249" s="9" t="s">
        <v>245</v>
      </c>
      <c r="B1249" s="4">
        <v>45948</v>
      </c>
      <c r="C1249" s="5">
        <v>10</v>
      </c>
      <c r="D1249" s="9" t="s">
        <v>121</v>
      </c>
      <c r="E1249" s="10">
        <v>150</v>
      </c>
      <c r="F1249" s="10">
        <f t="shared" si="19"/>
        <v>1500</v>
      </c>
    </row>
    <row r="1250" spans="1:6" s="9" customFormat="1" x14ac:dyDescent="0.25">
      <c r="C1250" s="5"/>
      <c r="E1250" s="10"/>
      <c r="F1250" s="8">
        <f>SUM(F1249)</f>
        <v>1500</v>
      </c>
    </row>
    <row r="1251" spans="1:6" s="9" customFormat="1" x14ac:dyDescent="0.25">
      <c r="B1251" s="4"/>
      <c r="C1251" s="5"/>
      <c r="E1251" s="10"/>
      <c r="F1251" s="10"/>
    </row>
    <row r="1252" spans="1:6" s="9" customFormat="1" x14ac:dyDescent="0.25">
      <c r="A1252" s="9" t="s">
        <v>88</v>
      </c>
      <c r="B1252" s="4">
        <v>45948</v>
      </c>
      <c r="C1252" s="5">
        <v>5</v>
      </c>
      <c r="D1252" s="9" t="s">
        <v>13</v>
      </c>
      <c r="E1252" s="10">
        <v>160</v>
      </c>
      <c r="F1252" s="10">
        <f t="shared" si="19"/>
        <v>800</v>
      </c>
    </row>
    <row r="1253" spans="1:6" s="9" customFormat="1" x14ac:dyDescent="0.25">
      <c r="C1253" s="5">
        <v>5</v>
      </c>
      <c r="D1253" s="9" t="s">
        <v>1048</v>
      </c>
      <c r="E1253" s="10">
        <v>150</v>
      </c>
      <c r="F1253" s="10">
        <f t="shared" si="19"/>
        <v>750</v>
      </c>
    </row>
    <row r="1254" spans="1:6" s="9" customFormat="1" x14ac:dyDescent="0.25">
      <c r="B1254" s="4"/>
      <c r="C1254" s="5"/>
      <c r="E1254" s="10"/>
      <c r="F1254" s="8">
        <f>SUM(F1252:F1253)</f>
        <v>1550</v>
      </c>
    </row>
    <row r="1255" spans="1:6" s="9" customFormat="1" x14ac:dyDescent="0.25">
      <c r="C1255" s="5"/>
      <c r="E1255" s="10"/>
      <c r="F1255" s="10"/>
    </row>
    <row r="1256" spans="1:6" s="9" customFormat="1" x14ac:dyDescent="0.25">
      <c r="A1256" s="9" t="s">
        <v>48</v>
      </c>
      <c r="B1256" s="4">
        <v>45948</v>
      </c>
      <c r="C1256" s="5">
        <v>250</v>
      </c>
      <c r="D1256" s="9" t="s">
        <v>14</v>
      </c>
      <c r="E1256" s="10"/>
      <c r="F1256" s="10">
        <f t="shared" si="19"/>
        <v>0</v>
      </c>
    </row>
    <row r="1257" spans="1:6" s="9" customFormat="1" x14ac:dyDescent="0.25">
      <c r="B1257" s="4"/>
      <c r="C1257" s="5">
        <v>150</v>
      </c>
      <c r="D1257" s="9" t="s">
        <v>13</v>
      </c>
      <c r="E1257" s="10"/>
      <c r="F1257" s="10">
        <f t="shared" si="19"/>
        <v>0</v>
      </c>
    </row>
    <row r="1258" spans="1:6" s="9" customFormat="1" x14ac:dyDescent="0.25">
      <c r="C1258" s="5">
        <v>100</v>
      </c>
      <c r="D1258" s="9" t="s">
        <v>12</v>
      </c>
      <c r="E1258" s="10"/>
      <c r="F1258" s="10">
        <f t="shared" si="19"/>
        <v>0</v>
      </c>
    </row>
    <row r="1259" spans="1:6" s="9" customFormat="1" x14ac:dyDescent="0.25">
      <c r="C1259" s="5">
        <v>25</v>
      </c>
      <c r="D1259" s="9" t="s">
        <v>22</v>
      </c>
      <c r="E1259" s="10"/>
      <c r="F1259" s="10">
        <f t="shared" si="19"/>
        <v>0</v>
      </c>
    </row>
    <row r="1260" spans="1:6" s="9" customFormat="1" x14ac:dyDescent="0.25">
      <c r="B1260" s="4"/>
      <c r="C1260" s="5"/>
      <c r="E1260" s="10"/>
      <c r="F1260" s="8">
        <f>SUM(F1256:F1259)</f>
        <v>0</v>
      </c>
    </row>
    <row r="1261" spans="1:6" s="9" customFormat="1" x14ac:dyDescent="0.25">
      <c r="C1261" s="5"/>
      <c r="E1261" s="10"/>
      <c r="F1261" s="10"/>
    </row>
    <row r="1262" spans="1:6" s="9" customFormat="1" x14ac:dyDescent="0.25">
      <c r="A1262" s="9" t="s">
        <v>48</v>
      </c>
      <c r="B1262" s="4">
        <v>45948</v>
      </c>
      <c r="C1262" s="5">
        <v>100</v>
      </c>
      <c r="D1262" s="9" t="s">
        <v>49</v>
      </c>
      <c r="E1262" s="10"/>
      <c r="F1262" s="10">
        <f t="shared" si="19"/>
        <v>0</v>
      </c>
    </row>
    <row r="1263" spans="1:6" s="9" customFormat="1" x14ac:dyDescent="0.25">
      <c r="B1263" s="4"/>
      <c r="C1263" s="5">
        <v>200</v>
      </c>
      <c r="D1263" s="9" t="s">
        <v>14</v>
      </c>
      <c r="E1263" s="10"/>
      <c r="F1263" s="10">
        <f t="shared" si="19"/>
        <v>0</v>
      </c>
    </row>
    <row r="1264" spans="1:6" s="9" customFormat="1" x14ac:dyDescent="0.25">
      <c r="C1264" s="5">
        <v>200</v>
      </c>
      <c r="D1264" s="9" t="s">
        <v>11</v>
      </c>
      <c r="E1264" s="10"/>
      <c r="F1264" s="10">
        <f t="shared" si="19"/>
        <v>0</v>
      </c>
    </row>
    <row r="1265" spans="1:6" s="9" customFormat="1" x14ac:dyDescent="0.25">
      <c r="C1265" s="5"/>
      <c r="E1265" s="10"/>
      <c r="F1265" s="8">
        <f>SUM(F1262:F1264)</f>
        <v>0</v>
      </c>
    </row>
    <row r="1266" spans="1:6" s="9" customFormat="1" x14ac:dyDescent="0.25">
      <c r="C1266" s="5"/>
      <c r="E1266" s="10"/>
      <c r="F1266" s="10"/>
    </row>
    <row r="1267" spans="1:6" s="9" customFormat="1" x14ac:dyDescent="0.25">
      <c r="A1267" s="9" t="s">
        <v>65</v>
      </c>
      <c r="B1267" s="4">
        <v>45948</v>
      </c>
      <c r="C1267" s="5">
        <v>450</v>
      </c>
      <c r="D1267" s="9" t="s">
        <v>12</v>
      </c>
      <c r="E1267" s="10">
        <v>150</v>
      </c>
      <c r="F1267" s="10">
        <f t="shared" si="19"/>
        <v>67500</v>
      </c>
    </row>
    <row r="1268" spans="1:6" s="9" customFormat="1" x14ac:dyDescent="0.25">
      <c r="B1268" s="4"/>
      <c r="C1268" s="5">
        <v>350</v>
      </c>
      <c r="D1268" s="9" t="s">
        <v>13</v>
      </c>
      <c r="E1268" s="10">
        <v>155</v>
      </c>
      <c r="F1268" s="10">
        <f t="shared" si="19"/>
        <v>54250</v>
      </c>
    </row>
    <row r="1269" spans="1:6" s="9" customFormat="1" x14ac:dyDescent="0.25">
      <c r="C1269" s="5">
        <v>250</v>
      </c>
      <c r="D1269" s="9" t="s">
        <v>14</v>
      </c>
      <c r="E1269" s="10">
        <v>155</v>
      </c>
      <c r="F1269" s="10">
        <f t="shared" si="19"/>
        <v>38750</v>
      </c>
    </row>
    <row r="1270" spans="1:6" s="9" customFormat="1" x14ac:dyDescent="0.25">
      <c r="C1270" s="5">
        <v>200</v>
      </c>
      <c r="D1270" s="9" t="s">
        <v>11</v>
      </c>
      <c r="E1270" s="10">
        <v>150</v>
      </c>
      <c r="F1270" s="10">
        <f t="shared" si="19"/>
        <v>30000</v>
      </c>
    </row>
    <row r="1271" spans="1:6" s="9" customFormat="1" x14ac:dyDescent="0.25">
      <c r="B1271" s="4"/>
      <c r="C1271" s="5"/>
      <c r="E1271" s="10"/>
      <c r="F1271" s="8">
        <f>SUM(F1267:F1270)</f>
        <v>190500</v>
      </c>
    </row>
    <row r="1272" spans="1:6" s="9" customFormat="1" x14ac:dyDescent="0.25">
      <c r="C1272" s="5"/>
      <c r="E1272" s="10"/>
      <c r="F1272" s="10"/>
    </row>
    <row r="1273" spans="1:6" s="9" customFormat="1" x14ac:dyDescent="0.25">
      <c r="A1273" s="9" t="s">
        <v>868</v>
      </c>
      <c r="B1273" s="4">
        <v>45948</v>
      </c>
      <c r="C1273" s="5">
        <v>30</v>
      </c>
      <c r="D1273" s="9" t="s">
        <v>14</v>
      </c>
      <c r="E1273" s="10"/>
      <c r="F1273" s="10">
        <f t="shared" si="19"/>
        <v>0</v>
      </c>
    </row>
    <row r="1274" spans="1:6" s="9" customFormat="1" x14ac:dyDescent="0.25">
      <c r="C1274" s="5">
        <v>120</v>
      </c>
      <c r="D1274" s="9" t="s">
        <v>13</v>
      </c>
      <c r="E1274" s="10"/>
      <c r="F1274" s="10">
        <f t="shared" si="19"/>
        <v>0</v>
      </c>
    </row>
    <row r="1275" spans="1:6" s="9" customFormat="1" x14ac:dyDescent="0.25">
      <c r="B1275" s="4"/>
      <c r="C1275" s="5">
        <v>100</v>
      </c>
      <c r="D1275" s="9" t="s">
        <v>12</v>
      </c>
      <c r="E1275" s="10"/>
      <c r="F1275" s="10">
        <f t="shared" si="19"/>
        <v>0</v>
      </c>
    </row>
    <row r="1276" spans="1:6" s="9" customFormat="1" x14ac:dyDescent="0.25">
      <c r="C1276" s="5">
        <v>50</v>
      </c>
      <c r="D1276" s="9" t="s">
        <v>11</v>
      </c>
      <c r="E1276" s="10"/>
      <c r="F1276" s="10">
        <f t="shared" si="19"/>
        <v>0</v>
      </c>
    </row>
    <row r="1277" spans="1:6" s="9" customFormat="1" x14ac:dyDescent="0.25">
      <c r="C1277" s="5"/>
      <c r="E1277" s="10"/>
      <c r="F1277" s="8">
        <f>SUM(F1273:F1276)</f>
        <v>0</v>
      </c>
    </row>
    <row r="1278" spans="1:6" s="9" customFormat="1" x14ac:dyDescent="0.25">
      <c r="C1278" s="5"/>
      <c r="E1278" s="10"/>
      <c r="F1278" s="10"/>
    </row>
    <row r="1279" spans="1:6" s="9" customFormat="1" x14ac:dyDescent="0.25">
      <c r="A1279" s="9" t="s">
        <v>101</v>
      </c>
      <c r="B1279" s="4">
        <v>45948</v>
      </c>
      <c r="C1279" s="5">
        <v>2</v>
      </c>
      <c r="D1279" s="9" t="s">
        <v>13</v>
      </c>
      <c r="E1279" s="10">
        <v>160</v>
      </c>
      <c r="F1279" s="10">
        <f t="shared" si="19"/>
        <v>320</v>
      </c>
    </row>
    <row r="1280" spans="1:6" s="9" customFormat="1" x14ac:dyDescent="0.25">
      <c r="C1280" s="5">
        <v>2</v>
      </c>
      <c r="D1280" s="9" t="s">
        <v>8</v>
      </c>
      <c r="E1280" s="10">
        <v>170</v>
      </c>
      <c r="F1280" s="10">
        <f t="shared" si="19"/>
        <v>340</v>
      </c>
    </row>
    <row r="1281" spans="1:6" s="9" customFormat="1" x14ac:dyDescent="0.25">
      <c r="C1281" s="5">
        <v>2</v>
      </c>
      <c r="D1281" s="9" t="s">
        <v>600</v>
      </c>
      <c r="E1281" s="10">
        <v>140</v>
      </c>
      <c r="F1281" s="10">
        <f t="shared" si="19"/>
        <v>280</v>
      </c>
    </row>
    <row r="1282" spans="1:6" s="9" customFormat="1" x14ac:dyDescent="0.25">
      <c r="B1282" s="4"/>
      <c r="C1282" s="5">
        <v>2</v>
      </c>
      <c r="D1282" s="9" t="s">
        <v>1039</v>
      </c>
      <c r="E1282" s="10">
        <v>130</v>
      </c>
      <c r="F1282" s="10">
        <f t="shared" si="19"/>
        <v>260</v>
      </c>
    </row>
    <row r="1283" spans="1:6" s="9" customFormat="1" x14ac:dyDescent="0.25">
      <c r="C1283" s="11">
        <v>1.5</v>
      </c>
      <c r="D1283" s="9" t="s">
        <v>224</v>
      </c>
      <c r="E1283" s="10">
        <v>140</v>
      </c>
      <c r="F1283" s="10">
        <f t="shared" si="19"/>
        <v>210</v>
      </c>
    </row>
    <row r="1284" spans="1:6" s="9" customFormat="1" x14ac:dyDescent="0.25">
      <c r="C1284" s="5">
        <v>1</v>
      </c>
      <c r="D1284" s="9" t="s">
        <v>1049</v>
      </c>
      <c r="E1284" s="10">
        <v>150</v>
      </c>
      <c r="F1284" s="10">
        <f t="shared" ref="F1284:F1347" si="20">+C1284*E1284</f>
        <v>150</v>
      </c>
    </row>
    <row r="1285" spans="1:6" s="9" customFormat="1" x14ac:dyDescent="0.25">
      <c r="B1285" s="4"/>
      <c r="C1285" s="5"/>
      <c r="E1285" s="10"/>
      <c r="F1285" s="8">
        <f>SUM(F1279:F1284)</f>
        <v>1560</v>
      </c>
    </row>
    <row r="1286" spans="1:6" s="9" customFormat="1" x14ac:dyDescent="0.25">
      <c r="C1286" s="5"/>
      <c r="E1286" s="10"/>
      <c r="F1286" s="10"/>
    </row>
    <row r="1287" spans="1:6" s="9" customFormat="1" x14ac:dyDescent="0.25">
      <c r="A1287" s="9" t="s">
        <v>181</v>
      </c>
      <c r="B1287" s="4">
        <v>45948</v>
      </c>
      <c r="C1287" s="5">
        <v>2</v>
      </c>
      <c r="D1287" s="9" t="s">
        <v>13</v>
      </c>
      <c r="E1287" s="10">
        <v>140</v>
      </c>
      <c r="F1287" s="10">
        <f t="shared" si="20"/>
        <v>280</v>
      </c>
    </row>
    <row r="1288" spans="1:6" s="9" customFormat="1" x14ac:dyDescent="0.25">
      <c r="C1288" s="5">
        <v>1</v>
      </c>
      <c r="D1288" s="9" t="s">
        <v>1050</v>
      </c>
      <c r="E1288" s="10">
        <v>0</v>
      </c>
      <c r="F1288" s="10">
        <f t="shared" si="20"/>
        <v>0</v>
      </c>
    </row>
    <row r="1289" spans="1:6" s="9" customFormat="1" x14ac:dyDescent="0.25">
      <c r="C1289" s="5">
        <v>1</v>
      </c>
      <c r="D1289" s="9" t="s">
        <v>1051</v>
      </c>
      <c r="E1289" s="10">
        <v>150</v>
      </c>
      <c r="F1289" s="10">
        <f t="shared" si="20"/>
        <v>150</v>
      </c>
    </row>
    <row r="1290" spans="1:6" s="9" customFormat="1" x14ac:dyDescent="0.25">
      <c r="B1290" s="4"/>
      <c r="C1290" s="5"/>
      <c r="E1290" s="10"/>
      <c r="F1290" s="8">
        <f>SUM(F1287:F1289)</f>
        <v>430</v>
      </c>
    </row>
    <row r="1291" spans="1:6" s="9" customFormat="1" x14ac:dyDescent="0.25">
      <c r="C1291" s="5"/>
      <c r="E1291" s="10"/>
      <c r="F1291" s="10"/>
    </row>
    <row r="1292" spans="1:6" s="9" customFormat="1" x14ac:dyDescent="0.25">
      <c r="A1292" s="9" t="s">
        <v>32</v>
      </c>
      <c r="B1292" s="4">
        <v>45949</v>
      </c>
      <c r="C1292" s="5">
        <v>45</v>
      </c>
      <c r="D1292" s="9" t="s">
        <v>13</v>
      </c>
      <c r="E1292" s="10">
        <v>150</v>
      </c>
      <c r="F1292" s="10">
        <f t="shared" si="20"/>
        <v>6750</v>
      </c>
    </row>
    <row r="1293" spans="1:6" s="9" customFormat="1" x14ac:dyDescent="0.25">
      <c r="C1293" s="5"/>
      <c r="E1293" s="10"/>
      <c r="F1293" s="8">
        <f>SUM(F1292)</f>
        <v>6750</v>
      </c>
    </row>
    <row r="1294" spans="1:6" s="9" customFormat="1" x14ac:dyDescent="0.25">
      <c r="B1294" s="4"/>
      <c r="C1294" s="5"/>
      <c r="E1294" s="10"/>
      <c r="F1294" s="10"/>
    </row>
    <row r="1295" spans="1:6" s="9" customFormat="1" x14ac:dyDescent="0.25">
      <c r="A1295" s="9" t="s">
        <v>101</v>
      </c>
      <c r="B1295" s="4">
        <v>45949</v>
      </c>
      <c r="C1295" s="5">
        <v>2</v>
      </c>
      <c r="D1295" s="9" t="s">
        <v>12</v>
      </c>
      <c r="E1295" s="10">
        <v>150</v>
      </c>
      <c r="F1295" s="10">
        <f t="shared" si="20"/>
        <v>300</v>
      </c>
    </row>
    <row r="1296" spans="1:6" s="9" customFormat="1" x14ac:dyDescent="0.25">
      <c r="C1296" s="5">
        <v>4</v>
      </c>
      <c r="D1296" s="9" t="s">
        <v>78</v>
      </c>
      <c r="E1296" s="10">
        <v>110</v>
      </c>
      <c r="F1296" s="10">
        <f t="shared" si="20"/>
        <v>440</v>
      </c>
    </row>
    <row r="1297" spans="1:6" s="9" customFormat="1" x14ac:dyDescent="0.25">
      <c r="B1297" s="4"/>
      <c r="C1297" s="5">
        <v>5</v>
      </c>
      <c r="D1297" s="9" t="s">
        <v>168</v>
      </c>
      <c r="E1297" s="10">
        <v>150</v>
      </c>
      <c r="F1297" s="10">
        <f t="shared" si="20"/>
        <v>750</v>
      </c>
    </row>
    <row r="1298" spans="1:6" s="9" customFormat="1" x14ac:dyDescent="0.25">
      <c r="C1298" s="5">
        <v>2</v>
      </c>
      <c r="D1298" s="9" t="s">
        <v>304</v>
      </c>
      <c r="E1298" s="10">
        <v>160</v>
      </c>
      <c r="F1298" s="10">
        <f t="shared" si="20"/>
        <v>320</v>
      </c>
    </row>
    <row r="1299" spans="1:6" s="9" customFormat="1" x14ac:dyDescent="0.25">
      <c r="C1299" s="5">
        <v>2</v>
      </c>
      <c r="D1299" s="9" t="s">
        <v>1052</v>
      </c>
      <c r="E1299" s="10">
        <v>140</v>
      </c>
      <c r="F1299" s="10">
        <f t="shared" si="20"/>
        <v>280</v>
      </c>
    </row>
    <row r="1300" spans="1:6" s="9" customFormat="1" x14ac:dyDescent="0.25">
      <c r="B1300" s="4"/>
      <c r="C1300" s="5"/>
      <c r="E1300" s="10"/>
      <c r="F1300" s="8">
        <f>SUM(F1295:F1299)</f>
        <v>2090</v>
      </c>
    </row>
    <row r="1301" spans="1:6" s="9" customFormat="1" x14ac:dyDescent="0.25">
      <c r="C1301" s="5"/>
      <c r="E1301" s="10"/>
      <c r="F1301" s="10"/>
    </row>
    <row r="1302" spans="1:6" s="9" customFormat="1" x14ac:dyDescent="0.25">
      <c r="A1302" s="9" t="s">
        <v>181</v>
      </c>
      <c r="B1302" s="4">
        <v>45949</v>
      </c>
      <c r="C1302" s="5">
        <v>1</v>
      </c>
      <c r="D1302" s="9" t="s">
        <v>75</v>
      </c>
      <c r="E1302" s="10">
        <v>150</v>
      </c>
      <c r="F1302" s="10">
        <f t="shared" si="20"/>
        <v>150</v>
      </c>
    </row>
    <row r="1303" spans="1:6" s="9" customFormat="1" x14ac:dyDescent="0.25">
      <c r="B1303" s="4"/>
      <c r="C1303" s="5">
        <v>1</v>
      </c>
      <c r="D1303" s="9" t="s">
        <v>8</v>
      </c>
      <c r="E1303" s="10">
        <v>170</v>
      </c>
      <c r="F1303" s="10">
        <f t="shared" si="20"/>
        <v>170</v>
      </c>
    </row>
    <row r="1304" spans="1:6" s="9" customFormat="1" x14ac:dyDescent="0.25">
      <c r="C1304" s="5">
        <v>1</v>
      </c>
      <c r="D1304" s="9" t="s">
        <v>512</v>
      </c>
      <c r="E1304" s="10">
        <v>0</v>
      </c>
      <c r="F1304" s="10">
        <f t="shared" si="20"/>
        <v>0</v>
      </c>
    </row>
    <row r="1305" spans="1:6" s="9" customFormat="1" x14ac:dyDescent="0.25">
      <c r="C1305" s="5"/>
      <c r="E1305" s="10"/>
      <c r="F1305" s="8" t="s">
        <v>587</v>
      </c>
    </row>
    <row r="1306" spans="1:6" s="9" customFormat="1" x14ac:dyDescent="0.25">
      <c r="B1306" s="4"/>
      <c r="C1306" s="5"/>
      <c r="E1306" s="10"/>
      <c r="F1306" s="10"/>
    </row>
    <row r="1307" spans="1:6" s="9" customFormat="1" x14ac:dyDescent="0.25">
      <c r="A1307" s="9" t="s">
        <v>514</v>
      </c>
      <c r="B1307" s="4">
        <v>45950</v>
      </c>
      <c r="C1307" s="5">
        <v>10</v>
      </c>
      <c r="D1307" s="9" t="s">
        <v>98</v>
      </c>
      <c r="E1307" s="10">
        <v>115</v>
      </c>
      <c r="F1307" s="10">
        <f t="shared" si="20"/>
        <v>1150</v>
      </c>
    </row>
    <row r="1308" spans="1:6" s="9" customFormat="1" x14ac:dyDescent="0.25">
      <c r="C1308" s="5"/>
      <c r="E1308" s="10"/>
      <c r="F1308" s="8">
        <f>SUM(F1307)</f>
        <v>1150</v>
      </c>
    </row>
    <row r="1309" spans="1:6" s="9" customFormat="1" x14ac:dyDescent="0.25">
      <c r="C1309" s="5"/>
      <c r="E1309" s="10"/>
      <c r="F1309" s="10"/>
    </row>
    <row r="1310" spans="1:6" s="9" customFormat="1" x14ac:dyDescent="0.25">
      <c r="A1310" s="9" t="s">
        <v>15</v>
      </c>
      <c r="B1310" s="4">
        <v>45950</v>
      </c>
      <c r="C1310" s="5">
        <v>40</v>
      </c>
      <c r="D1310" s="9" t="s">
        <v>98</v>
      </c>
      <c r="E1310" s="10">
        <v>115</v>
      </c>
      <c r="F1310" s="10">
        <f t="shared" si="20"/>
        <v>4600</v>
      </c>
    </row>
    <row r="1311" spans="1:6" s="9" customFormat="1" x14ac:dyDescent="0.25">
      <c r="C1311" s="5"/>
      <c r="E1311" s="10"/>
      <c r="F1311" s="8">
        <f>SUM(F1310)</f>
        <v>4600</v>
      </c>
    </row>
    <row r="1312" spans="1:6" s="9" customFormat="1" x14ac:dyDescent="0.25">
      <c r="C1312" s="5"/>
      <c r="E1312" s="10"/>
      <c r="F1312" s="10"/>
    </row>
    <row r="1313" spans="1:6" s="9" customFormat="1" x14ac:dyDescent="0.25">
      <c r="A1313" s="9" t="s">
        <v>58</v>
      </c>
      <c r="B1313" s="4">
        <v>45950</v>
      </c>
      <c r="C1313" s="5">
        <v>8</v>
      </c>
      <c r="D1313" s="9" t="s">
        <v>13</v>
      </c>
      <c r="E1313" s="10">
        <v>155</v>
      </c>
      <c r="F1313" s="10">
        <f t="shared" si="20"/>
        <v>1240</v>
      </c>
    </row>
    <row r="1314" spans="1:6" s="9" customFormat="1" x14ac:dyDescent="0.25">
      <c r="C1314" s="5"/>
      <c r="E1314" s="10"/>
      <c r="F1314" s="8">
        <f>SUM(F1313)</f>
        <v>1240</v>
      </c>
    </row>
    <row r="1315" spans="1:6" s="9" customFormat="1" x14ac:dyDescent="0.25">
      <c r="C1315" s="5"/>
      <c r="E1315" s="10"/>
      <c r="F1315" s="10"/>
    </row>
    <row r="1316" spans="1:6" s="9" customFormat="1" x14ac:dyDescent="0.25">
      <c r="A1316" s="9" t="s">
        <v>79</v>
      </c>
      <c r="B1316" s="4">
        <v>45950</v>
      </c>
      <c r="C1316" s="5">
        <v>15</v>
      </c>
      <c r="D1316" s="9" t="s">
        <v>13</v>
      </c>
      <c r="E1316" s="10">
        <v>155</v>
      </c>
      <c r="F1316" s="10">
        <f t="shared" si="20"/>
        <v>2325</v>
      </c>
    </row>
    <row r="1317" spans="1:6" s="9" customFormat="1" x14ac:dyDescent="0.25">
      <c r="C1317" s="5"/>
      <c r="E1317" s="10"/>
      <c r="F1317" s="8">
        <f>SUM(F1316)</f>
        <v>2325</v>
      </c>
    </row>
    <row r="1318" spans="1:6" s="9" customFormat="1" x14ac:dyDescent="0.25">
      <c r="C1318" s="5"/>
      <c r="E1318" s="10"/>
      <c r="F1318" s="10"/>
    </row>
    <row r="1319" spans="1:6" s="9" customFormat="1" x14ac:dyDescent="0.25">
      <c r="A1319" s="9" t="s">
        <v>17</v>
      </c>
      <c r="B1319" s="4">
        <v>45950</v>
      </c>
      <c r="C1319" s="5">
        <v>10</v>
      </c>
      <c r="D1319" s="9" t="s">
        <v>13</v>
      </c>
      <c r="E1319" s="10">
        <v>160</v>
      </c>
      <c r="F1319" s="10">
        <f t="shared" si="20"/>
        <v>1600</v>
      </c>
    </row>
    <row r="1320" spans="1:6" s="9" customFormat="1" x14ac:dyDescent="0.25">
      <c r="C1320" s="5"/>
      <c r="E1320" s="10"/>
      <c r="F1320" s="8">
        <f>SUM(F1319)</f>
        <v>1600</v>
      </c>
    </row>
    <row r="1321" spans="1:6" s="9" customFormat="1" x14ac:dyDescent="0.25">
      <c r="C1321" s="5"/>
      <c r="E1321" s="10"/>
      <c r="F1321" s="10"/>
    </row>
    <row r="1322" spans="1:6" s="9" customFormat="1" x14ac:dyDescent="0.25">
      <c r="A1322" s="9" t="s">
        <v>18</v>
      </c>
      <c r="B1322" s="4">
        <v>45950</v>
      </c>
      <c r="C1322" s="5">
        <v>5</v>
      </c>
      <c r="D1322" s="9" t="s">
        <v>13</v>
      </c>
      <c r="E1322" s="10">
        <v>160</v>
      </c>
      <c r="F1322" s="10">
        <f t="shared" si="20"/>
        <v>800</v>
      </c>
    </row>
    <row r="1323" spans="1:6" s="9" customFormat="1" x14ac:dyDescent="0.25">
      <c r="C1323" s="5"/>
      <c r="E1323" s="10"/>
      <c r="F1323" s="8">
        <f>SUM(F1322)</f>
        <v>800</v>
      </c>
    </row>
    <row r="1324" spans="1:6" s="9" customFormat="1" x14ac:dyDescent="0.25">
      <c r="C1324" s="5"/>
      <c r="E1324" s="10"/>
      <c r="F1324" s="10"/>
    </row>
    <row r="1325" spans="1:6" s="9" customFormat="1" x14ac:dyDescent="0.25">
      <c r="A1325" s="9" t="s">
        <v>20</v>
      </c>
      <c r="B1325" s="4">
        <v>45950</v>
      </c>
      <c r="C1325" s="5">
        <v>10</v>
      </c>
      <c r="D1325" s="9" t="s">
        <v>13</v>
      </c>
      <c r="E1325" s="10">
        <v>160</v>
      </c>
      <c r="F1325" s="10">
        <f t="shared" si="20"/>
        <v>1600</v>
      </c>
    </row>
    <row r="1326" spans="1:6" s="9" customFormat="1" x14ac:dyDescent="0.25">
      <c r="B1326" s="4"/>
      <c r="C1326" s="5">
        <v>20</v>
      </c>
      <c r="D1326" s="9" t="s">
        <v>1053</v>
      </c>
      <c r="E1326" s="10">
        <v>165</v>
      </c>
      <c r="F1326" s="10">
        <f t="shared" si="20"/>
        <v>3300</v>
      </c>
    </row>
    <row r="1327" spans="1:6" s="9" customFormat="1" x14ac:dyDescent="0.25">
      <c r="C1327" s="5"/>
      <c r="E1327" s="10"/>
      <c r="F1327" s="8">
        <f>SUM(F1325:F1326)</f>
        <v>4900</v>
      </c>
    </row>
    <row r="1328" spans="1:6" s="9" customFormat="1" x14ac:dyDescent="0.25">
      <c r="C1328" s="5"/>
      <c r="E1328" s="10"/>
      <c r="F1328" s="10"/>
    </row>
    <row r="1329" spans="1:6" s="9" customFormat="1" x14ac:dyDescent="0.25">
      <c r="A1329" s="9" t="s">
        <v>21</v>
      </c>
      <c r="B1329" s="4">
        <v>45950</v>
      </c>
      <c r="C1329" s="5">
        <v>10</v>
      </c>
      <c r="D1329" s="9" t="s">
        <v>8</v>
      </c>
      <c r="E1329" s="10">
        <v>165</v>
      </c>
      <c r="F1329" s="10">
        <f t="shared" si="20"/>
        <v>1650</v>
      </c>
    </row>
    <row r="1330" spans="1:6" s="9" customFormat="1" x14ac:dyDescent="0.25">
      <c r="C1330" s="5">
        <v>10</v>
      </c>
      <c r="D1330" s="9" t="s">
        <v>14</v>
      </c>
      <c r="E1330" s="10">
        <v>155</v>
      </c>
      <c r="F1330" s="10">
        <f t="shared" si="20"/>
        <v>1550</v>
      </c>
    </row>
    <row r="1331" spans="1:6" s="9" customFormat="1" x14ac:dyDescent="0.25">
      <c r="C1331" s="5">
        <v>20</v>
      </c>
      <c r="D1331" s="9" t="s">
        <v>22</v>
      </c>
      <c r="E1331" s="10">
        <v>145</v>
      </c>
      <c r="F1331" s="10">
        <f t="shared" si="20"/>
        <v>2900</v>
      </c>
    </row>
    <row r="1332" spans="1:6" s="9" customFormat="1" x14ac:dyDescent="0.25">
      <c r="C1332" s="5">
        <v>20</v>
      </c>
      <c r="D1332" s="9" t="s">
        <v>50</v>
      </c>
      <c r="E1332" s="10">
        <v>140</v>
      </c>
      <c r="F1332" s="10">
        <f t="shared" si="20"/>
        <v>2800</v>
      </c>
    </row>
    <row r="1333" spans="1:6" s="9" customFormat="1" x14ac:dyDescent="0.25">
      <c r="C1333" s="5">
        <v>30</v>
      </c>
      <c r="D1333" s="9" t="s">
        <v>13</v>
      </c>
      <c r="E1333" s="10">
        <v>160</v>
      </c>
      <c r="F1333" s="10">
        <f t="shared" si="20"/>
        <v>4800</v>
      </c>
    </row>
    <row r="1334" spans="1:6" s="9" customFormat="1" x14ac:dyDescent="0.25">
      <c r="C1334" s="5">
        <v>13</v>
      </c>
      <c r="D1334" s="9" t="s">
        <v>12</v>
      </c>
      <c r="E1334" s="10">
        <v>150</v>
      </c>
      <c r="F1334" s="10">
        <f t="shared" si="20"/>
        <v>1950</v>
      </c>
    </row>
    <row r="1335" spans="1:6" s="9" customFormat="1" x14ac:dyDescent="0.25">
      <c r="C1335" s="5"/>
      <c r="E1335" s="10"/>
      <c r="F1335" s="8">
        <f>SUM(F1329:F1334)</f>
        <v>15650</v>
      </c>
    </row>
    <row r="1336" spans="1:6" s="9" customFormat="1" x14ac:dyDescent="0.25">
      <c r="C1336" s="5"/>
      <c r="E1336" s="10"/>
      <c r="F1336" s="10"/>
    </row>
    <row r="1337" spans="1:6" s="9" customFormat="1" x14ac:dyDescent="0.25">
      <c r="A1337" s="9" t="s">
        <v>367</v>
      </c>
      <c r="B1337" s="4">
        <v>45950</v>
      </c>
      <c r="C1337" s="5">
        <v>10</v>
      </c>
      <c r="D1337" s="9" t="s">
        <v>13</v>
      </c>
      <c r="E1337" s="10">
        <v>160</v>
      </c>
      <c r="F1337" s="10">
        <f t="shared" si="20"/>
        <v>1600</v>
      </c>
    </row>
    <row r="1338" spans="1:6" s="9" customFormat="1" x14ac:dyDescent="0.25">
      <c r="C1338" s="5">
        <v>5</v>
      </c>
      <c r="D1338" s="9" t="s">
        <v>1054</v>
      </c>
      <c r="E1338" s="10">
        <v>155</v>
      </c>
      <c r="F1338" s="10">
        <f t="shared" si="20"/>
        <v>775</v>
      </c>
    </row>
    <row r="1339" spans="1:6" s="9" customFormat="1" x14ac:dyDescent="0.25">
      <c r="C1339" s="5"/>
      <c r="E1339" s="10"/>
      <c r="F1339" s="8">
        <f>SUM(F1337:F1338)</f>
        <v>2375</v>
      </c>
    </row>
    <row r="1340" spans="1:6" s="9" customFormat="1" x14ac:dyDescent="0.25">
      <c r="B1340" s="4"/>
      <c r="C1340" s="5"/>
      <c r="E1340" s="10"/>
      <c r="F1340" s="10"/>
    </row>
    <row r="1341" spans="1:6" s="9" customFormat="1" x14ac:dyDescent="0.25">
      <c r="A1341" s="9" t="s">
        <v>923</v>
      </c>
      <c r="B1341" s="4">
        <v>45950</v>
      </c>
      <c r="C1341" s="5">
        <v>10</v>
      </c>
      <c r="D1341" s="9" t="s">
        <v>13</v>
      </c>
      <c r="E1341" s="10">
        <v>160</v>
      </c>
      <c r="F1341" s="10">
        <f t="shared" si="20"/>
        <v>1600</v>
      </c>
    </row>
    <row r="1342" spans="1:6" s="9" customFormat="1" x14ac:dyDescent="0.25">
      <c r="C1342" s="5">
        <v>10</v>
      </c>
      <c r="D1342" s="9" t="s">
        <v>12</v>
      </c>
      <c r="E1342" s="10">
        <v>150</v>
      </c>
      <c r="F1342" s="10">
        <f t="shared" si="20"/>
        <v>1500</v>
      </c>
    </row>
    <row r="1343" spans="1:6" s="9" customFormat="1" x14ac:dyDescent="0.25">
      <c r="B1343" s="4"/>
      <c r="C1343" s="5">
        <v>10</v>
      </c>
      <c r="D1343" s="9" t="s">
        <v>22</v>
      </c>
      <c r="E1343" s="10">
        <v>145</v>
      </c>
      <c r="F1343" s="10">
        <f t="shared" si="20"/>
        <v>1450</v>
      </c>
    </row>
    <row r="1344" spans="1:6" s="9" customFormat="1" x14ac:dyDescent="0.25">
      <c r="C1344" s="5">
        <v>10</v>
      </c>
      <c r="D1344" s="9" t="s">
        <v>8</v>
      </c>
      <c r="E1344" s="10">
        <v>165</v>
      </c>
      <c r="F1344" s="10">
        <f t="shared" si="20"/>
        <v>1650</v>
      </c>
    </row>
    <row r="1345" spans="1:6" s="9" customFormat="1" x14ac:dyDescent="0.25">
      <c r="C1345" s="5"/>
      <c r="E1345" s="10"/>
      <c r="F1345" s="8">
        <f>SUM(F1341:F1344)</f>
        <v>6200</v>
      </c>
    </row>
    <row r="1346" spans="1:6" s="9" customFormat="1" x14ac:dyDescent="0.25">
      <c r="B1346" s="4"/>
      <c r="C1346" s="5"/>
      <c r="E1346" s="10"/>
      <c r="F1346" s="10"/>
    </row>
    <row r="1347" spans="1:6" s="9" customFormat="1" x14ac:dyDescent="0.25">
      <c r="A1347" s="9" t="s">
        <v>39</v>
      </c>
      <c r="B1347" s="4">
        <v>45950</v>
      </c>
      <c r="C1347" s="5">
        <v>30</v>
      </c>
      <c r="D1347" s="9" t="s">
        <v>8</v>
      </c>
      <c r="E1347" s="10">
        <v>165</v>
      </c>
      <c r="F1347" s="10">
        <f t="shared" si="20"/>
        <v>4950</v>
      </c>
    </row>
    <row r="1348" spans="1:6" s="9" customFormat="1" x14ac:dyDescent="0.25">
      <c r="C1348" s="5"/>
      <c r="E1348" s="10"/>
      <c r="F1348" s="8">
        <f>SUM(F1347)</f>
        <v>4950</v>
      </c>
    </row>
    <row r="1349" spans="1:6" s="9" customFormat="1" x14ac:dyDescent="0.25">
      <c r="B1349" s="4"/>
      <c r="C1349" s="5"/>
      <c r="E1349" s="10"/>
      <c r="F1349" s="10"/>
    </row>
    <row r="1350" spans="1:6" s="9" customFormat="1" x14ac:dyDescent="0.25">
      <c r="A1350" s="9" t="s">
        <v>40</v>
      </c>
      <c r="B1350" s="4">
        <v>45950</v>
      </c>
      <c r="C1350" s="5">
        <v>20</v>
      </c>
      <c r="D1350" s="9" t="s">
        <v>8</v>
      </c>
      <c r="E1350" s="10">
        <v>165</v>
      </c>
      <c r="F1350" s="10">
        <f t="shared" ref="F1350:F1410" si="21">+C1350*E1350</f>
        <v>3300</v>
      </c>
    </row>
    <row r="1351" spans="1:6" s="9" customFormat="1" x14ac:dyDescent="0.25">
      <c r="C1351" s="5">
        <v>18</v>
      </c>
      <c r="D1351" s="9" t="s">
        <v>14</v>
      </c>
      <c r="E1351" s="10">
        <v>155</v>
      </c>
      <c r="F1351" s="10">
        <f t="shared" si="21"/>
        <v>2790</v>
      </c>
    </row>
    <row r="1352" spans="1:6" s="9" customFormat="1" x14ac:dyDescent="0.25">
      <c r="B1352" s="4"/>
      <c r="C1352" s="5">
        <v>17</v>
      </c>
      <c r="D1352" s="9" t="s">
        <v>12</v>
      </c>
      <c r="E1352" s="10">
        <v>150</v>
      </c>
      <c r="F1352" s="10">
        <f t="shared" si="21"/>
        <v>2550</v>
      </c>
    </row>
    <row r="1353" spans="1:6" s="9" customFormat="1" x14ac:dyDescent="0.25">
      <c r="C1353" s="5">
        <v>10</v>
      </c>
      <c r="D1353" s="9" t="s">
        <v>22</v>
      </c>
      <c r="E1353" s="10">
        <v>145</v>
      </c>
      <c r="F1353" s="10">
        <f t="shared" si="21"/>
        <v>1450</v>
      </c>
    </row>
    <row r="1354" spans="1:6" s="9" customFormat="1" x14ac:dyDescent="0.25">
      <c r="C1354" s="5"/>
      <c r="E1354" s="10"/>
      <c r="F1354" s="8">
        <f>SUM(F1350:F1353)</f>
        <v>10090</v>
      </c>
    </row>
    <row r="1355" spans="1:6" s="9" customFormat="1" x14ac:dyDescent="0.25">
      <c r="B1355" s="4"/>
      <c r="C1355" s="5"/>
      <c r="E1355" s="10"/>
      <c r="F1355" s="10"/>
    </row>
    <row r="1356" spans="1:6" s="9" customFormat="1" x14ac:dyDescent="0.25">
      <c r="A1356" s="9" t="s">
        <v>591</v>
      </c>
      <c r="B1356" s="4">
        <v>45950</v>
      </c>
      <c r="C1356" s="5">
        <v>6</v>
      </c>
      <c r="D1356" s="9" t="s">
        <v>13</v>
      </c>
      <c r="E1356" s="10">
        <v>155</v>
      </c>
      <c r="F1356" s="10">
        <f t="shared" si="21"/>
        <v>930</v>
      </c>
    </row>
    <row r="1357" spans="1:6" s="9" customFormat="1" x14ac:dyDescent="0.25">
      <c r="C1357" s="5"/>
      <c r="E1357" s="10"/>
      <c r="F1357" s="8">
        <f>SUM(F1356)</f>
        <v>930</v>
      </c>
    </row>
    <row r="1358" spans="1:6" s="9" customFormat="1" x14ac:dyDescent="0.25">
      <c r="B1358" s="4"/>
      <c r="C1358" s="5"/>
      <c r="E1358" s="10"/>
      <c r="F1358" s="10"/>
    </row>
    <row r="1359" spans="1:6" s="9" customFormat="1" x14ac:dyDescent="0.25">
      <c r="A1359" s="9" t="s">
        <v>112</v>
      </c>
      <c r="B1359" s="4">
        <v>45950</v>
      </c>
      <c r="C1359" s="5">
        <v>60</v>
      </c>
      <c r="D1359" s="9" t="s">
        <v>13</v>
      </c>
      <c r="E1359" s="10">
        <v>153</v>
      </c>
      <c r="F1359" s="10">
        <f t="shared" si="21"/>
        <v>9180</v>
      </c>
    </row>
    <row r="1360" spans="1:6" s="9" customFormat="1" x14ac:dyDescent="0.25">
      <c r="C1360" s="5">
        <v>47</v>
      </c>
      <c r="D1360" s="9" t="s">
        <v>8</v>
      </c>
      <c r="E1360" s="10">
        <v>158</v>
      </c>
      <c r="F1360" s="10">
        <f t="shared" si="21"/>
        <v>7426</v>
      </c>
    </row>
    <row r="1361" spans="1:6" s="9" customFormat="1" x14ac:dyDescent="0.25">
      <c r="C1361" s="5">
        <v>25</v>
      </c>
      <c r="D1361" s="9" t="s">
        <v>22</v>
      </c>
      <c r="E1361" s="10">
        <v>130</v>
      </c>
      <c r="F1361" s="10">
        <f t="shared" si="21"/>
        <v>3250</v>
      </c>
    </row>
    <row r="1362" spans="1:6" s="9" customFormat="1" x14ac:dyDescent="0.25">
      <c r="B1362" s="4"/>
      <c r="C1362" s="5"/>
      <c r="E1362" s="10"/>
      <c r="F1362" s="8">
        <f>SUM(F1359:F1361)</f>
        <v>19856</v>
      </c>
    </row>
    <row r="1363" spans="1:6" s="9" customFormat="1" x14ac:dyDescent="0.25">
      <c r="C1363" s="5"/>
      <c r="E1363" s="10"/>
      <c r="F1363" s="10"/>
    </row>
    <row r="1364" spans="1:6" s="9" customFormat="1" x14ac:dyDescent="0.25">
      <c r="A1364" s="9" t="s">
        <v>780</v>
      </c>
      <c r="B1364" s="4">
        <v>45950</v>
      </c>
      <c r="C1364" s="5">
        <v>10</v>
      </c>
      <c r="D1364" s="9" t="s">
        <v>14</v>
      </c>
      <c r="E1364" s="10">
        <v>155</v>
      </c>
      <c r="F1364" s="10">
        <f t="shared" si="21"/>
        <v>1550</v>
      </c>
    </row>
    <row r="1365" spans="1:6" s="9" customFormat="1" x14ac:dyDescent="0.25">
      <c r="B1365" s="4"/>
      <c r="C1365" s="5"/>
      <c r="E1365" s="10"/>
      <c r="F1365" s="8">
        <f>SUM(F1364)</f>
        <v>1550</v>
      </c>
    </row>
    <row r="1366" spans="1:6" s="9" customFormat="1" x14ac:dyDescent="0.25">
      <c r="C1366" s="5"/>
      <c r="E1366" s="10"/>
      <c r="F1366" s="10"/>
    </row>
    <row r="1367" spans="1:6" s="9" customFormat="1" x14ac:dyDescent="0.25">
      <c r="A1367" s="9" t="s">
        <v>41</v>
      </c>
      <c r="B1367" s="4">
        <v>45950</v>
      </c>
      <c r="C1367" s="5">
        <v>40</v>
      </c>
      <c r="D1367" s="9" t="s">
        <v>14</v>
      </c>
      <c r="E1367" s="10">
        <v>140</v>
      </c>
      <c r="F1367" s="10">
        <f t="shared" si="21"/>
        <v>5600</v>
      </c>
    </row>
    <row r="1368" spans="1:6" s="9" customFormat="1" x14ac:dyDescent="0.25">
      <c r="C1368" s="5"/>
      <c r="E1368" s="10"/>
      <c r="F1368" s="8">
        <f>SUM(F1367)</f>
        <v>5600</v>
      </c>
    </row>
    <row r="1369" spans="1:6" s="9" customFormat="1" x14ac:dyDescent="0.25">
      <c r="B1369" s="4"/>
      <c r="C1369" s="5"/>
      <c r="E1369" s="10"/>
      <c r="F1369" s="10"/>
    </row>
    <row r="1370" spans="1:6" s="9" customFormat="1" x14ac:dyDescent="0.25">
      <c r="A1370" s="9" t="s">
        <v>959</v>
      </c>
      <c r="B1370" s="4">
        <v>45950</v>
      </c>
      <c r="C1370" s="5">
        <v>18</v>
      </c>
      <c r="D1370" s="9" t="s">
        <v>14</v>
      </c>
      <c r="E1370" s="10">
        <v>155</v>
      </c>
      <c r="F1370" s="10">
        <f t="shared" si="21"/>
        <v>2790</v>
      </c>
    </row>
    <row r="1371" spans="1:6" s="9" customFormat="1" x14ac:dyDescent="0.25">
      <c r="C1371" s="5"/>
      <c r="E1371" s="10"/>
      <c r="F1371" s="8">
        <f>SUM(F1370)</f>
        <v>2790</v>
      </c>
    </row>
    <row r="1372" spans="1:6" s="9" customFormat="1" x14ac:dyDescent="0.25">
      <c r="B1372" s="4"/>
      <c r="C1372" s="5"/>
      <c r="E1372" s="10"/>
      <c r="F1372" s="10"/>
    </row>
    <row r="1373" spans="1:6" s="9" customFormat="1" x14ac:dyDescent="0.25">
      <c r="A1373" s="9" t="s">
        <v>262</v>
      </c>
      <c r="B1373" s="4">
        <v>45950</v>
      </c>
      <c r="C1373" s="5">
        <v>39</v>
      </c>
      <c r="D1373" s="9" t="s">
        <v>49</v>
      </c>
      <c r="E1373" s="10">
        <v>160</v>
      </c>
      <c r="F1373" s="10">
        <f t="shared" si="21"/>
        <v>6240</v>
      </c>
    </row>
    <row r="1374" spans="1:6" s="9" customFormat="1" x14ac:dyDescent="0.25">
      <c r="C1374" s="5">
        <v>10</v>
      </c>
      <c r="D1374" s="9" t="s">
        <v>14</v>
      </c>
      <c r="E1374" s="10">
        <v>155</v>
      </c>
      <c r="F1374" s="10">
        <f t="shared" si="21"/>
        <v>1550</v>
      </c>
    </row>
    <row r="1375" spans="1:6" s="9" customFormat="1" x14ac:dyDescent="0.25">
      <c r="C1375" s="5"/>
      <c r="E1375" s="10"/>
      <c r="F1375" s="8">
        <f>SUM(F1373:F1374)</f>
        <v>7790</v>
      </c>
    </row>
    <row r="1376" spans="1:6" s="9" customFormat="1" x14ac:dyDescent="0.25">
      <c r="C1376" s="5"/>
      <c r="E1376" s="10"/>
      <c r="F1376" s="10"/>
    </row>
    <row r="1377" spans="1:6" s="9" customFormat="1" x14ac:dyDescent="0.25">
      <c r="A1377" s="9" t="s">
        <v>85</v>
      </c>
      <c r="B1377" s="4">
        <v>45950</v>
      </c>
      <c r="C1377" s="5">
        <v>100</v>
      </c>
      <c r="D1377" s="9" t="s">
        <v>14</v>
      </c>
      <c r="E1377" s="10">
        <v>155</v>
      </c>
      <c r="F1377" s="10">
        <f t="shared" si="21"/>
        <v>15500</v>
      </c>
    </row>
    <row r="1378" spans="1:6" s="9" customFormat="1" x14ac:dyDescent="0.25">
      <c r="C1378" s="5"/>
      <c r="E1378" s="10"/>
      <c r="F1378" s="8">
        <f>SUM(F1377)</f>
        <v>15500</v>
      </c>
    </row>
    <row r="1379" spans="1:6" s="9" customFormat="1" x14ac:dyDescent="0.25">
      <c r="B1379" s="4"/>
      <c r="C1379" s="5"/>
      <c r="E1379" s="10"/>
      <c r="F1379" s="10"/>
    </row>
    <row r="1380" spans="1:6" s="9" customFormat="1" x14ac:dyDescent="0.25">
      <c r="A1380" s="9" t="s">
        <v>18</v>
      </c>
      <c r="B1380" s="4">
        <v>45950</v>
      </c>
      <c r="C1380" s="5">
        <v>20</v>
      </c>
      <c r="D1380" s="9" t="s">
        <v>14</v>
      </c>
      <c r="E1380" s="10">
        <v>155</v>
      </c>
      <c r="F1380" s="10">
        <f t="shared" si="21"/>
        <v>3100</v>
      </c>
    </row>
    <row r="1381" spans="1:6" s="9" customFormat="1" x14ac:dyDescent="0.25">
      <c r="C1381" s="5">
        <v>29</v>
      </c>
      <c r="D1381" s="9" t="s">
        <v>11</v>
      </c>
      <c r="E1381" s="10">
        <v>145</v>
      </c>
      <c r="F1381" s="10">
        <f t="shared" si="21"/>
        <v>4205</v>
      </c>
    </row>
    <row r="1382" spans="1:6" s="9" customFormat="1" x14ac:dyDescent="0.25">
      <c r="C1382" s="5">
        <v>20</v>
      </c>
      <c r="D1382" s="9" t="s">
        <v>12</v>
      </c>
      <c r="E1382" s="10">
        <v>145</v>
      </c>
      <c r="F1382" s="10">
        <f t="shared" si="21"/>
        <v>2900</v>
      </c>
    </row>
    <row r="1383" spans="1:6" s="9" customFormat="1" x14ac:dyDescent="0.25">
      <c r="C1383" s="5"/>
      <c r="E1383" s="10"/>
      <c r="F1383" s="8">
        <f>SUM(F1380:F1382)</f>
        <v>10205</v>
      </c>
    </row>
    <row r="1384" spans="1:6" s="9" customFormat="1" x14ac:dyDescent="0.25">
      <c r="B1384" s="4"/>
      <c r="C1384" s="5"/>
      <c r="E1384" s="10"/>
      <c r="F1384" s="10"/>
    </row>
    <row r="1385" spans="1:6" s="9" customFormat="1" x14ac:dyDescent="0.25">
      <c r="A1385" s="9" t="s">
        <v>138</v>
      </c>
      <c r="B1385" s="4">
        <v>45950</v>
      </c>
      <c r="C1385" s="5">
        <v>20</v>
      </c>
      <c r="D1385" s="9" t="s">
        <v>14</v>
      </c>
      <c r="E1385" s="10">
        <v>155</v>
      </c>
      <c r="F1385" s="10">
        <f t="shared" si="21"/>
        <v>3100</v>
      </c>
    </row>
    <row r="1386" spans="1:6" s="9" customFormat="1" x14ac:dyDescent="0.25">
      <c r="C1386" s="5"/>
      <c r="E1386" s="10"/>
      <c r="F1386" s="8">
        <f>SUM(F1385)</f>
        <v>3100</v>
      </c>
    </row>
    <row r="1387" spans="1:6" s="9" customFormat="1" x14ac:dyDescent="0.25">
      <c r="B1387" s="4"/>
      <c r="C1387" s="5"/>
      <c r="E1387" s="10"/>
      <c r="F1387" s="10"/>
    </row>
    <row r="1388" spans="1:6" s="9" customFormat="1" x14ac:dyDescent="0.25">
      <c r="A1388" s="9" t="s">
        <v>455</v>
      </c>
      <c r="B1388" s="4">
        <v>45950</v>
      </c>
      <c r="C1388" s="5">
        <v>20</v>
      </c>
      <c r="D1388" s="9" t="s">
        <v>14</v>
      </c>
      <c r="E1388" s="10">
        <v>150</v>
      </c>
      <c r="F1388" s="10">
        <f t="shared" si="21"/>
        <v>3000</v>
      </c>
    </row>
    <row r="1389" spans="1:6" s="9" customFormat="1" x14ac:dyDescent="0.25">
      <c r="C1389" s="5"/>
      <c r="E1389" s="10"/>
      <c r="F1389" s="8">
        <f>SUM(F1388)</f>
        <v>3000</v>
      </c>
    </row>
    <row r="1390" spans="1:6" s="9" customFormat="1" x14ac:dyDescent="0.25">
      <c r="B1390" s="4"/>
      <c r="C1390" s="5"/>
      <c r="E1390" s="10"/>
      <c r="F1390" s="10"/>
    </row>
    <row r="1391" spans="1:6" s="9" customFormat="1" x14ac:dyDescent="0.25">
      <c r="A1391" s="9" t="s">
        <v>1001</v>
      </c>
      <c r="B1391" s="4">
        <v>45950</v>
      </c>
      <c r="C1391" s="5">
        <v>10</v>
      </c>
      <c r="D1391" s="9" t="s">
        <v>14</v>
      </c>
      <c r="E1391" s="10">
        <v>150</v>
      </c>
      <c r="F1391" s="10">
        <f t="shared" si="21"/>
        <v>1500</v>
      </c>
    </row>
    <row r="1392" spans="1:6" s="9" customFormat="1" x14ac:dyDescent="0.25">
      <c r="C1392" s="5"/>
      <c r="E1392" s="10"/>
      <c r="F1392" s="8">
        <f>SUM(F1391)</f>
        <v>1500</v>
      </c>
    </row>
    <row r="1393" spans="1:6" s="9" customFormat="1" x14ac:dyDescent="0.25">
      <c r="C1393" s="5"/>
      <c r="E1393" s="10"/>
      <c r="F1393" s="10"/>
    </row>
    <row r="1394" spans="1:6" s="9" customFormat="1" x14ac:dyDescent="0.25">
      <c r="A1394" s="9" t="s">
        <v>330</v>
      </c>
      <c r="B1394" s="4">
        <v>45950</v>
      </c>
      <c r="C1394" s="5">
        <v>100</v>
      </c>
      <c r="D1394" s="9" t="s">
        <v>14</v>
      </c>
      <c r="E1394" s="10"/>
      <c r="F1394" s="10">
        <f t="shared" si="21"/>
        <v>0</v>
      </c>
    </row>
    <row r="1395" spans="1:6" s="9" customFormat="1" x14ac:dyDescent="0.25">
      <c r="C1395" s="5">
        <v>100</v>
      </c>
      <c r="D1395" s="9" t="s">
        <v>11</v>
      </c>
      <c r="E1395" s="10"/>
      <c r="F1395" s="10">
        <f t="shared" si="21"/>
        <v>0</v>
      </c>
    </row>
    <row r="1396" spans="1:6" s="9" customFormat="1" x14ac:dyDescent="0.25">
      <c r="C1396" s="5"/>
      <c r="E1396" s="10"/>
      <c r="F1396" s="8">
        <f>SUM(F1394:F1395)</f>
        <v>0</v>
      </c>
    </row>
    <row r="1397" spans="1:6" s="9" customFormat="1" x14ac:dyDescent="0.25">
      <c r="B1397" s="4"/>
      <c r="C1397" s="5"/>
      <c r="E1397" s="10"/>
      <c r="F1397" s="10"/>
    </row>
    <row r="1398" spans="1:6" s="9" customFormat="1" x14ac:dyDescent="0.25">
      <c r="A1398" s="9" t="s">
        <v>48</v>
      </c>
      <c r="B1398" s="4">
        <v>45950</v>
      </c>
      <c r="C1398" s="5">
        <v>450</v>
      </c>
      <c r="D1398" s="9" t="s">
        <v>14</v>
      </c>
      <c r="E1398" s="10"/>
      <c r="F1398" s="10">
        <f t="shared" si="21"/>
        <v>0</v>
      </c>
    </row>
    <row r="1399" spans="1:6" s="9" customFormat="1" x14ac:dyDescent="0.25">
      <c r="C1399" s="5">
        <v>100</v>
      </c>
      <c r="D1399" s="9" t="s">
        <v>11</v>
      </c>
      <c r="E1399" s="10"/>
      <c r="F1399" s="10">
        <f t="shared" si="21"/>
        <v>0</v>
      </c>
    </row>
    <row r="1400" spans="1:6" s="9" customFormat="1" x14ac:dyDescent="0.25">
      <c r="B1400" s="4"/>
      <c r="C1400" s="5"/>
      <c r="E1400" s="10"/>
      <c r="F1400" s="8">
        <f>SUM(F1398:F1399)</f>
        <v>0</v>
      </c>
    </row>
    <row r="1401" spans="1:6" s="9" customFormat="1" x14ac:dyDescent="0.25">
      <c r="C1401" s="5"/>
      <c r="E1401" s="10"/>
      <c r="F1401" s="10"/>
    </row>
    <row r="1402" spans="1:6" s="9" customFormat="1" x14ac:dyDescent="0.25">
      <c r="A1402" s="9" t="s">
        <v>174</v>
      </c>
      <c r="B1402" s="4">
        <v>45950</v>
      </c>
      <c r="C1402" s="5">
        <v>60</v>
      </c>
      <c r="D1402" s="9" t="s">
        <v>11</v>
      </c>
      <c r="E1402" s="10">
        <v>145</v>
      </c>
      <c r="F1402" s="10">
        <f t="shared" si="21"/>
        <v>8700</v>
      </c>
    </row>
    <row r="1403" spans="1:6" s="9" customFormat="1" x14ac:dyDescent="0.25">
      <c r="B1403" s="4"/>
      <c r="C1403" s="5">
        <v>30</v>
      </c>
      <c r="D1403" s="9" t="s">
        <v>22</v>
      </c>
      <c r="E1403" s="10">
        <v>135</v>
      </c>
      <c r="F1403" s="10">
        <f t="shared" si="21"/>
        <v>4050</v>
      </c>
    </row>
    <row r="1404" spans="1:6" s="9" customFormat="1" x14ac:dyDescent="0.25">
      <c r="C1404" s="5">
        <v>50</v>
      </c>
      <c r="D1404" s="9" t="s">
        <v>12</v>
      </c>
      <c r="E1404" s="10">
        <v>145</v>
      </c>
      <c r="F1404" s="10">
        <f t="shared" si="21"/>
        <v>7250</v>
      </c>
    </row>
    <row r="1405" spans="1:6" s="9" customFormat="1" x14ac:dyDescent="0.25">
      <c r="C1405" s="5"/>
      <c r="E1405" s="10"/>
      <c r="F1405" s="8">
        <f>SUM(F1402:F1404)</f>
        <v>20000</v>
      </c>
    </row>
    <row r="1406" spans="1:6" s="9" customFormat="1" x14ac:dyDescent="0.25">
      <c r="B1406" s="4"/>
      <c r="C1406" s="5"/>
      <c r="E1406" s="10"/>
      <c r="F1406" s="10"/>
    </row>
    <row r="1407" spans="1:6" s="9" customFormat="1" x14ac:dyDescent="0.25">
      <c r="A1407" s="9" t="s">
        <v>88</v>
      </c>
      <c r="B1407" s="4">
        <v>45950</v>
      </c>
      <c r="C1407" s="5">
        <v>5</v>
      </c>
      <c r="D1407" s="9" t="s">
        <v>12</v>
      </c>
      <c r="E1407" s="10">
        <v>150</v>
      </c>
      <c r="F1407" s="10">
        <f t="shared" si="21"/>
        <v>750</v>
      </c>
    </row>
    <row r="1408" spans="1:6" s="9" customFormat="1" x14ac:dyDescent="0.25">
      <c r="C1408" s="5"/>
      <c r="E1408" s="10"/>
      <c r="F1408" s="8">
        <f>SUM(F1407)</f>
        <v>750</v>
      </c>
    </row>
    <row r="1409" spans="1:6" s="9" customFormat="1" x14ac:dyDescent="0.25">
      <c r="B1409" s="4"/>
      <c r="C1409" s="5"/>
      <c r="E1409" s="10"/>
      <c r="F1409" s="10"/>
    </row>
    <row r="1410" spans="1:6" s="9" customFormat="1" x14ac:dyDescent="0.25">
      <c r="A1410" s="9" t="s">
        <v>103</v>
      </c>
      <c r="B1410" s="4">
        <v>45950</v>
      </c>
      <c r="C1410" s="5">
        <v>4</v>
      </c>
      <c r="D1410" s="9" t="s">
        <v>13</v>
      </c>
      <c r="E1410" s="10">
        <v>160</v>
      </c>
      <c r="F1410" s="10">
        <f t="shared" si="21"/>
        <v>640</v>
      </c>
    </row>
    <row r="1411" spans="1:6" s="9" customFormat="1" x14ac:dyDescent="0.25">
      <c r="C1411" s="5"/>
      <c r="E1411" s="10"/>
      <c r="F1411" s="8">
        <f>SUM(F1410)</f>
        <v>640</v>
      </c>
    </row>
    <row r="1412" spans="1:6" s="9" customFormat="1" x14ac:dyDescent="0.25">
      <c r="B1412" s="4"/>
      <c r="C1412" s="5"/>
      <c r="E1412" s="10"/>
      <c r="F1412" s="10"/>
    </row>
    <row r="1413" spans="1:6" s="9" customFormat="1" x14ac:dyDescent="0.25">
      <c r="A1413" s="9" t="s">
        <v>853</v>
      </c>
      <c r="B1413" s="4">
        <v>45950</v>
      </c>
      <c r="C1413" s="5">
        <v>3</v>
      </c>
      <c r="D1413" s="9" t="s">
        <v>13</v>
      </c>
      <c r="E1413" s="10">
        <v>165</v>
      </c>
      <c r="F1413" s="10">
        <f t="shared" ref="F1413:F1475" si="22">+C1413*E1413</f>
        <v>495</v>
      </c>
    </row>
    <row r="1414" spans="1:6" s="9" customFormat="1" x14ac:dyDescent="0.25">
      <c r="C1414" s="5"/>
      <c r="E1414" s="10"/>
      <c r="F1414" s="8">
        <f>SUM(F1413)</f>
        <v>495</v>
      </c>
    </row>
    <row r="1415" spans="1:6" s="9" customFormat="1" x14ac:dyDescent="0.25">
      <c r="B1415" s="4"/>
      <c r="C1415" s="5"/>
      <c r="E1415" s="10"/>
      <c r="F1415" s="10"/>
    </row>
    <row r="1416" spans="1:6" s="9" customFormat="1" x14ac:dyDescent="0.25">
      <c r="A1416" s="9" t="s">
        <v>1055</v>
      </c>
      <c r="B1416" s="4">
        <v>45950</v>
      </c>
      <c r="C1416" s="5">
        <v>4</v>
      </c>
      <c r="D1416" s="9" t="s">
        <v>13</v>
      </c>
      <c r="E1416" s="10">
        <v>160</v>
      </c>
      <c r="F1416" s="10">
        <f t="shared" si="22"/>
        <v>640</v>
      </c>
    </row>
    <row r="1417" spans="1:6" s="9" customFormat="1" x14ac:dyDescent="0.25">
      <c r="C1417" s="5"/>
      <c r="E1417" s="10"/>
      <c r="F1417" s="8">
        <f>SUM(F1416)</f>
        <v>640</v>
      </c>
    </row>
    <row r="1418" spans="1:6" s="9" customFormat="1" x14ac:dyDescent="0.25">
      <c r="C1418" s="5"/>
      <c r="E1418" s="10"/>
      <c r="F1418" s="10"/>
    </row>
    <row r="1419" spans="1:6" s="9" customFormat="1" x14ac:dyDescent="0.25">
      <c r="A1419" s="9" t="s">
        <v>1056</v>
      </c>
      <c r="B1419" s="4">
        <v>45950</v>
      </c>
      <c r="C1419" s="5">
        <v>50</v>
      </c>
      <c r="D1419" s="9" t="s">
        <v>14</v>
      </c>
      <c r="E1419" s="10">
        <v>155</v>
      </c>
      <c r="F1419" s="10">
        <f t="shared" si="22"/>
        <v>7750</v>
      </c>
    </row>
    <row r="1420" spans="1:6" s="9" customFormat="1" x14ac:dyDescent="0.25">
      <c r="C1420" s="5">
        <v>50</v>
      </c>
      <c r="D1420" s="9" t="s">
        <v>11</v>
      </c>
      <c r="E1420" s="10">
        <v>150</v>
      </c>
      <c r="F1420" s="10">
        <f t="shared" si="22"/>
        <v>7500</v>
      </c>
    </row>
    <row r="1421" spans="1:6" s="9" customFormat="1" x14ac:dyDescent="0.25">
      <c r="C1421" s="5"/>
      <c r="E1421" s="10"/>
      <c r="F1421" s="8">
        <f>SUM(F1419:F1420)</f>
        <v>15250</v>
      </c>
    </row>
    <row r="1422" spans="1:6" s="9" customFormat="1" x14ac:dyDescent="0.25">
      <c r="B1422" s="4"/>
      <c r="C1422" s="5"/>
      <c r="E1422" s="10"/>
      <c r="F1422" s="10"/>
    </row>
    <row r="1423" spans="1:6" s="9" customFormat="1" x14ac:dyDescent="0.25">
      <c r="A1423" s="9" t="s">
        <v>1057</v>
      </c>
      <c r="B1423" s="4">
        <v>45950</v>
      </c>
      <c r="C1423" s="5">
        <v>20</v>
      </c>
      <c r="D1423" s="9" t="s">
        <v>13</v>
      </c>
      <c r="E1423" s="10">
        <v>160</v>
      </c>
      <c r="F1423" s="10">
        <f t="shared" si="22"/>
        <v>3200</v>
      </c>
    </row>
    <row r="1424" spans="1:6" s="9" customFormat="1" x14ac:dyDescent="0.25">
      <c r="C1424" s="5"/>
      <c r="E1424" s="10"/>
      <c r="F1424" s="8">
        <f>SUM(F1423)</f>
        <v>3200</v>
      </c>
    </row>
    <row r="1425" spans="1:6" s="9" customFormat="1" x14ac:dyDescent="0.25">
      <c r="B1425" s="4"/>
      <c r="C1425" s="5"/>
      <c r="E1425" s="10"/>
      <c r="F1425" s="10"/>
    </row>
    <row r="1426" spans="1:6" s="9" customFormat="1" x14ac:dyDescent="0.25">
      <c r="A1426" s="9" t="s">
        <v>101</v>
      </c>
      <c r="B1426" s="4">
        <v>45950</v>
      </c>
      <c r="C1426" s="5">
        <v>2</v>
      </c>
      <c r="D1426" s="9" t="s">
        <v>78</v>
      </c>
      <c r="E1426" s="10">
        <v>110</v>
      </c>
      <c r="F1426" s="10">
        <f t="shared" si="22"/>
        <v>220</v>
      </c>
    </row>
    <row r="1427" spans="1:6" s="9" customFormat="1" x14ac:dyDescent="0.25">
      <c r="C1427" s="5">
        <v>10</v>
      </c>
      <c r="D1427" s="9" t="s">
        <v>8</v>
      </c>
      <c r="E1427" s="10">
        <v>160</v>
      </c>
      <c r="F1427" s="10">
        <f t="shared" si="22"/>
        <v>1600</v>
      </c>
    </row>
    <row r="1428" spans="1:6" s="9" customFormat="1" x14ac:dyDescent="0.25">
      <c r="C1428" s="5">
        <v>1</v>
      </c>
      <c r="D1428" s="9" t="s">
        <v>8</v>
      </c>
      <c r="E1428" s="10">
        <v>170</v>
      </c>
      <c r="F1428" s="10">
        <f t="shared" si="22"/>
        <v>170</v>
      </c>
    </row>
    <row r="1429" spans="1:6" s="9" customFormat="1" x14ac:dyDescent="0.25">
      <c r="C1429" s="5">
        <v>1</v>
      </c>
      <c r="D1429" s="9" t="s">
        <v>1058</v>
      </c>
      <c r="E1429" s="10">
        <v>150</v>
      </c>
      <c r="F1429" s="10">
        <f t="shared" si="22"/>
        <v>150</v>
      </c>
    </row>
    <row r="1430" spans="1:6" s="9" customFormat="1" x14ac:dyDescent="0.25">
      <c r="C1430" s="5">
        <v>3</v>
      </c>
      <c r="D1430" s="9" t="s">
        <v>8</v>
      </c>
      <c r="E1430" s="10">
        <v>170</v>
      </c>
      <c r="F1430" s="10">
        <f t="shared" si="22"/>
        <v>510</v>
      </c>
    </row>
    <row r="1431" spans="1:6" s="9" customFormat="1" x14ac:dyDescent="0.25">
      <c r="B1431" s="4"/>
      <c r="C1431" s="5">
        <v>1</v>
      </c>
      <c r="D1431" s="9" t="s">
        <v>1059</v>
      </c>
      <c r="E1431" s="10">
        <v>170</v>
      </c>
      <c r="F1431" s="10">
        <f t="shared" si="22"/>
        <v>170</v>
      </c>
    </row>
    <row r="1432" spans="1:6" s="9" customFormat="1" x14ac:dyDescent="0.25">
      <c r="C1432" s="5">
        <v>10</v>
      </c>
      <c r="D1432" s="9" t="s">
        <v>8</v>
      </c>
      <c r="E1432" s="10">
        <v>165</v>
      </c>
      <c r="F1432" s="10">
        <f t="shared" si="22"/>
        <v>1650</v>
      </c>
    </row>
    <row r="1433" spans="1:6" s="9" customFormat="1" x14ac:dyDescent="0.25">
      <c r="C1433" s="5">
        <v>2</v>
      </c>
      <c r="D1433" s="9" t="s">
        <v>220</v>
      </c>
      <c r="E1433" s="10">
        <v>150</v>
      </c>
      <c r="F1433" s="10">
        <f t="shared" si="22"/>
        <v>300</v>
      </c>
    </row>
    <row r="1434" spans="1:6" s="9" customFormat="1" x14ac:dyDescent="0.25">
      <c r="C1434" s="5"/>
      <c r="E1434" s="10"/>
      <c r="F1434" s="8">
        <f>SUM(F1426:F1433)</f>
        <v>4770</v>
      </c>
    </row>
    <row r="1435" spans="1:6" s="9" customFormat="1" x14ac:dyDescent="0.25">
      <c r="B1435" s="4"/>
      <c r="C1435" s="5"/>
      <c r="E1435" s="10"/>
      <c r="F1435" s="10"/>
    </row>
    <row r="1436" spans="1:6" s="9" customFormat="1" x14ac:dyDescent="0.25">
      <c r="A1436" s="9" t="s">
        <v>7</v>
      </c>
      <c r="B1436" s="4">
        <v>45950</v>
      </c>
      <c r="C1436" s="5">
        <v>8</v>
      </c>
      <c r="D1436" s="9" t="s">
        <v>12</v>
      </c>
      <c r="E1436" s="10">
        <v>150</v>
      </c>
      <c r="F1436" s="10">
        <f t="shared" si="22"/>
        <v>1200</v>
      </c>
    </row>
    <row r="1437" spans="1:6" s="9" customFormat="1" x14ac:dyDescent="0.25">
      <c r="C1437" s="5">
        <v>2</v>
      </c>
      <c r="D1437" s="9" t="s">
        <v>13</v>
      </c>
      <c r="E1437" s="10">
        <v>160</v>
      </c>
      <c r="F1437" s="10">
        <f t="shared" si="22"/>
        <v>320</v>
      </c>
    </row>
    <row r="1438" spans="1:6" s="9" customFormat="1" x14ac:dyDescent="0.25">
      <c r="C1438" s="5">
        <v>3</v>
      </c>
      <c r="D1438" s="9" t="s">
        <v>12</v>
      </c>
      <c r="E1438" s="10">
        <v>150</v>
      </c>
      <c r="F1438" s="10">
        <f t="shared" si="22"/>
        <v>450</v>
      </c>
    </row>
    <row r="1439" spans="1:6" s="9" customFormat="1" x14ac:dyDescent="0.25">
      <c r="B1439" s="4"/>
      <c r="C1439" s="5">
        <v>1</v>
      </c>
      <c r="D1439" s="9" t="s">
        <v>8</v>
      </c>
      <c r="E1439" s="10">
        <v>170</v>
      </c>
      <c r="F1439" s="10">
        <f t="shared" si="22"/>
        <v>170</v>
      </c>
    </row>
    <row r="1440" spans="1:6" s="9" customFormat="1" x14ac:dyDescent="0.25">
      <c r="C1440" s="5"/>
      <c r="E1440" s="10"/>
      <c r="F1440" s="8">
        <f>SUM(F1436:F1439)</f>
        <v>2140</v>
      </c>
    </row>
    <row r="1441" spans="1:6" s="9" customFormat="1" x14ac:dyDescent="0.25">
      <c r="C1441" s="5"/>
      <c r="E1441" s="10"/>
      <c r="F1441" s="10"/>
    </row>
    <row r="1442" spans="1:6" s="9" customFormat="1" x14ac:dyDescent="0.25">
      <c r="A1442" s="9" t="s">
        <v>292</v>
      </c>
      <c r="B1442" s="4">
        <v>45951</v>
      </c>
      <c r="C1442" s="5">
        <v>3</v>
      </c>
      <c r="D1442" s="9" t="s">
        <v>8</v>
      </c>
      <c r="E1442" s="10">
        <v>160</v>
      </c>
      <c r="F1442" s="10">
        <f t="shared" si="22"/>
        <v>480</v>
      </c>
    </row>
    <row r="1443" spans="1:6" s="9" customFormat="1" x14ac:dyDescent="0.25">
      <c r="C1443" s="5">
        <v>15</v>
      </c>
      <c r="D1443" s="9" t="s">
        <v>14</v>
      </c>
      <c r="E1443" s="10">
        <v>150</v>
      </c>
      <c r="F1443" s="10">
        <f t="shared" si="22"/>
        <v>2250</v>
      </c>
    </row>
    <row r="1444" spans="1:6" s="9" customFormat="1" x14ac:dyDescent="0.25">
      <c r="C1444" s="5"/>
      <c r="E1444" s="10"/>
      <c r="F1444" s="8">
        <f>SUM(F1442:F1443)</f>
        <v>2730</v>
      </c>
    </row>
    <row r="1445" spans="1:6" s="9" customFormat="1" x14ac:dyDescent="0.25">
      <c r="B1445" s="4"/>
      <c r="C1445" s="5"/>
      <c r="E1445" s="10"/>
      <c r="F1445" s="10"/>
    </row>
    <row r="1446" spans="1:6" s="9" customFormat="1" x14ac:dyDescent="0.25">
      <c r="A1446" s="9" t="s">
        <v>891</v>
      </c>
      <c r="B1446" s="4">
        <v>45951</v>
      </c>
      <c r="C1446" s="5">
        <v>110</v>
      </c>
      <c r="D1446" s="9" t="s">
        <v>13</v>
      </c>
      <c r="E1446" s="10">
        <v>150</v>
      </c>
      <c r="F1446" s="10">
        <f t="shared" si="22"/>
        <v>16500</v>
      </c>
    </row>
    <row r="1447" spans="1:6" s="9" customFormat="1" x14ac:dyDescent="0.25">
      <c r="C1447" s="5"/>
      <c r="E1447" s="10"/>
      <c r="F1447" s="8">
        <f>SUM(F1446)</f>
        <v>16500</v>
      </c>
    </row>
    <row r="1448" spans="1:6" s="9" customFormat="1" x14ac:dyDescent="0.25">
      <c r="B1448" s="4"/>
      <c r="C1448" s="5"/>
      <c r="E1448" s="10"/>
      <c r="F1448" s="10"/>
    </row>
    <row r="1449" spans="1:6" s="9" customFormat="1" x14ac:dyDescent="0.25">
      <c r="A1449" s="9" t="s">
        <v>89</v>
      </c>
      <c r="B1449" s="4">
        <v>45951</v>
      </c>
      <c r="C1449" s="5">
        <v>20</v>
      </c>
      <c r="D1449" s="9" t="s">
        <v>13</v>
      </c>
      <c r="E1449" s="10">
        <v>155</v>
      </c>
      <c r="F1449" s="10">
        <f t="shared" si="22"/>
        <v>3100</v>
      </c>
    </row>
    <row r="1450" spans="1:6" s="9" customFormat="1" x14ac:dyDescent="0.25">
      <c r="C1450" s="5">
        <v>60</v>
      </c>
      <c r="D1450" s="9" t="s">
        <v>12</v>
      </c>
      <c r="E1450" s="10">
        <v>145</v>
      </c>
      <c r="F1450" s="10">
        <f t="shared" si="22"/>
        <v>8700</v>
      </c>
    </row>
    <row r="1451" spans="1:6" s="9" customFormat="1" x14ac:dyDescent="0.25">
      <c r="C1451" s="5"/>
      <c r="E1451" s="10"/>
      <c r="F1451" s="8">
        <f>SUM(F1449:F1450)</f>
        <v>11800</v>
      </c>
    </row>
    <row r="1452" spans="1:6" s="9" customFormat="1" x14ac:dyDescent="0.25">
      <c r="B1452" s="4"/>
      <c r="C1452" s="5"/>
      <c r="E1452" s="10"/>
      <c r="F1452" s="10"/>
    </row>
    <row r="1453" spans="1:6" s="9" customFormat="1" x14ac:dyDescent="0.25">
      <c r="A1453" s="9" t="s">
        <v>117</v>
      </c>
      <c r="B1453" s="4">
        <v>45951</v>
      </c>
      <c r="C1453" s="5">
        <v>5</v>
      </c>
      <c r="D1453" s="9" t="s">
        <v>13</v>
      </c>
      <c r="E1453" s="10">
        <v>165</v>
      </c>
      <c r="F1453" s="10">
        <f t="shared" si="22"/>
        <v>825</v>
      </c>
    </row>
    <row r="1454" spans="1:6" s="9" customFormat="1" x14ac:dyDescent="0.25">
      <c r="C1454" s="5"/>
      <c r="E1454" s="10"/>
      <c r="F1454" s="8">
        <f>SUM(F1453)</f>
        <v>825</v>
      </c>
    </row>
    <row r="1455" spans="1:6" s="9" customFormat="1" x14ac:dyDescent="0.25">
      <c r="B1455" s="4"/>
      <c r="C1455" s="5"/>
      <c r="E1455" s="10"/>
      <c r="F1455" s="10"/>
    </row>
    <row r="1456" spans="1:6" s="9" customFormat="1" x14ac:dyDescent="0.25">
      <c r="A1456" s="9" t="s">
        <v>184</v>
      </c>
      <c r="B1456" s="4">
        <v>45951</v>
      </c>
      <c r="C1456" s="5">
        <v>7</v>
      </c>
      <c r="D1456" s="9" t="s">
        <v>13</v>
      </c>
      <c r="E1456" s="10">
        <v>165</v>
      </c>
      <c r="F1456" s="10">
        <f t="shared" si="22"/>
        <v>1155</v>
      </c>
    </row>
    <row r="1457" spans="1:6" s="9" customFormat="1" x14ac:dyDescent="0.25">
      <c r="C1457" s="5"/>
      <c r="E1457" s="10"/>
      <c r="F1457" s="8">
        <f>SUM(F1456)</f>
        <v>1155</v>
      </c>
    </row>
    <row r="1458" spans="1:6" s="9" customFormat="1" x14ac:dyDescent="0.25">
      <c r="C1458" s="5"/>
      <c r="E1458" s="10"/>
      <c r="F1458" s="10"/>
    </row>
    <row r="1459" spans="1:6" s="9" customFormat="1" x14ac:dyDescent="0.25">
      <c r="A1459" s="9" t="s">
        <v>1060</v>
      </c>
      <c r="B1459" s="4">
        <v>45951</v>
      </c>
      <c r="C1459" s="5">
        <v>35</v>
      </c>
      <c r="D1459" s="9" t="s">
        <v>14</v>
      </c>
      <c r="E1459" s="10">
        <v>150</v>
      </c>
      <c r="F1459" s="10">
        <f t="shared" si="22"/>
        <v>5250</v>
      </c>
    </row>
    <row r="1460" spans="1:6" s="9" customFormat="1" x14ac:dyDescent="0.25">
      <c r="C1460" s="5">
        <v>30</v>
      </c>
      <c r="D1460" s="9" t="s">
        <v>11</v>
      </c>
      <c r="E1460" s="10">
        <v>145</v>
      </c>
      <c r="F1460" s="10">
        <f t="shared" si="22"/>
        <v>4350</v>
      </c>
    </row>
    <row r="1461" spans="1:6" s="9" customFormat="1" x14ac:dyDescent="0.25">
      <c r="C1461" s="5">
        <v>16</v>
      </c>
      <c r="D1461" s="9" t="s">
        <v>1061</v>
      </c>
      <c r="E1461" s="10">
        <v>140</v>
      </c>
      <c r="F1461" s="10">
        <f t="shared" si="22"/>
        <v>2240</v>
      </c>
    </row>
    <row r="1462" spans="1:6" s="9" customFormat="1" x14ac:dyDescent="0.25">
      <c r="B1462" s="4"/>
      <c r="C1462" s="5">
        <v>20</v>
      </c>
      <c r="D1462" s="9" t="s">
        <v>22</v>
      </c>
      <c r="E1462" s="10">
        <v>140</v>
      </c>
      <c r="F1462" s="10">
        <f t="shared" si="22"/>
        <v>2800</v>
      </c>
    </row>
    <row r="1463" spans="1:6" s="9" customFormat="1" x14ac:dyDescent="0.25">
      <c r="C1463" s="5"/>
      <c r="E1463" s="10"/>
      <c r="F1463" s="8">
        <f>SUM(F1459:F1462)</f>
        <v>14640</v>
      </c>
    </row>
    <row r="1464" spans="1:6" s="9" customFormat="1" x14ac:dyDescent="0.25">
      <c r="C1464" s="5"/>
      <c r="E1464" s="10"/>
      <c r="F1464" s="10"/>
    </row>
    <row r="1465" spans="1:6" s="9" customFormat="1" x14ac:dyDescent="0.25">
      <c r="A1465" s="9" t="s">
        <v>503</v>
      </c>
      <c r="B1465" s="4">
        <v>45951</v>
      </c>
      <c r="C1465" s="5">
        <v>57</v>
      </c>
      <c r="D1465" s="9" t="s">
        <v>8</v>
      </c>
      <c r="E1465" s="10">
        <v>170</v>
      </c>
      <c r="F1465" s="10">
        <f t="shared" si="22"/>
        <v>9690</v>
      </c>
    </row>
    <row r="1466" spans="1:6" s="9" customFormat="1" x14ac:dyDescent="0.25">
      <c r="C1466" s="5"/>
      <c r="E1466" s="10"/>
      <c r="F1466" s="8">
        <f>SUM(F1465)</f>
        <v>9690</v>
      </c>
    </row>
    <row r="1467" spans="1:6" s="9" customFormat="1" x14ac:dyDescent="0.25">
      <c r="C1467" s="5"/>
      <c r="E1467" s="10"/>
      <c r="F1467" s="10"/>
    </row>
    <row r="1468" spans="1:6" s="9" customFormat="1" x14ac:dyDescent="0.25">
      <c r="A1468" s="9" t="s">
        <v>66</v>
      </c>
      <c r="B1468" s="4">
        <v>45951</v>
      </c>
      <c r="C1468" s="5">
        <v>20</v>
      </c>
      <c r="D1468" s="9" t="s">
        <v>8</v>
      </c>
      <c r="E1468" s="10">
        <v>165</v>
      </c>
      <c r="F1468" s="10">
        <f t="shared" si="22"/>
        <v>3300</v>
      </c>
    </row>
    <row r="1469" spans="1:6" s="9" customFormat="1" x14ac:dyDescent="0.25">
      <c r="C1469" s="5"/>
      <c r="E1469" s="10"/>
      <c r="F1469" s="8">
        <f>SUM(F1468)</f>
        <v>3300</v>
      </c>
    </row>
    <row r="1470" spans="1:6" s="9" customFormat="1" x14ac:dyDescent="0.25">
      <c r="B1470" s="4"/>
      <c r="C1470" s="5"/>
      <c r="E1470" s="10"/>
      <c r="F1470" s="10"/>
    </row>
    <row r="1471" spans="1:6" s="9" customFormat="1" x14ac:dyDescent="0.25">
      <c r="A1471" s="9" t="s">
        <v>191</v>
      </c>
      <c r="B1471" s="4">
        <v>45951</v>
      </c>
      <c r="C1471" s="11">
        <v>150</v>
      </c>
      <c r="D1471" s="9" t="s">
        <v>11</v>
      </c>
      <c r="E1471" s="10">
        <v>145</v>
      </c>
      <c r="F1471" s="10">
        <f t="shared" si="22"/>
        <v>21750</v>
      </c>
    </row>
    <row r="1472" spans="1:6" s="9" customFormat="1" x14ac:dyDescent="0.25">
      <c r="C1472" s="5">
        <v>120</v>
      </c>
      <c r="D1472" s="9" t="s">
        <v>14</v>
      </c>
      <c r="E1472" s="10">
        <v>150</v>
      </c>
      <c r="F1472" s="10">
        <f t="shared" si="22"/>
        <v>18000</v>
      </c>
    </row>
    <row r="1473" spans="1:6" s="9" customFormat="1" x14ac:dyDescent="0.25">
      <c r="C1473" s="5"/>
      <c r="E1473" s="10"/>
      <c r="F1473" s="8">
        <f>SUM(F1471:F1472)</f>
        <v>39750</v>
      </c>
    </row>
    <row r="1474" spans="1:6" s="9" customFormat="1" x14ac:dyDescent="0.25">
      <c r="B1474" s="4"/>
      <c r="C1474" s="5"/>
      <c r="E1474" s="10"/>
      <c r="F1474" s="10"/>
    </row>
    <row r="1475" spans="1:6" s="9" customFormat="1" x14ac:dyDescent="0.25">
      <c r="A1475" s="9" t="s">
        <v>76</v>
      </c>
      <c r="B1475" s="4">
        <v>45951</v>
      </c>
      <c r="C1475" s="5">
        <v>10</v>
      </c>
      <c r="D1475" s="9" t="s">
        <v>50</v>
      </c>
      <c r="E1475" s="10">
        <v>125</v>
      </c>
      <c r="F1475" s="10">
        <f t="shared" si="22"/>
        <v>1250</v>
      </c>
    </row>
    <row r="1476" spans="1:6" s="9" customFormat="1" x14ac:dyDescent="0.25">
      <c r="C1476" s="5">
        <v>37</v>
      </c>
      <c r="D1476" s="9" t="s">
        <v>22</v>
      </c>
      <c r="E1476" s="10">
        <v>130</v>
      </c>
      <c r="F1476" s="10">
        <f t="shared" ref="F1476:F1539" si="23">+C1476*E1476</f>
        <v>4810</v>
      </c>
    </row>
    <row r="1477" spans="1:6" s="9" customFormat="1" x14ac:dyDescent="0.25">
      <c r="C1477" s="5">
        <v>150</v>
      </c>
      <c r="D1477" s="9" t="s">
        <v>12</v>
      </c>
      <c r="E1477" s="10">
        <v>145</v>
      </c>
      <c r="F1477" s="10">
        <f t="shared" si="23"/>
        <v>21750</v>
      </c>
    </row>
    <row r="1478" spans="1:6" s="9" customFormat="1" x14ac:dyDescent="0.25">
      <c r="C1478" s="5">
        <v>50</v>
      </c>
      <c r="D1478" s="9" t="s">
        <v>11</v>
      </c>
      <c r="E1478" s="10">
        <v>145</v>
      </c>
      <c r="F1478" s="10">
        <f t="shared" si="23"/>
        <v>7250</v>
      </c>
    </row>
    <row r="1479" spans="1:6" s="9" customFormat="1" x14ac:dyDescent="0.25">
      <c r="C1479" s="5"/>
      <c r="E1479" s="10"/>
      <c r="F1479" s="8">
        <f>SUM(F1475:F1478)</f>
        <v>35060</v>
      </c>
    </row>
    <row r="1480" spans="1:6" s="9" customFormat="1" x14ac:dyDescent="0.25">
      <c r="B1480" s="4"/>
      <c r="C1480" s="5"/>
      <c r="E1480" s="10"/>
      <c r="F1480" s="10"/>
    </row>
    <row r="1481" spans="1:6" s="9" customFormat="1" x14ac:dyDescent="0.25">
      <c r="A1481" s="9" t="s">
        <v>29</v>
      </c>
      <c r="B1481" s="4">
        <v>45951</v>
      </c>
      <c r="C1481" s="5">
        <v>10</v>
      </c>
      <c r="D1481" s="9" t="s">
        <v>1062</v>
      </c>
      <c r="E1481" s="10">
        <v>145</v>
      </c>
      <c r="F1481" s="10">
        <f t="shared" si="23"/>
        <v>1450</v>
      </c>
    </row>
    <row r="1482" spans="1:6" s="9" customFormat="1" x14ac:dyDescent="0.25">
      <c r="C1482" s="5"/>
      <c r="E1482" s="10"/>
      <c r="F1482" s="8">
        <f>SUM(F1481)</f>
        <v>1450</v>
      </c>
    </row>
    <row r="1483" spans="1:6" s="9" customFormat="1" x14ac:dyDescent="0.25">
      <c r="C1483" s="5"/>
      <c r="E1483" s="10"/>
      <c r="F1483" s="10"/>
    </row>
    <row r="1484" spans="1:6" s="9" customFormat="1" x14ac:dyDescent="0.25">
      <c r="A1484" s="9" t="s">
        <v>181</v>
      </c>
      <c r="B1484" s="4">
        <v>45951</v>
      </c>
      <c r="C1484" s="5">
        <v>4</v>
      </c>
      <c r="D1484" s="9" t="s">
        <v>8</v>
      </c>
      <c r="E1484" s="10">
        <v>170</v>
      </c>
      <c r="F1484" s="10">
        <f t="shared" si="23"/>
        <v>680</v>
      </c>
    </row>
    <row r="1485" spans="1:6" s="9" customFormat="1" x14ac:dyDescent="0.25">
      <c r="C1485" s="5"/>
      <c r="E1485" s="10"/>
      <c r="F1485" s="8">
        <f>SUM(F1484)</f>
        <v>680</v>
      </c>
    </row>
    <row r="1486" spans="1:6" s="9" customFormat="1" x14ac:dyDescent="0.25">
      <c r="C1486" s="5"/>
      <c r="E1486" s="10"/>
      <c r="F1486" s="10"/>
    </row>
    <row r="1487" spans="1:6" s="9" customFormat="1" x14ac:dyDescent="0.25">
      <c r="A1487" s="9" t="s">
        <v>550</v>
      </c>
      <c r="B1487" s="4">
        <v>45952</v>
      </c>
      <c r="C1487" s="5">
        <v>20</v>
      </c>
      <c r="D1487" s="9" t="s">
        <v>98</v>
      </c>
      <c r="E1487" s="10">
        <v>115</v>
      </c>
      <c r="F1487" s="10">
        <f t="shared" si="23"/>
        <v>2300</v>
      </c>
    </row>
    <row r="1488" spans="1:6" s="9" customFormat="1" x14ac:dyDescent="0.25">
      <c r="C1488" s="5"/>
      <c r="E1488" s="10"/>
      <c r="F1488" s="8">
        <f>SUM(F1487)</f>
        <v>2300</v>
      </c>
    </row>
    <row r="1489" spans="1:6" s="9" customFormat="1" x14ac:dyDescent="0.25">
      <c r="C1489" s="5"/>
      <c r="E1489" s="10"/>
      <c r="F1489" s="10"/>
    </row>
    <row r="1490" spans="1:6" s="9" customFormat="1" x14ac:dyDescent="0.25">
      <c r="A1490" s="9" t="s">
        <v>15</v>
      </c>
      <c r="B1490" s="4">
        <v>45952</v>
      </c>
      <c r="C1490" s="5">
        <v>40</v>
      </c>
      <c r="D1490" s="9" t="s">
        <v>98</v>
      </c>
      <c r="E1490" s="10">
        <v>115</v>
      </c>
      <c r="F1490" s="10">
        <f t="shared" si="23"/>
        <v>4600</v>
      </c>
    </row>
    <row r="1491" spans="1:6" s="9" customFormat="1" x14ac:dyDescent="0.25">
      <c r="C1491" s="5"/>
      <c r="E1491" s="10"/>
      <c r="F1491" s="8">
        <f>SUM(F1490)</f>
        <v>4600</v>
      </c>
    </row>
    <row r="1492" spans="1:6" s="9" customFormat="1" x14ac:dyDescent="0.25">
      <c r="C1492" s="5"/>
      <c r="E1492" s="10"/>
      <c r="F1492" s="10"/>
    </row>
    <row r="1493" spans="1:6" s="9" customFormat="1" x14ac:dyDescent="0.25">
      <c r="A1493" s="9" t="s">
        <v>37</v>
      </c>
      <c r="B1493" s="4">
        <v>45952</v>
      </c>
      <c r="C1493" s="5">
        <v>15</v>
      </c>
      <c r="D1493" s="9" t="s">
        <v>12</v>
      </c>
      <c r="E1493" s="10">
        <v>150</v>
      </c>
      <c r="F1493" s="10">
        <f t="shared" si="23"/>
        <v>2250</v>
      </c>
    </row>
    <row r="1494" spans="1:6" s="9" customFormat="1" x14ac:dyDescent="0.25">
      <c r="C1494" s="5"/>
      <c r="E1494" s="10"/>
      <c r="F1494" s="8">
        <f>SUM(F1493)</f>
        <v>2250</v>
      </c>
    </row>
    <row r="1495" spans="1:6" s="9" customFormat="1" x14ac:dyDescent="0.25">
      <c r="C1495" s="5"/>
      <c r="E1495" s="10"/>
      <c r="F1495" s="10"/>
    </row>
    <row r="1496" spans="1:6" s="9" customFormat="1" x14ac:dyDescent="0.25">
      <c r="A1496" s="9" t="s">
        <v>151</v>
      </c>
      <c r="B1496" s="4">
        <v>45952</v>
      </c>
      <c r="C1496" s="5">
        <v>42</v>
      </c>
      <c r="D1496" s="9" t="s">
        <v>8</v>
      </c>
      <c r="E1496" s="10">
        <v>158</v>
      </c>
      <c r="F1496" s="10">
        <f t="shared" si="23"/>
        <v>6636</v>
      </c>
    </row>
    <row r="1497" spans="1:6" s="9" customFormat="1" x14ac:dyDescent="0.25">
      <c r="C1497" s="5">
        <v>33</v>
      </c>
      <c r="D1497" s="9" t="s">
        <v>22</v>
      </c>
      <c r="E1497" s="10">
        <v>140</v>
      </c>
      <c r="F1497" s="10">
        <f t="shared" si="23"/>
        <v>4620</v>
      </c>
    </row>
    <row r="1498" spans="1:6" s="9" customFormat="1" x14ac:dyDescent="0.25">
      <c r="C1498" s="5">
        <v>20</v>
      </c>
      <c r="D1498" s="9" t="s">
        <v>489</v>
      </c>
      <c r="E1498" s="10">
        <v>140</v>
      </c>
      <c r="F1498" s="10">
        <f t="shared" si="23"/>
        <v>2800</v>
      </c>
    </row>
    <row r="1499" spans="1:6" s="9" customFormat="1" x14ac:dyDescent="0.25">
      <c r="B1499" s="4"/>
      <c r="C1499" s="5">
        <v>20</v>
      </c>
      <c r="D1499" s="9" t="s">
        <v>13</v>
      </c>
      <c r="E1499" s="10">
        <v>153</v>
      </c>
      <c r="F1499" s="10">
        <f t="shared" si="23"/>
        <v>3060</v>
      </c>
    </row>
    <row r="1500" spans="1:6" s="9" customFormat="1" x14ac:dyDescent="0.25">
      <c r="C1500" s="5"/>
      <c r="E1500" s="10"/>
      <c r="F1500" s="8">
        <f>SUM(F1496:F1499)</f>
        <v>17116</v>
      </c>
    </row>
    <row r="1501" spans="1:6" s="9" customFormat="1" x14ac:dyDescent="0.25">
      <c r="C1501" s="5"/>
      <c r="E1501" s="10"/>
      <c r="F1501" s="10"/>
    </row>
    <row r="1502" spans="1:6" s="9" customFormat="1" x14ac:dyDescent="0.25">
      <c r="A1502" s="9" t="s">
        <v>792</v>
      </c>
      <c r="B1502" s="4">
        <v>45952</v>
      </c>
      <c r="C1502" s="5">
        <v>34</v>
      </c>
      <c r="D1502" s="9" t="s">
        <v>14</v>
      </c>
      <c r="E1502" s="10">
        <v>150</v>
      </c>
      <c r="F1502" s="10">
        <f t="shared" si="23"/>
        <v>5100</v>
      </c>
    </row>
    <row r="1503" spans="1:6" s="9" customFormat="1" x14ac:dyDescent="0.25">
      <c r="C1503" s="5">
        <v>30</v>
      </c>
      <c r="D1503" s="9" t="s">
        <v>878</v>
      </c>
      <c r="E1503" s="10">
        <v>150</v>
      </c>
      <c r="F1503" s="10">
        <f t="shared" si="23"/>
        <v>4500</v>
      </c>
    </row>
    <row r="1504" spans="1:6" s="9" customFormat="1" x14ac:dyDescent="0.25">
      <c r="C1504" s="5"/>
      <c r="E1504" s="10"/>
      <c r="F1504" s="8">
        <f>SUM(F1502:F1503)</f>
        <v>9600</v>
      </c>
    </row>
    <row r="1505" spans="1:6" s="9" customFormat="1" x14ac:dyDescent="0.25">
      <c r="B1505" s="4"/>
      <c r="C1505" s="5"/>
      <c r="E1505" s="10"/>
      <c r="F1505" s="10"/>
    </row>
    <row r="1506" spans="1:6" s="9" customFormat="1" x14ac:dyDescent="0.25">
      <c r="A1506" s="9" t="s">
        <v>41</v>
      </c>
      <c r="B1506" s="4">
        <v>45952</v>
      </c>
      <c r="C1506" s="5">
        <v>35</v>
      </c>
      <c r="D1506" s="9" t="s">
        <v>14</v>
      </c>
      <c r="E1506" s="10">
        <v>145</v>
      </c>
      <c r="F1506" s="10">
        <f t="shared" si="23"/>
        <v>5075</v>
      </c>
    </row>
    <row r="1507" spans="1:6" s="9" customFormat="1" x14ac:dyDescent="0.25">
      <c r="C1507" s="5"/>
      <c r="E1507" s="10"/>
      <c r="F1507" s="8">
        <f>SUM(F1506)</f>
        <v>5075</v>
      </c>
    </row>
    <row r="1508" spans="1:6" s="9" customFormat="1" x14ac:dyDescent="0.25">
      <c r="C1508" s="5"/>
      <c r="E1508" s="10"/>
      <c r="F1508" s="10"/>
    </row>
    <row r="1509" spans="1:6" s="9" customFormat="1" x14ac:dyDescent="0.25">
      <c r="A1509" s="9" t="s">
        <v>1063</v>
      </c>
      <c r="B1509" s="4">
        <v>45952</v>
      </c>
      <c r="C1509" s="5">
        <v>5</v>
      </c>
      <c r="D1509" s="9" t="s">
        <v>14</v>
      </c>
      <c r="E1509" s="10">
        <v>160</v>
      </c>
      <c r="F1509" s="10">
        <f t="shared" si="23"/>
        <v>800</v>
      </c>
    </row>
    <row r="1510" spans="1:6" s="9" customFormat="1" x14ac:dyDescent="0.25">
      <c r="C1510" s="5"/>
      <c r="E1510" s="10"/>
      <c r="F1510" s="8">
        <f>SUM(F1509)</f>
        <v>800</v>
      </c>
    </row>
    <row r="1511" spans="1:6" s="9" customFormat="1" x14ac:dyDescent="0.25">
      <c r="B1511" s="4"/>
      <c r="C1511" s="5"/>
      <c r="E1511" s="10"/>
      <c r="F1511" s="10"/>
    </row>
    <row r="1512" spans="1:6" s="9" customFormat="1" x14ac:dyDescent="0.25">
      <c r="A1512" s="9" t="s">
        <v>959</v>
      </c>
      <c r="B1512" s="4">
        <v>45952</v>
      </c>
      <c r="C1512" s="5">
        <v>10</v>
      </c>
      <c r="D1512" s="9" t="s">
        <v>14</v>
      </c>
      <c r="E1512" s="10">
        <v>160</v>
      </c>
      <c r="F1512" s="10">
        <f t="shared" si="23"/>
        <v>1600</v>
      </c>
    </row>
    <row r="1513" spans="1:6" s="9" customFormat="1" x14ac:dyDescent="0.25">
      <c r="C1513" s="5"/>
      <c r="E1513" s="10"/>
      <c r="F1513" s="8">
        <f>SUM(F1512)</f>
        <v>1600</v>
      </c>
    </row>
    <row r="1514" spans="1:6" s="9" customFormat="1" x14ac:dyDescent="0.25">
      <c r="B1514" s="4"/>
      <c r="C1514" s="5"/>
      <c r="E1514" s="10"/>
      <c r="F1514" s="10"/>
    </row>
    <row r="1515" spans="1:6" s="9" customFormat="1" x14ac:dyDescent="0.25">
      <c r="A1515" s="9" t="s">
        <v>43</v>
      </c>
      <c r="B1515" s="4">
        <v>45952</v>
      </c>
      <c r="C1515" s="5">
        <v>30</v>
      </c>
      <c r="D1515" s="9" t="s">
        <v>14</v>
      </c>
      <c r="E1515" s="10">
        <v>160</v>
      </c>
      <c r="F1515" s="10">
        <f t="shared" si="23"/>
        <v>4800</v>
      </c>
    </row>
    <row r="1516" spans="1:6" s="9" customFormat="1" x14ac:dyDescent="0.25">
      <c r="C1516" s="5"/>
      <c r="E1516" s="10"/>
      <c r="F1516" s="8">
        <f>SUM(F1515)</f>
        <v>4800</v>
      </c>
    </row>
    <row r="1517" spans="1:6" s="9" customFormat="1" x14ac:dyDescent="0.25">
      <c r="B1517" s="4"/>
      <c r="C1517" s="5"/>
      <c r="E1517" s="10"/>
      <c r="F1517" s="10"/>
    </row>
    <row r="1518" spans="1:6" s="9" customFormat="1" x14ac:dyDescent="0.25">
      <c r="A1518" s="9" t="s">
        <v>18</v>
      </c>
      <c r="B1518" s="4">
        <v>45952</v>
      </c>
      <c r="C1518" s="5">
        <v>10</v>
      </c>
      <c r="D1518" s="9" t="s">
        <v>14</v>
      </c>
      <c r="E1518" s="10">
        <v>160</v>
      </c>
      <c r="F1518" s="10">
        <f t="shared" si="23"/>
        <v>1600</v>
      </c>
    </row>
    <row r="1519" spans="1:6" s="9" customFormat="1" x14ac:dyDescent="0.25">
      <c r="C1519" s="5"/>
      <c r="E1519" s="10"/>
      <c r="F1519" s="8">
        <f>SUM(F1518)</f>
        <v>1600</v>
      </c>
    </row>
    <row r="1520" spans="1:6" s="9" customFormat="1" x14ac:dyDescent="0.25">
      <c r="C1520" s="5"/>
      <c r="E1520" s="10"/>
      <c r="F1520" s="10"/>
    </row>
    <row r="1521" spans="1:6" s="9" customFormat="1" x14ac:dyDescent="0.25">
      <c r="A1521" s="9" t="s">
        <v>138</v>
      </c>
      <c r="B1521" s="4">
        <v>45952</v>
      </c>
      <c r="C1521" s="5">
        <v>15</v>
      </c>
      <c r="D1521" s="9" t="s">
        <v>14</v>
      </c>
      <c r="E1521" s="10">
        <v>160</v>
      </c>
      <c r="F1521" s="10">
        <f t="shared" si="23"/>
        <v>2400</v>
      </c>
    </row>
    <row r="1522" spans="1:6" s="9" customFormat="1" x14ac:dyDescent="0.25">
      <c r="C1522" s="5"/>
      <c r="E1522" s="10"/>
      <c r="F1522" s="8">
        <f>SUM(F1521)</f>
        <v>2400</v>
      </c>
    </row>
    <row r="1523" spans="1:6" s="9" customFormat="1" x14ac:dyDescent="0.25">
      <c r="C1523" s="5"/>
      <c r="E1523" s="10"/>
      <c r="F1523" s="10"/>
    </row>
    <row r="1524" spans="1:6" s="9" customFormat="1" x14ac:dyDescent="0.25">
      <c r="A1524" s="9" t="s">
        <v>455</v>
      </c>
      <c r="B1524" s="4">
        <v>45952</v>
      </c>
      <c r="C1524" s="5">
        <v>60</v>
      </c>
      <c r="D1524" s="9" t="s">
        <v>14</v>
      </c>
      <c r="E1524" s="10">
        <v>150</v>
      </c>
      <c r="F1524" s="10">
        <f t="shared" si="23"/>
        <v>9000</v>
      </c>
    </row>
    <row r="1525" spans="1:6" s="9" customFormat="1" x14ac:dyDescent="0.25">
      <c r="B1525" s="4"/>
      <c r="C1525" s="5"/>
      <c r="E1525" s="10"/>
      <c r="F1525" s="8">
        <f>SUM(F1524)</f>
        <v>9000</v>
      </c>
    </row>
    <row r="1526" spans="1:6" s="9" customFormat="1" x14ac:dyDescent="0.25">
      <c r="C1526" s="5"/>
      <c r="E1526" s="10"/>
      <c r="F1526" s="10"/>
    </row>
    <row r="1527" spans="1:6" s="9" customFormat="1" x14ac:dyDescent="0.25">
      <c r="A1527" s="9" t="s">
        <v>160</v>
      </c>
      <c r="B1527" s="4">
        <v>45952</v>
      </c>
      <c r="C1527" s="5">
        <v>5</v>
      </c>
      <c r="D1527" s="9" t="s">
        <v>876</v>
      </c>
      <c r="E1527" s="10">
        <v>150</v>
      </c>
      <c r="F1527" s="10">
        <f t="shared" si="23"/>
        <v>750</v>
      </c>
    </row>
    <row r="1528" spans="1:6" s="9" customFormat="1" x14ac:dyDescent="0.25">
      <c r="B1528" s="4"/>
      <c r="C1528" s="5"/>
      <c r="E1528" s="10"/>
      <c r="F1528" s="8">
        <f>SUM(F1527)</f>
        <v>750</v>
      </c>
    </row>
    <row r="1529" spans="1:6" s="9" customFormat="1" x14ac:dyDescent="0.25">
      <c r="C1529" s="5"/>
      <c r="E1529" s="10"/>
      <c r="F1529" s="10"/>
    </row>
    <row r="1530" spans="1:6" s="9" customFormat="1" x14ac:dyDescent="0.25">
      <c r="A1530" s="9" t="s">
        <v>245</v>
      </c>
      <c r="B1530" s="4">
        <v>45952</v>
      </c>
      <c r="C1530" s="5">
        <v>10</v>
      </c>
      <c r="D1530" s="9" t="s">
        <v>14</v>
      </c>
      <c r="E1530" s="10">
        <v>150</v>
      </c>
      <c r="F1530" s="10">
        <f t="shared" si="23"/>
        <v>1500</v>
      </c>
    </row>
    <row r="1531" spans="1:6" s="9" customFormat="1" x14ac:dyDescent="0.25">
      <c r="B1531" s="4"/>
      <c r="C1531" s="5"/>
      <c r="E1531" s="10"/>
      <c r="F1531" s="8">
        <f>SUM(F1530)</f>
        <v>1500</v>
      </c>
    </row>
    <row r="1532" spans="1:6" s="9" customFormat="1" x14ac:dyDescent="0.25">
      <c r="C1532" s="5"/>
      <c r="E1532" s="10"/>
      <c r="F1532" s="10"/>
    </row>
    <row r="1533" spans="1:6" s="9" customFormat="1" x14ac:dyDescent="0.25">
      <c r="A1533" s="9" t="s">
        <v>1064</v>
      </c>
      <c r="B1533" s="4">
        <v>45952</v>
      </c>
      <c r="C1533" s="5">
        <v>180</v>
      </c>
      <c r="D1533" s="9" t="s">
        <v>13</v>
      </c>
      <c r="E1533" s="10">
        <v>150</v>
      </c>
      <c r="F1533" s="10">
        <f t="shared" si="23"/>
        <v>27000</v>
      </c>
    </row>
    <row r="1534" spans="1:6" s="9" customFormat="1" x14ac:dyDescent="0.25">
      <c r="B1534" s="4"/>
      <c r="C1534" s="5">
        <v>106</v>
      </c>
      <c r="D1534" s="9" t="s">
        <v>12</v>
      </c>
      <c r="E1534" s="10">
        <v>145</v>
      </c>
      <c r="F1534" s="10">
        <f t="shared" si="23"/>
        <v>15370</v>
      </c>
    </row>
    <row r="1535" spans="1:6" s="9" customFormat="1" x14ac:dyDescent="0.25">
      <c r="C1535" s="5">
        <v>30</v>
      </c>
      <c r="D1535" s="9" t="s">
        <v>14</v>
      </c>
      <c r="E1535" s="10">
        <v>150</v>
      </c>
      <c r="F1535" s="10">
        <f t="shared" si="23"/>
        <v>4500</v>
      </c>
    </row>
    <row r="1536" spans="1:6" s="9" customFormat="1" x14ac:dyDescent="0.25">
      <c r="C1536" s="5">
        <v>120</v>
      </c>
      <c r="D1536" s="9" t="s">
        <v>11</v>
      </c>
      <c r="E1536" s="10">
        <v>145</v>
      </c>
      <c r="F1536" s="10">
        <f t="shared" si="23"/>
        <v>17400</v>
      </c>
    </row>
    <row r="1537" spans="1:6" s="9" customFormat="1" x14ac:dyDescent="0.25">
      <c r="C1537" s="5"/>
      <c r="E1537" s="10"/>
      <c r="F1537" s="8">
        <f>SUM(F1533:F1536)</f>
        <v>64270</v>
      </c>
    </row>
    <row r="1538" spans="1:6" s="9" customFormat="1" x14ac:dyDescent="0.25">
      <c r="C1538" s="5"/>
      <c r="E1538" s="10"/>
      <c r="F1538" s="10"/>
    </row>
    <row r="1539" spans="1:6" s="9" customFormat="1" x14ac:dyDescent="0.25">
      <c r="A1539" s="9" t="s">
        <v>101</v>
      </c>
      <c r="B1539" s="4">
        <v>45952</v>
      </c>
      <c r="C1539" s="5">
        <v>5</v>
      </c>
      <c r="D1539" s="9" t="s">
        <v>12</v>
      </c>
      <c r="E1539" s="10">
        <v>150</v>
      </c>
      <c r="F1539" s="10">
        <f t="shared" si="23"/>
        <v>750</v>
      </c>
    </row>
    <row r="1540" spans="1:6" s="9" customFormat="1" x14ac:dyDescent="0.25">
      <c r="B1540" s="4"/>
      <c r="C1540" s="5"/>
      <c r="E1540" s="10"/>
      <c r="F1540" s="8">
        <f>SUM(F1539)</f>
        <v>750</v>
      </c>
    </row>
    <row r="1541" spans="1:6" s="9" customFormat="1" x14ac:dyDescent="0.25">
      <c r="C1541" s="5"/>
      <c r="E1541" s="10"/>
      <c r="F1541" s="10"/>
    </row>
    <row r="1542" spans="1:6" s="9" customFormat="1" x14ac:dyDescent="0.25">
      <c r="A1542" s="9" t="s">
        <v>66</v>
      </c>
      <c r="B1542" s="4">
        <v>45953</v>
      </c>
      <c r="C1542" s="5">
        <v>15</v>
      </c>
      <c r="D1542" s="9" t="s">
        <v>8</v>
      </c>
      <c r="E1542" s="10">
        <v>165</v>
      </c>
      <c r="F1542" s="10">
        <f t="shared" ref="F1542:F1601" si="24">+C1542*E1542</f>
        <v>2475</v>
      </c>
    </row>
    <row r="1543" spans="1:6" s="9" customFormat="1" x14ac:dyDescent="0.25">
      <c r="C1543" s="5"/>
      <c r="E1543" s="10"/>
      <c r="F1543" s="8">
        <f>SUM(F1542)</f>
        <v>2475</v>
      </c>
    </row>
    <row r="1544" spans="1:6" s="9" customFormat="1" x14ac:dyDescent="0.25">
      <c r="C1544" s="5"/>
      <c r="E1544" s="10"/>
      <c r="F1544" s="10"/>
    </row>
    <row r="1545" spans="1:6" s="9" customFormat="1" x14ac:dyDescent="0.25">
      <c r="A1545" s="9" t="s">
        <v>58</v>
      </c>
      <c r="B1545" s="4">
        <v>45953</v>
      </c>
      <c r="C1545" s="5">
        <v>10</v>
      </c>
      <c r="D1545" s="9" t="s">
        <v>13</v>
      </c>
      <c r="E1545" s="10">
        <v>155</v>
      </c>
      <c r="F1545" s="10">
        <f t="shared" si="24"/>
        <v>1550</v>
      </c>
    </row>
    <row r="1546" spans="1:6" s="9" customFormat="1" x14ac:dyDescent="0.25">
      <c r="B1546" s="4"/>
      <c r="C1546" s="5"/>
      <c r="E1546" s="10"/>
      <c r="F1546" s="8">
        <f>SUM(F1545)</f>
        <v>1550</v>
      </c>
    </row>
    <row r="1547" spans="1:6" s="9" customFormat="1" x14ac:dyDescent="0.25">
      <c r="C1547" s="5"/>
      <c r="E1547" s="10"/>
      <c r="F1547" s="10"/>
    </row>
    <row r="1548" spans="1:6" s="9" customFormat="1" x14ac:dyDescent="0.25">
      <c r="A1548" s="9" t="s">
        <v>427</v>
      </c>
      <c r="B1548" s="4">
        <v>45953</v>
      </c>
      <c r="C1548" s="5">
        <v>10</v>
      </c>
      <c r="D1548" s="9" t="s">
        <v>12</v>
      </c>
      <c r="E1548" s="10">
        <v>150</v>
      </c>
      <c r="F1548" s="10">
        <f t="shared" si="24"/>
        <v>1500</v>
      </c>
    </row>
    <row r="1549" spans="1:6" s="9" customFormat="1" x14ac:dyDescent="0.25">
      <c r="B1549" s="4"/>
      <c r="C1549" s="5">
        <v>5</v>
      </c>
      <c r="D1549" s="9" t="s">
        <v>13</v>
      </c>
      <c r="E1549" s="10">
        <v>160</v>
      </c>
      <c r="F1549" s="10">
        <f t="shared" si="24"/>
        <v>800</v>
      </c>
    </row>
    <row r="1550" spans="1:6" s="9" customFormat="1" x14ac:dyDescent="0.25">
      <c r="C1550" s="5"/>
      <c r="E1550" s="10"/>
      <c r="F1550" s="8">
        <f>SUM(F1548:F1549)</f>
        <v>2300</v>
      </c>
    </row>
    <row r="1551" spans="1:6" s="9" customFormat="1" x14ac:dyDescent="0.25">
      <c r="C1551" s="5"/>
      <c r="E1551" s="10"/>
      <c r="F1551" s="10"/>
    </row>
    <row r="1552" spans="1:6" s="9" customFormat="1" x14ac:dyDescent="0.25">
      <c r="A1552" s="9" t="s">
        <v>17</v>
      </c>
      <c r="B1552" s="4">
        <v>45953</v>
      </c>
      <c r="C1552" s="5">
        <v>10</v>
      </c>
      <c r="D1552" s="9" t="s">
        <v>13</v>
      </c>
      <c r="E1552" s="10">
        <v>160</v>
      </c>
      <c r="F1552" s="10">
        <f t="shared" si="24"/>
        <v>1600</v>
      </c>
    </row>
    <row r="1553" spans="1:6" s="9" customFormat="1" x14ac:dyDescent="0.25">
      <c r="C1553" s="5"/>
      <c r="E1553" s="10"/>
      <c r="F1553" s="8">
        <f>SUM(F1552)</f>
        <v>1600</v>
      </c>
    </row>
    <row r="1554" spans="1:6" s="9" customFormat="1" x14ac:dyDescent="0.25">
      <c r="C1554" s="5"/>
      <c r="E1554" s="10"/>
      <c r="F1554" s="10"/>
    </row>
    <row r="1555" spans="1:6" s="9" customFormat="1" x14ac:dyDescent="0.25">
      <c r="A1555" s="9" t="s">
        <v>20</v>
      </c>
      <c r="B1555" s="4">
        <v>45953</v>
      </c>
      <c r="C1555" s="5">
        <v>20</v>
      </c>
      <c r="D1555" s="9" t="s">
        <v>13</v>
      </c>
      <c r="E1555" s="10">
        <v>160</v>
      </c>
      <c r="F1555" s="10">
        <f t="shared" si="24"/>
        <v>3200</v>
      </c>
    </row>
    <row r="1556" spans="1:6" s="9" customFormat="1" x14ac:dyDescent="0.25">
      <c r="B1556" s="4"/>
      <c r="C1556" s="5"/>
      <c r="E1556" s="10"/>
      <c r="F1556" s="8">
        <f>SUM(F1555)</f>
        <v>3200</v>
      </c>
    </row>
    <row r="1557" spans="1:6" s="9" customFormat="1" x14ac:dyDescent="0.25">
      <c r="C1557" s="5"/>
      <c r="E1557" s="10"/>
      <c r="F1557" s="10"/>
    </row>
    <row r="1558" spans="1:6" s="9" customFormat="1" x14ac:dyDescent="0.25">
      <c r="A1558" s="9" t="s">
        <v>21</v>
      </c>
      <c r="B1558" s="4">
        <v>45953</v>
      </c>
      <c r="C1558" s="5">
        <v>40</v>
      </c>
      <c r="D1558" s="9" t="s">
        <v>13</v>
      </c>
      <c r="E1558" s="10">
        <v>160</v>
      </c>
      <c r="F1558" s="10">
        <f t="shared" si="24"/>
        <v>6400</v>
      </c>
    </row>
    <row r="1559" spans="1:6" s="9" customFormat="1" x14ac:dyDescent="0.25">
      <c r="C1559" s="5">
        <v>20</v>
      </c>
      <c r="D1559" s="9" t="s">
        <v>12</v>
      </c>
      <c r="E1559" s="10">
        <v>150</v>
      </c>
      <c r="F1559" s="10">
        <f t="shared" si="24"/>
        <v>3000</v>
      </c>
    </row>
    <row r="1560" spans="1:6" s="9" customFormat="1" x14ac:dyDescent="0.25">
      <c r="C1560" s="5">
        <v>10</v>
      </c>
      <c r="D1560" s="9" t="s">
        <v>50</v>
      </c>
      <c r="E1560" s="10">
        <v>140</v>
      </c>
      <c r="F1560" s="10">
        <f t="shared" si="24"/>
        <v>1400</v>
      </c>
    </row>
    <row r="1561" spans="1:6" s="9" customFormat="1" x14ac:dyDescent="0.25">
      <c r="C1561" s="5"/>
      <c r="E1561" s="10"/>
      <c r="F1561" s="8">
        <f>SUM(F1558:F1560)</f>
        <v>10800</v>
      </c>
    </row>
    <row r="1562" spans="1:6" s="9" customFormat="1" x14ac:dyDescent="0.25">
      <c r="C1562" s="5"/>
      <c r="E1562" s="10"/>
      <c r="F1562" s="10"/>
    </row>
    <row r="1563" spans="1:6" s="9" customFormat="1" x14ac:dyDescent="0.25">
      <c r="A1563" s="9" t="s">
        <v>57</v>
      </c>
      <c r="B1563" s="4">
        <v>45953</v>
      </c>
      <c r="C1563" s="5">
        <v>10</v>
      </c>
      <c r="D1563" s="9" t="s">
        <v>13</v>
      </c>
      <c r="E1563" s="10">
        <v>160</v>
      </c>
      <c r="F1563" s="10">
        <f t="shared" si="24"/>
        <v>1600</v>
      </c>
    </row>
    <row r="1564" spans="1:6" s="9" customFormat="1" x14ac:dyDescent="0.25">
      <c r="B1564" s="4"/>
      <c r="C1564" s="5">
        <v>10</v>
      </c>
      <c r="D1564" s="9" t="s">
        <v>14</v>
      </c>
      <c r="E1564" s="10">
        <v>155</v>
      </c>
      <c r="F1564" s="10">
        <f t="shared" si="24"/>
        <v>1550</v>
      </c>
    </row>
    <row r="1565" spans="1:6" s="9" customFormat="1" x14ac:dyDescent="0.25">
      <c r="C1565" s="5"/>
      <c r="E1565" s="10"/>
      <c r="F1565" s="8">
        <f>SUM(F1563:F1564)</f>
        <v>3150</v>
      </c>
    </row>
    <row r="1566" spans="1:6" s="9" customFormat="1" x14ac:dyDescent="0.25">
      <c r="C1566" s="5"/>
      <c r="E1566" s="10"/>
      <c r="F1566" s="10"/>
    </row>
    <row r="1567" spans="1:6" s="9" customFormat="1" x14ac:dyDescent="0.25">
      <c r="A1567" s="9" t="s">
        <v>21</v>
      </c>
      <c r="B1567" s="4">
        <v>45953</v>
      </c>
      <c r="C1567" s="5">
        <v>20</v>
      </c>
      <c r="D1567" s="9" t="s">
        <v>12</v>
      </c>
      <c r="E1567" s="10">
        <v>150</v>
      </c>
      <c r="F1567" s="10">
        <f t="shared" si="24"/>
        <v>3000</v>
      </c>
    </row>
    <row r="1568" spans="1:6" s="9" customFormat="1" x14ac:dyDescent="0.25">
      <c r="C1568" s="5">
        <v>10</v>
      </c>
      <c r="D1568" s="9" t="s">
        <v>14</v>
      </c>
      <c r="E1568" s="10">
        <v>155</v>
      </c>
      <c r="F1568" s="10">
        <f t="shared" si="24"/>
        <v>1550</v>
      </c>
    </row>
    <row r="1569" spans="1:6" s="9" customFormat="1" x14ac:dyDescent="0.25">
      <c r="C1569" s="5"/>
      <c r="E1569" s="10"/>
      <c r="F1569" s="8">
        <f>SUM(F1567:F1568)</f>
        <v>4550</v>
      </c>
    </row>
    <row r="1570" spans="1:6" s="9" customFormat="1" x14ac:dyDescent="0.25">
      <c r="B1570" s="4"/>
      <c r="C1570" s="5"/>
      <c r="E1570" s="10"/>
      <c r="F1570" s="10"/>
    </row>
    <row r="1571" spans="1:6" s="9" customFormat="1" x14ac:dyDescent="0.25">
      <c r="A1571" s="9" t="s">
        <v>1017</v>
      </c>
      <c r="B1571" s="4">
        <v>45953</v>
      </c>
      <c r="C1571" s="5">
        <v>10</v>
      </c>
      <c r="D1571" s="9" t="s">
        <v>12</v>
      </c>
      <c r="E1571" s="10">
        <v>150</v>
      </c>
      <c r="F1571" s="10">
        <f t="shared" si="24"/>
        <v>1500</v>
      </c>
    </row>
    <row r="1572" spans="1:6" s="9" customFormat="1" x14ac:dyDescent="0.25">
      <c r="C1572" s="5">
        <v>15</v>
      </c>
      <c r="D1572" s="9" t="s">
        <v>13</v>
      </c>
      <c r="E1572" s="10">
        <v>160</v>
      </c>
      <c r="F1572" s="10">
        <f t="shared" si="24"/>
        <v>2400</v>
      </c>
    </row>
    <row r="1573" spans="1:6" s="9" customFormat="1" x14ac:dyDescent="0.25">
      <c r="B1573" s="4"/>
      <c r="C1573" s="5">
        <v>12</v>
      </c>
      <c r="D1573" s="9" t="s">
        <v>8</v>
      </c>
      <c r="E1573" s="10">
        <v>165</v>
      </c>
      <c r="F1573" s="10">
        <f t="shared" si="24"/>
        <v>1980</v>
      </c>
    </row>
    <row r="1574" spans="1:6" s="9" customFormat="1" x14ac:dyDescent="0.25">
      <c r="C1574" s="5"/>
      <c r="E1574" s="10"/>
      <c r="F1574" s="8">
        <f>SUM(F1571:F1573)</f>
        <v>5880</v>
      </c>
    </row>
    <row r="1575" spans="1:6" s="9" customFormat="1" x14ac:dyDescent="0.25">
      <c r="C1575" s="5"/>
      <c r="E1575" s="10"/>
      <c r="F1575" s="10"/>
    </row>
    <row r="1576" spans="1:6" s="9" customFormat="1" x14ac:dyDescent="0.25">
      <c r="A1576" s="9" t="s">
        <v>25</v>
      </c>
      <c r="B1576" s="4">
        <v>45953</v>
      </c>
      <c r="C1576" s="5">
        <v>20</v>
      </c>
      <c r="D1576" s="9" t="s">
        <v>50</v>
      </c>
      <c r="E1576" s="10">
        <v>140</v>
      </c>
      <c r="F1576" s="10">
        <f t="shared" si="24"/>
        <v>2800</v>
      </c>
    </row>
    <row r="1577" spans="1:6" s="9" customFormat="1" x14ac:dyDescent="0.25">
      <c r="B1577" s="4"/>
      <c r="C1577" s="5">
        <v>10</v>
      </c>
      <c r="D1577" s="9" t="s">
        <v>8</v>
      </c>
      <c r="E1577" s="10">
        <v>165</v>
      </c>
      <c r="F1577" s="10">
        <f t="shared" si="24"/>
        <v>1650</v>
      </c>
    </row>
    <row r="1578" spans="1:6" s="9" customFormat="1" x14ac:dyDescent="0.25">
      <c r="C1578" s="5">
        <v>10</v>
      </c>
      <c r="D1578" s="9" t="s">
        <v>395</v>
      </c>
      <c r="E1578" s="10">
        <v>160</v>
      </c>
      <c r="F1578" s="10">
        <f t="shared" si="24"/>
        <v>1600</v>
      </c>
    </row>
    <row r="1579" spans="1:6" s="9" customFormat="1" x14ac:dyDescent="0.25">
      <c r="C1579" s="5"/>
      <c r="E1579" s="10"/>
      <c r="F1579" s="8">
        <f>SUM(F1576:F1578)</f>
        <v>6050</v>
      </c>
    </row>
    <row r="1580" spans="1:6" s="9" customFormat="1" x14ac:dyDescent="0.25">
      <c r="B1580" s="4"/>
      <c r="C1580" s="5"/>
      <c r="E1580" s="10"/>
      <c r="F1580" s="10"/>
    </row>
    <row r="1581" spans="1:6" s="9" customFormat="1" x14ac:dyDescent="0.25">
      <c r="A1581" s="9" t="s">
        <v>59</v>
      </c>
      <c r="B1581" s="4">
        <v>45953</v>
      </c>
      <c r="C1581" s="5">
        <v>20</v>
      </c>
      <c r="D1581" s="9" t="s">
        <v>13</v>
      </c>
      <c r="E1581" s="10">
        <v>160</v>
      </c>
      <c r="F1581" s="10">
        <f t="shared" si="24"/>
        <v>3200</v>
      </c>
    </row>
    <row r="1582" spans="1:6" s="9" customFormat="1" x14ac:dyDescent="0.25">
      <c r="C1582" s="5"/>
      <c r="E1582" s="10"/>
      <c r="F1582" s="8">
        <f>SUM(F1581)</f>
        <v>3200</v>
      </c>
    </row>
    <row r="1583" spans="1:6" s="9" customFormat="1" x14ac:dyDescent="0.25">
      <c r="C1583" s="5"/>
      <c r="E1583" s="10"/>
      <c r="F1583" s="10"/>
    </row>
    <row r="1584" spans="1:6" s="9" customFormat="1" x14ac:dyDescent="0.25">
      <c r="A1584" s="9" t="s">
        <v>112</v>
      </c>
      <c r="B1584" s="4">
        <v>45953</v>
      </c>
      <c r="C1584" s="5">
        <v>32</v>
      </c>
      <c r="D1584" s="9" t="s">
        <v>13</v>
      </c>
      <c r="E1584" s="10">
        <v>153</v>
      </c>
      <c r="F1584" s="10">
        <f t="shared" si="24"/>
        <v>4896</v>
      </c>
    </row>
    <row r="1585" spans="1:6" s="9" customFormat="1" x14ac:dyDescent="0.25">
      <c r="C1585" s="5">
        <v>17</v>
      </c>
      <c r="D1585" s="9" t="s">
        <v>395</v>
      </c>
      <c r="E1585" s="10">
        <v>158</v>
      </c>
      <c r="F1585" s="10">
        <f t="shared" si="24"/>
        <v>2686</v>
      </c>
    </row>
    <row r="1586" spans="1:6" s="9" customFormat="1" x14ac:dyDescent="0.25">
      <c r="C1586" s="5"/>
      <c r="E1586" s="10"/>
      <c r="F1586" s="8">
        <f>SUM(F1584:F1585)</f>
        <v>7582</v>
      </c>
    </row>
    <row r="1587" spans="1:6" s="9" customFormat="1" x14ac:dyDescent="0.25">
      <c r="B1587" s="4"/>
      <c r="C1587" s="5"/>
      <c r="E1587" s="10"/>
      <c r="F1587" s="10"/>
    </row>
    <row r="1588" spans="1:6" s="9" customFormat="1" x14ac:dyDescent="0.25">
      <c r="A1588" s="9" t="s">
        <v>18</v>
      </c>
      <c r="B1588" s="4">
        <v>45953</v>
      </c>
      <c r="C1588" s="5">
        <v>5</v>
      </c>
      <c r="D1588" s="9" t="s">
        <v>13</v>
      </c>
      <c r="E1588" s="10">
        <v>160</v>
      </c>
      <c r="F1588" s="10">
        <f t="shared" si="24"/>
        <v>800</v>
      </c>
    </row>
    <row r="1589" spans="1:6" s="9" customFormat="1" x14ac:dyDescent="0.25">
      <c r="C1589" s="5"/>
      <c r="E1589" s="10"/>
      <c r="F1589" s="8">
        <f>SUM(F1588)</f>
        <v>800</v>
      </c>
    </row>
    <row r="1590" spans="1:6" s="9" customFormat="1" x14ac:dyDescent="0.25">
      <c r="B1590" s="4"/>
      <c r="C1590" s="5"/>
      <c r="E1590" s="10"/>
      <c r="F1590" s="10"/>
    </row>
    <row r="1591" spans="1:6" s="9" customFormat="1" x14ac:dyDescent="0.25">
      <c r="A1591" s="9" t="s">
        <v>391</v>
      </c>
      <c r="B1591" s="4">
        <v>45953</v>
      </c>
      <c r="C1591" s="5">
        <v>20</v>
      </c>
      <c r="D1591" s="9" t="s">
        <v>13</v>
      </c>
      <c r="E1591" s="10">
        <v>155</v>
      </c>
      <c r="F1591" s="10">
        <f t="shared" si="24"/>
        <v>3100</v>
      </c>
    </row>
    <row r="1592" spans="1:6" s="9" customFormat="1" x14ac:dyDescent="0.25">
      <c r="C1592" s="5"/>
      <c r="E1592" s="10"/>
      <c r="F1592" s="8">
        <f>SUM(F1591)</f>
        <v>3100</v>
      </c>
    </row>
    <row r="1593" spans="1:6" s="9" customFormat="1" x14ac:dyDescent="0.25">
      <c r="B1593" s="4"/>
      <c r="C1593" s="5"/>
      <c r="E1593" s="10"/>
      <c r="F1593" s="10"/>
    </row>
    <row r="1594" spans="1:6" s="9" customFormat="1" x14ac:dyDescent="0.25">
      <c r="A1594" s="9" t="s">
        <v>88</v>
      </c>
      <c r="B1594" s="4">
        <v>45953</v>
      </c>
      <c r="C1594" s="5">
        <v>7</v>
      </c>
      <c r="D1594" s="9" t="s">
        <v>13</v>
      </c>
      <c r="E1594" s="10">
        <v>165</v>
      </c>
      <c r="F1594" s="10">
        <f t="shared" si="24"/>
        <v>1155</v>
      </c>
    </row>
    <row r="1595" spans="1:6" s="9" customFormat="1" x14ac:dyDescent="0.25">
      <c r="C1595" s="5">
        <v>10</v>
      </c>
      <c r="D1595" s="9" t="s">
        <v>615</v>
      </c>
      <c r="E1595" s="10">
        <v>165</v>
      </c>
      <c r="F1595" s="10">
        <f t="shared" si="24"/>
        <v>1650</v>
      </c>
    </row>
    <row r="1596" spans="1:6" s="9" customFormat="1" x14ac:dyDescent="0.25">
      <c r="C1596" s="5"/>
      <c r="E1596" s="10"/>
      <c r="F1596" s="8">
        <f>SUM(F1594:F1595)</f>
        <v>2805</v>
      </c>
    </row>
    <row r="1597" spans="1:6" s="9" customFormat="1" x14ac:dyDescent="0.25">
      <c r="C1597" s="5"/>
      <c r="E1597" s="10"/>
      <c r="F1597" s="10"/>
    </row>
    <row r="1598" spans="1:6" s="9" customFormat="1" x14ac:dyDescent="0.25">
      <c r="A1598" s="9" t="s">
        <v>68</v>
      </c>
      <c r="B1598" s="4">
        <v>45953</v>
      </c>
      <c r="C1598" s="5">
        <v>3</v>
      </c>
      <c r="D1598" s="9" t="s">
        <v>13</v>
      </c>
      <c r="E1598" s="10">
        <v>165</v>
      </c>
      <c r="F1598" s="10">
        <f t="shared" si="24"/>
        <v>495</v>
      </c>
    </row>
    <row r="1599" spans="1:6" s="9" customFormat="1" x14ac:dyDescent="0.25">
      <c r="C1599" s="5"/>
      <c r="E1599" s="10"/>
      <c r="F1599" s="8">
        <f>SUM(F1598)</f>
        <v>495</v>
      </c>
    </row>
    <row r="1600" spans="1:6" s="9" customFormat="1" x14ac:dyDescent="0.25">
      <c r="B1600" s="4"/>
      <c r="C1600" s="5"/>
      <c r="E1600" s="10"/>
      <c r="F1600" s="10"/>
    </row>
    <row r="1601" spans="1:6" s="9" customFormat="1" x14ac:dyDescent="0.25">
      <c r="A1601" s="9" t="s">
        <v>853</v>
      </c>
      <c r="B1601" s="4">
        <v>45953</v>
      </c>
      <c r="C1601" s="5">
        <v>3</v>
      </c>
      <c r="D1601" s="9" t="s">
        <v>13</v>
      </c>
      <c r="E1601" s="10">
        <v>165</v>
      </c>
      <c r="F1601" s="10">
        <f t="shared" si="24"/>
        <v>495</v>
      </c>
    </row>
    <row r="1602" spans="1:6" s="9" customFormat="1" x14ac:dyDescent="0.25">
      <c r="C1602" s="5"/>
      <c r="E1602" s="10"/>
      <c r="F1602" s="8">
        <f>SUM(F1601)</f>
        <v>495</v>
      </c>
    </row>
    <row r="1603" spans="1:6" s="9" customFormat="1" x14ac:dyDescent="0.25">
      <c r="C1603" s="5"/>
      <c r="E1603" s="10"/>
      <c r="F1603" s="10"/>
    </row>
    <row r="1604" spans="1:6" s="9" customFormat="1" x14ac:dyDescent="0.25">
      <c r="A1604" s="9" t="s">
        <v>65</v>
      </c>
      <c r="B1604" s="4">
        <v>45953</v>
      </c>
      <c r="C1604" s="5">
        <v>184</v>
      </c>
      <c r="D1604" s="9" t="s">
        <v>12</v>
      </c>
      <c r="E1604" s="10">
        <v>150</v>
      </c>
      <c r="F1604" s="10">
        <f t="shared" ref="F1604:F1665" si="25">+C1604*E1604</f>
        <v>27600</v>
      </c>
    </row>
    <row r="1605" spans="1:6" s="9" customFormat="1" x14ac:dyDescent="0.25">
      <c r="C1605" s="5">
        <v>19</v>
      </c>
      <c r="D1605" s="9" t="s">
        <v>22</v>
      </c>
      <c r="E1605" s="10">
        <v>135</v>
      </c>
      <c r="F1605" s="10">
        <f t="shared" si="25"/>
        <v>2565</v>
      </c>
    </row>
    <row r="1606" spans="1:6" s="9" customFormat="1" x14ac:dyDescent="0.25">
      <c r="C1606" s="5">
        <v>30</v>
      </c>
      <c r="D1606" s="9" t="s">
        <v>11</v>
      </c>
      <c r="E1606" s="10">
        <v>150</v>
      </c>
      <c r="F1606" s="10">
        <f t="shared" si="25"/>
        <v>4500</v>
      </c>
    </row>
    <row r="1607" spans="1:6" s="9" customFormat="1" x14ac:dyDescent="0.25">
      <c r="C1607" s="5">
        <v>120</v>
      </c>
      <c r="D1607" s="9" t="s">
        <v>14</v>
      </c>
      <c r="E1607" s="10">
        <v>155</v>
      </c>
      <c r="F1607" s="10">
        <f t="shared" si="25"/>
        <v>18600</v>
      </c>
    </row>
    <row r="1608" spans="1:6" s="9" customFormat="1" x14ac:dyDescent="0.25">
      <c r="C1608" s="5"/>
      <c r="E1608" s="10"/>
      <c r="F1608" s="8">
        <f>SUM(F1604:F1607)</f>
        <v>53265</v>
      </c>
    </row>
    <row r="1609" spans="1:6" s="9" customFormat="1" x14ac:dyDescent="0.25">
      <c r="C1609" s="5"/>
      <c r="E1609" s="10"/>
      <c r="F1609" s="10"/>
    </row>
    <row r="1610" spans="1:6" s="9" customFormat="1" x14ac:dyDescent="0.25">
      <c r="A1610" s="9" t="s">
        <v>29</v>
      </c>
      <c r="B1610" s="4">
        <v>45953</v>
      </c>
      <c r="C1610" s="5">
        <v>2</v>
      </c>
      <c r="D1610" s="9" t="s">
        <v>13</v>
      </c>
      <c r="E1610" s="10">
        <v>160</v>
      </c>
      <c r="F1610" s="10">
        <f t="shared" si="25"/>
        <v>320</v>
      </c>
    </row>
    <row r="1611" spans="1:6" s="9" customFormat="1" x14ac:dyDescent="0.25">
      <c r="C1611" s="5">
        <v>2</v>
      </c>
      <c r="D1611" s="9" t="s">
        <v>600</v>
      </c>
      <c r="E1611" s="10">
        <v>140</v>
      </c>
      <c r="F1611" s="10">
        <f t="shared" si="25"/>
        <v>280</v>
      </c>
    </row>
    <row r="1612" spans="1:6" s="9" customFormat="1" x14ac:dyDescent="0.25">
      <c r="C1612" s="5">
        <v>2</v>
      </c>
      <c r="D1612" s="9" t="s">
        <v>1039</v>
      </c>
      <c r="E1612" s="10">
        <v>130</v>
      </c>
      <c r="F1612" s="10">
        <f t="shared" si="25"/>
        <v>260</v>
      </c>
    </row>
    <row r="1613" spans="1:6" s="9" customFormat="1" x14ac:dyDescent="0.25">
      <c r="B1613" s="4"/>
      <c r="C1613" s="5">
        <v>1</v>
      </c>
      <c r="D1613" s="9" t="s">
        <v>12</v>
      </c>
      <c r="E1613" s="10">
        <v>130</v>
      </c>
      <c r="F1613" s="10">
        <f t="shared" si="25"/>
        <v>130</v>
      </c>
    </row>
    <row r="1614" spans="1:6" s="9" customFormat="1" x14ac:dyDescent="0.25">
      <c r="C1614" s="5"/>
      <c r="E1614" s="10"/>
      <c r="F1614" s="8">
        <f>SUM(F1610:F1613)</f>
        <v>990</v>
      </c>
    </row>
    <row r="1615" spans="1:6" s="9" customFormat="1" x14ac:dyDescent="0.25">
      <c r="C1615" s="5"/>
      <c r="E1615" s="10"/>
      <c r="F1615" s="10"/>
    </row>
    <row r="1616" spans="1:6" s="9" customFormat="1" x14ac:dyDescent="0.25">
      <c r="A1616" s="9" t="s">
        <v>181</v>
      </c>
      <c r="B1616" s="4">
        <v>45953</v>
      </c>
      <c r="C1616" s="5">
        <v>2</v>
      </c>
      <c r="D1616" s="9" t="s">
        <v>1007</v>
      </c>
      <c r="E1616" s="10">
        <v>160</v>
      </c>
      <c r="F1616" s="10">
        <f t="shared" si="25"/>
        <v>320</v>
      </c>
    </row>
    <row r="1617" spans="1:6" s="9" customFormat="1" x14ac:dyDescent="0.25">
      <c r="C1617" s="5">
        <v>3</v>
      </c>
      <c r="D1617" s="9" t="s">
        <v>8</v>
      </c>
      <c r="E1617" s="10">
        <v>170</v>
      </c>
      <c r="F1617" s="10">
        <f t="shared" si="25"/>
        <v>510</v>
      </c>
    </row>
    <row r="1618" spans="1:6" s="9" customFormat="1" x14ac:dyDescent="0.25">
      <c r="C1618" s="5">
        <v>2</v>
      </c>
      <c r="D1618" s="9" t="s">
        <v>12</v>
      </c>
      <c r="E1618" s="10">
        <v>150</v>
      </c>
      <c r="F1618" s="10">
        <f t="shared" si="25"/>
        <v>300</v>
      </c>
    </row>
    <row r="1619" spans="1:6" s="9" customFormat="1" x14ac:dyDescent="0.25">
      <c r="B1619" s="4"/>
      <c r="C1619" s="5">
        <v>2</v>
      </c>
      <c r="D1619" s="9" t="s">
        <v>1007</v>
      </c>
      <c r="E1619" s="10">
        <v>160</v>
      </c>
      <c r="F1619" s="10">
        <f t="shared" si="25"/>
        <v>320</v>
      </c>
    </row>
    <row r="1620" spans="1:6" s="9" customFormat="1" x14ac:dyDescent="0.25">
      <c r="C1620" s="5"/>
      <c r="E1620" s="10"/>
      <c r="F1620" s="8">
        <f>SUM(F1616:F1619)</f>
        <v>1450</v>
      </c>
    </row>
    <row r="1621" spans="1:6" s="9" customFormat="1" x14ac:dyDescent="0.25">
      <c r="C1621" s="5"/>
      <c r="E1621" s="10"/>
      <c r="F1621" s="10"/>
    </row>
    <row r="1622" spans="1:6" s="9" customFormat="1" x14ac:dyDescent="0.25">
      <c r="A1622" s="9" t="s">
        <v>15</v>
      </c>
      <c r="B1622" s="4">
        <v>45954</v>
      </c>
      <c r="C1622" s="5">
        <v>61</v>
      </c>
      <c r="D1622" s="9" t="s">
        <v>98</v>
      </c>
      <c r="E1622" s="10">
        <v>115</v>
      </c>
      <c r="F1622" s="10">
        <f t="shared" si="25"/>
        <v>7015</v>
      </c>
    </row>
    <row r="1623" spans="1:6" s="9" customFormat="1" x14ac:dyDescent="0.25">
      <c r="C1623" s="5"/>
      <c r="E1623" s="10"/>
      <c r="F1623" s="8">
        <f>SUM(F1622)</f>
        <v>7015</v>
      </c>
    </row>
    <row r="1624" spans="1:6" s="9" customFormat="1" x14ac:dyDescent="0.25">
      <c r="C1624" s="5"/>
      <c r="E1624" s="10"/>
      <c r="F1624" s="10"/>
    </row>
    <row r="1625" spans="1:6" s="9" customFormat="1" x14ac:dyDescent="0.25">
      <c r="A1625" s="9" t="s">
        <v>270</v>
      </c>
      <c r="B1625" s="4">
        <v>45954</v>
      </c>
      <c r="C1625" s="5">
        <v>15</v>
      </c>
      <c r="D1625" s="9" t="s">
        <v>98</v>
      </c>
      <c r="E1625" s="10">
        <v>120</v>
      </c>
      <c r="F1625" s="10">
        <f t="shared" si="25"/>
        <v>1800</v>
      </c>
    </row>
    <row r="1626" spans="1:6" s="9" customFormat="1" x14ac:dyDescent="0.25">
      <c r="B1626" s="4"/>
      <c r="C1626" s="5"/>
      <c r="E1626" s="10"/>
      <c r="F1626" s="8">
        <f>SUM(F1625)</f>
        <v>1800</v>
      </c>
    </row>
    <row r="1627" spans="1:6" s="9" customFormat="1" x14ac:dyDescent="0.25">
      <c r="C1627" s="5"/>
      <c r="E1627" s="10"/>
      <c r="F1627" s="10"/>
    </row>
    <row r="1628" spans="1:6" s="9" customFormat="1" x14ac:dyDescent="0.25">
      <c r="A1628" s="9" t="s">
        <v>487</v>
      </c>
      <c r="B1628" s="4">
        <v>45954</v>
      </c>
      <c r="C1628" s="5">
        <v>5</v>
      </c>
      <c r="D1628" s="9" t="s">
        <v>12</v>
      </c>
      <c r="E1628" s="10">
        <v>155</v>
      </c>
      <c r="F1628" s="10">
        <f t="shared" si="25"/>
        <v>775</v>
      </c>
    </row>
    <row r="1629" spans="1:6" s="9" customFormat="1" x14ac:dyDescent="0.25">
      <c r="B1629" s="4"/>
      <c r="C1629" s="5"/>
      <c r="E1629" s="10"/>
      <c r="F1629" s="8">
        <f>SUM(F1628)</f>
        <v>775</v>
      </c>
    </row>
    <row r="1630" spans="1:6" s="9" customFormat="1" x14ac:dyDescent="0.25">
      <c r="C1630" s="5"/>
      <c r="E1630" s="10"/>
      <c r="F1630" s="10"/>
    </row>
    <row r="1631" spans="1:6" s="9" customFormat="1" x14ac:dyDescent="0.25">
      <c r="A1631" s="9" t="s">
        <v>719</v>
      </c>
      <c r="B1631" s="4">
        <v>45954</v>
      </c>
      <c r="C1631" s="5">
        <v>2</v>
      </c>
      <c r="D1631" s="9" t="s">
        <v>8</v>
      </c>
      <c r="E1631" s="10">
        <v>180</v>
      </c>
      <c r="F1631" s="10">
        <f t="shared" si="25"/>
        <v>360</v>
      </c>
    </row>
    <row r="1632" spans="1:6" s="9" customFormat="1" x14ac:dyDescent="0.25">
      <c r="B1632" s="4"/>
      <c r="C1632" s="5"/>
      <c r="E1632" s="10"/>
      <c r="F1632" s="8">
        <f>SUM(F1631)</f>
        <v>360</v>
      </c>
    </row>
    <row r="1633" spans="1:6" s="9" customFormat="1" x14ac:dyDescent="0.25">
      <c r="C1633" s="5"/>
      <c r="E1633" s="10"/>
      <c r="F1633" s="10"/>
    </row>
    <row r="1634" spans="1:6" s="9" customFormat="1" x14ac:dyDescent="0.25">
      <c r="A1634" s="9" t="s">
        <v>112</v>
      </c>
      <c r="B1634" s="4">
        <v>45954</v>
      </c>
      <c r="C1634" s="5">
        <v>30</v>
      </c>
      <c r="D1634" s="9" t="s">
        <v>11</v>
      </c>
      <c r="E1634" s="10">
        <v>145</v>
      </c>
      <c r="F1634" s="10">
        <f t="shared" si="25"/>
        <v>4350</v>
      </c>
    </row>
    <row r="1635" spans="1:6" s="9" customFormat="1" x14ac:dyDescent="0.25">
      <c r="B1635" s="4"/>
      <c r="C1635" s="5">
        <v>30</v>
      </c>
      <c r="D1635" s="9" t="s">
        <v>14</v>
      </c>
      <c r="E1635" s="10">
        <v>150</v>
      </c>
      <c r="F1635" s="10">
        <f t="shared" si="25"/>
        <v>4500</v>
      </c>
    </row>
    <row r="1636" spans="1:6" s="9" customFormat="1" x14ac:dyDescent="0.25">
      <c r="C1636" s="5">
        <v>30</v>
      </c>
      <c r="D1636" s="9" t="s">
        <v>13</v>
      </c>
      <c r="E1636" s="10">
        <v>155</v>
      </c>
      <c r="F1636" s="10">
        <f t="shared" si="25"/>
        <v>4650</v>
      </c>
    </row>
    <row r="1637" spans="1:6" s="9" customFormat="1" x14ac:dyDescent="0.25">
      <c r="C1637" s="5">
        <v>30</v>
      </c>
      <c r="D1637" s="9" t="s">
        <v>8</v>
      </c>
      <c r="E1637" s="10">
        <v>160</v>
      </c>
      <c r="F1637" s="10">
        <f t="shared" si="25"/>
        <v>4800</v>
      </c>
    </row>
    <row r="1638" spans="1:6" s="9" customFormat="1" x14ac:dyDescent="0.25">
      <c r="B1638" s="4"/>
      <c r="C1638" s="5"/>
      <c r="E1638" s="10"/>
      <c r="F1638" s="8">
        <f>SUM(F1634:F1637)</f>
        <v>18300</v>
      </c>
    </row>
    <row r="1639" spans="1:6" s="9" customFormat="1" x14ac:dyDescent="0.25">
      <c r="C1639" s="5"/>
      <c r="E1639" s="10"/>
      <c r="F1639" s="10"/>
    </row>
    <row r="1640" spans="1:6" s="9" customFormat="1" x14ac:dyDescent="0.25">
      <c r="A1640" s="9" t="s">
        <v>245</v>
      </c>
      <c r="B1640" s="4">
        <v>45954</v>
      </c>
      <c r="C1640" s="5">
        <v>20</v>
      </c>
      <c r="D1640" s="9" t="s">
        <v>14</v>
      </c>
      <c r="E1640" s="10">
        <v>150</v>
      </c>
      <c r="F1640" s="10">
        <f t="shared" si="25"/>
        <v>3000</v>
      </c>
    </row>
    <row r="1641" spans="1:6" s="9" customFormat="1" x14ac:dyDescent="0.25">
      <c r="C1641" s="5"/>
      <c r="E1641" s="10"/>
      <c r="F1641" s="8">
        <f>SUM(F1640)</f>
        <v>3000</v>
      </c>
    </row>
    <row r="1642" spans="1:6" s="9" customFormat="1" x14ac:dyDescent="0.25">
      <c r="C1642" s="5"/>
      <c r="E1642" s="10"/>
      <c r="F1642" s="10"/>
    </row>
    <row r="1643" spans="1:6" s="9" customFormat="1" x14ac:dyDescent="0.25">
      <c r="A1643" s="9" t="s">
        <v>68</v>
      </c>
      <c r="B1643" s="4">
        <v>45954</v>
      </c>
      <c r="C1643" s="5">
        <v>3</v>
      </c>
      <c r="D1643" s="9" t="s">
        <v>13</v>
      </c>
      <c r="E1643" s="10">
        <v>165</v>
      </c>
      <c r="F1643" s="10">
        <f t="shared" si="25"/>
        <v>495</v>
      </c>
    </row>
    <row r="1644" spans="1:6" s="9" customFormat="1" x14ac:dyDescent="0.25">
      <c r="C1644" s="5"/>
      <c r="E1644" s="10"/>
      <c r="F1644" s="8">
        <f>SUM(F1643)</f>
        <v>495</v>
      </c>
    </row>
    <row r="1645" spans="1:6" s="9" customFormat="1" x14ac:dyDescent="0.25">
      <c r="C1645" s="5"/>
      <c r="E1645" s="10"/>
      <c r="F1645" s="10"/>
    </row>
    <row r="1646" spans="1:6" s="9" customFormat="1" x14ac:dyDescent="0.25">
      <c r="A1646" s="9" t="s">
        <v>41</v>
      </c>
      <c r="B1646" s="4">
        <v>45954</v>
      </c>
      <c r="C1646" s="5">
        <v>35</v>
      </c>
      <c r="D1646" s="9" t="s">
        <v>14</v>
      </c>
      <c r="E1646" s="10">
        <v>145</v>
      </c>
      <c r="F1646" s="10">
        <f t="shared" si="25"/>
        <v>5075</v>
      </c>
    </row>
    <row r="1647" spans="1:6" s="9" customFormat="1" x14ac:dyDescent="0.25">
      <c r="C1647" s="5"/>
      <c r="E1647" s="10"/>
      <c r="F1647" s="8">
        <f>SUM(F1646)</f>
        <v>5075</v>
      </c>
    </row>
    <row r="1648" spans="1:6" s="9" customFormat="1" x14ac:dyDescent="0.25">
      <c r="C1648" s="5"/>
      <c r="E1648" s="10"/>
      <c r="F1648" s="10"/>
    </row>
    <row r="1649" spans="1:6" s="9" customFormat="1" x14ac:dyDescent="0.25">
      <c r="A1649" s="9" t="s">
        <v>43</v>
      </c>
      <c r="B1649" s="4">
        <v>45954</v>
      </c>
      <c r="C1649" s="5">
        <v>20</v>
      </c>
      <c r="D1649" s="9" t="s">
        <v>14</v>
      </c>
      <c r="E1649" s="10">
        <v>160</v>
      </c>
      <c r="F1649" s="10">
        <f t="shared" si="25"/>
        <v>3200</v>
      </c>
    </row>
    <row r="1650" spans="1:6" s="9" customFormat="1" x14ac:dyDescent="0.25">
      <c r="C1650" s="5"/>
      <c r="E1650" s="10"/>
      <c r="F1650" s="8">
        <f>SUM(F1649)</f>
        <v>3200</v>
      </c>
    </row>
    <row r="1651" spans="1:6" s="9" customFormat="1" x14ac:dyDescent="0.25">
      <c r="C1651" s="5"/>
      <c r="E1651" s="10"/>
      <c r="F1651" s="10"/>
    </row>
    <row r="1652" spans="1:6" s="9" customFormat="1" x14ac:dyDescent="0.25">
      <c r="A1652" s="9" t="s">
        <v>44</v>
      </c>
      <c r="B1652" s="4">
        <v>45954</v>
      </c>
      <c r="C1652" s="5">
        <v>40</v>
      </c>
      <c r="D1652" s="9" t="s">
        <v>14</v>
      </c>
      <c r="E1652" s="10">
        <v>155</v>
      </c>
      <c r="F1652" s="10">
        <f t="shared" si="25"/>
        <v>6200</v>
      </c>
    </row>
    <row r="1653" spans="1:6" s="9" customFormat="1" x14ac:dyDescent="0.25">
      <c r="C1653" s="5"/>
      <c r="E1653" s="10"/>
      <c r="F1653" s="8">
        <f>SUM(F1652)</f>
        <v>6200</v>
      </c>
    </row>
    <row r="1654" spans="1:6" s="9" customFormat="1" x14ac:dyDescent="0.25">
      <c r="C1654" s="5"/>
      <c r="E1654" s="10"/>
      <c r="F1654" s="10"/>
    </row>
    <row r="1655" spans="1:6" s="9" customFormat="1" x14ac:dyDescent="0.25">
      <c r="A1655" s="9" t="s">
        <v>18</v>
      </c>
      <c r="B1655" s="4">
        <v>45954</v>
      </c>
      <c r="C1655" s="5">
        <v>10</v>
      </c>
      <c r="D1655" s="9" t="s">
        <v>14</v>
      </c>
      <c r="E1655" s="10">
        <v>160</v>
      </c>
      <c r="F1655" s="10">
        <f t="shared" si="25"/>
        <v>1600</v>
      </c>
    </row>
    <row r="1656" spans="1:6" s="9" customFormat="1" x14ac:dyDescent="0.25">
      <c r="C1656" s="5">
        <v>26</v>
      </c>
      <c r="D1656" s="9" t="s">
        <v>11</v>
      </c>
      <c r="E1656" s="10">
        <v>150</v>
      </c>
      <c r="F1656" s="10">
        <f t="shared" si="25"/>
        <v>3900</v>
      </c>
    </row>
    <row r="1657" spans="1:6" s="9" customFormat="1" x14ac:dyDescent="0.25">
      <c r="C1657" s="5"/>
      <c r="E1657" s="10"/>
      <c r="F1657" s="8">
        <f>SUM(F1655:F1656)</f>
        <v>5500</v>
      </c>
    </row>
    <row r="1658" spans="1:6" s="9" customFormat="1" x14ac:dyDescent="0.25">
      <c r="C1658" s="5"/>
      <c r="E1658" s="10"/>
      <c r="F1658" s="10"/>
    </row>
    <row r="1659" spans="1:6" s="9" customFormat="1" x14ac:dyDescent="0.25">
      <c r="A1659" s="9" t="s">
        <v>138</v>
      </c>
      <c r="B1659" s="4">
        <v>45954</v>
      </c>
      <c r="C1659" s="5">
        <v>15</v>
      </c>
      <c r="D1659" s="9" t="s">
        <v>14</v>
      </c>
      <c r="E1659" s="10">
        <v>160</v>
      </c>
      <c r="F1659" s="10">
        <f t="shared" si="25"/>
        <v>2400</v>
      </c>
    </row>
    <row r="1660" spans="1:6" s="9" customFormat="1" x14ac:dyDescent="0.25">
      <c r="C1660" s="5"/>
      <c r="E1660" s="10"/>
      <c r="F1660" s="8">
        <f>SUM(F1659)</f>
        <v>2400</v>
      </c>
    </row>
    <row r="1661" spans="1:6" s="9" customFormat="1" x14ac:dyDescent="0.25">
      <c r="C1661" s="5"/>
      <c r="E1661" s="10"/>
      <c r="F1661" s="10"/>
    </row>
    <row r="1662" spans="1:6" s="9" customFormat="1" x14ac:dyDescent="0.25">
      <c r="A1662" s="9" t="s">
        <v>455</v>
      </c>
      <c r="B1662" s="4">
        <v>45954</v>
      </c>
      <c r="C1662" s="5">
        <v>30</v>
      </c>
      <c r="D1662" s="9" t="s">
        <v>14</v>
      </c>
      <c r="E1662" s="10">
        <v>155</v>
      </c>
      <c r="F1662" s="10">
        <f t="shared" si="25"/>
        <v>4650</v>
      </c>
    </row>
    <row r="1663" spans="1:6" s="9" customFormat="1" x14ac:dyDescent="0.25">
      <c r="C1663" s="5"/>
      <c r="E1663" s="10"/>
      <c r="F1663" s="8">
        <f>SUM(F1662)</f>
        <v>4650</v>
      </c>
    </row>
    <row r="1664" spans="1:6" s="9" customFormat="1" x14ac:dyDescent="0.25">
      <c r="B1664" s="4"/>
      <c r="C1664" s="5"/>
      <c r="E1664" s="10"/>
      <c r="F1664" s="10"/>
    </row>
    <row r="1665" spans="1:6" s="9" customFormat="1" x14ac:dyDescent="0.25">
      <c r="A1665" s="9" t="s">
        <v>106</v>
      </c>
      <c r="B1665" s="4">
        <v>45954</v>
      </c>
      <c r="C1665" s="5">
        <v>75</v>
      </c>
      <c r="D1665" s="9" t="s">
        <v>12</v>
      </c>
      <c r="E1665" s="10">
        <v>150</v>
      </c>
      <c r="F1665" s="10">
        <f t="shared" si="25"/>
        <v>11250</v>
      </c>
    </row>
    <row r="1666" spans="1:6" s="9" customFormat="1" x14ac:dyDescent="0.25">
      <c r="C1666" s="5"/>
      <c r="E1666" s="10"/>
      <c r="F1666" s="8">
        <f>SUM(F1665)</f>
        <v>11250</v>
      </c>
    </row>
    <row r="1667" spans="1:6" s="9" customFormat="1" x14ac:dyDescent="0.25">
      <c r="B1667" s="4"/>
      <c r="C1667" s="5"/>
      <c r="E1667" s="10"/>
      <c r="F1667" s="10"/>
    </row>
    <row r="1668" spans="1:6" s="9" customFormat="1" x14ac:dyDescent="0.25">
      <c r="A1668" s="9" t="s">
        <v>253</v>
      </c>
      <c r="B1668" s="4">
        <v>45954</v>
      </c>
      <c r="C1668" s="5">
        <v>13</v>
      </c>
      <c r="D1668" s="9" t="s">
        <v>14</v>
      </c>
      <c r="E1668" s="10">
        <v>160</v>
      </c>
      <c r="F1668" s="10">
        <f t="shared" ref="F1668:F1729" si="26">+C1668*E1668</f>
        <v>2080</v>
      </c>
    </row>
    <row r="1669" spans="1:6" s="9" customFormat="1" x14ac:dyDescent="0.25">
      <c r="C1669" s="5"/>
      <c r="E1669" s="10"/>
      <c r="F1669" s="8">
        <f>SUM(F1668)</f>
        <v>2080</v>
      </c>
    </row>
    <row r="1670" spans="1:6" s="9" customFormat="1" x14ac:dyDescent="0.25">
      <c r="B1670" s="4"/>
      <c r="C1670" s="5"/>
      <c r="E1670" s="10"/>
      <c r="F1670" s="10"/>
    </row>
    <row r="1671" spans="1:6" s="9" customFormat="1" x14ac:dyDescent="0.25">
      <c r="A1671" s="9" t="s">
        <v>1021</v>
      </c>
      <c r="B1671" s="4">
        <v>45954</v>
      </c>
      <c r="C1671" s="5">
        <v>13</v>
      </c>
      <c r="D1671" s="9" t="s">
        <v>14</v>
      </c>
      <c r="E1671" s="10">
        <v>160</v>
      </c>
      <c r="F1671" s="10">
        <f t="shared" si="26"/>
        <v>2080</v>
      </c>
    </row>
    <row r="1672" spans="1:6" s="9" customFormat="1" x14ac:dyDescent="0.25">
      <c r="C1672" s="5"/>
      <c r="E1672" s="10"/>
      <c r="F1672" s="8">
        <f>SUM(F1671)</f>
        <v>2080</v>
      </c>
    </row>
    <row r="1673" spans="1:6" s="9" customFormat="1" x14ac:dyDescent="0.25">
      <c r="B1673" s="4"/>
      <c r="C1673" s="5"/>
      <c r="E1673" s="10"/>
      <c r="F1673" s="10"/>
    </row>
    <row r="1674" spans="1:6" s="9" customFormat="1" x14ac:dyDescent="0.25">
      <c r="A1674" s="9" t="s">
        <v>1065</v>
      </c>
      <c r="B1674" s="4">
        <v>45954</v>
      </c>
      <c r="C1674" s="5">
        <v>10</v>
      </c>
      <c r="D1674" s="9" t="s">
        <v>50</v>
      </c>
      <c r="E1674" s="10">
        <v>145</v>
      </c>
      <c r="F1674" s="10">
        <f t="shared" si="26"/>
        <v>1450</v>
      </c>
    </row>
    <row r="1675" spans="1:6" s="9" customFormat="1" x14ac:dyDescent="0.25">
      <c r="C1675" s="5"/>
      <c r="E1675" s="10"/>
      <c r="F1675" s="8">
        <f>SUM(F1674)</f>
        <v>1450</v>
      </c>
    </row>
    <row r="1676" spans="1:6" s="9" customFormat="1" x14ac:dyDescent="0.25">
      <c r="B1676" s="4"/>
      <c r="C1676" s="5"/>
      <c r="E1676" s="10"/>
      <c r="F1676" s="10"/>
    </row>
    <row r="1677" spans="1:6" s="9" customFormat="1" x14ac:dyDescent="0.25">
      <c r="A1677" s="9" t="s">
        <v>292</v>
      </c>
      <c r="B1677" s="4">
        <v>45954</v>
      </c>
      <c r="C1677" s="5">
        <v>5</v>
      </c>
      <c r="D1677" s="9" t="s">
        <v>14</v>
      </c>
      <c r="E1677" s="10">
        <v>150</v>
      </c>
      <c r="F1677" s="10">
        <f t="shared" si="26"/>
        <v>750</v>
      </c>
    </row>
    <row r="1678" spans="1:6" s="9" customFormat="1" x14ac:dyDescent="0.25">
      <c r="C1678" s="5">
        <v>5</v>
      </c>
      <c r="D1678" s="9" t="s">
        <v>1066</v>
      </c>
      <c r="E1678" s="10">
        <v>145</v>
      </c>
      <c r="F1678" s="10">
        <f t="shared" si="26"/>
        <v>725</v>
      </c>
    </row>
    <row r="1679" spans="1:6" s="9" customFormat="1" x14ac:dyDescent="0.25">
      <c r="B1679" s="4"/>
      <c r="C1679" s="5"/>
      <c r="E1679" s="10"/>
      <c r="F1679" s="8">
        <f>SUM(F1677:F1678)</f>
        <v>1475</v>
      </c>
    </row>
    <row r="1680" spans="1:6" s="9" customFormat="1" x14ac:dyDescent="0.25">
      <c r="C1680" s="5"/>
      <c r="E1680" s="10"/>
      <c r="F1680" s="10"/>
    </row>
    <row r="1681" spans="1:6" s="9" customFormat="1" x14ac:dyDescent="0.25">
      <c r="A1681" s="9" t="s">
        <v>29</v>
      </c>
      <c r="B1681" s="4">
        <v>45954</v>
      </c>
      <c r="C1681" s="5">
        <v>1</v>
      </c>
      <c r="D1681" s="9" t="s">
        <v>12</v>
      </c>
      <c r="E1681" s="10">
        <v>155</v>
      </c>
      <c r="F1681" s="10">
        <f t="shared" si="26"/>
        <v>155</v>
      </c>
    </row>
    <row r="1682" spans="1:6" s="9" customFormat="1" x14ac:dyDescent="0.25">
      <c r="B1682" s="4"/>
      <c r="C1682" s="5">
        <v>4</v>
      </c>
      <c r="D1682" s="9" t="s">
        <v>8</v>
      </c>
      <c r="E1682" s="10">
        <v>165</v>
      </c>
      <c r="F1682" s="10">
        <f t="shared" si="26"/>
        <v>660</v>
      </c>
    </row>
    <row r="1683" spans="1:6" s="9" customFormat="1" x14ac:dyDescent="0.25">
      <c r="C1683" s="5"/>
      <c r="E1683" s="10"/>
      <c r="F1683" s="8">
        <f>SUM(F1681:F1682)</f>
        <v>815</v>
      </c>
    </row>
    <row r="1684" spans="1:6" s="9" customFormat="1" x14ac:dyDescent="0.25">
      <c r="C1684" s="5"/>
      <c r="E1684" s="10"/>
      <c r="F1684" s="10"/>
    </row>
    <row r="1685" spans="1:6" s="9" customFormat="1" x14ac:dyDescent="0.25">
      <c r="A1685" s="9" t="s">
        <v>7</v>
      </c>
      <c r="B1685" s="4">
        <v>45954</v>
      </c>
      <c r="C1685" s="5">
        <v>2</v>
      </c>
      <c r="D1685" s="9" t="s">
        <v>12</v>
      </c>
      <c r="E1685" s="10">
        <v>150</v>
      </c>
      <c r="F1685" s="10">
        <f t="shared" si="26"/>
        <v>300</v>
      </c>
    </row>
    <row r="1686" spans="1:6" s="9" customFormat="1" x14ac:dyDescent="0.25">
      <c r="C1686" s="5">
        <v>2</v>
      </c>
      <c r="D1686" s="9" t="s">
        <v>13</v>
      </c>
      <c r="E1686" s="10">
        <v>160</v>
      </c>
      <c r="F1686" s="10">
        <f t="shared" si="26"/>
        <v>320</v>
      </c>
    </row>
    <row r="1687" spans="1:6" s="9" customFormat="1" x14ac:dyDescent="0.25">
      <c r="C1687" s="5">
        <v>7</v>
      </c>
      <c r="D1687" s="9" t="s">
        <v>1067</v>
      </c>
      <c r="E1687" s="10">
        <v>140</v>
      </c>
      <c r="F1687" s="10">
        <f t="shared" si="26"/>
        <v>980</v>
      </c>
    </row>
    <row r="1688" spans="1:6" s="9" customFormat="1" x14ac:dyDescent="0.25">
      <c r="B1688" s="4"/>
      <c r="C1688" s="5">
        <v>1</v>
      </c>
      <c r="D1688" s="9" t="s">
        <v>13</v>
      </c>
      <c r="E1688" s="10">
        <v>160</v>
      </c>
      <c r="F1688" s="10">
        <f t="shared" si="26"/>
        <v>160</v>
      </c>
    </row>
    <row r="1689" spans="1:6" s="9" customFormat="1" x14ac:dyDescent="0.25">
      <c r="C1689" s="5"/>
      <c r="E1689" s="10"/>
      <c r="F1689" s="8">
        <f>SUM(F1685:F1688)</f>
        <v>1760</v>
      </c>
    </row>
    <row r="1690" spans="1:6" s="9" customFormat="1" x14ac:dyDescent="0.25">
      <c r="C1690" s="5"/>
      <c r="E1690" s="10"/>
      <c r="F1690" s="10"/>
    </row>
    <row r="1691" spans="1:6" s="9" customFormat="1" x14ac:dyDescent="0.25">
      <c r="A1691" s="9" t="s">
        <v>501</v>
      </c>
      <c r="B1691" s="4">
        <v>45955</v>
      </c>
      <c r="C1691" s="5">
        <v>5</v>
      </c>
      <c r="D1691" s="9" t="s">
        <v>13</v>
      </c>
      <c r="E1691" s="10">
        <v>165</v>
      </c>
      <c r="F1691" s="10">
        <f t="shared" si="26"/>
        <v>825</v>
      </c>
    </row>
    <row r="1692" spans="1:6" s="9" customFormat="1" x14ac:dyDescent="0.25">
      <c r="C1692" s="5">
        <v>5</v>
      </c>
      <c r="D1692" s="9" t="s">
        <v>14</v>
      </c>
      <c r="E1692" s="10">
        <v>160</v>
      </c>
      <c r="F1692" s="10">
        <f t="shared" si="26"/>
        <v>800</v>
      </c>
    </row>
    <row r="1693" spans="1:6" s="9" customFormat="1" x14ac:dyDescent="0.25">
      <c r="C1693" s="5"/>
      <c r="E1693" s="10"/>
      <c r="F1693" s="8">
        <f>SUM(F1691:F1692)</f>
        <v>1625</v>
      </c>
    </row>
    <row r="1694" spans="1:6" s="9" customFormat="1" x14ac:dyDescent="0.25">
      <c r="C1694" s="5"/>
      <c r="E1694" s="10"/>
      <c r="F1694" s="10"/>
    </row>
    <row r="1695" spans="1:6" s="9" customFormat="1" x14ac:dyDescent="0.25">
      <c r="A1695" s="9" t="s">
        <v>824</v>
      </c>
      <c r="B1695" s="4">
        <v>45955</v>
      </c>
      <c r="C1695" s="5">
        <v>5</v>
      </c>
      <c r="D1695" s="9" t="s">
        <v>13</v>
      </c>
      <c r="E1695" s="10">
        <v>165</v>
      </c>
      <c r="F1695" s="10">
        <f t="shared" si="26"/>
        <v>825</v>
      </c>
    </row>
    <row r="1696" spans="1:6" s="9" customFormat="1" x14ac:dyDescent="0.25">
      <c r="C1696" s="5"/>
      <c r="E1696" s="10"/>
      <c r="F1696" s="8">
        <f>SUM(F1695)</f>
        <v>825</v>
      </c>
    </row>
    <row r="1697" spans="1:6" s="9" customFormat="1" x14ac:dyDescent="0.25">
      <c r="C1697" s="5"/>
      <c r="E1697" s="10"/>
      <c r="F1697" s="10"/>
    </row>
    <row r="1698" spans="1:6" s="9" customFormat="1" x14ac:dyDescent="0.25">
      <c r="A1698" s="9" t="s">
        <v>18</v>
      </c>
      <c r="B1698" s="4">
        <v>45955</v>
      </c>
      <c r="C1698" s="5">
        <v>5</v>
      </c>
      <c r="D1698" s="9" t="s">
        <v>13</v>
      </c>
      <c r="E1698" s="10">
        <v>160</v>
      </c>
      <c r="F1698" s="10">
        <f t="shared" si="26"/>
        <v>800</v>
      </c>
    </row>
    <row r="1699" spans="1:6" s="9" customFormat="1" x14ac:dyDescent="0.25">
      <c r="C1699" s="5"/>
      <c r="E1699" s="10"/>
      <c r="F1699" s="8">
        <f>SUM(F1698)</f>
        <v>800</v>
      </c>
    </row>
    <row r="1700" spans="1:6" s="9" customFormat="1" x14ac:dyDescent="0.25">
      <c r="C1700" s="5"/>
      <c r="E1700" s="10"/>
      <c r="F1700" s="10"/>
    </row>
    <row r="1701" spans="1:6" s="9" customFormat="1" x14ac:dyDescent="0.25">
      <c r="A1701" s="9" t="s">
        <v>58</v>
      </c>
      <c r="B1701" s="4">
        <v>45955</v>
      </c>
      <c r="C1701" s="5">
        <v>10</v>
      </c>
      <c r="D1701" s="9" t="s">
        <v>13</v>
      </c>
      <c r="E1701" s="10">
        <v>155</v>
      </c>
      <c r="F1701" s="10">
        <f t="shared" si="26"/>
        <v>1550</v>
      </c>
    </row>
    <row r="1702" spans="1:6" s="9" customFormat="1" x14ac:dyDescent="0.25">
      <c r="B1702" s="4"/>
      <c r="C1702" s="5"/>
      <c r="E1702" s="10"/>
      <c r="F1702" s="8">
        <f>SUM(F1701)</f>
        <v>1550</v>
      </c>
    </row>
    <row r="1703" spans="1:6" s="9" customFormat="1" x14ac:dyDescent="0.25">
      <c r="C1703" s="5"/>
      <c r="E1703" s="10"/>
      <c r="F1703" s="10"/>
    </row>
    <row r="1704" spans="1:6" s="9" customFormat="1" x14ac:dyDescent="0.25">
      <c r="A1704" s="9" t="s">
        <v>20</v>
      </c>
      <c r="B1704" s="4">
        <v>45955</v>
      </c>
      <c r="C1704" s="5">
        <v>20</v>
      </c>
      <c r="D1704" s="9" t="s">
        <v>13</v>
      </c>
      <c r="E1704" s="10">
        <v>160</v>
      </c>
      <c r="F1704" s="10">
        <f t="shared" si="26"/>
        <v>3200</v>
      </c>
    </row>
    <row r="1705" spans="1:6" s="9" customFormat="1" x14ac:dyDescent="0.25">
      <c r="C1705" s="5"/>
      <c r="E1705" s="10"/>
      <c r="F1705" s="8">
        <f>SUM(F1704)</f>
        <v>3200</v>
      </c>
    </row>
    <row r="1706" spans="1:6" s="9" customFormat="1" x14ac:dyDescent="0.25">
      <c r="C1706" s="5"/>
      <c r="E1706" s="10"/>
      <c r="F1706" s="10"/>
    </row>
    <row r="1707" spans="1:6" s="9" customFormat="1" x14ac:dyDescent="0.25">
      <c r="A1707" s="9" t="s">
        <v>808</v>
      </c>
      <c r="B1707" s="4">
        <v>45955</v>
      </c>
      <c r="C1707" s="5">
        <v>20</v>
      </c>
      <c r="D1707" s="9" t="s">
        <v>13</v>
      </c>
      <c r="E1707" s="10">
        <v>160</v>
      </c>
      <c r="F1707" s="10">
        <f t="shared" si="26"/>
        <v>3200</v>
      </c>
    </row>
    <row r="1708" spans="1:6" s="9" customFormat="1" x14ac:dyDescent="0.25">
      <c r="B1708" s="4"/>
      <c r="C1708" s="5">
        <v>10</v>
      </c>
      <c r="D1708" s="9" t="s">
        <v>12</v>
      </c>
      <c r="E1708" s="10">
        <v>150</v>
      </c>
      <c r="F1708" s="10">
        <f t="shared" si="26"/>
        <v>1500</v>
      </c>
    </row>
    <row r="1709" spans="1:6" s="9" customFormat="1" x14ac:dyDescent="0.25">
      <c r="B1709" s="4"/>
      <c r="C1709" s="5"/>
      <c r="E1709" s="10"/>
      <c r="F1709" s="8">
        <f>SUM(F1707:F1708)</f>
        <v>4700</v>
      </c>
    </row>
    <row r="1710" spans="1:6" s="9" customFormat="1" x14ac:dyDescent="0.25">
      <c r="C1710" s="5"/>
      <c r="E1710" s="10"/>
      <c r="F1710" s="10"/>
    </row>
    <row r="1711" spans="1:6" s="9" customFormat="1" x14ac:dyDescent="0.25">
      <c r="A1711" s="9" t="s">
        <v>37</v>
      </c>
      <c r="B1711" s="4">
        <v>45955</v>
      </c>
      <c r="C1711" s="5">
        <v>10</v>
      </c>
      <c r="D1711" s="9" t="s">
        <v>12</v>
      </c>
      <c r="E1711" s="10">
        <v>150</v>
      </c>
      <c r="F1711" s="10">
        <f t="shared" si="26"/>
        <v>1500</v>
      </c>
    </row>
    <row r="1712" spans="1:6" s="9" customFormat="1" x14ac:dyDescent="0.25">
      <c r="C1712" s="5"/>
      <c r="E1712" s="10"/>
      <c r="F1712" s="8">
        <f>SUM(F1711)</f>
        <v>1500</v>
      </c>
    </row>
    <row r="1713" spans="1:6" s="9" customFormat="1" x14ac:dyDescent="0.25">
      <c r="C1713" s="5"/>
      <c r="E1713" s="10"/>
      <c r="F1713" s="10"/>
    </row>
    <row r="1714" spans="1:6" s="9" customFormat="1" x14ac:dyDescent="0.25">
      <c r="A1714" s="9" t="s">
        <v>923</v>
      </c>
      <c r="B1714" s="4">
        <v>45955</v>
      </c>
      <c r="C1714" s="5">
        <v>10</v>
      </c>
      <c r="D1714" s="9" t="s">
        <v>12</v>
      </c>
      <c r="E1714" s="10">
        <v>150</v>
      </c>
      <c r="F1714" s="10">
        <f t="shared" si="26"/>
        <v>1500</v>
      </c>
    </row>
    <row r="1715" spans="1:6" s="9" customFormat="1" x14ac:dyDescent="0.25">
      <c r="C1715" s="5">
        <v>10</v>
      </c>
      <c r="D1715" s="9" t="s">
        <v>13</v>
      </c>
      <c r="E1715" s="10">
        <v>160</v>
      </c>
      <c r="F1715" s="10">
        <f t="shared" si="26"/>
        <v>1600</v>
      </c>
    </row>
    <row r="1716" spans="1:6" s="9" customFormat="1" x14ac:dyDescent="0.25">
      <c r="C1716" s="5"/>
      <c r="E1716" s="10"/>
      <c r="F1716" s="8">
        <f>SUM(F1714:F1715)</f>
        <v>3100</v>
      </c>
    </row>
    <row r="1717" spans="1:6" s="9" customFormat="1" x14ac:dyDescent="0.25">
      <c r="C1717" s="5"/>
      <c r="E1717" s="10"/>
      <c r="F1717" s="10"/>
    </row>
    <row r="1718" spans="1:6" s="9" customFormat="1" x14ac:dyDescent="0.25">
      <c r="A1718" s="9" t="s">
        <v>40</v>
      </c>
      <c r="B1718" s="4">
        <v>45955</v>
      </c>
      <c r="C1718" s="5">
        <v>20</v>
      </c>
      <c r="D1718" s="9" t="s">
        <v>8</v>
      </c>
      <c r="E1718" s="10">
        <v>165</v>
      </c>
      <c r="F1718" s="10">
        <f t="shared" si="26"/>
        <v>3300</v>
      </c>
    </row>
    <row r="1719" spans="1:6" s="9" customFormat="1" x14ac:dyDescent="0.25">
      <c r="C1719" s="5">
        <v>20</v>
      </c>
      <c r="D1719" s="9" t="s">
        <v>1068</v>
      </c>
      <c r="E1719" s="10">
        <v>155</v>
      </c>
      <c r="F1719" s="10">
        <f t="shared" si="26"/>
        <v>3100</v>
      </c>
    </row>
    <row r="1720" spans="1:6" s="9" customFormat="1" x14ac:dyDescent="0.25">
      <c r="C1720" s="5">
        <v>10</v>
      </c>
      <c r="D1720" s="9" t="s">
        <v>12</v>
      </c>
      <c r="E1720" s="10">
        <v>150</v>
      </c>
      <c r="F1720" s="10">
        <f t="shared" si="26"/>
        <v>1500</v>
      </c>
    </row>
    <row r="1721" spans="1:6" s="9" customFormat="1" x14ac:dyDescent="0.25">
      <c r="C1721" s="5"/>
      <c r="E1721" s="10"/>
      <c r="F1721" s="8">
        <f>SUM(F1718:F1720)</f>
        <v>7900</v>
      </c>
    </row>
    <row r="1722" spans="1:6" s="9" customFormat="1" x14ac:dyDescent="0.25">
      <c r="C1722" s="5"/>
      <c r="E1722" s="10"/>
      <c r="F1722" s="10"/>
    </row>
    <row r="1723" spans="1:6" s="9" customFormat="1" x14ac:dyDescent="0.25">
      <c r="A1723" s="9" t="s">
        <v>72</v>
      </c>
      <c r="B1723" s="4">
        <v>45955</v>
      </c>
      <c r="C1723" s="5">
        <v>110</v>
      </c>
      <c r="D1723" s="9" t="s">
        <v>11</v>
      </c>
      <c r="E1723" s="10">
        <v>145</v>
      </c>
      <c r="F1723" s="10">
        <f t="shared" si="26"/>
        <v>15950</v>
      </c>
    </row>
    <row r="1724" spans="1:6" s="9" customFormat="1" x14ac:dyDescent="0.25">
      <c r="C1724" s="5">
        <v>110</v>
      </c>
      <c r="D1724" s="9" t="s">
        <v>121</v>
      </c>
      <c r="E1724" s="10">
        <v>150</v>
      </c>
      <c r="F1724" s="10">
        <f t="shared" si="26"/>
        <v>16500</v>
      </c>
    </row>
    <row r="1725" spans="1:6" s="9" customFormat="1" x14ac:dyDescent="0.25">
      <c r="C1725" s="5">
        <v>142</v>
      </c>
      <c r="D1725" s="9" t="s">
        <v>12</v>
      </c>
      <c r="E1725" s="10">
        <v>145</v>
      </c>
      <c r="F1725" s="10">
        <f t="shared" si="26"/>
        <v>20590</v>
      </c>
    </row>
    <row r="1726" spans="1:6" s="9" customFormat="1" x14ac:dyDescent="0.25">
      <c r="B1726" s="4"/>
      <c r="C1726" s="5">
        <v>142</v>
      </c>
      <c r="D1726" s="9" t="s">
        <v>13</v>
      </c>
      <c r="E1726" s="10">
        <v>150</v>
      </c>
      <c r="F1726" s="10">
        <f t="shared" si="26"/>
        <v>21300</v>
      </c>
    </row>
    <row r="1727" spans="1:6" s="9" customFormat="1" x14ac:dyDescent="0.25">
      <c r="C1727" s="5"/>
      <c r="E1727" s="10"/>
      <c r="F1727" s="8">
        <f>SUM(F1723:F1726)</f>
        <v>74340</v>
      </c>
    </row>
    <row r="1728" spans="1:6" s="9" customFormat="1" x14ac:dyDescent="0.25">
      <c r="C1728" s="5"/>
      <c r="E1728" s="10"/>
      <c r="F1728" s="10"/>
    </row>
    <row r="1729" spans="1:6" s="9" customFormat="1" x14ac:dyDescent="0.25">
      <c r="A1729" s="9" t="s">
        <v>117</v>
      </c>
      <c r="B1729" s="4">
        <v>45955</v>
      </c>
      <c r="C1729" s="5">
        <v>5</v>
      </c>
      <c r="D1729" s="9" t="s">
        <v>13</v>
      </c>
      <c r="E1729" s="10">
        <v>165</v>
      </c>
      <c r="F1729" s="10">
        <f t="shared" si="26"/>
        <v>825</v>
      </c>
    </row>
    <row r="1730" spans="1:6" s="9" customFormat="1" x14ac:dyDescent="0.25">
      <c r="C1730" s="5"/>
      <c r="E1730" s="10"/>
      <c r="F1730" s="8">
        <f>SUM(F1729)</f>
        <v>825</v>
      </c>
    </row>
    <row r="1731" spans="1:6" s="9" customFormat="1" x14ac:dyDescent="0.25">
      <c r="C1731" s="5"/>
      <c r="E1731" s="10"/>
      <c r="F1731" s="10"/>
    </row>
    <row r="1732" spans="1:6" s="9" customFormat="1" x14ac:dyDescent="0.25">
      <c r="A1732" s="9" t="s">
        <v>26</v>
      </c>
      <c r="B1732" s="4">
        <v>45955</v>
      </c>
      <c r="C1732" s="5">
        <v>20</v>
      </c>
      <c r="D1732" s="9" t="s">
        <v>14</v>
      </c>
      <c r="E1732" s="10">
        <v>150</v>
      </c>
      <c r="F1732" s="10">
        <f t="shared" ref="F1732:F1795" si="27">+C1732*E1732</f>
        <v>3000</v>
      </c>
    </row>
    <row r="1733" spans="1:6" s="9" customFormat="1" x14ac:dyDescent="0.25">
      <c r="C1733" s="5"/>
      <c r="E1733" s="10"/>
      <c r="F1733" s="8">
        <f>SUM(F1732)</f>
        <v>3000</v>
      </c>
    </row>
    <row r="1734" spans="1:6" s="9" customFormat="1" x14ac:dyDescent="0.25">
      <c r="C1734" s="5"/>
      <c r="E1734" s="10"/>
      <c r="F1734" s="10"/>
    </row>
    <row r="1735" spans="1:6" s="9" customFormat="1" x14ac:dyDescent="0.25">
      <c r="A1735" s="4" t="s">
        <v>1069</v>
      </c>
      <c r="B1735" s="4">
        <v>45955</v>
      </c>
      <c r="C1735" s="5">
        <v>5</v>
      </c>
      <c r="D1735" s="9" t="s">
        <v>13</v>
      </c>
      <c r="E1735" s="10">
        <v>165</v>
      </c>
      <c r="F1735" s="10">
        <f t="shared" si="27"/>
        <v>825</v>
      </c>
    </row>
    <row r="1736" spans="1:6" s="9" customFormat="1" x14ac:dyDescent="0.25">
      <c r="C1736" s="5"/>
      <c r="E1736" s="10"/>
      <c r="F1736" s="8">
        <f>SUM(F1735)</f>
        <v>825</v>
      </c>
    </row>
    <row r="1737" spans="1:6" s="9" customFormat="1" x14ac:dyDescent="0.25">
      <c r="C1737" s="5"/>
      <c r="E1737" s="10"/>
      <c r="F1737" s="10"/>
    </row>
    <row r="1738" spans="1:6" s="9" customFormat="1" x14ac:dyDescent="0.25">
      <c r="A1738" s="9" t="s">
        <v>7</v>
      </c>
      <c r="B1738" s="4">
        <v>45955</v>
      </c>
      <c r="C1738" s="5">
        <v>2</v>
      </c>
      <c r="D1738" s="9" t="s">
        <v>13</v>
      </c>
      <c r="E1738" s="10">
        <v>165</v>
      </c>
      <c r="F1738" s="10">
        <f t="shared" si="27"/>
        <v>330</v>
      </c>
    </row>
    <row r="1739" spans="1:6" s="9" customFormat="1" x14ac:dyDescent="0.25">
      <c r="C1739" s="5"/>
      <c r="E1739" s="10"/>
      <c r="F1739" s="8">
        <f>SUM(F1738)</f>
        <v>330</v>
      </c>
    </row>
    <row r="1740" spans="1:6" s="9" customFormat="1" x14ac:dyDescent="0.25">
      <c r="C1740" s="5"/>
      <c r="E1740" s="10"/>
      <c r="F1740" s="10"/>
    </row>
    <row r="1741" spans="1:6" s="9" customFormat="1" x14ac:dyDescent="0.25">
      <c r="A1741" s="9" t="s">
        <v>101</v>
      </c>
      <c r="B1741" s="4">
        <v>45955</v>
      </c>
      <c r="C1741" s="5">
        <v>4</v>
      </c>
      <c r="D1741" s="9" t="s">
        <v>14</v>
      </c>
      <c r="E1741" s="10">
        <v>140</v>
      </c>
      <c r="F1741" s="10">
        <f t="shared" si="27"/>
        <v>560</v>
      </c>
    </row>
    <row r="1742" spans="1:6" s="9" customFormat="1" x14ac:dyDescent="0.25">
      <c r="C1742" s="5">
        <v>1</v>
      </c>
      <c r="D1742" s="9" t="s">
        <v>8</v>
      </c>
      <c r="E1742" s="10">
        <v>180</v>
      </c>
      <c r="F1742" s="10">
        <f t="shared" si="27"/>
        <v>180</v>
      </c>
    </row>
    <row r="1743" spans="1:6" s="9" customFormat="1" x14ac:dyDescent="0.25">
      <c r="C1743" s="5"/>
      <c r="E1743" s="10"/>
      <c r="F1743" s="8">
        <f>SUM(F1741:F1742)</f>
        <v>740</v>
      </c>
    </row>
    <row r="1744" spans="1:6" s="9" customFormat="1" x14ac:dyDescent="0.25">
      <c r="B1744" s="4"/>
      <c r="C1744" s="5"/>
      <c r="E1744" s="10"/>
      <c r="F1744" s="10"/>
    </row>
    <row r="1745" spans="1:6" s="9" customFormat="1" x14ac:dyDescent="0.25">
      <c r="A1745" s="9" t="s">
        <v>7</v>
      </c>
      <c r="B1745" s="4">
        <v>45955</v>
      </c>
      <c r="C1745" s="5">
        <v>5</v>
      </c>
      <c r="D1745" s="9" t="s">
        <v>500</v>
      </c>
      <c r="E1745" s="10">
        <v>145</v>
      </c>
      <c r="F1745" s="10">
        <f t="shared" si="27"/>
        <v>725</v>
      </c>
    </row>
    <row r="1746" spans="1:6" s="9" customFormat="1" x14ac:dyDescent="0.25">
      <c r="C1746" s="5">
        <v>2</v>
      </c>
      <c r="D1746" s="9" t="s">
        <v>240</v>
      </c>
      <c r="E1746" s="10">
        <v>160</v>
      </c>
      <c r="F1746" s="10">
        <f t="shared" si="27"/>
        <v>320</v>
      </c>
    </row>
    <row r="1747" spans="1:6" s="9" customFormat="1" x14ac:dyDescent="0.25">
      <c r="B1747" s="4"/>
      <c r="C1747" s="5">
        <v>1</v>
      </c>
      <c r="D1747" s="9" t="s">
        <v>8</v>
      </c>
      <c r="E1747" s="10">
        <v>175</v>
      </c>
      <c r="F1747" s="10">
        <f t="shared" si="27"/>
        <v>175</v>
      </c>
    </row>
    <row r="1748" spans="1:6" s="9" customFormat="1" x14ac:dyDescent="0.25">
      <c r="C1748" s="5">
        <v>10</v>
      </c>
      <c r="D1748" s="9" t="s">
        <v>8</v>
      </c>
      <c r="E1748" s="10">
        <v>145</v>
      </c>
      <c r="F1748" s="10">
        <f t="shared" si="27"/>
        <v>1450</v>
      </c>
    </row>
    <row r="1749" spans="1:6" s="9" customFormat="1" x14ac:dyDescent="0.25">
      <c r="C1749" s="5"/>
      <c r="E1749" s="10"/>
      <c r="F1749" s="8">
        <f>SUM(F1745:F1748)</f>
        <v>2670</v>
      </c>
    </row>
    <row r="1750" spans="1:6" s="9" customFormat="1" x14ac:dyDescent="0.25">
      <c r="C1750" s="5"/>
      <c r="E1750" s="10"/>
      <c r="F1750" s="10"/>
    </row>
    <row r="1751" spans="1:6" s="9" customFormat="1" x14ac:dyDescent="0.25">
      <c r="A1751" s="9" t="s">
        <v>65</v>
      </c>
      <c r="B1751" s="4">
        <v>45956</v>
      </c>
      <c r="C1751" s="5">
        <v>140</v>
      </c>
      <c r="D1751" s="9" t="s">
        <v>14</v>
      </c>
      <c r="E1751" s="10">
        <v>155</v>
      </c>
      <c r="F1751" s="10">
        <f t="shared" si="27"/>
        <v>21700</v>
      </c>
    </row>
    <row r="1752" spans="1:6" s="9" customFormat="1" x14ac:dyDescent="0.25">
      <c r="C1752" s="5">
        <v>49</v>
      </c>
      <c r="D1752" s="9" t="s">
        <v>11</v>
      </c>
      <c r="E1752" s="10">
        <v>150</v>
      </c>
      <c r="F1752" s="10">
        <f t="shared" si="27"/>
        <v>7350</v>
      </c>
    </row>
    <row r="1753" spans="1:6" s="9" customFormat="1" x14ac:dyDescent="0.25">
      <c r="C1753" s="5">
        <v>5</v>
      </c>
      <c r="D1753" s="9" t="s">
        <v>50</v>
      </c>
      <c r="E1753" s="10">
        <v>135</v>
      </c>
      <c r="F1753" s="10">
        <f t="shared" si="27"/>
        <v>675</v>
      </c>
    </row>
    <row r="1754" spans="1:6" s="9" customFormat="1" x14ac:dyDescent="0.25">
      <c r="C1754" s="5">
        <v>107</v>
      </c>
      <c r="D1754" s="9" t="s">
        <v>1070</v>
      </c>
      <c r="E1754" s="10">
        <v>155</v>
      </c>
      <c r="F1754" s="10">
        <f t="shared" si="27"/>
        <v>16585</v>
      </c>
    </row>
    <row r="1755" spans="1:6" s="9" customFormat="1" x14ac:dyDescent="0.25">
      <c r="B1755" s="4"/>
      <c r="C1755" s="5">
        <v>44</v>
      </c>
      <c r="D1755" s="9" t="s">
        <v>12</v>
      </c>
      <c r="E1755" s="10">
        <v>150</v>
      </c>
      <c r="F1755" s="10">
        <f t="shared" si="27"/>
        <v>6600</v>
      </c>
    </row>
    <row r="1756" spans="1:6" s="9" customFormat="1" x14ac:dyDescent="0.25">
      <c r="C1756" s="5">
        <v>36</v>
      </c>
      <c r="D1756" s="9" t="s">
        <v>22</v>
      </c>
      <c r="E1756" s="10">
        <v>135</v>
      </c>
      <c r="F1756" s="10">
        <f t="shared" si="27"/>
        <v>4860</v>
      </c>
    </row>
    <row r="1757" spans="1:6" s="9" customFormat="1" x14ac:dyDescent="0.25">
      <c r="C1757" s="5"/>
      <c r="E1757" s="10"/>
      <c r="F1757" s="8">
        <f>SUM(F1751:F1756)</f>
        <v>57770</v>
      </c>
    </row>
    <row r="1758" spans="1:6" s="9" customFormat="1" x14ac:dyDescent="0.25">
      <c r="B1758" s="4"/>
      <c r="C1758" s="5"/>
      <c r="E1758" s="10"/>
      <c r="F1758" s="10"/>
    </row>
    <row r="1759" spans="1:6" s="9" customFormat="1" x14ac:dyDescent="0.25">
      <c r="A1759" s="9" t="s">
        <v>780</v>
      </c>
      <c r="B1759" s="4">
        <v>45957</v>
      </c>
      <c r="C1759" s="5">
        <v>5</v>
      </c>
      <c r="D1759" s="9" t="s">
        <v>14</v>
      </c>
      <c r="E1759" s="10">
        <v>160</v>
      </c>
      <c r="F1759" s="10">
        <f t="shared" si="27"/>
        <v>800</v>
      </c>
    </row>
    <row r="1760" spans="1:6" s="9" customFormat="1" x14ac:dyDescent="0.25">
      <c r="C1760" s="5"/>
      <c r="E1760" s="10"/>
      <c r="F1760" s="8">
        <f>SUM(F1759)</f>
        <v>800</v>
      </c>
    </row>
    <row r="1761" spans="1:6" s="9" customFormat="1" x14ac:dyDescent="0.25">
      <c r="C1761" s="5"/>
      <c r="E1761" s="10"/>
      <c r="F1761" s="10"/>
    </row>
    <row r="1762" spans="1:6" s="9" customFormat="1" x14ac:dyDescent="0.25">
      <c r="A1762" s="9" t="s">
        <v>41</v>
      </c>
      <c r="B1762" s="4">
        <v>45957</v>
      </c>
      <c r="C1762" s="5">
        <v>52</v>
      </c>
      <c r="D1762" s="9" t="s">
        <v>14</v>
      </c>
      <c r="E1762" s="10">
        <v>145</v>
      </c>
      <c r="F1762" s="10">
        <f t="shared" si="27"/>
        <v>7540</v>
      </c>
    </row>
    <row r="1763" spans="1:6" s="9" customFormat="1" x14ac:dyDescent="0.25">
      <c r="C1763" s="5"/>
      <c r="E1763" s="10"/>
      <c r="F1763" s="8">
        <f>SUM(F1762)</f>
        <v>7540</v>
      </c>
    </row>
    <row r="1764" spans="1:6" s="9" customFormat="1" x14ac:dyDescent="0.25">
      <c r="B1764" s="4"/>
      <c r="C1764" s="5"/>
      <c r="E1764" s="10"/>
      <c r="F1764" s="10"/>
    </row>
    <row r="1765" spans="1:6" s="9" customFormat="1" x14ac:dyDescent="0.25">
      <c r="A1765" s="9" t="s">
        <v>43</v>
      </c>
      <c r="B1765" s="4">
        <v>45957</v>
      </c>
      <c r="C1765" s="5">
        <v>30</v>
      </c>
      <c r="D1765" s="9" t="s">
        <v>14</v>
      </c>
      <c r="E1765" s="10">
        <v>160</v>
      </c>
      <c r="F1765" s="10">
        <f t="shared" si="27"/>
        <v>4800</v>
      </c>
    </row>
    <row r="1766" spans="1:6" s="9" customFormat="1" x14ac:dyDescent="0.25">
      <c r="C1766" s="5">
        <v>8</v>
      </c>
      <c r="D1766" s="9" t="s">
        <v>13</v>
      </c>
      <c r="E1766" s="10">
        <v>160</v>
      </c>
      <c r="F1766" s="10">
        <f t="shared" si="27"/>
        <v>1280</v>
      </c>
    </row>
    <row r="1767" spans="1:6" s="9" customFormat="1" x14ac:dyDescent="0.25">
      <c r="B1767" s="4"/>
      <c r="C1767" s="5"/>
      <c r="E1767" s="10"/>
      <c r="F1767" s="8">
        <f>SUM(F1765:F1766)</f>
        <v>6080</v>
      </c>
    </row>
    <row r="1768" spans="1:6" s="9" customFormat="1" x14ac:dyDescent="0.25">
      <c r="C1768" s="5"/>
      <c r="E1768" s="10"/>
      <c r="F1768" s="10"/>
    </row>
    <row r="1769" spans="1:6" s="9" customFormat="1" x14ac:dyDescent="0.25">
      <c r="A1769" s="9" t="s">
        <v>44</v>
      </c>
      <c r="B1769" s="4">
        <v>45957</v>
      </c>
      <c r="C1769" s="5">
        <v>90</v>
      </c>
      <c r="D1769" s="9" t="s">
        <v>14</v>
      </c>
      <c r="E1769" s="10">
        <v>155</v>
      </c>
      <c r="F1769" s="10">
        <f t="shared" si="27"/>
        <v>13950</v>
      </c>
    </row>
    <row r="1770" spans="1:6" s="9" customFormat="1" x14ac:dyDescent="0.25">
      <c r="B1770" s="4"/>
      <c r="C1770" s="5"/>
      <c r="E1770" s="10"/>
      <c r="F1770" s="8">
        <f>SUM(F1769)</f>
        <v>13950</v>
      </c>
    </row>
    <row r="1771" spans="1:6" s="9" customFormat="1" x14ac:dyDescent="0.25">
      <c r="C1771" s="5"/>
      <c r="E1771" s="10"/>
      <c r="F1771" s="10"/>
    </row>
    <row r="1772" spans="1:6" s="9" customFormat="1" x14ac:dyDescent="0.25">
      <c r="A1772" s="9" t="s">
        <v>18</v>
      </c>
      <c r="B1772" s="4">
        <v>45957</v>
      </c>
      <c r="C1772" s="5">
        <v>20</v>
      </c>
      <c r="D1772" s="9" t="s">
        <v>187</v>
      </c>
      <c r="E1772" s="10">
        <v>160</v>
      </c>
      <c r="F1772" s="10">
        <f t="shared" si="27"/>
        <v>3200</v>
      </c>
    </row>
    <row r="1773" spans="1:6" s="9" customFormat="1" x14ac:dyDescent="0.25">
      <c r="B1773" s="4"/>
      <c r="C1773" s="5">
        <v>5</v>
      </c>
      <c r="D1773" s="9" t="s">
        <v>11</v>
      </c>
      <c r="E1773" s="10">
        <v>150</v>
      </c>
      <c r="F1773" s="10">
        <f t="shared" si="27"/>
        <v>750</v>
      </c>
    </row>
    <row r="1774" spans="1:6" s="9" customFormat="1" x14ac:dyDescent="0.25">
      <c r="C1774" s="5">
        <v>7</v>
      </c>
      <c r="D1774" s="9" t="s">
        <v>12</v>
      </c>
      <c r="E1774" s="10">
        <v>150</v>
      </c>
      <c r="F1774" s="10">
        <f t="shared" si="27"/>
        <v>1050</v>
      </c>
    </row>
    <row r="1775" spans="1:6" s="9" customFormat="1" x14ac:dyDescent="0.25">
      <c r="C1775" s="5"/>
      <c r="E1775" s="10"/>
      <c r="F1775" s="8">
        <f>SUM(F1772:F1774)</f>
        <v>5000</v>
      </c>
    </row>
    <row r="1776" spans="1:6" s="9" customFormat="1" x14ac:dyDescent="0.25">
      <c r="C1776" s="5"/>
      <c r="E1776" s="10"/>
      <c r="F1776" s="10"/>
    </row>
    <row r="1777" spans="1:6" s="9" customFormat="1" x14ac:dyDescent="0.25">
      <c r="A1777" s="9" t="s">
        <v>138</v>
      </c>
      <c r="B1777" s="4">
        <v>45957</v>
      </c>
      <c r="C1777" s="5">
        <v>15</v>
      </c>
      <c r="D1777" s="9" t="s">
        <v>14</v>
      </c>
      <c r="E1777" s="10">
        <v>160</v>
      </c>
      <c r="F1777" s="10">
        <f t="shared" si="27"/>
        <v>2400</v>
      </c>
    </row>
    <row r="1778" spans="1:6" s="9" customFormat="1" x14ac:dyDescent="0.25">
      <c r="B1778" s="4"/>
      <c r="C1778" s="5"/>
      <c r="E1778" s="10"/>
      <c r="F1778" s="8">
        <f>SUM(F1777)</f>
        <v>2400</v>
      </c>
    </row>
    <row r="1779" spans="1:6" s="9" customFormat="1" x14ac:dyDescent="0.25">
      <c r="C1779" s="5"/>
      <c r="E1779" s="10"/>
      <c r="F1779" s="10"/>
    </row>
    <row r="1780" spans="1:6" s="9" customFormat="1" x14ac:dyDescent="0.25">
      <c r="A1780" s="9" t="s">
        <v>15</v>
      </c>
      <c r="B1780" s="4">
        <v>45957</v>
      </c>
      <c r="C1780" s="5">
        <v>40</v>
      </c>
      <c r="D1780" s="9" t="s">
        <v>98</v>
      </c>
      <c r="E1780" s="10">
        <v>115</v>
      </c>
      <c r="F1780" s="10">
        <f t="shared" si="27"/>
        <v>4600</v>
      </c>
    </row>
    <row r="1781" spans="1:6" s="9" customFormat="1" x14ac:dyDescent="0.25">
      <c r="B1781" s="4"/>
      <c r="C1781" s="5"/>
      <c r="E1781" s="10"/>
      <c r="F1781" s="8">
        <f>SUM(F1780)</f>
        <v>4600</v>
      </c>
    </row>
    <row r="1782" spans="1:6" s="9" customFormat="1" x14ac:dyDescent="0.25">
      <c r="C1782" s="5"/>
      <c r="E1782" s="10"/>
      <c r="F1782" s="10"/>
    </row>
    <row r="1783" spans="1:6" s="9" customFormat="1" x14ac:dyDescent="0.25">
      <c r="A1783" s="9" t="s">
        <v>514</v>
      </c>
      <c r="B1783" s="4">
        <v>45957</v>
      </c>
      <c r="C1783" s="5">
        <v>10</v>
      </c>
      <c r="D1783" s="9" t="s">
        <v>98</v>
      </c>
      <c r="E1783" s="10">
        <v>120</v>
      </c>
      <c r="F1783" s="10">
        <f t="shared" si="27"/>
        <v>1200</v>
      </c>
    </row>
    <row r="1784" spans="1:6" s="9" customFormat="1" x14ac:dyDescent="0.25">
      <c r="B1784" s="4"/>
      <c r="C1784" s="5"/>
      <c r="E1784" s="10"/>
      <c r="F1784" s="8">
        <f>SUM(F1783)</f>
        <v>1200</v>
      </c>
    </row>
    <row r="1785" spans="1:6" s="9" customFormat="1" x14ac:dyDescent="0.25">
      <c r="C1785" s="5"/>
      <c r="E1785" s="10"/>
      <c r="F1785" s="10"/>
    </row>
    <row r="1786" spans="1:6" s="9" customFormat="1" x14ac:dyDescent="0.25">
      <c r="A1786" s="9" t="s">
        <v>1027</v>
      </c>
      <c r="B1786" s="4">
        <v>45957</v>
      </c>
      <c r="C1786" s="5">
        <v>4</v>
      </c>
      <c r="D1786" s="9" t="s">
        <v>98</v>
      </c>
      <c r="E1786" s="10">
        <v>120</v>
      </c>
      <c r="F1786" s="10">
        <f t="shared" si="27"/>
        <v>480</v>
      </c>
    </row>
    <row r="1787" spans="1:6" s="9" customFormat="1" x14ac:dyDescent="0.25">
      <c r="C1787" s="5"/>
      <c r="E1787" s="10"/>
      <c r="F1787" s="8">
        <f>SUM(F1786)</f>
        <v>480</v>
      </c>
    </row>
    <row r="1788" spans="1:6" s="9" customFormat="1" x14ac:dyDescent="0.25">
      <c r="B1788" s="4"/>
      <c r="C1788" s="5"/>
      <c r="E1788" s="10"/>
      <c r="F1788" s="10"/>
    </row>
    <row r="1789" spans="1:6" s="9" customFormat="1" x14ac:dyDescent="0.25">
      <c r="A1789" s="9" t="s">
        <v>103</v>
      </c>
      <c r="B1789" s="4">
        <v>45957</v>
      </c>
      <c r="C1789" s="5">
        <v>4</v>
      </c>
      <c r="D1789" s="9" t="s">
        <v>13</v>
      </c>
      <c r="E1789" s="10">
        <v>165</v>
      </c>
      <c r="F1789" s="10">
        <f t="shared" si="27"/>
        <v>660</v>
      </c>
    </row>
    <row r="1790" spans="1:6" s="9" customFormat="1" x14ac:dyDescent="0.25">
      <c r="C1790" s="5"/>
      <c r="E1790" s="10"/>
      <c r="F1790" s="8">
        <f>SUM(F1789)</f>
        <v>660</v>
      </c>
    </row>
    <row r="1791" spans="1:6" s="9" customFormat="1" x14ac:dyDescent="0.25">
      <c r="B1791" s="4"/>
      <c r="C1791" s="5"/>
      <c r="E1791" s="10"/>
      <c r="F1791" s="10"/>
    </row>
    <row r="1792" spans="1:6" s="9" customFormat="1" x14ac:dyDescent="0.25">
      <c r="A1792" s="9" t="s">
        <v>164</v>
      </c>
      <c r="B1792" s="4">
        <v>45957</v>
      </c>
      <c r="C1792" s="5">
        <v>5</v>
      </c>
      <c r="D1792" s="9" t="s">
        <v>8</v>
      </c>
      <c r="E1792" s="10">
        <v>180</v>
      </c>
      <c r="F1792" s="10">
        <f t="shared" si="27"/>
        <v>900</v>
      </c>
    </row>
    <row r="1793" spans="1:6" s="9" customFormat="1" x14ac:dyDescent="0.25">
      <c r="C1793" s="5"/>
      <c r="E1793" s="10"/>
      <c r="F1793" s="8">
        <f>SUM(F1792)</f>
        <v>900</v>
      </c>
    </row>
    <row r="1794" spans="1:6" s="9" customFormat="1" x14ac:dyDescent="0.25">
      <c r="B1794" s="4"/>
      <c r="C1794" s="5"/>
      <c r="E1794" s="10"/>
      <c r="F1794" s="10"/>
    </row>
    <row r="1795" spans="1:6" s="9" customFormat="1" x14ac:dyDescent="0.25">
      <c r="A1795" s="9" t="s">
        <v>181</v>
      </c>
      <c r="B1795" s="4">
        <v>45957</v>
      </c>
      <c r="C1795" s="5">
        <v>4</v>
      </c>
      <c r="D1795" s="9" t="s">
        <v>12</v>
      </c>
      <c r="E1795" s="10">
        <v>155</v>
      </c>
      <c r="F1795" s="10">
        <f t="shared" si="27"/>
        <v>620</v>
      </c>
    </row>
    <row r="1796" spans="1:6" s="9" customFormat="1" x14ac:dyDescent="0.25">
      <c r="C1796" s="5"/>
      <c r="E1796" s="10"/>
      <c r="F1796" s="8">
        <f>SUM(F1795)</f>
        <v>620</v>
      </c>
    </row>
    <row r="1797" spans="1:6" s="9" customFormat="1" x14ac:dyDescent="0.25">
      <c r="B1797" s="4"/>
      <c r="C1797" s="5"/>
      <c r="E1797" s="10"/>
      <c r="F1797" s="10"/>
    </row>
    <row r="1798" spans="1:6" s="9" customFormat="1" x14ac:dyDescent="0.25">
      <c r="A1798" s="9" t="s">
        <v>184</v>
      </c>
      <c r="B1798" s="4">
        <v>45957</v>
      </c>
      <c r="C1798" s="5">
        <v>7</v>
      </c>
      <c r="D1798" s="9" t="s">
        <v>13</v>
      </c>
      <c r="E1798" s="10">
        <v>165</v>
      </c>
      <c r="F1798" s="10">
        <f t="shared" ref="F1798:F1859" si="28">+C1798*E1798</f>
        <v>1155</v>
      </c>
    </row>
    <row r="1799" spans="1:6" s="9" customFormat="1" x14ac:dyDescent="0.25">
      <c r="C1799" s="5"/>
      <c r="E1799" s="10"/>
      <c r="F1799" s="8">
        <f>SUM(F1798)</f>
        <v>1155</v>
      </c>
    </row>
    <row r="1800" spans="1:6" s="9" customFormat="1" x14ac:dyDescent="0.25">
      <c r="C1800" s="5"/>
      <c r="E1800" s="10"/>
      <c r="F1800" s="10"/>
    </row>
    <row r="1801" spans="1:6" s="9" customFormat="1" x14ac:dyDescent="0.25">
      <c r="A1801" s="9" t="s">
        <v>89</v>
      </c>
      <c r="B1801" s="4">
        <v>45957</v>
      </c>
      <c r="C1801" s="5">
        <v>20</v>
      </c>
      <c r="D1801" s="9" t="s">
        <v>13</v>
      </c>
      <c r="E1801" s="10">
        <v>155</v>
      </c>
      <c r="F1801" s="10">
        <f t="shared" si="28"/>
        <v>3100</v>
      </c>
    </row>
    <row r="1802" spans="1:6" s="9" customFormat="1" x14ac:dyDescent="0.25">
      <c r="C1802" s="5">
        <v>30</v>
      </c>
      <c r="D1802" s="9" t="s">
        <v>12</v>
      </c>
      <c r="E1802" s="10">
        <v>150</v>
      </c>
      <c r="F1802" s="10">
        <f t="shared" si="28"/>
        <v>4500</v>
      </c>
    </row>
    <row r="1803" spans="1:6" s="9" customFormat="1" x14ac:dyDescent="0.25">
      <c r="C1803" s="5"/>
      <c r="E1803" s="10"/>
      <c r="F1803" s="8">
        <f>SUM(F1801:F1802)</f>
        <v>7600</v>
      </c>
    </row>
    <row r="1804" spans="1:6" s="9" customFormat="1" x14ac:dyDescent="0.25">
      <c r="B1804" s="4"/>
      <c r="C1804" s="5"/>
      <c r="E1804" s="10"/>
      <c r="F1804" s="10"/>
    </row>
    <row r="1805" spans="1:6" s="9" customFormat="1" x14ac:dyDescent="0.25">
      <c r="A1805" s="9" t="s">
        <v>32</v>
      </c>
      <c r="B1805" s="4">
        <v>45957</v>
      </c>
      <c r="C1805" s="5">
        <v>30</v>
      </c>
      <c r="D1805" s="9" t="s">
        <v>13</v>
      </c>
      <c r="E1805" s="10">
        <v>155</v>
      </c>
      <c r="F1805" s="10">
        <f t="shared" si="28"/>
        <v>4650</v>
      </c>
    </row>
    <row r="1806" spans="1:6" s="9" customFormat="1" x14ac:dyDescent="0.25">
      <c r="C1806" s="5"/>
      <c r="E1806" s="10"/>
      <c r="F1806" s="8">
        <f>SUM(F1805)</f>
        <v>4650</v>
      </c>
    </row>
    <row r="1807" spans="1:6" s="9" customFormat="1" x14ac:dyDescent="0.25">
      <c r="B1807" s="4"/>
      <c r="C1807" s="5"/>
      <c r="E1807" s="10"/>
      <c r="F1807" s="10"/>
    </row>
    <row r="1808" spans="1:6" s="9" customFormat="1" x14ac:dyDescent="0.25">
      <c r="A1808" s="9" t="s">
        <v>112</v>
      </c>
      <c r="B1808" s="4">
        <v>45957</v>
      </c>
      <c r="C1808" s="5">
        <v>50</v>
      </c>
      <c r="D1808" s="9" t="s">
        <v>1071</v>
      </c>
      <c r="E1808" s="10">
        <v>155</v>
      </c>
      <c r="F1808" s="10">
        <f t="shared" si="28"/>
        <v>7750</v>
      </c>
    </row>
    <row r="1809" spans="1:6" s="9" customFormat="1" x14ac:dyDescent="0.25">
      <c r="C1809" s="5">
        <v>50</v>
      </c>
      <c r="D1809" s="9" t="s">
        <v>12</v>
      </c>
      <c r="E1809" s="10">
        <v>150</v>
      </c>
      <c r="F1809" s="10">
        <f t="shared" si="28"/>
        <v>7500</v>
      </c>
    </row>
    <row r="1810" spans="1:6" s="9" customFormat="1" x14ac:dyDescent="0.25">
      <c r="B1810" s="4"/>
      <c r="C1810" s="5">
        <v>50</v>
      </c>
      <c r="D1810" s="9" t="s">
        <v>1072</v>
      </c>
      <c r="E1810" s="10">
        <v>160</v>
      </c>
      <c r="F1810" s="10">
        <f t="shared" si="28"/>
        <v>8000</v>
      </c>
    </row>
    <row r="1811" spans="1:6" s="9" customFormat="1" x14ac:dyDescent="0.25">
      <c r="C1811" s="5"/>
      <c r="E1811" s="10"/>
      <c r="F1811" s="8">
        <f>SUM(F1808:F1810)</f>
        <v>23250</v>
      </c>
    </row>
    <row r="1812" spans="1:6" s="9" customFormat="1" x14ac:dyDescent="0.25">
      <c r="C1812" s="5"/>
      <c r="E1812" s="10"/>
      <c r="F1812" s="10"/>
    </row>
    <row r="1813" spans="1:6" s="9" customFormat="1" x14ac:dyDescent="0.25">
      <c r="A1813" s="9" t="s">
        <v>61</v>
      </c>
      <c r="B1813" s="4">
        <v>45957</v>
      </c>
      <c r="C1813" s="5">
        <v>40</v>
      </c>
      <c r="D1813" s="9" t="s">
        <v>13</v>
      </c>
      <c r="E1813" s="10">
        <v>165</v>
      </c>
      <c r="F1813" s="10">
        <f t="shared" si="28"/>
        <v>6600</v>
      </c>
    </row>
    <row r="1814" spans="1:6" s="9" customFormat="1" x14ac:dyDescent="0.25">
      <c r="B1814" s="4"/>
      <c r="C1814" s="5"/>
      <c r="E1814" s="10"/>
      <c r="F1814" s="8">
        <f>SUM(F1813)</f>
        <v>6600</v>
      </c>
    </row>
    <row r="1815" spans="1:6" s="9" customFormat="1" x14ac:dyDescent="0.25">
      <c r="C1815" s="5"/>
      <c r="E1815" s="10"/>
      <c r="F1815" s="10"/>
    </row>
    <row r="1816" spans="1:6" s="9" customFormat="1" x14ac:dyDescent="0.25">
      <c r="A1816" s="9" t="s">
        <v>1073</v>
      </c>
      <c r="B1816" s="4">
        <v>45957</v>
      </c>
      <c r="C1816" s="11">
        <v>10</v>
      </c>
      <c r="D1816" s="9" t="s">
        <v>1007</v>
      </c>
      <c r="E1816" s="10">
        <v>165</v>
      </c>
      <c r="F1816" s="10">
        <f t="shared" si="28"/>
        <v>1650</v>
      </c>
    </row>
    <row r="1817" spans="1:6" s="9" customFormat="1" x14ac:dyDescent="0.25">
      <c r="C1817" s="5">
        <v>2</v>
      </c>
      <c r="D1817" s="9" t="s">
        <v>1074</v>
      </c>
      <c r="E1817" s="10">
        <v>6</v>
      </c>
      <c r="F1817" s="10">
        <f t="shared" si="28"/>
        <v>12</v>
      </c>
    </row>
    <row r="1818" spans="1:6" s="9" customFormat="1" x14ac:dyDescent="0.25">
      <c r="C1818" s="5">
        <v>1</v>
      </c>
      <c r="D1818" s="9" t="s">
        <v>49</v>
      </c>
      <c r="E1818" s="10">
        <v>180</v>
      </c>
      <c r="F1818" s="10">
        <f t="shared" si="28"/>
        <v>180</v>
      </c>
    </row>
    <row r="1819" spans="1:6" s="9" customFormat="1" x14ac:dyDescent="0.25">
      <c r="B1819" s="4"/>
      <c r="C1819" s="5">
        <v>10</v>
      </c>
      <c r="D1819" s="9" t="s">
        <v>13</v>
      </c>
      <c r="E1819" s="10">
        <v>155</v>
      </c>
      <c r="F1819" s="10">
        <f t="shared" si="28"/>
        <v>1550</v>
      </c>
    </row>
    <row r="1820" spans="1:6" s="9" customFormat="1" x14ac:dyDescent="0.25">
      <c r="C1820" s="5">
        <v>2</v>
      </c>
      <c r="D1820" s="9" t="s">
        <v>13</v>
      </c>
      <c r="E1820" s="10">
        <v>170</v>
      </c>
      <c r="F1820" s="10">
        <f t="shared" si="28"/>
        <v>340</v>
      </c>
    </row>
    <row r="1821" spans="1:6" s="9" customFormat="1" x14ac:dyDescent="0.25">
      <c r="C1821" s="5">
        <v>2</v>
      </c>
      <c r="D1821" s="9" t="s">
        <v>14</v>
      </c>
      <c r="E1821" s="10">
        <v>170</v>
      </c>
      <c r="F1821" s="10">
        <f t="shared" si="28"/>
        <v>340</v>
      </c>
    </row>
    <row r="1822" spans="1:6" s="9" customFormat="1" x14ac:dyDescent="0.25">
      <c r="C1822" s="5"/>
      <c r="E1822" s="10"/>
      <c r="F1822" s="8">
        <f>SUM(F1816:F1821)</f>
        <v>4072</v>
      </c>
    </row>
    <row r="1823" spans="1:6" s="9" customFormat="1" x14ac:dyDescent="0.25">
      <c r="B1823" s="4"/>
      <c r="C1823" s="5"/>
      <c r="E1823" s="10"/>
      <c r="F1823" s="10"/>
    </row>
    <row r="1824" spans="1:6" s="9" customFormat="1" x14ac:dyDescent="0.25">
      <c r="A1824" s="9" t="s">
        <v>181</v>
      </c>
      <c r="B1824" s="4">
        <v>45957</v>
      </c>
      <c r="C1824" s="5">
        <v>1</v>
      </c>
      <c r="D1824" s="9" t="s">
        <v>13</v>
      </c>
      <c r="E1824" s="10">
        <v>160</v>
      </c>
      <c r="F1824" s="10">
        <f t="shared" si="28"/>
        <v>160</v>
      </c>
    </row>
    <row r="1825" spans="1:6" s="9" customFormat="1" x14ac:dyDescent="0.25">
      <c r="C1825" s="5">
        <v>4</v>
      </c>
      <c r="D1825" s="9" t="s">
        <v>8</v>
      </c>
      <c r="E1825" s="10">
        <v>180</v>
      </c>
      <c r="F1825" s="10">
        <f t="shared" si="28"/>
        <v>720</v>
      </c>
    </row>
    <row r="1826" spans="1:6" s="9" customFormat="1" x14ac:dyDescent="0.25">
      <c r="C1826" s="5">
        <v>4</v>
      </c>
      <c r="D1826" s="9" t="s">
        <v>13</v>
      </c>
      <c r="E1826" s="10">
        <v>170</v>
      </c>
      <c r="F1826" s="10">
        <f t="shared" si="28"/>
        <v>680</v>
      </c>
    </row>
    <row r="1827" spans="1:6" s="9" customFormat="1" x14ac:dyDescent="0.25">
      <c r="B1827" s="4"/>
      <c r="C1827" s="5">
        <v>1</v>
      </c>
      <c r="D1827" s="9" t="s">
        <v>14</v>
      </c>
      <c r="E1827" s="10">
        <v>170</v>
      </c>
      <c r="F1827" s="10">
        <f t="shared" si="28"/>
        <v>170</v>
      </c>
    </row>
    <row r="1828" spans="1:6" s="9" customFormat="1" x14ac:dyDescent="0.25">
      <c r="C1828" s="5"/>
      <c r="E1828" s="10"/>
      <c r="F1828" s="8">
        <f>SUM(F1824:F1827)</f>
        <v>1730</v>
      </c>
    </row>
    <row r="1829" spans="1:6" s="9" customFormat="1" x14ac:dyDescent="0.25">
      <c r="C1829" s="5"/>
      <c r="E1829" s="10"/>
      <c r="F1829" s="10"/>
    </row>
    <row r="1830" spans="1:6" s="9" customFormat="1" x14ac:dyDescent="0.25">
      <c r="A1830" s="9" t="s">
        <v>514</v>
      </c>
      <c r="B1830" s="4">
        <v>45957</v>
      </c>
      <c r="C1830" s="5">
        <v>10</v>
      </c>
      <c r="D1830" s="9" t="s">
        <v>98</v>
      </c>
      <c r="E1830" s="10">
        <v>120</v>
      </c>
      <c r="F1830" s="10">
        <f t="shared" si="28"/>
        <v>1200</v>
      </c>
    </row>
    <row r="1831" spans="1:6" s="9" customFormat="1" x14ac:dyDescent="0.25">
      <c r="C1831" s="5"/>
      <c r="E1831" s="10"/>
      <c r="F1831" s="8">
        <f>SUM(F1830)</f>
        <v>1200</v>
      </c>
    </row>
    <row r="1832" spans="1:6" s="9" customFormat="1" x14ac:dyDescent="0.25">
      <c r="C1832" s="5"/>
      <c r="E1832" s="10"/>
      <c r="F1832" s="10"/>
    </row>
    <row r="1833" spans="1:6" s="9" customFormat="1" x14ac:dyDescent="0.25">
      <c r="A1833" s="9" t="s">
        <v>79</v>
      </c>
      <c r="B1833" s="4">
        <v>45958</v>
      </c>
      <c r="C1833" s="5">
        <v>15</v>
      </c>
      <c r="D1833" s="9" t="s">
        <v>13</v>
      </c>
      <c r="E1833" s="10">
        <v>160</v>
      </c>
      <c r="F1833" s="10">
        <f t="shared" si="28"/>
        <v>2400</v>
      </c>
    </row>
    <row r="1834" spans="1:6" s="9" customFormat="1" x14ac:dyDescent="0.25">
      <c r="C1834" s="5"/>
      <c r="E1834" s="10"/>
      <c r="F1834" s="8">
        <f>SUM(F1833)</f>
        <v>2400</v>
      </c>
    </row>
    <row r="1835" spans="1:6" s="9" customFormat="1" x14ac:dyDescent="0.25">
      <c r="C1835" s="5"/>
      <c r="E1835" s="10"/>
      <c r="F1835" s="10"/>
    </row>
    <row r="1836" spans="1:6" s="9" customFormat="1" x14ac:dyDescent="0.25">
      <c r="A1836" s="9" t="s">
        <v>58</v>
      </c>
      <c r="B1836" s="4">
        <v>45958</v>
      </c>
      <c r="C1836" s="5">
        <v>10</v>
      </c>
      <c r="D1836" s="9" t="s">
        <v>13</v>
      </c>
      <c r="E1836" s="10">
        <v>160</v>
      </c>
      <c r="F1836" s="10">
        <f t="shared" si="28"/>
        <v>1600</v>
      </c>
    </row>
    <row r="1837" spans="1:6" s="9" customFormat="1" x14ac:dyDescent="0.25">
      <c r="B1837" s="4"/>
      <c r="C1837" s="5"/>
      <c r="E1837" s="10"/>
      <c r="F1837" s="8">
        <f>SUM(F1836)</f>
        <v>1600</v>
      </c>
    </row>
    <row r="1838" spans="1:6" s="9" customFormat="1" x14ac:dyDescent="0.25">
      <c r="C1838" s="5"/>
      <c r="E1838" s="10"/>
      <c r="F1838" s="10"/>
    </row>
    <row r="1839" spans="1:6" s="9" customFormat="1" x14ac:dyDescent="0.25">
      <c r="A1839" s="9" t="s">
        <v>20</v>
      </c>
      <c r="B1839" s="4">
        <v>45958</v>
      </c>
      <c r="C1839" s="5">
        <v>20</v>
      </c>
      <c r="D1839" s="9" t="s">
        <v>13</v>
      </c>
      <c r="E1839" s="10">
        <v>165</v>
      </c>
      <c r="F1839" s="10">
        <f t="shared" si="28"/>
        <v>3300</v>
      </c>
    </row>
    <row r="1840" spans="1:6" s="9" customFormat="1" x14ac:dyDescent="0.25">
      <c r="B1840" s="4"/>
      <c r="C1840" s="5"/>
      <c r="E1840" s="10"/>
      <c r="F1840" s="8">
        <f>SUM(F1839)</f>
        <v>3300</v>
      </c>
    </row>
    <row r="1841" spans="1:6" s="9" customFormat="1" x14ac:dyDescent="0.25">
      <c r="C1841" s="5"/>
      <c r="E1841" s="10"/>
      <c r="F1841" s="10"/>
    </row>
    <row r="1842" spans="1:6" s="9" customFormat="1" x14ac:dyDescent="0.25">
      <c r="A1842" s="9" t="s">
        <v>21</v>
      </c>
      <c r="B1842" s="4">
        <v>45958</v>
      </c>
      <c r="C1842" s="5">
        <v>30</v>
      </c>
      <c r="D1842" s="9" t="s">
        <v>12</v>
      </c>
      <c r="E1842" s="10">
        <v>155</v>
      </c>
      <c r="F1842" s="10">
        <f t="shared" si="28"/>
        <v>4650</v>
      </c>
    </row>
    <row r="1843" spans="1:6" s="9" customFormat="1" x14ac:dyDescent="0.25">
      <c r="B1843" s="4"/>
      <c r="C1843" s="5">
        <v>30</v>
      </c>
      <c r="D1843" s="9" t="s">
        <v>13</v>
      </c>
      <c r="E1843" s="10">
        <v>165</v>
      </c>
      <c r="F1843" s="10">
        <f t="shared" si="28"/>
        <v>4950</v>
      </c>
    </row>
    <row r="1844" spans="1:6" s="9" customFormat="1" x14ac:dyDescent="0.25">
      <c r="C1844" s="5">
        <v>20</v>
      </c>
      <c r="D1844" s="9" t="s">
        <v>50</v>
      </c>
      <c r="E1844" s="10">
        <v>145</v>
      </c>
      <c r="F1844" s="10">
        <f t="shared" si="28"/>
        <v>2900</v>
      </c>
    </row>
    <row r="1845" spans="1:6" s="9" customFormat="1" x14ac:dyDescent="0.25">
      <c r="C1845" s="5"/>
      <c r="E1845" s="10"/>
      <c r="F1845" s="8">
        <f>SUM(F1842:F1844)</f>
        <v>12500</v>
      </c>
    </row>
    <row r="1846" spans="1:6" s="9" customFormat="1" x14ac:dyDescent="0.25">
      <c r="B1846" s="4"/>
      <c r="C1846" s="5"/>
      <c r="E1846" s="10"/>
      <c r="F1846" s="10"/>
    </row>
    <row r="1847" spans="1:6" s="9" customFormat="1" x14ac:dyDescent="0.25">
      <c r="A1847" s="9" t="s">
        <v>57</v>
      </c>
      <c r="B1847" s="4">
        <v>45958</v>
      </c>
      <c r="C1847" s="5">
        <v>19</v>
      </c>
      <c r="D1847" s="9" t="s">
        <v>13</v>
      </c>
      <c r="E1847" s="10">
        <v>165</v>
      </c>
      <c r="F1847" s="10">
        <f t="shared" si="28"/>
        <v>3135</v>
      </c>
    </row>
    <row r="1848" spans="1:6" s="9" customFormat="1" x14ac:dyDescent="0.25">
      <c r="C1848" s="5">
        <v>5</v>
      </c>
      <c r="D1848" s="9" t="s">
        <v>14</v>
      </c>
      <c r="E1848" s="10">
        <v>160</v>
      </c>
      <c r="F1848" s="10">
        <f t="shared" si="28"/>
        <v>800</v>
      </c>
    </row>
    <row r="1849" spans="1:6" x14ac:dyDescent="0.25">
      <c r="B1849" s="9"/>
      <c r="D1849" s="9"/>
      <c r="F1849" s="8">
        <f>SUM(F1847:F1848)</f>
        <v>3935</v>
      </c>
    </row>
    <row r="1850" spans="1:6" s="9" customFormat="1" x14ac:dyDescent="0.25">
      <c r="C1850" s="5"/>
      <c r="E1850" s="10"/>
      <c r="F1850" s="10"/>
    </row>
    <row r="1851" spans="1:6" s="9" customFormat="1" x14ac:dyDescent="0.25">
      <c r="A1851" s="9" t="s">
        <v>37</v>
      </c>
      <c r="B1851" s="4">
        <v>45958</v>
      </c>
      <c r="C1851" s="5">
        <v>10</v>
      </c>
      <c r="D1851" s="9" t="s">
        <v>12</v>
      </c>
      <c r="E1851" s="10">
        <v>155</v>
      </c>
      <c r="F1851" s="10">
        <f t="shared" si="28"/>
        <v>1550</v>
      </c>
    </row>
    <row r="1852" spans="1:6" s="9" customFormat="1" x14ac:dyDescent="0.25">
      <c r="C1852" s="5"/>
      <c r="E1852" s="10"/>
      <c r="F1852" s="8">
        <f>SUM(F1851)</f>
        <v>1550</v>
      </c>
    </row>
    <row r="1853" spans="1:6" s="9" customFormat="1" x14ac:dyDescent="0.25">
      <c r="B1853" s="4"/>
      <c r="C1853" s="5"/>
      <c r="E1853" s="10"/>
      <c r="F1853" s="10"/>
    </row>
    <row r="1854" spans="1:6" s="9" customFormat="1" x14ac:dyDescent="0.25">
      <c r="A1854" s="9" t="s">
        <v>39</v>
      </c>
      <c r="B1854" s="4">
        <v>45958</v>
      </c>
      <c r="C1854" s="5">
        <v>20</v>
      </c>
      <c r="D1854" s="9" t="s">
        <v>1075</v>
      </c>
      <c r="E1854" s="10">
        <v>175</v>
      </c>
      <c r="F1854" s="10">
        <f t="shared" si="28"/>
        <v>3500</v>
      </c>
    </row>
    <row r="1855" spans="1:6" s="9" customFormat="1" x14ac:dyDescent="0.25">
      <c r="C1855" s="5"/>
      <c r="E1855" s="10"/>
      <c r="F1855" s="8">
        <f>SUM(F1854)</f>
        <v>3500</v>
      </c>
    </row>
    <row r="1856" spans="1:6" s="9" customFormat="1" x14ac:dyDescent="0.25">
      <c r="B1856" s="4"/>
      <c r="C1856" s="5"/>
      <c r="E1856" s="10"/>
      <c r="F1856" s="10"/>
    </row>
    <row r="1857" spans="1:6" s="9" customFormat="1" x14ac:dyDescent="0.25">
      <c r="A1857" s="9" t="s">
        <v>40</v>
      </c>
      <c r="B1857" s="4">
        <v>45958</v>
      </c>
      <c r="C1857" s="5">
        <v>15</v>
      </c>
      <c r="D1857" s="9" t="s">
        <v>12</v>
      </c>
      <c r="E1857" s="10">
        <v>155</v>
      </c>
      <c r="F1857" s="10">
        <f t="shared" si="28"/>
        <v>2325</v>
      </c>
    </row>
    <row r="1858" spans="1:6" s="9" customFormat="1" x14ac:dyDescent="0.25">
      <c r="C1858" s="5">
        <v>15</v>
      </c>
      <c r="D1858" s="9" t="s">
        <v>1076</v>
      </c>
      <c r="E1858" s="10">
        <v>150</v>
      </c>
      <c r="F1858" s="10">
        <f t="shared" si="28"/>
        <v>2250</v>
      </c>
    </row>
    <row r="1859" spans="1:6" s="9" customFormat="1" x14ac:dyDescent="0.25">
      <c r="B1859" s="4"/>
      <c r="C1859" s="5">
        <v>14</v>
      </c>
      <c r="D1859" s="9" t="s">
        <v>615</v>
      </c>
      <c r="E1859" s="10">
        <v>160</v>
      </c>
      <c r="F1859" s="10">
        <f t="shared" si="28"/>
        <v>2240</v>
      </c>
    </row>
    <row r="1860" spans="1:6" s="9" customFormat="1" x14ac:dyDescent="0.25">
      <c r="C1860" s="5"/>
      <c r="E1860" s="10"/>
      <c r="F1860" s="8">
        <f>SUM(F1857:F1859)</f>
        <v>6815</v>
      </c>
    </row>
    <row r="1861" spans="1:6" s="9" customFormat="1" x14ac:dyDescent="0.25">
      <c r="C1861" s="5"/>
      <c r="E1861" s="10"/>
      <c r="F1861" s="10"/>
    </row>
    <row r="1862" spans="1:6" s="9" customFormat="1" x14ac:dyDescent="0.25">
      <c r="A1862" s="9" t="s">
        <v>18</v>
      </c>
      <c r="B1862" s="4">
        <v>45958</v>
      </c>
      <c r="C1862" s="5">
        <v>6</v>
      </c>
      <c r="D1862" s="9" t="s">
        <v>13</v>
      </c>
      <c r="E1862" s="10">
        <v>165</v>
      </c>
      <c r="F1862" s="10">
        <f t="shared" ref="F1862:F1923" si="29">+C1862*E1862</f>
        <v>990</v>
      </c>
    </row>
    <row r="1863" spans="1:6" s="9" customFormat="1" x14ac:dyDescent="0.25">
      <c r="C1863" s="5"/>
      <c r="E1863" s="10"/>
      <c r="F1863" s="8">
        <f>SUM(F1862)</f>
        <v>990</v>
      </c>
    </row>
    <row r="1864" spans="1:6" s="9" customFormat="1" x14ac:dyDescent="0.25">
      <c r="C1864" s="5"/>
      <c r="E1864" s="10"/>
      <c r="F1864" s="10"/>
    </row>
    <row r="1865" spans="1:6" s="9" customFormat="1" x14ac:dyDescent="0.25">
      <c r="A1865" s="9" t="s">
        <v>591</v>
      </c>
      <c r="B1865" s="4">
        <v>45958</v>
      </c>
      <c r="C1865" s="5">
        <v>7</v>
      </c>
      <c r="D1865" s="9" t="s">
        <v>13</v>
      </c>
      <c r="E1865" s="10">
        <v>160</v>
      </c>
      <c r="F1865" s="10">
        <f t="shared" si="29"/>
        <v>1120</v>
      </c>
    </row>
    <row r="1866" spans="1:6" s="9" customFormat="1" x14ac:dyDescent="0.25">
      <c r="C1866" s="5"/>
      <c r="E1866" s="10"/>
      <c r="F1866" s="8">
        <f>SUM(F1865)</f>
        <v>1120</v>
      </c>
    </row>
    <row r="1867" spans="1:6" s="9" customFormat="1" x14ac:dyDescent="0.25">
      <c r="C1867" s="5"/>
      <c r="E1867" s="10"/>
      <c r="F1867" s="10"/>
    </row>
    <row r="1868" spans="1:6" s="9" customFormat="1" x14ac:dyDescent="0.25">
      <c r="A1868" s="9" t="s">
        <v>66</v>
      </c>
      <c r="B1868" s="4">
        <v>45958</v>
      </c>
      <c r="C1868" s="5">
        <v>20</v>
      </c>
      <c r="D1868" s="9" t="s">
        <v>1077</v>
      </c>
      <c r="E1868" s="10">
        <v>175</v>
      </c>
      <c r="F1868" s="10">
        <f t="shared" si="29"/>
        <v>3500</v>
      </c>
    </row>
    <row r="1869" spans="1:6" s="9" customFormat="1" x14ac:dyDescent="0.25">
      <c r="C1869" s="5"/>
      <c r="E1869" s="10"/>
      <c r="F1869" s="8">
        <f>SUM(F1868)</f>
        <v>3500</v>
      </c>
    </row>
    <row r="1870" spans="1:6" s="9" customFormat="1" x14ac:dyDescent="0.25">
      <c r="C1870" s="5"/>
      <c r="E1870" s="10"/>
      <c r="F1870" s="10"/>
    </row>
    <row r="1871" spans="1:6" s="9" customFormat="1" x14ac:dyDescent="0.25">
      <c r="A1871" s="9" t="s">
        <v>113</v>
      </c>
      <c r="B1871" s="4">
        <v>45958</v>
      </c>
      <c r="C1871" s="5">
        <v>20</v>
      </c>
      <c r="D1871" s="9" t="s">
        <v>13</v>
      </c>
      <c r="E1871" s="10">
        <v>165</v>
      </c>
      <c r="F1871" s="10">
        <f t="shared" si="29"/>
        <v>3300</v>
      </c>
    </row>
    <row r="1872" spans="1:6" s="9" customFormat="1" x14ac:dyDescent="0.25">
      <c r="C1872" s="5"/>
      <c r="E1872" s="10"/>
      <c r="F1872" s="8">
        <f>SUM(F1871)</f>
        <v>3300</v>
      </c>
    </row>
    <row r="1873" spans="1:6" s="9" customFormat="1" x14ac:dyDescent="0.25">
      <c r="C1873" s="5"/>
      <c r="E1873" s="10"/>
      <c r="F1873" s="10"/>
    </row>
    <row r="1874" spans="1:6" s="9" customFormat="1" x14ac:dyDescent="0.25">
      <c r="A1874" s="9" t="s">
        <v>26</v>
      </c>
      <c r="B1874" s="4">
        <v>45958</v>
      </c>
      <c r="C1874" s="5">
        <v>10</v>
      </c>
      <c r="D1874" s="9" t="s">
        <v>14</v>
      </c>
      <c r="E1874" s="10">
        <v>150</v>
      </c>
      <c r="F1874" s="10">
        <f t="shared" si="29"/>
        <v>1500</v>
      </c>
    </row>
    <row r="1875" spans="1:6" s="9" customFormat="1" x14ac:dyDescent="0.25">
      <c r="B1875" s="4"/>
      <c r="C1875" s="5"/>
      <c r="E1875" s="10"/>
      <c r="F1875" s="8">
        <f>SUM(F1874)</f>
        <v>1500</v>
      </c>
    </row>
    <row r="1876" spans="1:6" s="9" customFormat="1" x14ac:dyDescent="0.25">
      <c r="C1876" s="5"/>
      <c r="E1876" s="10"/>
      <c r="F1876" s="10"/>
    </row>
    <row r="1877" spans="1:6" s="9" customFormat="1" x14ac:dyDescent="0.25">
      <c r="A1877" s="9" t="s">
        <v>487</v>
      </c>
      <c r="B1877" s="4">
        <v>45958</v>
      </c>
      <c r="C1877" s="5">
        <v>5</v>
      </c>
      <c r="D1877" s="9" t="s">
        <v>12</v>
      </c>
      <c r="E1877" s="10">
        <v>155</v>
      </c>
      <c r="F1877" s="10">
        <f t="shared" si="29"/>
        <v>775</v>
      </c>
    </row>
    <row r="1878" spans="1:6" s="9" customFormat="1" x14ac:dyDescent="0.25">
      <c r="C1878" s="5"/>
      <c r="E1878" s="10"/>
      <c r="F1878" s="8">
        <f>SUM(F1877)</f>
        <v>775</v>
      </c>
    </row>
    <row r="1879" spans="1:6" s="9" customFormat="1" x14ac:dyDescent="0.25">
      <c r="B1879" s="4"/>
      <c r="C1879" s="5"/>
      <c r="E1879" s="10"/>
      <c r="F1879" s="10"/>
    </row>
    <row r="1880" spans="1:6" s="9" customFormat="1" x14ac:dyDescent="0.25">
      <c r="A1880" s="9" t="s">
        <v>151</v>
      </c>
      <c r="B1880" s="4">
        <v>45958</v>
      </c>
      <c r="C1880" s="5">
        <v>40</v>
      </c>
      <c r="D1880" s="9" t="s">
        <v>50</v>
      </c>
      <c r="E1880" s="10">
        <v>143</v>
      </c>
      <c r="F1880" s="10">
        <f t="shared" si="29"/>
        <v>5720</v>
      </c>
    </row>
    <row r="1881" spans="1:6" s="9" customFormat="1" x14ac:dyDescent="0.25">
      <c r="C1881" s="5">
        <v>30</v>
      </c>
      <c r="D1881" s="9" t="s">
        <v>22</v>
      </c>
      <c r="E1881" s="10">
        <v>143</v>
      </c>
      <c r="F1881" s="10">
        <f t="shared" si="29"/>
        <v>4290</v>
      </c>
    </row>
    <row r="1882" spans="1:6" s="9" customFormat="1" x14ac:dyDescent="0.25">
      <c r="C1882" s="5">
        <v>70</v>
      </c>
      <c r="D1882" s="9" t="s">
        <v>14</v>
      </c>
      <c r="E1882" s="10">
        <v>155</v>
      </c>
      <c r="F1882" s="10">
        <f t="shared" si="29"/>
        <v>10850</v>
      </c>
    </row>
    <row r="1883" spans="1:6" s="9" customFormat="1" x14ac:dyDescent="0.25">
      <c r="C1883" s="5">
        <v>70</v>
      </c>
      <c r="D1883" s="9" t="s">
        <v>11</v>
      </c>
      <c r="E1883" s="10">
        <v>150</v>
      </c>
      <c r="F1883" s="10">
        <f t="shared" si="29"/>
        <v>10500</v>
      </c>
    </row>
    <row r="1884" spans="1:6" s="9" customFormat="1" x14ac:dyDescent="0.25">
      <c r="B1884" s="4"/>
      <c r="C1884" s="5"/>
      <c r="E1884" s="10"/>
      <c r="F1884" s="8">
        <f>SUM(F1880:F1883)</f>
        <v>31360</v>
      </c>
    </row>
    <row r="1885" spans="1:6" s="9" customFormat="1" x14ac:dyDescent="0.25">
      <c r="C1885" s="5"/>
      <c r="E1885" s="10"/>
      <c r="F1885" s="10"/>
    </row>
    <row r="1886" spans="1:6" s="9" customFormat="1" x14ac:dyDescent="0.25">
      <c r="A1886" s="9" t="s">
        <v>292</v>
      </c>
      <c r="B1886" s="4">
        <v>45958</v>
      </c>
      <c r="C1886" s="5">
        <v>5</v>
      </c>
      <c r="D1886" s="9" t="s">
        <v>8</v>
      </c>
      <c r="E1886" s="10">
        <v>165</v>
      </c>
      <c r="F1886" s="10">
        <f t="shared" si="29"/>
        <v>825</v>
      </c>
    </row>
    <row r="1887" spans="1:6" s="9" customFormat="1" x14ac:dyDescent="0.25">
      <c r="B1887" s="4"/>
      <c r="C1887" s="5">
        <v>15</v>
      </c>
      <c r="D1887" s="9" t="s">
        <v>11</v>
      </c>
      <c r="E1887" s="10">
        <v>150</v>
      </c>
      <c r="F1887" s="10">
        <f t="shared" si="29"/>
        <v>2250</v>
      </c>
    </row>
    <row r="1888" spans="1:6" s="9" customFormat="1" x14ac:dyDescent="0.25">
      <c r="C1888" s="5"/>
      <c r="E1888" s="10"/>
      <c r="F1888" s="8">
        <f>SUM(F1886:F1887)</f>
        <v>3075</v>
      </c>
    </row>
    <row r="1889" spans="1:6" s="9" customFormat="1" x14ac:dyDescent="0.25">
      <c r="C1889" s="5"/>
      <c r="E1889" s="10"/>
      <c r="F1889" s="10"/>
    </row>
    <row r="1890" spans="1:6" s="9" customFormat="1" x14ac:dyDescent="0.25">
      <c r="A1890" s="9" t="s">
        <v>76</v>
      </c>
      <c r="B1890" s="4">
        <v>45958</v>
      </c>
      <c r="C1890" s="5">
        <v>266</v>
      </c>
      <c r="D1890" s="9" t="s">
        <v>14</v>
      </c>
      <c r="E1890" s="10"/>
      <c r="F1890" s="10">
        <f t="shared" si="29"/>
        <v>0</v>
      </c>
    </row>
    <row r="1891" spans="1:6" s="9" customFormat="1" x14ac:dyDescent="0.25">
      <c r="C1891" s="5">
        <v>93</v>
      </c>
      <c r="D1891" s="9" t="s">
        <v>11</v>
      </c>
      <c r="E1891" s="10"/>
      <c r="F1891" s="10">
        <f t="shared" si="29"/>
        <v>0</v>
      </c>
    </row>
    <row r="1892" spans="1:6" s="9" customFormat="1" x14ac:dyDescent="0.25">
      <c r="C1892" s="5">
        <v>16</v>
      </c>
      <c r="D1892" s="9" t="s">
        <v>875</v>
      </c>
      <c r="E1892" s="10"/>
      <c r="F1892" s="10">
        <f t="shared" si="29"/>
        <v>0</v>
      </c>
    </row>
    <row r="1893" spans="1:6" s="9" customFormat="1" x14ac:dyDescent="0.25">
      <c r="C1893" s="5">
        <v>2</v>
      </c>
      <c r="D1893" s="9" t="s">
        <v>13</v>
      </c>
      <c r="E1893" s="10"/>
      <c r="F1893" s="10">
        <f t="shared" si="29"/>
        <v>0</v>
      </c>
    </row>
    <row r="1894" spans="1:6" s="9" customFormat="1" x14ac:dyDescent="0.25">
      <c r="B1894" s="4"/>
      <c r="C1894" s="5">
        <v>23</v>
      </c>
      <c r="D1894" s="9" t="s">
        <v>50</v>
      </c>
      <c r="E1894" s="10"/>
      <c r="F1894" s="10">
        <f t="shared" si="29"/>
        <v>0</v>
      </c>
    </row>
    <row r="1895" spans="1:6" s="9" customFormat="1" x14ac:dyDescent="0.25">
      <c r="C1895" s="5">
        <v>27</v>
      </c>
      <c r="D1895" s="9" t="s">
        <v>1078</v>
      </c>
      <c r="E1895" s="10"/>
      <c r="F1895" s="10">
        <f t="shared" si="29"/>
        <v>0</v>
      </c>
    </row>
    <row r="1896" spans="1:6" s="9" customFormat="1" x14ac:dyDescent="0.25">
      <c r="C1896" s="5"/>
      <c r="E1896" s="10"/>
      <c r="F1896" s="8">
        <f>SUM(F1890:F1895)</f>
        <v>0</v>
      </c>
    </row>
    <row r="1897" spans="1:6" s="9" customFormat="1" x14ac:dyDescent="0.25">
      <c r="B1897" s="4"/>
      <c r="C1897" s="5"/>
      <c r="E1897" s="10"/>
      <c r="F1897" s="10"/>
    </row>
    <row r="1898" spans="1:6" s="9" customFormat="1" x14ac:dyDescent="0.25">
      <c r="A1898" s="9" t="s">
        <v>1079</v>
      </c>
      <c r="B1898" s="4">
        <v>45958</v>
      </c>
      <c r="C1898" s="5">
        <v>2</v>
      </c>
      <c r="D1898" s="9" t="s">
        <v>12</v>
      </c>
      <c r="E1898" s="10">
        <v>160</v>
      </c>
      <c r="F1898" s="10">
        <f t="shared" si="29"/>
        <v>320</v>
      </c>
    </row>
    <row r="1899" spans="1:6" s="9" customFormat="1" x14ac:dyDescent="0.25">
      <c r="C1899" s="5">
        <v>2</v>
      </c>
      <c r="D1899" s="9" t="s">
        <v>12</v>
      </c>
      <c r="E1899" s="10">
        <v>160</v>
      </c>
      <c r="F1899" s="10">
        <f t="shared" si="29"/>
        <v>320</v>
      </c>
    </row>
    <row r="1900" spans="1:6" s="9" customFormat="1" x14ac:dyDescent="0.25">
      <c r="C1900" s="5"/>
      <c r="E1900" s="10"/>
      <c r="F1900" s="8">
        <f>SUM(F1898:F1899)</f>
        <v>640</v>
      </c>
    </row>
    <row r="1901" spans="1:6" s="9" customFormat="1" x14ac:dyDescent="0.25">
      <c r="B1901" s="4"/>
      <c r="C1901" s="5"/>
      <c r="E1901" s="10"/>
      <c r="F1901" s="10"/>
    </row>
    <row r="1902" spans="1:6" s="9" customFormat="1" x14ac:dyDescent="0.25">
      <c r="A1902" s="9" t="s">
        <v>181</v>
      </c>
      <c r="B1902" s="4">
        <v>45958</v>
      </c>
      <c r="C1902" s="5">
        <v>1</v>
      </c>
      <c r="D1902" s="9" t="s">
        <v>8</v>
      </c>
      <c r="E1902" s="10">
        <v>180</v>
      </c>
      <c r="F1902" s="10">
        <f t="shared" si="29"/>
        <v>180</v>
      </c>
    </row>
    <row r="1903" spans="1:6" s="9" customFormat="1" x14ac:dyDescent="0.25">
      <c r="C1903" s="5">
        <v>1</v>
      </c>
      <c r="D1903" s="9" t="s">
        <v>8</v>
      </c>
      <c r="E1903" s="10">
        <v>180</v>
      </c>
      <c r="F1903" s="10">
        <f t="shared" si="29"/>
        <v>180</v>
      </c>
    </row>
    <row r="1904" spans="1:6" s="9" customFormat="1" x14ac:dyDescent="0.25">
      <c r="B1904" s="4"/>
      <c r="C1904" s="5">
        <v>5</v>
      </c>
      <c r="D1904" s="9" t="s">
        <v>13</v>
      </c>
      <c r="E1904" s="10">
        <v>170</v>
      </c>
      <c r="F1904" s="10">
        <f t="shared" si="29"/>
        <v>850</v>
      </c>
    </row>
    <row r="1905" spans="1:6" s="9" customFormat="1" x14ac:dyDescent="0.25">
      <c r="C1905" s="5">
        <v>2</v>
      </c>
      <c r="D1905" s="9" t="s">
        <v>12</v>
      </c>
      <c r="E1905" s="10">
        <v>160</v>
      </c>
      <c r="F1905" s="10">
        <f t="shared" si="29"/>
        <v>320</v>
      </c>
    </row>
    <row r="1906" spans="1:6" s="9" customFormat="1" x14ac:dyDescent="0.25">
      <c r="C1906" s="5"/>
      <c r="E1906" s="10"/>
      <c r="F1906" s="8">
        <f>SUM(F1902:F1905)</f>
        <v>1530</v>
      </c>
    </row>
    <row r="1907" spans="1:6" s="9" customFormat="1" x14ac:dyDescent="0.25">
      <c r="B1907" s="4"/>
      <c r="C1907" s="5"/>
      <c r="E1907" s="10"/>
      <c r="F1907" s="10"/>
    </row>
    <row r="1908" spans="1:6" s="9" customFormat="1" x14ac:dyDescent="0.25">
      <c r="A1908" s="9" t="s">
        <v>41</v>
      </c>
      <c r="B1908" s="4">
        <v>45959</v>
      </c>
      <c r="C1908" s="5">
        <v>50</v>
      </c>
      <c r="D1908" s="9" t="s">
        <v>14</v>
      </c>
      <c r="E1908" s="10">
        <v>145</v>
      </c>
      <c r="F1908" s="10">
        <f t="shared" si="29"/>
        <v>7250</v>
      </c>
    </row>
    <row r="1909" spans="1:6" s="9" customFormat="1" x14ac:dyDescent="0.25">
      <c r="C1909" s="5"/>
      <c r="E1909" s="10"/>
      <c r="F1909" s="8">
        <f>SUM(F1908)</f>
        <v>7250</v>
      </c>
    </row>
    <row r="1910" spans="1:6" s="9" customFormat="1" x14ac:dyDescent="0.25">
      <c r="B1910" s="4"/>
      <c r="C1910" s="5"/>
      <c r="E1910" s="10"/>
      <c r="F1910" s="10"/>
    </row>
    <row r="1911" spans="1:6" s="9" customFormat="1" x14ac:dyDescent="0.25">
      <c r="A1911" s="9" t="s">
        <v>107</v>
      </c>
      <c r="B1911" s="4">
        <v>45959</v>
      </c>
      <c r="C1911" s="5">
        <v>64</v>
      </c>
      <c r="D1911" s="9" t="s">
        <v>11</v>
      </c>
      <c r="E1911" s="10">
        <v>150</v>
      </c>
      <c r="F1911" s="10">
        <f t="shared" si="29"/>
        <v>9600</v>
      </c>
    </row>
    <row r="1912" spans="1:6" s="9" customFormat="1" x14ac:dyDescent="0.25">
      <c r="C1912" s="5"/>
      <c r="E1912" s="10"/>
      <c r="F1912" s="8">
        <f>SUM(F1911)</f>
        <v>9600</v>
      </c>
    </row>
    <row r="1913" spans="1:6" s="9" customFormat="1" x14ac:dyDescent="0.25">
      <c r="C1913" s="5"/>
      <c r="E1913" s="10"/>
      <c r="F1913" s="10"/>
    </row>
    <row r="1914" spans="1:6" s="9" customFormat="1" x14ac:dyDescent="0.25">
      <c r="A1914" s="9" t="s">
        <v>455</v>
      </c>
      <c r="B1914" s="4">
        <v>45959</v>
      </c>
      <c r="C1914" s="5">
        <v>50</v>
      </c>
      <c r="D1914" s="9" t="s">
        <v>14</v>
      </c>
      <c r="E1914" s="10">
        <v>155</v>
      </c>
      <c r="F1914" s="10">
        <f t="shared" si="29"/>
        <v>7750</v>
      </c>
    </row>
    <row r="1915" spans="1:6" s="9" customFormat="1" x14ac:dyDescent="0.25">
      <c r="C1915" s="5"/>
      <c r="E1915" s="10"/>
      <c r="F1915" s="8">
        <f>SUM(F1914)</f>
        <v>7750</v>
      </c>
    </row>
    <row r="1916" spans="1:6" s="9" customFormat="1" x14ac:dyDescent="0.25">
      <c r="C1916" s="5"/>
      <c r="E1916" s="10"/>
      <c r="F1916" s="10"/>
    </row>
    <row r="1917" spans="1:6" s="9" customFormat="1" x14ac:dyDescent="0.25">
      <c r="A1917" s="9" t="s">
        <v>43</v>
      </c>
      <c r="B1917" s="4">
        <v>45959</v>
      </c>
      <c r="C1917" s="5">
        <v>40</v>
      </c>
      <c r="D1917" s="9" t="s">
        <v>14</v>
      </c>
      <c r="E1917" s="10">
        <v>160</v>
      </c>
      <c r="F1917" s="10">
        <f t="shared" si="29"/>
        <v>6400</v>
      </c>
    </row>
    <row r="1918" spans="1:6" s="9" customFormat="1" x14ac:dyDescent="0.25">
      <c r="B1918" s="4"/>
      <c r="C1918" s="5"/>
      <c r="E1918" s="10"/>
      <c r="F1918" s="8">
        <f>SUM(F1917)</f>
        <v>6400</v>
      </c>
    </row>
    <row r="1919" spans="1:6" s="9" customFormat="1" x14ac:dyDescent="0.25">
      <c r="C1919" s="5"/>
      <c r="E1919" s="10"/>
      <c r="F1919" s="10"/>
    </row>
    <row r="1920" spans="1:6" s="9" customFormat="1" x14ac:dyDescent="0.25">
      <c r="A1920" s="9" t="s">
        <v>253</v>
      </c>
      <c r="B1920" s="4">
        <v>45959</v>
      </c>
      <c r="C1920" s="5">
        <v>20</v>
      </c>
      <c r="D1920" s="9" t="s">
        <v>14</v>
      </c>
      <c r="E1920" s="10">
        <v>160</v>
      </c>
      <c r="F1920" s="10">
        <f t="shared" si="29"/>
        <v>3200</v>
      </c>
    </row>
    <row r="1921" spans="1:6" s="9" customFormat="1" x14ac:dyDescent="0.25">
      <c r="C1921" s="5"/>
      <c r="E1921" s="10"/>
      <c r="F1921" s="8">
        <f>SUM(F1920)</f>
        <v>3200</v>
      </c>
    </row>
    <row r="1922" spans="1:6" s="9" customFormat="1" x14ac:dyDescent="0.25">
      <c r="C1922" s="11"/>
      <c r="E1922" s="10"/>
      <c r="F1922" s="10"/>
    </row>
    <row r="1923" spans="1:6" s="9" customFormat="1" x14ac:dyDescent="0.25">
      <c r="A1923" s="9" t="s">
        <v>18</v>
      </c>
      <c r="B1923" s="4">
        <v>45959</v>
      </c>
      <c r="C1923" s="5">
        <v>30</v>
      </c>
      <c r="D1923" s="9" t="s">
        <v>11</v>
      </c>
      <c r="E1923" s="10">
        <v>150</v>
      </c>
      <c r="F1923" s="10">
        <f t="shared" si="29"/>
        <v>4500</v>
      </c>
    </row>
    <row r="1924" spans="1:6" s="9" customFormat="1" x14ac:dyDescent="0.25">
      <c r="C1924" s="5">
        <v>20</v>
      </c>
      <c r="D1924" s="9" t="s">
        <v>12</v>
      </c>
      <c r="E1924" s="10">
        <v>150</v>
      </c>
      <c r="F1924" s="10">
        <f t="shared" ref="F1924:F1985" si="30">+C1924*E1924</f>
        <v>3000</v>
      </c>
    </row>
    <row r="1925" spans="1:6" s="9" customFormat="1" x14ac:dyDescent="0.25">
      <c r="B1925" s="4"/>
      <c r="C1925" s="5"/>
      <c r="E1925" s="10"/>
      <c r="F1925" s="8">
        <f>SUM(F1923:F1924)</f>
        <v>7500</v>
      </c>
    </row>
    <row r="1926" spans="1:6" s="9" customFormat="1" x14ac:dyDescent="0.25">
      <c r="C1926" s="5"/>
      <c r="E1926" s="10"/>
      <c r="F1926" s="10"/>
    </row>
    <row r="1927" spans="1:6" s="9" customFormat="1" x14ac:dyDescent="0.25">
      <c r="A1927" s="9" t="s">
        <v>138</v>
      </c>
      <c r="B1927" s="4">
        <v>45959</v>
      </c>
      <c r="C1927" s="5">
        <v>20</v>
      </c>
      <c r="D1927" s="9" t="s">
        <v>14</v>
      </c>
      <c r="E1927" s="10">
        <v>160</v>
      </c>
      <c r="F1927" s="10">
        <f t="shared" si="30"/>
        <v>3200</v>
      </c>
    </row>
    <row r="1928" spans="1:6" s="9" customFormat="1" x14ac:dyDescent="0.25">
      <c r="B1928" s="4"/>
      <c r="C1928" s="5"/>
      <c r="E1928" s="10"/>
      <c r="F1928" s="8">
        <f>SUM(F1927)</f>
        <v>3200</v>
      </c>
    </row>
    <row r="1929" spans="1:6" s="9" customFormat="1" x14ac:dyDescent="0.25">
      <c r="C1929" s="5"/>
      <c r="E1929" s="10"/>
      <c r="F1929" s="10"/>
    </row>
    <row r="1930" spans="1:6" s="9" customFormat="1" x14ac:dyDescent="0.25">
      <c r="A1930" s="9" t="s">
        <v>85</v>
      </c>
      <c r="B1930" s="4">
        <v>45959</v>
      </c>
      <c r="C1930" s="5">
        <v>41</v>
      </c>
      <c r="D1930" s="9" t="s">
        <v>14</v>
      </c>
      <c r="E1930" s="10">
        <v>155</v>
      </c>
      <c r="F1930" s="10">
        <f t="shared" si="30"/>
        <v>6355</v>
      </c>
    </row>
    <row r="1931" spans="1:6" s="9" customFormat="1" x14ac:dyDescent="0.25">
      <c r="C1931" s="5"/>
      <c r="E1931" s="10"/>
      <c r="F1931" s="8">
        <f>SUM(F1930)</f>
        <v>6355</v>
      </c>
    </row>
    <row r="1932" spans="1:6" s="9" customFormat="1" x14ac:dyDescent="0.25">
      <c r="B1932" s="4"/>
      <c r="C1932" s="5"/>
      <c r="E1932" s="10"/>
      <c r="F1932" s="10"/>
    </row>
    <row r="1933" spans="1:6" s="9" customFormat="1" x14ac:dyDescent="0.25">
      <c r="A1933" s="9" t="s">
        <v>755</v>
      </c>
      <c r="B1933" s="4">
        <v>45959</v>
      </c>
      <c r="C1933" s="5">
        <v>8</v>
      </c>
      <c r="D1933" s="9" t="s">
        <v>14</v>
      </c>
      <c r="E1933" s="10">
        <v>160</v>
      </c>
      <c r="F1933" s="10">
        <f t="shared" si="30"/>
        <v>1280</v>
      </c>
    </row>
    <row r="1934" spans="1:6" s="9" customFormat="1" x14ac:dyDescent="0.25">
      <c r="C1934" s="5"/>
      <c r="E1934" s="10"/>
      <c r="F1934" s="8">
        <f>SUM(F1933)</f>
        <v>1280</v>
      </c>
    </row>
    <row r="1935" spans="1:6" s="9" customFormat="1" x14ac:dyDescent="0.25">
      <c r="B1935" s="4"/>
      <c r="C1935" s="5"/>
      <c r="E1935" s="10"/>
      <c r="F1935" s="10"/>
    </row>
    <row r="1936" spans="1:6" s="9" customFormat="1" x14ac:dyDescent="0.25">
      <c r="A1936" s="9" t="s">
        <v>140</v>
      </c>
      <c r="B1936" s="4">
        <v>45959</v>
      </c>
      <c r="C1936" s="5">
        <v>150</v>
      </c>
      <c r="D1936" s="9" t="s">
        <v>14</v>
      </c>
      <c r="E1936" s="10">
        <v>160</v>
      </c>
      <c r="F1936" s="10">
        <f t="shared" si="30"/>
        <v>24000</v>
      </c>
    </row>
    <row r="1937" spans="1:6" s="9" customFormat="1" x14ac:dyDescent="0.25">
      <c r="C1937" s="5">
        <v>120</v>
      </c>
      <c r="D1937" s="9" t="s">
        <v>12</v>
      </c>
      <c r="E1937" s="10">
        <v>150</v>
      </c>
      <c r="F1937" s="10">
        <f t="shared" si="30"/>
        <v>18000</v>
      </c>
    </row>
    <row r="1938" spans="1:6" s="9" customFormat="1" x14ac:dyDescent="0.25">
      <c r="B1938" s="4"/>
      <c r="C1938" s="5">
        <v>100</v>
      </c>
      <c r="D1938" s="9" t="s">
        <v>1028</v>
      </c>
      <c r="E1938" s="10">
        <v>150</v>
      </c>
      <c r="F1938" s="10">
        <f t="shared" si="30"/>
        <v>15000</v>
      </c>
    </row>
    <row r="1939" spans="1:6" s="9" customFormat="1" x14ac:dyDescent="0.25">
      <c r="C1939" s="5">
        <v>10</v>
      </c>
      <c r="D1939" s="9" t="s">
        <v>8</v>
      </c>
      <c r="E1939" s="10">
        <v>165</v>
      </c>
      <c r="F1939" s="10">
        <f t="shared" si="30"/>
        <v>1650</v>
      </c>
    </row>
    <row r="1940" spans="1:6" s="9" customFormat="1" x14ac:dyDescent="0.25">
      <c r="C1940" s="5">
        <v>50</v>
      </c>
      <c r="D1940" s="9" t="s">
        <v>13</v>
      </c>
      <c r="E1940" s="10">
        <v>160</v>
      </c>
      <c r="F1940" s="10">
        <f t="shared" si="30"/>
        <v>8000</v>
      </c>
    </row>
    <row r="1941" spans="1:6" s="9" customFormat="1" x14ac:dyDescent="0.25">
      <c r="C1941" s="5"/>
      <c r="E1941" s="10"/>
      <c r="F1941" s="8">
        <f>SUM(F1936:F1940)</f>
        <v>66650</v>
      </c>
    </row>
    <row r="1942" spans="1:6" s="9" customFormat="1" x14ac:dyDescent="0.25">
      <c r="C1942" s="5"/>
      <c r="E1942" s="10"/>
      <c r="F1942" s="10"/>
    </row>
    <row r="1943" spans="1:6" s="9" customFormat="1" x14ac:dyDescent="0.25">
      <c r="A1943" s="9" t="s">
        <v>610</v>
      </c>
      <c r="B1943" s="4">
        <v>45959</v>
      </c>
      <c r="C1943" s="5">
        <v>10</v>
      </c>
      <c r="D1943" s="9" t="s">
        <v>14</v>
      </c>
      <c r="E1943" s="10">
        <v>165</v>
      </c>
      <c r="F1943" s="10">
        <f t="shared" si="30"/>
        <v>1650</v>
      </c>
    </row>
    <row r="1944" spans="1:6" s="9" customFormat="1" x14ac:dyDescent="0.25">
      <c r="C1944" s="5">
        <v>1</v>
      </c>
      <c r="D1944" s="9" t="s">
        <v>13</v>
      </c>
      <c r="E1944" s="10">
        <v>165</v>
      </c>
      <c r="F1944" s="10">
        <f t="shared" si="30"/>
        <v>165</v>
      </c>
    </row>
    <row r="1945" spans="1:6" s="9" customFormat="1" x14ac:dyDescent="0.25">
      <c r="B1945" s="4"/>
      <c r="C1945" s="5"/>
      <c r="E1945" s="10"/>
      <c r="F1945" s="8">
        <f>SUM(F1943:F1944)</f>
        <v>1815</v>
      </c>
    </row>
    <row r="1946" spans="1:6" s="9" customFormat="1" x14ac:dyDescent="0.25">
      <c r="C1946" s="5"/>
      <c r="E1946" s="10"/>
      <c r="F1946" s="10"/>
    </row>
    <row r="1947" spans="1:6" s="9" customFormat="1" x14ac:dyDescent="0.25">
      <c r="A1947" s="9" t="s">
        <v>853</v>
      </c>
      <c r="B1947" s="4">
        <v>45959</v>
      </c>
      <c r="C1947" s="5">
        <v>3</v>
      </c>
      <c r="D1947" s="9" t="s">
        <v>13</v>
      </c>
      <c r="E1947" s="10">
        <v>170</v>
      </c>
      <c r="F1947" s="10">
        <f t="shared" si="30"/>
        <v>510</v>
      </c>
    </row>
    <row r="1948" spans="1:6" s="9" customFormat="1" x14ac:dyDescent="0.25">
      <c r="C1948" s="5"/>
      <c r="E1948" s="10"/>
      <c r="F1948" s="8">
        <f>SUM(F1947)</f>
        <v>510</v>
      </c>
    </row>
    <row r="1949" spans="1:6" s="9" customFormat="1" x14ac:dyDescent="0.25">
      <c r="B1949" s="4"/>
      <c r="C1949" s="5"/>
      <c r="E1949" s="10"/>
      <c r="F1949" s="10"/>
    </row>
    <row r="1950" spans="1:6" s="9" customFormat="1" x14ac:dyDescent="0.25">
      <c r="A1950" s="9" t="s">
        <v>891</v>
      </c>
      <c r="B1950" s="4">
        <v>45959</v>
      </c>
      <c r="C1950" s="5">
        <v>100</v>
      </c>
      <c r="D1950" s="9" t="s">
        <v>13</v>
      </c>
      <c r="E1950" s="10">
        <v>155</v>
      </c>
      <c r="F1950" s="10">
        <f t="shared" si="30"/>
        <v>15500</v>
      </c>
    </row>
    <row r="1951" spans="1:6" s="9" customFormat="1" x14ac:dyDescent="0.25">
      <c r="C1951" s="5"/>
      <c r="E1951" s="10"/>
      <c r="F1951" s="8">
        <f>SUM(F1950)</f>
        <v>15500</v>
      </c>
    </row>
    <row r="1952" spans="1:6" s="9" customFormat="1" x14ac:dyDescent="0.25">
      <c r="B1952" s="4"/>
      <c r="C1952" s="5"/>
      <c r="E1952" s="10"/>
      <c r="F1952" s="10"/>
    </row>
    <row r="1953" spans="1:6" s="9" customFormat="1" x14ac:dyDescent="0.25">
      <c r="A1953" s="9" t="s">
        <v>786</v>
      </c>
      <c r="B1953" s="4">
        <v>45959</v>
      </c>
      <c r="C1953" s="5">
        <v>10</v>
      </c>
      <c r="D1953" s="9" t="s">
        <v>8</v>
      </c>
      <c r="E1953" s="10">
        <v>175</v>
      </c>
      <c r="F1953" s="10">
        <f t="shared" si="30"/>
        <v>1750</v>
      </c>
    </row>
    <row r="1954" spans="1:6" s="9" customFormat="1" x14ac:dyDescent="0.25">
      <c r="C1954" s="5"/>
      <c r="E1954" s="10"/>
      <c r="F1954" s="8">
        <f>SUM(F1953)</f>
        <v>1750</v>
      </c>
    </row>
    <row r="1955" spans="1:6" s="9" customFormat="1" x14ac:dyDescent="0.25">
      <c r="C1955" s="5"/>
      <c r="E1955" s="10"/>
      <c r="F1955" s="10"/>
    </row>
    <row r="1956" spans="1:6" s="9" customFormat="1" x14ac:dyDescent="0.25">
      <c r="A1956" s="9" t="s">
        <v>112</v>
      </c>
      <c r="B1956" s="4">
        <v>45959</v>
      </c>
      <c r="C1956" s="5">
        <v>50</v>
      </c>
      <c r="D1956" s="9" t="s">
        <v>14</v>
      </c>
      <c r="E1956" s="10">
        <v>155</v>
      </c>
      <c r="F1956" s="10">
        <f t="shared" si="30"/>
        <v>7750</v>
      </c>
    </row>
    <row r="1957" spans="1:6" s="9" customFormat="1" x14ac:dyDescent="0.25">
      <c r="C1957" s="5">
        <v>50</v>
      </c>
      <c r="D1957" s="9" t="s">
        <v>11</v>
      </c>
      <c r="E1957" s="10">
        <v>150</v>
      </c>
      <c r="F1957" s="10">
        <f t="shared" si="30"/>
        <v>7500</v>
      </c>
    </row>
    <row r="1958" spans="1:6" s="9" customFormat="1" x14ac:dyDescent="0.25">
      <c r="B1958" s="4"/>
      <c r="C1958" s="5"/>
      <c r="E1958" s="10"/>
      <c r="F1958" s="8">
        <f>SUM(F1956:F1957)</f>
        <v>15250</v>
      </c>
    </row>
    <row r="1959" spans="1:6" s="9" customFormat="1" x14ac:dyDescent="0.25">
      <c r="C1959" s="5"/>
      <c r="E1959" s="10"/>
      <c r="F1959" s="10"/>
    </row>
    <row r="1960" spans="1:6" s="9" customFormat="1" x14ac:dyDescent="0.25">
      <c r="A1960" s="9" t="s">
        <v>72</v>
      </c>
      <c r="B1960" s="4">
        <v>45959</v>
      </c>
      <c r="C1960" s="5">
        <v>150</v>
      </c>
      <c r="D1960" s="9" t="s">
        <v>11</v>
      </c>
      <c r="E1960" s="10">
        <v>150</v>
      </c>
      <c r="F1960" s="10">
        <f t="shared" si="30"/>
        <v>22500</v>
      </c>
    </row>
    <row r="1961" spans="1:6" s="9" customFormat="1" x14ac:dyDescent="0.25">
      <c r="C1961" s="5">
        <v>10</v>
      </c>
      <c r="D1961" s="9" t="s">
        <v>14</v>
      </c>
      <c r="E1961" s="10">
        <v>155</v>
      </c>
      <c r="F1961" s="10">
        <f t="shared" si="30"/>
        <v>1550</v>
      </c>
    </row>
    <row r="1962" spans="1:6" s="9" customFormat="1" x14ac:dyDescent="0.25">
      <c r="B1962" s="4"/>
      <c r="C1962" s="5">
        <v>150</v>
      </c>
      <c r="D1962" s="9" t="s">
        <v>12</v>
      </c>
      <c r="E1962" s="10">
        <v>150</v>
      </c>
      <c r="F1962" s="10">
        <f t="shared" si="30"/>
        <v>22500</v>
      </c>
    </row>
    <row r="1963" spans="1:6" s="9" customFormat="1" x14ac:dyDescent="0.25">
      <c r="C1963" s="5">
        <v>150</v>
      </c>
      <c r="D1963" s="9" t="s">
        <v>13</v>
      </c>
      <c r="E1963" s="10">
        <v>155</v>
      </c>
      <c r="F1963" s="10">
        <f t="shared" si="30"/>
        <v>23250</v>
      </c>
    </row>
    <row r="1964" spans="1:6" s="9" customFormat="1" x14ac:dyDescent="0.25">
      <c r="C1964" s="5"/>
      <c r="E1964" s="10"/>
      <c r="F1964" s="8">
        <f>SUM(F1960:F1963)</f>
        <v>69800</v>
      </c>
    </row>
    <row r="1965" spans="1:6" s="9" customFormat="1" x14ac:dyDescent="0.25">
      <c r="B1965" s="4"/>
      <c r="C1965" s="5"/>
      <c r="E1965" s="10"/>
      <c r="F1965" s="10"/>
    </row>
    <row r="1966" spans="1:6" s="9" customFormat="1" x14ac:dyDescent="0.25">
      <c r="A1966" s="9" t="s">
        <v>769</v>
      </c>
      <c r="B1966" s="4">
        <v>45959</v>
      </c>
      <c r="C1966" s="5">
        <v>5</v>
      </c>
      <c r="D1966" s="9" t="s">
        <v>13</v>
      </c>
      <c r="E1966" s="10">
        <v>150</v>
      </c>
      <c r="F1966" s="10">
        <f t="shared" si="30"/>
        <v>750</v>
      </c>
    </row>
    <row r="1967" spans="1:6" s="9" customFormat="1" x14ac:dyDescent="0.25">
      <c r="C1967" s="5"/>
      <c r="E1967" s="10"/>
      <c r="F1967" s="8">
        <f>SUM(F1966)</f>
        <v>750</v>
      </c>
    </row>
    <row r="1968" spans="1:6" s="9" customFormat="1" x14ac:dyDescent="0.25">
      <c r="B1968" s="4"/>
      <c r="C1968" s="5"/>
      <c r="E1968" s="10"/>
      <c r="F1968" s="10"/>
    </row>
    <row r="1969" spans="1:6" s="9" customFormat="1" x14ac:dyDescent="0.25">
      <c r="A1969" s="9" t="s">
        <v>29</v>
      </c>
      <c r="B1969" s="4">
        <v>45959</v>
      </c>
      <c r="C1969" s="5">
        <v>1</v>
      </c>
      <c r="D1969" s="9" t="s">
        <v>12</v>
      </c>
      <c r="E1969" s="10">
        <v>160</v>
      </c>
      <c r="F1969" s="10">
        <f t="shared" si="30"/>
        <v>160</v>
      </c>
    </row>
    <row r="1970" spans="1:6" s="9" customFormat="1" x14ac:dyDescent="0.25">
      <c r="C1970" s="5"/>
      <c r="E1970" s="10"/>
      <c r="F1970" s="8">
        <f>SUM(F1969)</f>
        <v>160</v>
      </c>
    </row>
    <row r="1971" spans="1:6" s="9" customFormat="1" x14ac:dyDescent="0.25">
      <c r="C1971" s="5"/>
      <c r="E1971" s="10"/>
      <c r="F1971" s="10"/>
    </row>
    <row r="1972" spans="1:6" s="9" customFormat="1" x14ac:dyDescent="0.25">
      <c r="A1972" s="9" t="s">
        <v>7</v>
      </c>
      <c r="B1972" s="4">
        <v>45959</v>
      </c>
      <c r="C1972" s="5">
        <v>3</v>
      </c>
      <c r="D1972" s="9" t="s">
        <v>14</v>
      </c>
      <c r="E1972" s="10">
        <v>170</v>
      </c>
      <c r="F1972" s="10">
        <f t="shared" si="30"/>
        <v>510</v>
      </c>
    </row>
    <row r="1973" spans="1:6" s="9" customFormat="1" x14ac:dyDescent="0.25">
      <c r="B1973" s="4"/>
      <c r="C1973" s="5">
        <v>6</v>
      </c>
      <c r="D1973" s="9" t="s">
        <v>8</v>
      </c>
      <c r="E1973" s="10">
        <v>180</v>
      </c>
      <c r="F1973" s="10">
        <f t="shared" si="30"/>
        <v>1080</v>
      </c>
    </row>
    <row r="1974" spans="1:6" s="9" customFormat="1" x14ac:dyDescent="0.25">
      <c r="C1974" s="5"/>
      <c r="E1974" s="10"/>
      <c r="F1974" s="8">
        <f>SUM(F1972:F1973)</f>
        <v>1590</v>
      </c>
    </row>
    <row r="1975" spans="1:6" s="9" customFormat="1" x14ac:dyDescent="0.25">
      <c r="C1975" s="5"/>
      <c r="E1975" s="10"/>
      <c r="F1975" s="10"/>
    </row>
    <row r="1976" spans="1:6" s="9" customFormat="1" x14ac:dyDescent="0.25">
      <c r="A1976" s="9" t="s">
        <v>923</v>
      </c>
      <c r="B1976" s="4">
        <v>45960</v>
      </c>
      <c r="C1976" s="5">
        <v>60</v>
      </c>
      <c r="D1976" s="9" t="s">
        <v>22</v>
      </c>
      <c r="E1976" s="10">
        <v>150</v>
      </c>
      <c r="F1976" s="10">
        <f t="shared" si="30"/>
        <v>9000</v>
      </c>
    </row>
    <row r="1977" spans="1:6" s="9" customFormat="1" x14ac:dyDescent="0.25">
      <c r="B1977" s="4"/>
      <c r="C1977" s="5"/>
      <c r="E1977" s="10"/>
      <c r="F1977" s="8">
        <f>SUM(F1976)</f>
        <v>9000</v>
      </c>
    </row>
    <row r="1978" spans="1:6" s="9" customFormat="1" x14ac:dyDescent="0.25">
      <c r="C1978" s="5"/>
      <c r="E1978" s="10"/>
      <c r="F1978" s="10"/>
    </row>
    <row r="1979" spans="1:6" s="9" customFormat="1" x14ac:dyDescent="0.25">
      <c r="A1979" s="9" t="s">
        <v>117</v>
      </c>
      <c r="B1979" s="4">
        <v>45960</v>
      </c>
      <c r="C1979" s="5">
        <v>5</v>
      </c>
      <c r="D1979" s="9" t="s">
        <v>13</v>
      </c>
      <c r="E1979" s="10">
        <v>165</v>
      </c>
      <c r="F1979" s="10">
        <f t="shared" si="30"/>
        <v>825</v>
      </c>
    </row>
    <row r="1980" spans="1:6" s="9" customFormat="1" x14ac:dyDescent="0.25">
      <c r="C1980" s="5"/>
      <c r="E1980" s="10"/>
      <c r="F1980" s="8">
        <f>SUM(F1979)</f>
        <v>825</v>
      </c>
    </row>
    <row r="1981" spans="1:6" s="9" customFormat="1" x14ac:dyDescent="0.25">
      <c r="B1981" s="4"/>
      <c r="C1981" s="5"/>
      <c r="E1981" s="10"/>
      <c r="F1981" s="10"/>
    </row>
    <row r="1982" spans="1:6" s="9" customFormat="1" x14ac:dyDescent="0.25">
      <c r="A1982" s="9" t="s">
        <v>181</v>
      </c>
      <c r="B1982" s="4">
        <v>45960</v>
      </c>
      <c r="C1982" s="5">
        <v>2</v>
      </c>
      <c r="D1982" s="9" t="s">
        <v>13</v>
      </c>
      <c r="E1982" s="10">
        <v>170</v>
      </c>
      <c r="F1982" s="10">
        <f t="shared" si="30"/>
        <v>340</v>
      </c>
    </row>
    <row r="1983" spans="1:6" s="9" customFormat="1" x14ac:dyDescent="0.25">
      <c r="C1983" s="5"/>
      <c r="E1983" s="10"/>
      <c r="F1983" s="8">
        <f>SUM(F1982)</f>
        <v>340</v>
      </c>
    </row>
    <row r="1984" spans="1:6" s="9" customFormat="1" x14ac:dyDescent="0.25">
      <c r="C1984" s="5"/>
      <c r="E1984" s="10"/>
      <c r="F1984" s="10"/>
    </row>
    <row r="1985" spans="1:6" s="9" customFormat="1" x14ac:dyDescent="0.25">
      <c r="A1985" s="9" t="s">
        <v>164</v>
      </c>
      <c r="B1985" s="4">
        <v>45960</v>
      </c>
      <c r="C1985" s="5">
        <v>3</v>
      </c>
      <c r="D1985" s="9" t="s">
        <v>13</v>
      </c>
      <c r="E1985" s="10">
        <v>165</v>
      </c>
      <c r="F1985" s="10">
        <f t="shared" si="30"/>
        <v>495</v>
      </c>
    </row>
    <row r="1986" spans="1:6" s="9" customFormat="1" x14ac:dyDescent="0.25">
      <c r="B1986" s="4"/>
      <c r="C1986" s="5"/>
      <c r="E1986" s="10"/>
      <c r="F1986" s="8">
        <f>SUM(F1985)</f>
        <v>495</v>
      </c>
    </row>
    <row r="1987" spans="1:6" s="9" customFormat="1" x14ac:dyDescent="0.25">
      <c r="C1987" s="5"/>
      <c r="E1987" s="10"/>
      <c r="F1987" s="10"/>
    </row>
    <row r="1988" spans="1:6" s="9" customFormat="1" x14ac:dyDescent="0.25">
      <c r="A1988" s="9" t="s">
        <v>501</v>
      </c>
      <c r="B1988" s="4">
        <v>45960</v>
      </c>
      <c r="C1988" s="5">
        <v>10</v>
      </c>
      <c r="D1988" s="9" t="s">
        <v>13</v>
      </c>
      <c r="E1988" s="10">
        <v>165</v>
      </c>
      <c r="F1988" s="10">
        <f t="shared" ref="F1988:F2049" si="31">+C1988*E1988</f>
        <v>1650</v>
      </c>
    </row>
    <row r="1989" spans="1:6" s="9" customFormat="1" x14ac:dyDescent="0.25">
      <c r="B1989" s="4"/>
      <c r="C1989" s="5"/>
      <c r="E1989" s="10"/>
      <c r="F1989" s="8">
        <f>SUM(F1988)</f>
        <v>1650</v>
      </c>
    </row>
    <row r="1990" spans="1:6" s="9" customFormat="1" x14ac:dyDescent="0.25">
      <c r="C1990" s="5"/>
      <c r="E1990" s="10"/>
      <c r="F1990" s="10"/>
    </row>
    <row r="1991" spans="1:6" s="9" customFormat="1" x14ac:dyDescent="0.25">
      <c r="A1991" s="9" t="s">
        <v>1057</v>
      </c>
      <c r="B1991" s="4">
        <v>45960</v>
      </c>
      <c r="C1991" s="5">
        <v>20</v>
      </c>
      <c r="D1991" s="9" t="s">
        <v>13</v>
      </c>
      <c r="E1991" s="10">
        <v>170</v>
      </c>
      <c r="F1991" s="10">
        <f t="shared" si="31"/>
        <v>3400</v>
      </c>
    </row>
    <row r="1992" spans="1:6" s="9" customFormat="1" x14ac:dyDescent="0.25">
      <c r="B1992" s="4"/>
      <c r="C1992" s="5"/>
      <c r="E1992" s="10"/>
      <c r="F1992" s="8">
        <f>SUM(F1991)</f>
        <v>3400</v>
      </c>
    </row>
    <row r="1993" spans="1:6" s="9" customFormat="1" x14ac:dyDescent="0.25">
      <c r="C1993" s="5"/>
      <c r="E1993" s="10"/>
      <c r="F1993" s="10"/>
    </row>
    <row r="1994" spans="1:6" s="9" customFormat="1" x14ac:dyDescent="0.25">
      <c r="A1994" s="9" t="s">
        <v>245</v>
      </c>
      <c r="B1994" s="4">
        <v>45960</v>
      </c>
      <c r="C1994" s="5">
        <v>10</v>
      </c>
      <c r="D1994" s="9" t="s">
        <v>14</v>
      </c>
      <c r="E1994" s="10">
        <v>150</v>
      </c>
      <c r="F1994" s="10">
        <f t="shared" si="31"/>
        <v>1500</v>
      </c>
    </row>
    <row r="1995" spans="1:6" s="9" customFormat="1" x14ac:dyDescent="0.25">
      <c r="B1995" s="4"/>
      <c r="C1995" s="5"/>
      <c r="E1995" s="10"/>
      <c r="F1995" s="8">
        <f>SUM(F1994)</f>
        <v>1500</v>
      </c>
    </row>
    <row r="1996" spans="1:6" s="9" customFormat="1" x14ac:dyDescent="0.25">
      <c r="C1996" s="5"/>
      <c r="E1996" s="10"/>
      <c r="F1996" s="10"/>
    </row>
    <row r="1997" spans="1:6" s="9" customFormat="1" x14ac:dyDescent="0.25">
      <c r="A1997" s="9" t="s">
        <v>151</v>
      </c>
      <c r="B1997" s="4">
        <v>45960</v>
      </c>
      <c r="C1997" s="5">
        <v>50</v>
      </c>
      <c r="D1997" s="9" t="s">
        <v>12</v>
      </c>
      <c r="E1997" s="10">
        <v>150</v>
      </c>
      <c r="F1997" s="10">
        <f t="shared" si="31"/>
        <v>7500</v>
      </c>
    </row>
    <row r="1998" spans="1:6" s="9" customFormat="1" x14ac:dyDescent="0.25">
      <c r="C1998" s="5">
        <v>30</v>
      </c>
      <c r="D1998" s="9" t="s">
        <v>13</v>
      </c>
      <c r="E1998" s="10">
        <v>155</v>
      </c>
      <c r="F1998" s="10">
        <f t="shared" si="31"/>
        <v>4650</v>
      </c>
    </row>
    <row r="1999" spans="1:6" s="9" customFormat="1" x14ac:dyDescent="0.25">
      <c r="B1999" s="4"/>
      <c r="C1999" s="5"/>
      <c r="E1999" s="10"/>
      <c r="F1999" s="8">
        <f>SUM(F1997:F1998)</f>
        <v>12150</v>
      </c>
    </row>
    <row r="2000" spans="1:6" s="9" customFormat="1" x14ac:dyDescent="0.25">
      <c r="C2000" s="5"/>
      <c r="E2000" s="10"/>
      <c r="F2000" s="10"/>
    </row>
    <row r="2001" spans="1:6" s="9" customFormat="1" x14ac:dyDescent="0.25">
      <c r="A2001" s="9" t="s">
        <v>65</v>
      </c>
      <c r="B2001" s="4">
        <v>45960</v>
      </c>
      <c r="C2001" s="5">
        <v>256</v>
      </c>
      <c r="D2001" s="9" t="s">
        <v>12</v>
      </c>
      <c r="E2001" s="10">
        <v>150</v>
      </c>
      <c r="F2001" s="10">
        <f t="shared" si="31"/>
        <v>38400</v>
      </c>
    </row>
    <row r="2002" spans="1:6" s="9" customFormat="1" x14ac:dyDescent="0.25">
      <c r="C2002" s="5">
        <v>135</v>
      </c>
      <c r="D2002" s="9" t="s">
        <v>22</v>
      </c>
      <c r="E2002" s="10">
        <v>135</v>
      </c>
      <c r="F2002" s="10">
        <f t="shared" si="31"/>
        <v>18225</v>
      </c>
    </row>
    <row r="2003" spans="1:6" s="9" customFormat="1" x14ac:dyDescent="0.25">
      <c r="C2003" s="5">
        <v>50</v>
      </c>
      <c r="D2003" s="9" t="s">
        <v>11</v>
      </c>
      <c r="E2003" s="10">
        <v>150</v>
      </c>
      <c r="F2003" s="10">
        <f t="shared" si="31"/>
        <v>7500</v>
      </c>
    </row>
    <row r="2004" spans="1:6" s="9" customFormat="1" x14ac:dyDescent="0.25">
      <c r="B2004" s="4"/>
      <c r="C2004" s="5">
        <v>80</v>
      </c>
      <c r="D2004" s="9" t="s">
        <v>799</v>
      </c>
      <c r="E2004" s="10">
        <v>150</v>
      </c>
      <c r="F2004" s="10">
        <f t="shared" si="31"/>
        <v>12000</v>
      </c>
    </row>
    <row r="2005" spans="1:6" s="9" customFormat="1" x14ac:dyDescent="0.25">
      <c r="C2005" s="5"/>
      <c r="E2005" s="10"/>
      <c r="F2005" s="8">
        <f>SUM(F2001:F2004)</f>
        <v>76125</v>
      </c>
    </row>
    <row r="2006" spans="1:6" s="9" customFormat="1" x14ac:dyDescent="0.25">
      <c r="C2006" s="5"/>
      <c r="E2006" s="10"/>
      <c r="F2006" s="10"/>
    </row>
    <row r="2007" spans="1:6" s="9" customFormat="1" x14ac:dyDescent="0.25">
      <c r="A2007" s="9" t="s">
        <v>724</v>
      </c>
      <c r="B2007" s="4">
        <v>45960</v>
      </c>
      <c r="C2007" s="5">
        <v>10</v>
      </c>
      <c r="D2007" s="9" t="s">
        <v>715</v>
      </c>
      <c r="E2007" s="10">
        <v>120</v>
      </c>
      <c r="F2007" s="10">
        <f t="shared" si="31"/>
        <v>1200</v>
      </c>
    </row>
    <row r="2008" spans="1:6" s="9" customFormat="1" x14ac:dyDescent="0.25">
      <c r="B2008" s="4"/>
      <c r="C2008" s="5"/>
      <c r="E2008" s="10"/>
      <c r="F2008" s="8">
        <f>SUM(F2007)</f>
        <v>1200</v>
      </c>
    </row>
    <row r="2009" spans="1:6" s="9" customFormat="1" x14ac:dyDescent="0.25">
      <c r="C2009" s="5"/>
      <c r="E2009" s="10"/>
      <c r="F2009" s="10"/>
    </row>
    <row r="2010" spans="1:6" s="9" customFormat="1" x14ac:dyDescent="0.25">
      <c r="A2010" s="9" t="s">
        <v>15</v>
      </c>
      <c r="B2010" s="4">
        <v>45960</v>
      </c>
      <c r="C2010" s="5">
        <v>50</v>
      </c>
      <c r="D2010" s="9" t="s">
        <v>98</v>
      </c>
      <c r="E2010" s="10">
        <v>115</v>
      </c>
      <c r="F2010" s="10">
        <f t="shared" si="31"/>
        <v>5750</v>
      </c>
    </row>
    <row r="2011" spans="1:6" s="9" customFormat="1" x14ac:dyDescent="0.25">
      <c r="C2011" s="5"/>
      <c r="E2011" s="10"/>
      <c r="F2011" s="8">
        <f>SUM(F2010)</f>
        <v>5750</v>
      </c>
    </row>
    <row r="2012" spans="1:6" s="9" customFormat="1" x14ac:dyDescent="0.25">
      <c r="B2012" s="4"/>
      <c r="C2012" s="5"/>
      <c r="E2012" s="10"/>
      <c r="F2012" s="10"/>
    </row>
    <row r="2013" spans="1:6" s="9" customFormat="1" x14ac:dyDescent="0.25">
      <c r="A2013" s="9" t="s">
        <v>101</v>
      </c>
      <c r="B2013" s="4">
        <v>45960</v>
      </c>
      <c r="C2013" s="5">
        <v>4</v>
      </c>
      <c r="D2013" s="9" t="s">
        <v>12</v>
      </c>
      <c r="E2013" s="10">
        <v>160</v>
      </c>
      <c r="F2013" s="10">
        <f t="shared" si="31"/>
        <v>640</v>
      </c>
    </row>
    <row r="2014" spans="1:6" s="9" customFormat="1" x14ac:dyDescent="0.25">
      <c r="C2014" s="5">
        <v>2</v>
      </c>
      <c r="D2014" s="9" t="s">
        <v>22</v>
      </c>
      <c r="E2014" s="10">
        <v>140</v>
      </c>
      <c r="F2014" s="10">
        <f t="shared" si="31"/>
        <v>280</v>
      </c>
    </row>
    <row r="2015" spans="1:6" s="9" customFormat="1" x14ac:dyDescent="0.25">
      <c r="C2015" s="5">
        <v>2</v>
      </c>
      <c r="D2015" s="9" t="s">
        <v>12</v>
      </c>
      <c r="E2015" s="10">
        <v>160</v>
      </c>
      <c r="F2015" s="10">
        <f t="shared" si="31"/>
        <v>320</v>
      </c>
    </row>
    <row r="2016" spans="1:6" s="9" customFormat="1" x14ac:dyDescent="0.25">
      <c r="C2016" s="5">
        <v>4</v>
      </c>
      <c r="D2016" s="9" t="s">
        <v>395</v>
      </c>
      <c r="E2016" s="10">
        <v>165</v>
      </c>
      <c r="F2016" s="10">
        <f t="shared" si="31"/>
        <v>660</v>
      </c>
    </row>
    <row r="2017" spans="1:6" s="9" customFormat="1" x14ac:dyDescent="0.25">
      <c r="C2017" s="5"/>
      <c r="E2017" s="10"/>
      <c r="F2017" s="8">
        <f>SUM(F2013:F2016)</f>
        <v>1900</v>
      </c>
    </row>
    <row r="2018" spans="1:6" s="9" customFormat="1" x14ac:dyDescent="0.25">
      <c r="B2018" s="4"/>
      <c r="C2018" s="5"/>
      <c r="E2018" s="10"/>
      <c r="F2018" s="10"/>
    </row>
    <row r="2019" spans="1:6" s="9" customFormat="1" x14ac:dyDescent="0.25">
      <c r="A2019" s="9" t="s">
        <v>181</v>
      </c>
      <c r="B2019" s="4">
        <v>45960</v>
      </c>
      <c r="C2019" s="5">
        <v>1</v>
      </c>
      <c r="D2019" s="9" t="s">
        <v>8</v>
      </c>
      <c r="E2019" s="10">
        <v>180</v>
      </c>
      <c r="F2019" s="10">
        <f t="shared" si="31"/>
        <v>180</v>
      </c>
    </row>
    <row r="2020" spans="1:6" s="9" customFormat="1" x14ac:dyDescent="0.25">
      <c r="C2020" s="5">
        <v>1</v>
      </c>
      <c r="D2020" s="9" t="s">
        <v>13</v>
      </c>
      <c r="E2020" s="10">
        <v>170</v>
      </c>
      <c r="F2020" s="10">
        <f t="shared" si="31"/>
        <v>170</v>
      </c>
    </row>
    <row r="2021" spans="1:6" s="9" customFormat="1" x14ac:dyDescent="0.25">
      <c r="C2021" s="5">
        <v>4</v>
      </c>
      <c r="D2021" s="9" t="s">
        <v>12</v>
      </c>
      <c r="E2021" s="10">
        <v>160</v>
      </c>
      <c r="F2021" s="10">
        <f t="shared" si="31"/>
        <v>640</v>
      </c>
    </row>
    <row r="2022" spans="1:6" s="9" customFormat="1" x14ac:dyDescent="0.25">
      <c r="C2022" s="5">
        <v>6</v>
      </c>
      <c r="D2022" s="9" t="s">
        <v>1080</v>
      </c>
      <c r="E2022" s="10">
        <v>165</v>
      </c>
      <c r="F2022" s="10">
        <f t="shared" si="31"/>
        <v>990</v>
      </c>
    </row>
    <row r="2023" spans="1:6" s="9" customFormat="1" x14ac:dyDescent="0.25">
      <c r="B2023" s="4"/>
      <c r="C2023" s="5">
        <v>6</v>
      </c>
      <c r="D2023" s="9" t="s">
        <v>13</v>
      </c>
      <c r="E2023" s="10">
        <v>160</v>
      </c>
      <c r="F2023" s="10">
        <f t="shared" si="31"/>
        <v>960</v>
      </c>
    </row>
    <row r="2024" spans="1:6" s="9" customFormat="1" x14ac:dyDescent="0.25">
      <c r="C2024" s="5">
        <v>1</v>
      </c>
      <c r="D2024" s="9" t="s">
        <v>8</v>
      </c>
      <c r="E2024" s="10">
        <v>180</v>
      </c>
      <c r="F2024" s="10">
        <f t="shared" si="31"/>
        <v>180</v>
      </c>
    </row>
    <row r="2025" spans="1:6" s="9" customFormat="1" x14ac:dyDescent="0.25">
      <c r="C2025" s="5"/>
      <c r="E2025" s="10"/>
      <c r="F2025" s="8">
        <f>SUM(F2019:F2024)</f>
        <v>3120</v>
      </c>
    </row>
    <row r="2026" spans="1:6" s="9" customFormat="1" x14ac:dyDescent="0.25">
      <c r="C2026" s="5"/>
      <c r="E2026" s="10"/>
      <c r="F2026" s="10"/>
    </row>
    <row r="2027" spans="1:6" s="9" customFormat="1" x14ac:dyDescent="0.25">
      <c r="A2027" s="4" t="s">
        <v>44</v>
      </c>
      <c r="B2027" s="4">
        <v>45961</v>
      </c>
      <c r="C2027" s="5">
        <v>8</v>
      </c>
      <c r="D2027" s="9" t="s">
        <v>13</v>
      </c>
      <c r="E2027" s="10">
        <v>165</v>
      </c>
      <c r="F2027" s="10">
        <f t="shared" si="31"/>
        <v>1320</v>
      </c>
    </row>
    <row r="2028" spans="1:6" s="9" customFormat="1" x14ac:dyDescent="0.25">
      <c r="C2028" s="5"/>
      <c r="E2028" s="10"/>
      <c r="F2028" s="8">
        <f>SUM(F2027)</f>
        <v>1320</v>
      </c>
    </row>
    <row r="2029" spans="1:6" s="9" customFormat="1" x14ac:dyDescent="0.25">
      <c r="C2029" s="5"/>
      <c r="E2029" s="10"/>
      <c r="F2029" s="10"/>
    </row>
    <row r="2030" spans="1:6" s="9" customFormat="1" x14ac:dyDescent="0.25">
      <c r="A2030" s="9" t="s">
        <v>550</v>
      </c>
      <c r="B2030" s="4">
        <v>45961</v>
      </c>
      <c r="C2030" s="5">
        <v>10</v>
      </c>
      <c r="D2030" s="9" t="s">
        <v>98</v>
      </c>
      <c r="E2030" s="10">
        <v>120</v>
      </c>
      <c r="F2030" s="10">
        <f t="shared" si="31"/>
        <v>1200</v>
      </c>
    </row>
    <row r="2031" spans="1:6" s="9" customFormat="1" x14ac:dyDescent="0.25">
      <c r="B2031" s="4"/>
      <c r="C2031" s="5"/>
      <c r="E2031" s="10"/>
      <c r="F2031" s="8">
        <f>SUM(F2030)</f>
        <v>1200</v>
      </c>
    </row>
    <row r="2032" spans="1:6" s="9" customFormat="1" x14ac:dyDescent="0.25">
      <c r="C2032" s="5"/>
      <c r="E2032" s="10"/>
      <c r="F2032" s="10"/>
    </row>
    <row r="2033" spans="1:6" s="9" customFormat="1" x14ac:dyDescent="0.25">
      <c r="A2033" s="9" t="s">
        <v>58</v>
      </c>
      <c r="B2033" s="4">
        <v>45961</v>
      </c>
      <c r="C2033" s="5">
        <v>8</v>
      </c>
      <c r="D2033" s="9" t="s">
        <v>13</v>
      </c>
      <c r="E2033" s="10">
        <v>160</v>
      </c>
      <c r="F2033" s="10">
        <f t="shared" si="31"/>
        <v>1280</v>
      </c>
    </row>
    <row r="2034" spans="1:6" s="9" customFormat="1" x14ac:dyDescent="0.25">
      <c r="B2034" s="4"/>
      <c r="C2034" s="5"/>
      <c r="E2034" s="10"/>
      <c r="F2034" s="8">
        <f>SUM(F2033)</f>
        <v>1280</v>
      </c>
    </row>
    <row r="2035" spans="1:6" s="9" customFormat="1" x14ac:dyDescent="0.25">
      <c r="C2035" s="5"/>
      <c r="E2035" s="10"/>
      <c r="F2035" s="10"/>
    </row>
    <row r="2036" spans="1:6" s="9" customFormat="1" x14ac:dyDescent="0.25">
      <c r="A2036" s="9" t="s">
        <v>366</v>
      </c>
      <c r="B2036" s="4">
        <v>45961</v>
      </c>
      <c r="C2036" s="5">
        <v>10</v>
      </c>
      <c r="D2036" s="9" t="s">
        <v>13</v>
      </c>
      <c r="E2036" s="10">
        <v>165</v>
      </c>
      <c r="F2036" s="10">
        <f t="shared" si="31"/>
        <v>1650</v>
      </c>
    </row>
    <row r="2037" spans="1:6" s="9" customFormat="1" x14ac:dyDescent="0.25">
      <c r="B2037" s="4"/>
      <c r="C2037" s="11"/>
      <c r="E2037" s="10"/>
      <c r="F2037" s="8">
        <f>SUM(F2036)</f>
        <v>1650</v>
      </c>
    </row>
    <row r="2038" spans="1:6" s="9" customFormat="1" x14ac:dyDescent="0.25">
      <c r="C2038" s="5"/>
      <c r="E2038" s="10"/>
      <c r="F2038" s="10"/>
    </row>
    <row r="2039" spans="1:6" s="9" customFormat="1" x14ac:dyDescent="0.25">
      <c r="A2039" s="9" t="s">
        <v>20</v>
      </c>
      <c r="B2039" s="4">
        <v>45961</v>
      </c>
      <c r="C2039" s="5">
        <v>20</v>
      </c>
      <c r="D2039" s="9" t="s">
        <v>13</v>
      </c>
      <c r="E2039" s="10">
        <v>165</v>
      </c>
      <c r="F2039" s="10">
        <f t="shared" si="31"/>
        <v>3300</v>
      </c>
    </row>
    <row r="2040" spans="1:6" s="9" customFormat="1" x14ac:dyDescent="0.25">
      <c r="B2040" s="4"/>
      <c r="C2040" s="5"/>
      <c r="E2040" s="10"/>
      <c r="F2040" s="8">
        <f>SUM(F2039)</f>
        <v>3300</v>
      </c>
    </row>
    <row r="2041" spans="1:6" s="9" customFormat="1" x14ac:dyDescent="0.25">
      <c r="C2041" s="5"/>
      <c r="E2041" s="10"/>
      <c r="F2041" s="10"/>
    </row>
    <row r="2042" spans="1:6" s="9" customFormat="1" x14ac:dyDescent="0.25">
      <c r="A2042" s="9" t="s">
        <v>1081</v>
      </c>
      <c r="B2042" s="4">
        <v>45961</v>
      </c>
      <c r="C2042" s="5">
        <v>10</v>
      </c>
      <c r="D2042" s="9" t="s">
        <v>13</v>
      </c>
      <c r="E2042" s="10">
        <v>165</v>
      </c>
      <c r="F2042" s="10">
        <f t="shared" si="31"/>
        <v>1650</v>
      </c>
    </row>
    <row r="2043" spans="1:6" s="9" customFormat="1" x14ac:dyDescent="0.25">
      <c r="B2043" s="4"/>
      <c r="C2043" s="5"/>
      <c r="E2043" s="10"/>
      <c r="F2043" s="8">
        <f>SUM(F2042)</f>
        <v>1650</v>
      </c>
    </row>
    <row r="2044" spans="1:6" s="9" customFormat="1" x14ac:dyDescent="0.25">
      <c r="C2044" s="5"/>
      <c r="E2044" s="10"/>
      <c r="F2044" s="10"/>
    </row>
    <row r="2045" spans="1:6" s="9" customFormat="1" x14ac:dyDescent="0.25">
      <c r="A2045" s="9" t="s">
        <v>21</v>
      </c>
      <c r="B2045" s="4">
        <v>45961</v>
      </c>
      <c r="C2045" s="5">
        <v>40</v>
      </c>
      <c r="D2045" s="9" t="s">
        <v>13</v>
      </c>
      <c r="E2045" s="10">
        <v>165</v>
      </c>
      <c r="F2045" s="10">
        <f t="shared" si="31"/>
        <v>6600</v>
      </c>
    </row>
    <row r="2046" spans="1:6" s="9" customFormat="1" x14ac:dyDescent="0.25">
      <c r="B2046" s="4"/>
      <c r="C2046" s="5">
        <v>8</v>
      </c>
      <c r="D2046" s="9" t="s">
        <v>12</v>
      </c>
      <c r="E2046" s="10">
        <v>155</v>
      </c>
      <c r="F2046" s="10">
        <f t="shared" si="31"/>
        <v>1240</v>
      </c>
    </row>
    <row r="2047" spans="1:6" s="9" customFormat="1" x14ac:dyDescent="0.25">
      <c r="C2047" s="5"/>
      <c r="E2047" s="10"/>
      <c r="F2047" s="8">
        <f>SUM(F2045:F2046)</f>
        <v>7840</v>
      </c>
    </row>
    <row r="2048" spans="1:6" s="9" customFormat="1" x14ac:dyDescent="0.25">
      <c r="C2048" s="5"/>
      <c r="E2048" s="10"/>
      <c r="F2048" s="10"/>
    </row>
    <row r="2049" spans="1:6" s="9" customFormat="1" x14ac:dyDescent="0.25">
      <c r="A2049" s="9" t="s">
        <v>367</v>
      </c>
      <c r="B2049" s="4">
        <v>45961</v>
      </c>
      <c r="C2049" s="5">
        <v>10</v>
      </c>
      <c r="D2049" s="9" t="s">
        <v>13</v>
      </c>
      <c r="E2049" s="10">
        <v>165</v>
      </c>
      <c r="F2049" s="10">
        <f t="shared" si="31"/>
        <v>1650</v>
      </c>
    </row>
    <row r="2050" spans="1:6" s="9" customFormat="1" x14ac:dyDescent="0.25">
      <c r="C2050" s="5"/>
      <c r="E2050" s="10"/>
      <c r="F2050" s="8">
        <f>SUM(F2049)</f>
        <v>1650</v>
      </c>
    </row>
    <row r="2051" spans="1:6" s="9" customFormat="1" x14ac:dyDescent="0.25">
      <c r="C2051" s="5"/>
      <c r="E2051" s="10"/>
      <c r="F2051" s="10"/>
    </row>
    <row r="2052" spans="1:6" s="9" customFormat="1" x14ac:dyDescent="0.25">
      <c r="A2052" s="9" t="s">
        <v>923</v>
      </c>
      <c r="B2052" s="4">
        <v>45961</v>
      </c>
      <c r="C2052" s="5">
        <v>20</v>
      </c>
      <c r="D2052" s="9" t="s">
        <v>13</v>
      </c>
      <c r="E2052" s="10">
        <v>165</v>
      </c>
      <c r="F2052" s="10">
        <f t="shared" ref="F2052:F2120" si="32">+C2052*E2052</f>
        <v>3300</v>
      </c>
    </row>
    <row r="2053" spans="1:6" s="9" customFormat="1" x14ac:dyDescent="0.25">
      <c r="C2053" s="5">
        <v>10</v>
      </c>
      <c r="D2053" s="9" t="s">
        <v>8</v>
      </c>
      <c r="E2053" s="10">
        <v>175</v>
      </c>
      <c r="F2053" s="10">
        <f t="shared" si="32"/>
        <v>1750</v>
      </c>
    </row>
    <row r="2054" spans="1:6" s="9" customFormat="1" x14ac:dyDescent="0.25">
      <c r="B2054" s="4"/>
      <c r="C2054" s="5"/>
      <c r="E2054" s="10"/>
      <c r="F2054" s="8">
        <f>SUM(F2052:F2053)</f>
        <v>5050</v>
      </c>
    </row>
    <row r="2055" spans="1:6" s="9" customFormat="1" x14ac:dyDescent="0.25">
      <c r="C2055" s="5"/>
      <c r="E2055" s="10"/>
      <c r="F2055" s="10"/>
    </row>
    <row r="2056" spans="1:6" s="9" customFormat="1" x14ac:dyDescent="0.25">
      <c r="A2056" s="9" t="s">
        <v>40</v>
      </c>
      <c r="B2056" s="4">
        <v>45961</v>
      </c>
      <c r="C2056" s="5">
        <v>20</v>
      </c>
      <c r="D2056" s="9" t="s">
        <v>8</v>
      </c>
      <c r="E2056" s="10">
        <v>175</v>
      </c>
      <c r="F2056" s="10">
        <f t="shared" si="32"/>
        <v>3500</v>
      </c>
    </row>
    <row r="2057" spans="1:6" s="9" customFormat="1" x14ac:dyDescent="0.25">
      <c r="C2057" s="5">
        <v>20</v>
      </c>
      <c r="D2057" s="9" t="s">
        <v>13</v>
      </c>
      <c r="E2057" s="10">
        <v>165</v>
      </c>
      <c r="F2057" s="10">
        <f t="shared" si="32"/>
        <v>3300</v>
      </c>
    </row>
    <row r="2058" spans="1:6" s="9" customFormat="1" x14ac:dyDescent="0.25">
      <c r="C2058" s="5">
        <v>10</v>
      </c>
      <c r="D2058" s="9" t="s">
        <v>14</v>
      </c>
      <c r="E2058" s="10">
        <v>160</v>
      </c>
      <c r="F2058" s="10">
        <f t="shared" si="32"/>
        <v>1600</v>
      </c>
    </row>
    <row r="2059" spans="1:6" s="9" customFormat="1" x14ac:dyDescent="0.25">
      <c r="C2059" s="5">
        <v>10</v>
      </c>
      <c r="D2059" s="9" t="s">
        <v>12</v>
      </c>
      <c r="E2059" s="10">
        <v>155</v>
      </c>
      <c r="F2059" s="10">
        <f t="shared" si="32"/>
        <v>1550</v>
      </c>
    </row>
    <row r="2060" spans="1:6" s="9" customFormat="1" x14ac:dyDescent="0.25">
      <c r="C2060" s="5"/>
      <c r="E2060" s="10"/>
      <c r="F2060" s="8">
        <f>SUM(F2056:F2059)</f>
        <v>9950</v>
      </c>
    </row>
    <row r="2061" spans="1:6" s="9" customFormat="1" x14ac:dyDescent="0.25">
      <c r="C2061" s="5"/>
      <c r="E2061" s="10"/>
      <c r="F2061" s="10"/>
    </row>
    <row r="2062" spans="1:6" s="9" customFormat="1" x14ac:dyDescent="0.25">
      <c r="A2062" s="9" t="s">
        <v>1082</v>
      </c>
      <c r="B2062" s="4">
        <v>45961</v>
      </c>
      <c r="C2062" s="5">
        <v>10</v>
      </c>
      <c r="D2062" s="9" t="s">
        <v>449</v>
      </c>
      <c r="E2062" s="10">
        <v>165</v>
      </c>
      <c r="F2062" s="10">
        <f t="shared" si="32"/>
        <v>1650</v>
      </c>
    </row>
    <row r="2063" spans="1:6" s="9" customFormat="1" x14ac:dyDescent="0.25">
      <c r="B2063" s="4"/>
      <c r="C2063" s="5">
        <v>10</v>
      </c>
      <c r="D2063" s="9" t="s">
        <v>12</v>
      </c>
      <c r="E2063" s="10">
        <v>155</v>
      </c>
      <c r="F2063" s="10">
        <f t="shared" si="32"/>
        <v>1550</v>
      </c>
    </row>
    <row r="2064" spans="1:6" s="9" customFormat="1" x14ac:dyDescent="0.25">
      <c r="C2064" s="5"/>
      <c r="E2064" s="10"/>
      <c r="F2064" s="8">
        <f>SUM(F2062:F2063)</f>
        <v>3200</v>
      </c>
    </row>
    <row r="2065" spans="1:6" s="9" customFormat="1" x14ac:dyDescent="0.25">
      <c r="C2065" s="5"/>
      <c r="E2065" s="10"/>
      <c r="F2065" s="10"/>
    </row>
    <row r="2066" spans="1:6" s="9" customFormat="1" x14ac:dyDescent="0.25">
      <c r="A2066" s="9" t="s">
        <v>591</v>
      </c>
      <c r="B2066" s="4">
        <v>45961</v>
      </c>
      <c r="C2066" s="5">
        <v>5</v>
      </c>
      <c r="D2066" s="9" t="s">
        <v>13</v>
      </c>
      <c r="E2066" s="10">
        <v>160</v>
      </c>
      <c r="F2066" s="10">
        <f t="shared" si="32"/>
        <v>800</v>
      </c>
    </row>
    <row r="2067" spans="1:6" s="9" customFormat="1" x14ac:dyDescent="0.25">
      <c r="B2067" s="4"/>
      <c r="C2067" s="5"/>
      <c r="E2067" s="10"/>
      <c r="F2067" s="8">
        <f>SUM(F2066)</f>
        <v>800</v>
      </c>
    </row>
    <row r="2068" spans="1:6" s="9" customFormat="1" x14ac:dyDescent="0.25">
      <c r="C2068" s="5"/>
      <c r="E2068" s="10"/>
      <c r="F2068" s="10"/>
    </row>
    <row r="2069" spans="1:6" s="9" customFormat="1" x14ac:dyDescent="0.25">
      <c r="A2069" s="9" t="s">
        <v>44</v>
      </c>
      <c r="B2069" s="4">
        <v>45961</v>
      </c>
      <c r="C2069" s="5">
        <v>80</v>
      </c>
      <c r="D2069" s="9" t="s">
        <v>14</v>
      </c>
      <c r="E2069" s="10">
        <v>155</v>
      </c>
      <c r="F2069" s="10">
        <f t="shared" si="32"/>
        <v>12400</v>
      </c>
    </row>
    <row r="2070" spans="1:6" s="9" customFormat="1" x14ac:dyDescent="0.25">
      <c r="C2070" s="5"/>
      <c r="E2070" s="10"/>
      <c r="F2070" s="8">
        <f>SUM(F2069)</f>
        <v>12400</v>
      </c>
    </row>
    <row r="2071" spans="1:6" s="9" customFormat="1" x14ac:dyDescent="0.25">
      <c r="C2071" s="5"/>
      <c r="E2071" s="10"/>
      <c r="F2071" s="10"/>
    </row>
    <row r="2072" spans="1:6" s="9" customFormat="1" x14ac:dyDescent="0.25">
      <c r="A2072" s="9" t="s">
        <v>106</v>
      </c>
      <c r="B2072" s="4">
        <v>45961</v>
      </c>
      <c r="C2072" s="5">
        <v>70</v>
      </c>
      <c r="D2072" s="9" t="s">
        <v>13</v>
      </c>
      <c r="E2072" s="10">
        <v>155</v>
      </c>
      <c r="F2072" s="10">
        <f t="shared" si="32"/>
        <v>10850</v>
      </c>
    </row>
    <row r="2073" spans="1:6" s="9" customFormat="1" x14ac:dyDescent="0.25">
      <c r="B2073" s="4"/>
      <c r="C2073" s="5"/>
      <c r="E2073" s="10"/>
      <c r="F2073" s="8">
        <f>SUM(F2072)</f>
        <v>10850</v>
      </c>
    </row>
    <row r="2074" spans="1:6" s="9" customFormat="1" x14ac:dyDescent="0.25">
      <c r="C2074" s="5"/>
      <c r="E2074" s="10"/>
      <c r="F2074" s="10"/>
    </row>
    <row r="2075" spans="1:6" s="9" customFormat="1" x14ac:dyDescent="0.25">
      <c r="A2075" s="9" t="s">
        <v>41</v>
      </c>
      <c r="B2075" s="4">
        <v>45961</v>
      </c>
      <c r="C2075" s="5">
        <v>35</v>
      </c>
      <c r="D2075" s="9" t="s">
        <v>14</v>
      </c>
      <c r="E2075" s="10">
        <v>145</v>
      </c>
      <c r="F2075" s="10">
        <f t="shared" si="32"/>
        <v>5075</v>
      </c>
    </row>
    <row r="2076" spans="1:6" s="9" customFormat="1" x14ac:dyDescent="0.25">
      <c r="B2076" s="4"/>
      <c r="C2076" s="5"/>
      <c r="E2076" s="10"/>
      <c r="F2076" s="8">
        <f>SUM(F2075)</f>
        <v>5075</v>
      </c>
    </row>
    <row r="2077" spans="1:6" s="9" customFormat="1" x14ac:dyDescent="0.25">
      <c r="C2077" s="5"/>
      <c r="E2077" s="10"/>
      <c r="F2077" s="10"/>
    </row>
    <row r="2078" spans="1:6" s="9" customFormat="1" x14ac:dyDescent="0.25">
      <c r="A2078" s="9" t="s">
        <v>292</v>
      </c>
      <c r="B2078" s="4">
        <v>45961</v>
      </c>
      <c r="C2078" s="5">
        <v>2</v>
      </c>
      <c r="D2078" s="9" t="s">
        <v>8</v>
      </c>
      <c r="E2078" s="10">
        <v>165</v>
      </c>
      <c r="F2078" s="10">
        <f t="shared" si="32"/>
        <v>330</v>
      </c>
    </row>
    <row r="2079" spans="1:6" s="9" customFormat="1" x14ac:dyDescent="0.25">
      <c r="B2079" s="4"/>
      <c r="C2079" s="5">
        <v>15</v>
      </c>
      <c r="D2079" s="9" t="s">
        <v>14</v>
      </c>
      <c r="E2079" s="10">
        <v>155</v>
      </c>
      <c r="F2079" s="10">
        <f t="shared" si="32"/>
        <v>2325</v>
      </c>
    </row>
    <row r="2080" spans="1:6" s="9" customFormat="1" x14ac:dyDescent="0.25">
      <c r="C2080" s="5"/>
      <c r="E2080" s="10"/>
      <c r="F2080" s="8">
        <f>SUM(F2078:F2079)</f>
        <v>2655</v>
      </c>
    </row>
    <row r="2081" spans="1:6" s="9" customFormat="1" x14ac:dyDescent="0.25">
      <c r="C2081" s="5"/>
      <c r="E2081" s="10"/>
      <c r="F2081" s="10"/>
    </row>
    <row r="2082" spans="1:6" s="9" customFormat="1" x14ac:dyDescent="0.25">
      <c r="A2082" s="9" t="s">
        <v>106</v>
      </c>
      <c r="B2082" s="4">
        <v>45961</v>
      </c>
      <c r="C2082" s="5">
        <v>10</v>
      </c>
      <c r="D2082" s="9" t="s">
        <v>173</v>
      </c>
      <c r="E2082" s="10">
        <v>160</v>
      </c>
      <c r="F2082" s="10">
        <f t="shared" si="32"/>
        <v>1600</v>
      </c>
    </row>
    <row r="2083" spans="1:6" s="9" customFormat="1" x14ac:dyDescent="0.25">
      <c r="C2083" s="5"/>
      <c r="E2083" s="10"/>
      <c r="F2083" s="8">
        <f>SUM(F2082)</f>
        <v>1600</v>
      </c>
    </row>
    <row r="2084" spans="1:6" s="9" customFormat="1" x14ac:dyDescent="0.25">
      <c r="C2084" s="5"/>
      <c r="E2084" s="10"/>
      <c r="F2084" s="10"/>
    </row>
    <row r="2085" spans="1:6" s="9" customFormat="1" x14ac:dyDescent="0.25">
      <c r="A2085" s="9" t="s">
        <v>43</v>
      </c>
      <c r="B2085" s="4">
        <v>45961</v>
      </c>
      <c r="C2085" s="5">
        <v>20</v>
      </c>
      <c r="D2085" s="9" t="s">
        <v>14</v>
      </c>
      <c r="E2085" s="10">
        <v>160</v>
      </c>
      <c r="F2085" s="10">
        <f t="shared" si="32"/>
        <v>3200</v>
      </c>
    </row>
    <row r="2086" spans="1:6" s="9" customFormat="1" x14ac:dyDescent="0.25">
      <c r="C2086" s="5">
        <v>6</v>
      </c>
      <c r="D2086" s="9" t="s">
        <v>49</v>
      </c>
      <c r="E2086" s="10">
        <v>165</v>
      </c>
      <c r="F2086" s="10">
        <f t="shared" si="32"/>
        <v>990</v>
      </c>
    </row>
    <row r="2087" spans="1:6" s="9" customFormat="1" x14ac:dyDescent="0.25">
      <c r="C2087" s="5"/>
      <c r="E2087" s="10"/>
      <c r="F2087" s="8">
        <f>SUM(F2085:F2086)</f>
        <v>4190</v>
      </c>
    </row>
    <row r="2088" spans="1:6" s="9" customFormat="1" x14ac:dyDescent="0.25">
      <c r="B2088" s="4"/>
      <c r="C2088" s="5"/>
      <c r="E2088" s="10"/>
      <c r="F2088" s="10"/>
    </row>
    <row r="2089" spans="1:6" s="9" customFormat="1" x14ac:dyDescent="0.25">
      <c r="A2089" s="9" t="s">
        <v>18</v>
      </c>
      <c r="B2089" s="4">
        <v>45961</v>
      </c>
      <c r="C2089" s="5">
        <v>35</v>
      </c>
      <c r="D2089" s="9" t="s">
        <v>1084</v>
      </c>
      <c r="E2089" s="10">
        <v>155</v>
      </c>
      <c r="F2089" s="10">
        <f t="shared" si="32"/>
        <v>5425</v>
      </c>
    </row>
    <row r="2090" spans="1:6" s="9" customFormat="1" x14ac:dyDescent="0.25">
      <c r="C2090" s="5">
        <v>15</v>
      </c>
      <c r="D2090" s="9" t="s">
        <v>14</v>
      </c>
      <c r="E2090" s="10">
        <v>160</v>
      </c>
      <c r="F2090" s="10">
        <f t="shared" si="32"/>
        <v>2400</v>
      </c>
    </row>
    <row r="2091" spans="1:6" s="9" customFormat="1" x14ac:dyDescent="0.25">
      <c r="C2091" s="5"/>
      <c r="E2091" s="10"/>
      <c r="F2091" s="8">
        <f>SUM(F2089:F2090)</f>
        <v>7825</v>
      </c>
    </row>
    <row r="2092" spans="1:6" s="9" customFormat="1" x14ac:dyDescent="0.25">
      <c r="B2092" s="4"/>
      <c r="C2092" s="5"/>
      <c r="E2092" s="10"/>
      <c r="F2092" s="10"/>
    </row>
    <row r="2093" spans="1:6" s="9" customFormat="1" x14ac:dyDescent="0.25">
      <c r="A2093" s="9" t="s">
        <v>102</v>
      </c>
      <c r="B2093" s="4">
        <v>45961</v>
      </c>
      <c r="C2093" s="5">
        <v>5</v>
      </c>
      <c r="D2093" s="9" t="s">
        <v>13</v>
      </c>
      <c r="E2093" s="10">
        <v>170</v>
      </c>
      <c r="F2093" s="10">
        <f t="shared" si="32"/>
        <v>850</v>
      </c>
    </row>
    <row r="2094" spans="1:6" s="9" customFormat="1" x14ac:dyDescent="0.25">
      <c r="C2094" s="5"/>
      <c r="E2094" s="10"/>
      <c r="F2094" s="8">
        <f>SUM(F2093)</f>
        <v>850</v>
      </c>
    </row>
    <row r="2095" spans="1:6" s="9" customFormat="1" x14ac:dyDescent="0.25">
      <c r="B2095" s="4"/>
      <c r="C2095" s="5"/>
      <c r="E2095" s="10"/>
      <c r="F2095" s="10"/>
    </row>
    <row r="2096" spans="1:6" s="9" customFormat="1" x14ac:dyDescent="0.25">
      <c r="A2096" s="9" t="s">
        <v>26</v>
      </c>
      <c r="B2096" s="4">
        <v>45961</v>
      </c>
      <c r="C2096" s="5">
        <v>10</v>
      </c>
      <c r="D2096" s="9" t="s">
        <v>14</v>
      </c>
      <c r="E2096" s="10">
        <v>150</v>
      </c>
      <c r="F2096" s="10">
        <f t="shared" si="32"/>
        <v>1500</v>
      </c>
    </row>
    <row r="2097" spans="1:6" s="9" customFormat="1" x14ac:dyDescent="0.25">
      <c r="C2097" s="5"/>
      <c r="E2097" s="10"/>
      <c r="F2097" s="8">
        <f>SUM(F2096)</f>
        <v>1500</v>
      </c>
    </row>
    <row r="2098" spans="1:6" s="9" customFormat="1" x14ac:dyDescent="0.25">
      <c r="B2098" s="4"/>
      <c r="C2098" s="5"/>
      <c r="E2098" s="10"/>
      <c r="F2098" s="10"/>
    </row>
    <row r="2099" spans="1:6" s="9" customFormat="1" x14ac:dyDescent="0.25">
      <c r="A2099" s="9" t="s">
        <v>245</v>
      </c>
      <c r="B2099" s="4">
        <v>45961</v>
      </c>
      <c r="C2099" s="5">
        <v>1000</v>
      </c>
      <c r="D2099" s="9" t="s">
        <v>13</v>
      </c>
      <c r="E2099" s="10">
        <v>158</v>
      </c>
      <c r="F2099" s="10">
        <f t="shared" si="32"/>
        <v>158000</v>
      </c>
    </row>
    <row r="2100" spans="1:6" s="9" customFormat="1" x14ac:dyDescent="0.25">
      <c r="C2100" s="5"/>
      <c r="E2100" s="10"/>
      <c r="F2100" s="8">
        <f>SUM(F2099)</f>
        <v>158000</v>
      </c>
    </row>
    <row r="2101" spans="1:6" s="9" customFormat="1" x14ac:dyDescent="0.25">
      <c r="B2101" s="4"/>
      <c r="C2101" s="5"/>
      <c r="E2101" s="10"/>
      <c r="F2101" s="10"/>
    </row>
    <row r="2102" spans="1:6" s="9" customFormat="1" x14ac:dyDescent="0.25">
      <c r="A2102" s="9" t="s">
        <v>1085</v>
      </c>
      <c r="B2102" s="4">
        <v>45961</v>
      </c>
      <c r="C2102" s="5">
        <v>20</v>
      </c>
      <c r="D2102" s="9" t="s">
        <v>14</v>
      </c>
      <c r="E2102" s="10">
        <v>155</v>
      </c>
      <c r="F2102" s="10">
        <f t="shared" si="32"/>
        <v>3100</v>
      </c>
    </row>
    <row r="2103" spans="1:6" s="9" customFormat="1" x14ac:dyDescent="0.25">
      <c r="C2103" s="5">
        <v>30</v>
      </c>
      <c r="D2103" s="9" t="s">
        <v>11</v>
      </c>
      <c r="E2103" s="10">
        <v>150</v>
      </c>
      <c r="F2103" s="10">
        <f t="shared" si="32"/>
        <v>4500</v>
      </c>
    </row>
    <row r="2104" spans="1:6" s="9" customFormat="1" x14ac:dyDescent="0.25">
      <c r="B2104" s="4"/>
      <c r="C2104" s="5"/>
      <c r="E2104" s="10"/>
      <c r="F2104" s="8">
        <f>SUM(F2102:F2103)</f>
        <v>7600</v>
      </c>
    </row>
    <row r="2105" spans="1:6" s="9" customFormat="1" x14ac:dyDescent="0.25">
      <c r="C2105" s="5"/>
      <c r="E2105" s="10"/>
      <c r="F2105" s="10"/>
    </row>
    <row r="2106" spans="1:6" s="9" customFormat="1" x14ac:dyDescent="0.25">
      <c r="A2106" s="9" t="s">
        <v>317</v>
      </c>
      <c r="B2106" s="4">
        <v>45961</v>
      </c>
      <c r="C2106" s="5">
        <v>3</v>
      </c>
      <c r="D2106" s="9" t="s">
        <v>13</v>
      </c>
      <c r="E2106" s="10">
        <v>170</v>
      </c>
      <c r="F2106" s="10">
        <f t="shared" si="32"/>
        <v>510</v>
      </c>
    </row>
    <row r="2107" spans="1:6" s="9" customFormat="1" x14ac:dyDescent="0.25">
      <c r="B2107" s="4"/>
      <c r="C2107" s="5"/>
      <c r="E2107" s="10"/>
      <c r="F2107" s="8">
        <f>SUM(F2106)</f>
        <v>510</v>
      </c>
    </row>
    <row r="2108" spans="1:6" s="9" customFormat="1" x14ac:dyDescent="0.25">
      <c r="C2108" s="5"/>
      <c r="E2108" s="10"/>
      <c r="F2108" s="10"/>
    </row>
    <row r="2109" spans="1:6" s="9" customFormat="1" x14ac:dyDescent="0.25">
      <c r="A2109" s="9" t="s">
        <v>76</v>
      </c>
      <c r="B2109" s="4">
        <v>45961</v>
      </c>
      <c r="C2109" s="5">
        <v>21</v>
      </c>
      <c r="D2109" s="9" t="s">
        <v>22</v>
      </c>
      <c r="E2109" s="10">
        <v>130</v>
      </c>
      <c r="F2109" s="10">
        <f t="shared" si="32"/>
        <v>2730</v>
      </c>
    </row>
    <row r="2110" spans="1:6" s="9" customFormat="1" x14ac:dyDescent="0.25">
      <c r="B2110" s="4"/>
      <c r="C2110" s="5">
        <v>100</v>
      </c>
      <c r="D2110" s="9" t="s">
        <v>12</v>
      </c>
      <c r="E2110" s="10">
        <v>150</v>
      </c>
      <c r="F2110" s="10">
        <f t="shared" si="32"/>
        <v>15000</v>
      </c>
    </row>
    <row r="2111" spans="1:6" s="9" customFormat="1" x14ac:dyDescent="0.25">
      <c r="C2111" s="5">
        <v>100</v>
      </c>
      <c r="D2111" s="9" t="s">
        <v>14</v>
      </c>
      <c r="E2111" s="10">
        <v>155</v>
      </c>
      <c r="F2111" s="10">
        <f t="shared" si="32"/>
        <v>15500</v>
      </c>
    </row>
    <row r="2112" spans="1:6" s="9" customFormat="1" x14ac:dyDescent="0.25">
      <c r="C2112" s="5"/>
      <c r="E2112" s="10"/>
      <c r="F2112" s="8">
        <f>SUM(F2109:F2111)</f>
        <v>33230</v>
      </c>
    </row>
    <row r="2113" spans="1:6" s="9" customFormat="1" x14ac:dyDescent="0.25">
      <c r="B2113" s="4"/>
      <c r="C2113" s="5"/>
      <c r="E2113" s="10"/>
      <c r="F2113" s="10"/>
    </row>
    <row r="2114" spans="1:6" s="9" customFormat="1" x14ac:dyDescent="0.25">
      <c r="A2114" s="9" t="s">
        <v>141</v>
      </c>
      <c r="B2114" s="4">
        <v>45961</v>
      </c>
      <c r="C2114" s="5">
        <v>4</v>
      </c>
      <c r="D2114" s="9" t="s">
        <v>13</v>
      </c>
      <c r="E2114" s="10">
        <v>170</v>
      </c>
      <c r="F2114" s="10">
        <f t="shared" si="32"/>
        <v>680</v>
      </c>
    </row>
    <row r="2115" spans="1:6" s="9" customFormat="1" x14ac:dyDescent="0.25">
      <c r="C2115" s="5"/>
      <c r="E2115" s="10"/>
      <c r="F2115" s="8">
        <f>SUM(F2114)</f>
        <v>680</v>
      </c>
    </row>
    <row r="2116" spans="1:6" s="9" customFormat="1" x14ac:dyDescent="0.25">
      <c r="B2116" s="4"/>
      <c r="C2116" s="5"/>
      <c r="E2116" s="10"/>
      <c r="F2116" s="10"/>
    </row>
    <row r="2117" spans="1:6" s="9" customFormat="1" x14ac:dyDescent="0.25">
      <c r="A2117" s="9" t="s">
        <v>184</v>
      </c>
      <c r="B2117" s="4">
        <v>45961</v>
      </c>
      <c r="C2117" s="5">
        <v>7</v>
      </c>
      <c r="D2117" s="9" t="s">
        <v>13</v>
      </c>
      <c r="E2117" s="10">
        <v>170</v>
      </c>
      <c r="F2117" s="10">
        <f t="shared" si="32"/>
        <v>1190</v>
      </c>
    </row>
    <row r="2118" spans="1:6" s="9" customFormat="1" x14ac:dyDescent="0.25">
      <c r="C2118" s="5"/>
      <c r="E2118" s="10"/>
      <c r="F2118" s="8">
        <f>SUM(F2117)</f>
        <v>1190</v>
      </c>
    </row>
    <row r="2119" spans="1:6" s="9" customFormat="1" x14ac:dyDescent="0.25">
      <c r="C2119" s="5"/>
      <c r="E2119" s="10"/>
      <c r="F2119" s="10"/>
    </row>
    <row r="2120" spans="1:6" s="9" customFormat="1" x14ac:dyDescent="0.25">
      <c r="A2120" s="9" t="s">
        <v>103</v>
      </c>
      <c r="B2120" s="4">
        <v>45961</v>
      </c>
      <c r="C2120" s="5">
        <v>4</v>
      </c>
      <c r="D2120" s="9" t="s">
        <v>13</v>
      </c>
      <c r="E2120" s="10">
        <v>170</v>
      </c>
      <c r="F2120" s="10">
        <f t="shared" si="32"/>
        <v>680</v>
      </c>
    </row>
    <row r="2121" spans="1:6" s="9" customFormat="1" x14ac:dyDescent="0.25">
      <c r="C2121" s="5"/>
      <c r="E2121" s="10"/>
      <c r="F2121" s="8">
        <f>SUM(F2120)</f>
        <v>680</v>
      </c>
    </row>
    <row r="2122" spans="1:6" s="9" customFormat="1" x14ac:dyDescent="0.25">
      <c r="C2122" s="5"/>
      <c r="E2122" s="10"/>
      <c r="F2122" s="10"/>
    </row>
    <row r="2123" spans="1:6" s="9" customFormat="1" x14ac:dyDescent="0.25">
      <c r="A2123" s="9" t="s">
        <v>29</v>
      </c>
      <c r="B2123" s="4">
        <v>45961</v>
      </c>
      <c r="C2123" s="5">
        <v>1</v>
      </c>
      <c r="D2123" s="9" t="s">
        <v>1083</v>
      </c>
      <c r="E2123" s="10">
        <v>170</v>
      </c>
      <c r="F2123" s="10">
        <f t="shared" ref="F2123:F2131" si="33">+C2123*E2123</f>
        <v>170</v>
      </c>
    </row>
    <row r="2124" spans="1:6" s="9" customFormat="1" x14ac:dyDescent="0.25">
      <c r="B2124" s="4"/>
      <c r="C2124" s="5">
        <v>1</v>
      </c>
      <c r="D2124" s="9" t="s">
        <v>11</v>
      </c>
      <c r="E2124" s="10">
        <v>160</v>
      </c>
      <c r="F2124" s="10">
        <f t="shared" si="33"/>
        <v>160</v>
      </c>
    </row>
    <row r="2125" spans="1:6" s="9" customFormat="1" x14ac:dyDescent="0.25">
      <c r="C2125" s="5">
        <v>1</v>
      </c>
      <c r="D2125" s="9" t="s">
        <v>1086</v>
      </c>
      <c r="E2125" s="10">
        <v>160</v>
      </c>
      <c r="F2125" s="10">
        <f t="shared" si="33"/>
        <v>160</v>
      </c>
    </row>
    <row r="2126" spans="1:6" s="9" customFormat="1" x14ac:dyDescent="0.25">
      <c r="C2126" s="5">
        <v>1</v>
      </c>
      <c r="E2126" s="10"/>
      <c r="F2126" s="8">
        <f>SUM(F2123:F2125)</f>
        <v>490</v>
      </c>
    </row>
    <row r="2127" spans="1:6" s="9" customFormat="1" x14ac:dyDescent="0.25">
      <c r="C2127" s="5"/>
      <c r="E2127" s="10"/>
      <c r="F2127" s="10"/>
    </row>
    <row r="2128" spans="1:6" s="9" customFormat="1" x14ac:dyDescent="0.25">
      <c r="A2128" s="9" t="s">
        <v>181</v>
      </c>
      <c r="B2128" s="4">
        <v>45961</v>
      </c>
      <c r="C2128" s="5">
        <v>1</v>
      </c>
      <c r="D2128" s="9" t="s">
        <v>8</v>
      </c>
      <c r="E2128" s="10">
        <v>180</v>
      </c>
      <c r="F2128" s="10">
        <f t="shared" si="33"/>
        <v>180</v>
      </c>
    </row>
    <row r="2129" spans="3:7" s="9" customFormat="1" x14ac:dyDescent="0.25">
      <c r="C2129" s="5">
        <v>1</v>
      </c>
      <c r="D2129" s="9" t="s">
        <v>49</v>
      </c>
      <c r="E2129" s="10">
        <v>180</v>
      </c>
      <c r="F2129" s="10">
        <f t="shared" si="33"/>
        <v>180</v>
      </c>
    </row>
    <row r="2130" spans="3:7" s="9" customFormat="1" x14ac:dyDescent="0.25">
      <c r="C2130" s="5">
        <v>3</v>
      </c>
      <c r="D2130" s="9" t="s">
        <v>8</v>
      </c>
      <c r="E2130" s="10">
        <v>180</v>
      </c>
      <c r="F2130" s="10">
        <f t="shared" si="33"/>
        <v>540</v>
      </c>
    </row>
    <row r="2131" spans="3:7" s="9" customFormat="1" x14ac:dyDescent="0.25">
      <c r="C2131" s="5">
        <v>1</v>
      </c>
      <c r="D2131" s="9" t="s">
        <v>14</v>
      </c>
      <c r="E2131" s="10">
        <v>170</v>
      </c>
      <c r="F2131" s="10">
        <f t="shared" si="33"/>
        <v>170</v>
      </c>
    </row>
    <row r="2132" spans="3:7" s="9" customFormat="1" x14ac:dyDescent="0.25">
      <c r="C2132" s="5"/>
      <c r="E2132" s="10"/>
      <c r="F2132" s="8">
        <f>SUM(F2128:F2131)</f>
        <v>1070</v>
      </c>
    </row>
    <row r="2133" spans="3:7" s="9" customFormat="1" x14ac:dyDescent="0.25">
      <c r="C2133" s="5"/>
      <c r="E2133" s="10"/>
      <c r="F2133" s="10"/>
    </row>
    <row r="2134" spans="3:7" ht="15.75" x14ac:dyDescent="0.25">
      <c r="D2134" s="9"/>
      <c r="F2134" s="7" t="s">
        <v>294</v>
      </c>
      <c r="G2134" s="7" t="e">
        <f>+F4+F7+F10+F13+F17+F23+F27+F30+F33+F36+F40+F43+F46+F49+F52+F56+F59+F62+F65+F68+F71+F74+F77+F80+F83+F90+F93+F96+F99+F105+F111+F115+F119+F122+F125+F129+F132+F135+F138+F141+F149+F155+F158+F161+F164+F167+F171+F176+F180+F183+F186+F191+F194+F200+F203+F206+F210+F213+F217+F220+F223+F228+F231+F234+F239+F242+F245+F248+F255+F264+F267+F270+F273+F277+F280+F284+F291+F294+F297+F300+F303+F306+F309+F312+F315+F321+F324+F330+F336+F342+F348+F354+F357+F360+F363+F366+F370+F376+F382+F386+F392+F395+F400+F404+F407+F410+F413+F416+F419+F423+F426+F429+F432+F435+F439+F444+F448+F453+F458+F462+F467+F474+F477+F480+F483+F486+F489+F492+F495+F502+F505+F508+F511+F514+F518+F521+F524+F527+F530+F533+F536+F539+F542+F545+F548+F551+F557+F561+F564+F567+F570+F573+F576+F579+F583+F586+F589+F592+F596+F599+F602+F605+F608+F614+F620+F627+F632+F635+F638+F643+F646+F649+F652+F658+F661+F664+F667+F670+F673+F676+F681+F684+F687+F693+F696+F701+F704+F707+F710+F713+F716+F719+F724+F727+F731+F739+F743+F746+F749+F752+F759+F765+F771+F774+F777+F781+F785+F788+F791+F794+F797+F803+F807+F810+F814+F821+F826+F829+F832+F835+F838+F843+F846+F849+F853+F856+F862+F865+F869+F874+F877+F880+F883+F886+F889+F893+F897+F901+F904+F908+F918+F921+F927+F930+F933+F940+F945+F948+F951+F954+F962+F967+F970+F973+F976+F979+F982+F985+F991+F995+F1001+F1004+F1008+F1012+F1015+F1019+F1022+F1025+F1028+F1034+F1041+F1046+F1049+F1052+F1057+F1060+F1063+F1067+F1070+F1073+F1076+F1079+F1082+F1086+F1089+F1092+F1095+F1101+F1104+F1107+F1113+F1116+F1119+F1123+F1126+F1129+F1134+F1137+F1141+F1144+F1147+F1150+F1153+F1156+F1159+F1163+F1166+F1169+F1173+F1176+F1179+F1182+F1188+F1191+F1194+F1198+F1203+F1207+F1210+F1213+F1216+F1220+F1223+F1226+F1229+F1234+F1237+F1241+F1247+F1250+F1254+F1260+F1265+F1271+F1277+F1285+F1290+F1293+F1300+F1305+F1308+F1311+F1314+F1317+F1320+F1323+F1327+F1335+F1339+F1345+F1348+F1354+F1357+F1362+F1365+F1368+F1371+F1375+F1378+F1383+F1386+F1389+F1392+F1396+F1400+F1405+F1408+F1411+F1414+F1417+F1421+F1424+F1434+F1440+F1444+F1447+F1451+F1454+F1457+F1463+F1466+F1469+F1473+F1479+F1482+F1485+F1488+F1491+F1494+F1500+F1504+F1507+F1510+F1513+F1516+F1519+F1522+F1525+F1528+F1531+F1537+F1540+F1543+F1546+F1550+F1553+F1556+F1561+F1565+F1569+F1574+F1579+F1582+F1586+F1589+F1592+F1596+F1599+F1602+F1608+F1614+F1620+F1623+F1626+F1629+F1632+F1638+F1641+F1644+F1647+F1650+F1653+F1657+F1660+F1663+F1666+F1669+F1672+F1675+F1679+F1683+F1689+F1693+F1696+F1699+F1702+F1705+F1709+F1712+F1716+F1721+F1727+F1730+F1733+F1736+F1739+F1743+F1749+F1757+F1760+F1763+F1767+F1770+F1775+F1778+F1781+F1784+F1787+F1790+F1793+F1796+F1799+F1803+F1806+F1811+F1814+F1822+F1828+F1831+F1834+F1837+F1840+F1845+F1849+F1852+F1855+F1860+F1863+F1866+F1869+F1872+F1875+F1878+F1884+F1888+F1896+F1900+F1906+F1909+F1912+F1915+F1918+F1921+F1925+F1928+F1931+F1934+F1941+F1945+F1948+F1951+F1954+F1958+F1964+F1967+F1970+F1974+F1977+F1980+F1983+F1986+F1989+F1992+F1995+F1999+F2005+F2008+F2011+F2017+F2025+F2028+F2031+F2034+F2037+F2040+F2043+F2047+F2050+F2054+F2060+F2064+F2067+F2070+F2073+F2076+F2080+F2083+F2087+F2091+F2094+F2097+F2100+F2104+F2107+F2112+F2115+F2118+F2121+F2126+F2132</f>
        <v>#VALUE!</v>
      </c>
    </row>
    <row r="2135" spans="3:7" x14ac:dyDescent="0.25">
      <c r="D2135" s="9"/>
      <c r="G2135" s="10">
        <v>4482455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91F1-25DD-44AD-A97C-11F16700A1A7}">
  <dimension ref="A4:G46"/>
  <sheetViews>
    <sheetView topLeftCell="A46" workbookViewId="0">
      <selection activeCell="D13" sqref="D13"/>
    </sheetView>
  </sheetViews>
  <sheetFormatPr baseColWidth="10" defaultColWidth="11.42578125" defaultRowHeight="15" x14ac:dyDescent="0.25"/>
  <sheetData>
    <row r="4" spans="2:6" x14ac:dyDescent="0.25">
      <c r="D4" t="s">
        <v>587</v>
      </c>
    </row>
    <row r="6" spans="2:6" x14ac:dyDescent="0.25">
      <c r="B6" s="9">
        <v>1000</v>
      </c>
      <c r="C6" s="9"/>
      <c r="D6" s="9">
        <v>7</v>
      </c>
      <c r="E6" s="9"/>
      <c r="F6" s="9">
        <f>+B6*D6</f>
        <v>7000</v>
      </c>
    </row>
    <row r="7" spans="2:6" x14ac:dyDescent="0.25">
      <c r="B7" s="9">
        <v>500</v>
      </c>
      <c r="C7" s="9"/>
      <c r="D7" s="9">
        <v>45</v>
      </c>
      <c r="E7" s="9"/>
      <c r="F7" s="9">
        <f>+B7*D7</f>
        <v>22500</v>
      </c>
    </row>
    <row r="8" spans="2:6" x14ac:dyDescent="0.25">
      <c r="B8" s="9">
        <v>200</v>
      </c>
      <c r="C8" s="9"/>
      <c r="D8" s="9">
        <v>15</v>
      </c>
      <c r="E8" s="9"/>
      <c r="F8" s="9">
        <f t="shared" ref="F8:F12" si="0">+B8*D8</f>
        <v>3000</v>
      </c>
    </row>
    <row r="9" spans="2:6" x14ac:dyDescent="0.25">
      <c r="B9" s="9">
        <v>100</v>
      </c>
      <c r="C9" s="9"/>
      <c r="D9" s="9">
        <v>17</v>
      </c>
      <c r="E9" s="9"/>
      <c r="F9" s="9">
        <f t="shared" si="0"/>
        <v>1700</v>
      </c>
    </row>
    <row r="10" spans="2:6" x14ac:dyDescent="0.25">
      <c r="B10" s="9">
        <v>50</v>
      </c>
      <c r="C10" s="9"/>
      <c r="D10" s="9">
        <v>30</v>
      </c>
      <c r="E10" s="9"/>
      <c r="F10" s="9">
        <f>+B10*D10</f>
        <v>1500</v>
      </c>
    </row>
    <row r="11" spans="2:6" x14ac:dyDescent="0.25">
      <c r="B11" s="9">
        <v>20</v>
      </c>
      <c r="C11" s="9"/>
      <c r="D11" s="9">
        <v>41</v>
      </c>
      <c r="E11" s="9"/>
      <c r="F11" s="9">
        <f t="shared" si="0"/>
        <v>820</v>
      </c>
    </row>
    <row r="12" spans="2:6" x14ac:dyDescent="0.25">
      <c r="B12" s="9">
        <v>10</v>
      </c>
      <c r="C12" s="9"/>
      <c r="D12" s="9">
        <v>146</v>
      </c>
      <c r="E12" s="9"/>
      <c r="F12" s="9">
        <f t="shared" si="0"/>
        <v>1460</v>
      </c>
    </row>
    <row r="13" spans="2:6" s="9" customFormat="1" x14ac:dyDescent="0.25">
      <c r="B13" s="9">
        <v>5</v>
      </c>
      <c r="F13" s="9">
        <f>+B13*D13</f>
        <v>0</v>
      </c>
    </row>
    <row r="14" spans="2:6" x14ac:dyDescent="0.25">
      <c r="B14" s="9"/>
      <c r="C14" s="9"/>
      <c r="D14" s="9"/>
      <c r="E14" s="9"/>
      <c r="F14" s="9">
        <f>SUM(F6:F13)</f>
        <v>37980</v>
      </c>
    </row>
    <row r="15" spans="2:6" x14ac:dyDescent="0.25">
      <c r="D15" s="9"/>
    </row>
    <row r="20" spans="2:6" x14ac:dyDescent="0.25">
      <c r="B20" s="9"/>
      <c r="C20" s="9"/>
      <c r="D20" s="9"/>
      <c r="E20" s="9"/>
      <c r="F20" s="9"/>
    </row>
    <row r="21" spans="2:6" x14ac:dyDescent="0.25">
      <c r="B21" s="9"/>
      <c r="C21" s="9"/>
      <c r="D21" s="9"/>
      <c r="E21" s="9"/>
      <c r="F21" s="9"/>
    </row>
    <row r="22" spans="2:6" x14ac:dyDescent="0.25">
      <c r="B22" s="9"/>
      <c r="C22" s="9"/>
      <c r="D22" s="9"/>
      <c r="E22" s="9"/>
      <c r="F22" s="9"/>
    </row>
    <row r="23" spans="2:6" x14ac:dyDescent="0.25">
      <c r="B23" s="9"/>
      <c r="C23" s="9"/>
      <c r="D23" s="9"/>
      <c r="E23" s="9"/>
      <c r="F23" s="9"/>
    </row>
    <row r="24" spans="2:6" x14ac:dyDescent="0.25">
      <c r="B24" s="9"/>
      <c r="C24" s="9"/>
      <c r="D24" s="9"/>
      <c r="E24" s="9"/>
      <c r="F24" s="9"/>
    </row>
    <row r="25" spans="2:6" x14ac:dyDescent="0.25">
      <c r="B25" s="9"/>
      <c r="C25" s="9"/>
      <c r="D25" s="9"/>
      <c r="E25" s="9"/>
      <c r="F25" s="9"/>
    </row>
    <row r="26" spans="2:6" x14ac:dyDescent="0.25">
      <c r="B26" s="9"/>
      <c r="C26" s="9"/>
      <c r="D26" s="9"/>
      <c r="E26" s="9"/>
      <c r="F26" s="9"/>
    </row>
    <row r="27" spans="2:6" x14ac:dyDescent="0.25">
      <c r="B27" s="9"/>
      <c r="C27" s="9"/>
      <c r="D27" s="9"/>
      <c r="E27" s="9"/>
      <c r="F27" s="9"/>
    </row>
    <row r="28" spans="2:6" x14ac:dyDescent="0.25">
      <c r="B28" s="9"/>
      <c r="C28" s="9"/>
      <c r="D28" s="9"/>
      <c r="E28" s="9"/>
      <c r="F28" s="9"/>
    </row>
    <row r="29" spans="2:6" x14ac:dyDescent="0.25">
      <c r="B29" s="9"/>
      <c r="C29" s="9"/>
      <c r="D29" s="9"/>
      <c r="E29" s="9"/>
      <c r="F29" s="9"/>
    </row>
    <row r="35" spans="1:7" x14ac:dyDescent="0.25">
      <c r="B35" s="9">
        <v>1000</v>
      </c>
      <c r="C35" s="9"/>
      <c r="D35" s="9"/>
      <c r="E35" s="9"/>
      <c r="F35" s="9">
        <f>+B35*D35</f>
        <v>0</v>
      </c>
      <c r="G35" s="9"/>
    </row>
    <row r="36" spans="1:7" x14ac:dyDescent="0.25">
      <c r="B36" s="9">
        <v>500</v>
      </c>
      <c r="C36" s="9"/>
      <c r="D36" s="9">
        <v>24</v>
      </c>
      <c r="E36" s="9"/>
      <c r="F36" s="9">
        <f t="shared" ref="F36:F42" si="1">+B36*D36</f>
        <v>12000</v>
      </c>
      <c r="G36" s="9"/>
    </row>
    <row r="37" spans="1:7" x14ac:dyDescent="0.25">
      <c r="B37" s="9">
        <v>200</v>
      </c>
      <c r="C37" s="9"/>
      <c r="D37" s="9">
        <v>30</v>
      </c>
      <c r="E37" s="9"/>
      <c r="F37" s="9">
        <f t="shared" si="1"/>
        <v>6000</v>
      </c>
      <c r="G37" s="9"/>
    </row>
    <row r="38" spans="1:7" x14ac:dyDescent="0.25">
      <c r="B38" s="9">
        <v>100</v>
      </c>
      <c r="C38" s="9"/>
      <c r="D38" s="9">
        <v>117</v>
      </c>
      <c r="E38" s="9"/>
      <c r="F38" s="9">
        <f t="shared" si="1"/>
        <v>11700</v>
      </c>
      <c r="G38" s="9"/>
    </row>
    <row r="39" spans="1:7" x14ac:dyDescent="0.25">
      <c r="B39" s="9">
        <v>50</v>
      </c>
      <c r="C39" s="9"/>
      <c r="D39" s="9">
        <v>7</v>
      </c>
      <c r="E39" s="9"/>
      <c r="F39" s="9">
        <f t="shared" si="1"/>
        <v>350</v>
      </c>
      <c r="G39" s="9"/>
    </row>
    <row r="40" spans="1:7" x14ac:dyDescent="0.25">
      <c r="A40">
        <v>0</v>
      </c>
      <c r="B40" s="9">
        <v>20</v>
      </c>
      <c r="C40" s="9"/>
      <c r="D40" s="9">
        <v>26</v>
      </c>
      <c r="E40" s="9"/>
      <c r="F40" s="9">
        <f t="shared" si="1"/>
        <v>520</v>
      </c>
      <c r="G40" s="9"/>
    </row>
    <row r="41" spans="1:7" x14ac:dyDescent="0.25">
      <c r="B41" s="9">
        <v>10</v>
      </c>
      <c r="C41" s="9"/>
      <c r="D41" s="9">
        <v>2</v>
      </c>
      <c r="E41" s="9"/>
      <c r="F41" s="9">
        <f t="shared" si="1"/>
        <v>20</v>
      </c>
      <c r="G41" s="9"/>
    </row>
    <row r="42" spans="1:7" x14ac:dyDescent="0.25">
      <c r="B42" s="9">
        <v>5</v>
      </c>
      <c r="C42" s="9"/>
      <c r="D42" s="9"/>
      <c r="E42" s="9"/>
      <c r="F42" s="9">
        <f t="shared" si="1"/>
        <v>0</v>
      </c>
      <c r="G42" s="9"/>
    </row>
    <row r="43" spans="1:7" x14ac:dyDescent="0.25">
      <c r="B43" s="9"/>
      <c r="C43" s="9"/>
      <c r="D43" s="9"/>
      <c r="E43" s="9"/>
      <c r="F43" s="9">
        <f>SUM(F35:F42)</f>
        <v>30590</v>
      </c>
      <c r="G43" s="9"/>
    </row>
    <row r="44" spans="1:7" x14ac:dyDescent="0.25">
      <c r="B44" s="9"/>
      <c r="C44" s="9"/>
      <c r="D44" s="9"/>
      <c r="E44" s="9"/>
      <c r="F44" s="9"/>
      <c r="G44" s="9"/>
    </row>
    <row r="45" spans="1:7" x14ac:dyDescent="0.25">
      <c r="B45" s="9"/>
      <c r="C45" s="9"/>
      <c r="D45" s="9"/>
      <c r="E45" s="9"/>
      <c r="F45" s="9"/>
      <c r="G45" s="9"/>
    </row>
    <row r="46" spans="1:7" x14ac:dyDescent="0.25">
      <c r="B46" s="9"/>
      <c r="C46" s="9"/>
      <c r="D46" s="9"/>
      <c r="E46" s="9"/>
      <c r="F46" s="9"/>
      <c r="G46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E8E9-E391-4791-9967-6B319920ACF8}">
  <dimension ref="A1:G1809"/>
  <sheetViews>
    <sheetView topLeftCell="A1765" zoomScaleNormal="100" workbookViewId="0">
      <selection activeCell="A1783" sqref="A1783"/>
    </sheetView>
  </sheetViews>
  <sheetFormatPr baseColWidth="10" defaultColWidth="11.42578125" defaultRowHeight="15" x14ac:dyDescent="0.25"/>
  <cols>
    <col min="1" max="1" width="22" bestFit="1" customWidth="1"/>
    <col min="3" max="3" width="11.42578125" style="5"/>
    <col min="4" max="4" width="44.140625" bestFit="1" customWidth="1"/>
    <col min="5" max="5" width="18.140625" style="10" bestFit="1" customWidth="1"/>
    <col min="6" max="6" width="14.42578125" style="10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15</v>
      </c>
      <c r="B3" s="4">
        <v>45962</v>
      </c>
      <c r="C3" s="5">
        <v>48</v>
      </c>
      <c r="D3" s="9" t="s">
        <v>98</v>
      </c>
      <c r="E3" s="10">
        <v>115</v>
      </c>
      <c r="F3" s="13">
        <f>+C3*E3</f>
        <v>5520</v>
      </c>
    </row>
    <row r="4" spans="1:6" x14ac:dyDescent="0.25">
      <c r="A4" s="9"/>
      <c r="B4" s="9"/>
      <c r="D4" s="9"/>
      <c r="F4" s="8">
        <f>SUM(F3)</f>
        <v>5520</v>
      </c>
    </row>
    <row r="5" spans="1:6" x14ac:dyDescent="0.25">
      <c r="A5" s="9"/>
      <c r="B5" s="9"/>
      <c r="D5" s="9"/>
      <c r="F5" s="13"/>
    </row>
    <row r="6" spans="1:6" x14ac:dyDescent="0.25">
      <c r="A6" s="9" t="s">
        <v>127</v>
      </c>
      <c r="B6" s="4">
        <v>45962</v>
      </c>
      <c r="C6" s="5">
        <v>20</v>
      </c>
      <c r="D6" s="9" t="s">
        <v>13</v>
      </c>
      <c r="E6" s="10">
        <v>165</v>
      </c>
      <c r="F6" s="13">
        <f t="shared" ref="F6:F65" si="0">+C6*E6</f>
        <v>3300</v>
      </c>
    </row>
    <row r="7" spans="1:6" x14ac:dyDescent="0.25">
      <c r="A7" s="9"/>
      <c r="B7" s="9"/>
      <c r="D7" s="9"/>
      <c r="F7" s="8">
        <f>SUM(F6)</f>
        <v>3300</v>
      </c>
    </row>
    <row r="8" spans="1:6" x14ac:dyDescent="0.25">
      <c r="A8" s="9"/>
      <c r="B8" s="9"/>
      <c r="D8" s="9"/>
      <c r="F8" s="13"/>
    </row>
    <row r="9" spans="1:6" x14ac:dyDescent="0.25">
      <c r="A9" s="9" t="s">
        <v>317</v>
      </c>
      <c r="B9" s="4">
        <v>45962</v>
      </c>
      <c r="C9" s="5">
        <v>3</v>
      </c>
      <c r="D9" s="9" t="s">
        <v>13</v>
      </c>
      <c r="E9" s="10">
        <v>170</v>
      </c>
      <c r="F9" s="13">
        <f t="shared" si="0"/>
        <v>510</v>
      </c>
    </row>
    <row r="10" spans="1:6" x14ac:dyDescent="0.25">
      <c r="A10" s="9"/>
      <c r="B10" s="9"/>
      <c r="D10" s="9"/>
      <c r="F10" s="8">
        <f>SUM(F9)</f>
        <v>510</v>
      </c>
    </row>
    <row r="11" spans="1:6" x14ac:dyDescent="0.25">
      <c r="A11" s="9"/>
      <c r="B11" s="9"/>
      <c r="D11" s="9"/>
      <c r="F11" s="13"/>
    </row>
    <row r="12" spans="1:6" x14ac:dyDescent="0.25">
      <c r="A12" s="9" t="s">
        <v>1087</v>
      </c>
      <c r="B12" s="4">
        <v>45962</v>
      </c>
      <c r="C12" s="5">
        <v>2</v>
      </c>
      <c r="D12" s="9" t="s">
        <v>13</v>
      </c>
      <c r="E12" s="10">
        <v>170</v>
      </c>
      <c r="F12" s="13">
        <f t="shared" si="0"/>
        <v>340</v>
      </c>
    </row>
    <row r="13" spans="1:6" x14ac:dyDescent="0.25">
      <c r="A13" s="9"/>
      <c r="B13" s="9"/>
      <c r="D13" s="9"/>
      <c r="F13" s="8">
        <f>SUM(F12)</f>
        <v>340</v>
      </c>
    </row>
    <row r="14" spans="1:6" x14ac:dyDescent="0.25">
      <c r="A14" s="9"/>
      <c r="B14" s="9"/>
      <c r="D14" s="9"/>
      <c r="F14" s="13"/>
    </row>
    <row r="15" spans="1:6" x14ac:dyDescent="0.25">
      <c r="A15" s="9" t="s">
        <v>160</v>
      </c>
      <c r="B15" s="4">
        <v>45962</v>
      </c>
      <c r="C15" s="5">
        <v>5</v>
      </c>
      <c r="D15" s="9" t="s">
        <v>12</v>
      </c>
      <c r="E15" s="10">
        <v>160</v>
      </c>
      <c r="F15" s="13">
        <f t="shared" si="0"/>
        <v>800</v>
      </c>
    </row>
    <row r="16" spans="1:6" x14ac:dyDescent="0.25">
      <c r="A16" s="9"/>
      <c r="B16" s="9"/>
      <c r="D16" s="9"/>
      <c r="F16" s="8">
        <f>SUM(F15)</f>
        <v>800</v>
      </c>
    </row>
    <row r="17" spans="1:6" x14ac:dyDescent="0.25">
      <c r="B17" s="9"/>
      <c r="D17" s="9"/>
      <c r="F17" s="13"/>
    </row>
    <row r="18" spans="1:6" s="9" customFormat="1" x14ac:dyDescent="0.25">
      <c r="A18" s="9" t="s">
        <v>1088</v>
      </c>
      <c r="B18" s="4">
        <v>45962</v>
      </c>
      <c r="C18" s="5">
        <v>3</v>
      </c>
      <c r="D18" s="9" t="s">
        <v>1089</v>
      </c>
      <c r="E18" s="10">
        <v>170</v>
      </c>
      <c r="F18" s="13">
        <f t="shared" si="0"/>
        <v>510</v>
      </c>
    </row>
    <row r="19" spans="1:6" s="9" customFormat="1" x14ac:dyDescent="0.25">
      <c r="C19" s="5"/>
      <c r="E19" s="10"/>
      <c r="F19" s="8">
        <f>SUM(F18)</f>
        <v>510</v>
      </c>
    </row>
    <row r="20" spans="1:6" s="9" customFormat="1" x14ac:dyDescent="0.25">
      <c r="C20" s="5"/>
      <c r="E20" s="10"/>
      <c r="F20" s="13"/>
    </row>
    <row r="21" spans="1:6" x14ac:dyDescent="0.25">
      <c r="A21" t="s">
        <v>112</v>
      </c>
      <c r="B21" s="4">
        <v>45962</v>
      </c>
      <c r="C21" s="5">
        <v>20</v>
      </c>
      <c r="D21" s="9" t="s">
        <v>14</v>
      </c>
      <c r="E21" s="10">
        <v>155</v>
      </c>
      <c r="F21" s="13">
        <f t="shared" si="0"/>
        <v>3100</v>
      </c>
    </row>
    <row r="22" spans="1:6" x14ac:dyDescent="0.25">
      <c r="B22" s="9"/>
      <c r="C22" s="5">
        <v>20</v>
      </c>
      <c r="D22" s="9" t="s">
        <v>11</v>
      </c>
      <c r="E22" s="10">
        <v>150</v>
      </c>
      <c r="F22" s="13">
        <f t="shared" si="0"/>
        <v>3000</v>
      </c>
    </row>
    <row r="23" spans="1:6" x14ac:dyDescent="0.25">
      <c r="B23" s="9"/>
      <c r="D23" s="9"/>
      <c r="F23" s="8">
        <f>SUM(F21:F22)</f>
        <v>6100</v>
      </c>
    </row>
    <row r="24" spans="1:6" x14ac:dyDescent="0.25">
      <c r="B24" s="9"/>
      <c r="D24" s="9"/>
      <c r="F24" s="13"/>
    </row>
    <row r="25" spans="1:6" x14ac:dyDescent="0.25">
      <c r="A25" t="s">
        <v>1090</v>
      </c>
      <c r="B25" s="4">
        <v>45962</v>
      </c>
      <c r="C25" s="5">
        <v>3</v>
      </c>
      <c r="D25" s="9" t="s">
        <v>13</v>
      </c>
      <c r="E25" s="10">
        <v>170</v>
      </c>
      <c r="F25" s="13">
        <f t="shared" si="0"/>
        <v>510</v>
      </c>
    </row>
    <row r="26" spans="1:6" x14ac:dyDescent="0.25">
      <c r="B26" s="9"/>
      <c r="D26" s="9"/>
      <c r="F26" s="8">
        <f>SUM(F25)</f>
        <v>510</v>
      </c>
    </row>
    <row r="27" spans="1:6" x14ac:dyDescent="0.25">
      <c r="B27" s="9"/>
      <c r="D27" s="9"/>
      <c r="F27" s="13"/>
    </row>
    <row r="28" spans="1:6" x14ac:dyDescent="0.25">
      <c r="A28" t="s">
        <v>174</v>
      </c>
      <c r="B28" s="4">
        <v>45962</v>
      </c>
      <c r="C28" s="5">
        <v>70</v>
      </c>
      <c r="D28" s="9" t="s">
        <v>11</v>
      </c>
      <c r="E28" s="10">
        <v>155</v>
      </c>
      <c r="F28" s="13">
        <f t="shared" si="0"/>
        <v>10850</v>
      </c>
    </row>
    <row r="29" spans="1:6" x14ac:dyDescent="0.25">
      <c r="B29" s="9"/>
      <c r="C29" s="5">
        <v>48</v>
      </c>
      <c r="D29" s="9" t="s">
        <v>12</v>
      </c>
      <c r="E29" s="10">
        <v>155</v>
      </c>
      <c r="F29" s="13">
        <f t="shared" si="0"/>
        <v>7440</v>
      </c>
    </row>
    <row r="30" spans="1:6" x14ac:dyDescent="0.25">
      <c r="B30" s="9"/>
      <c r="D30" s="9"/>
      <c r="F30" s="8">
        <f>SUM(F28:F29)</f>
        <v>18290</v>
      </c>
    </row>
    <row r="31" spans="1:6" x14ac:dyDescent="0.25">
      <c r="B31" s="9"/>
      <c r="D31" s="9"/>
      <c r="F31" s="13"/>
    </row>
    <row r="32" spans="1:6" x14ac:dyDescent="0.25">
      <c r="A32" t="s">
        <v>26</v>
      </c>
      <c r="B32" s="4">
        <v>45962</v>
      </c>
      <c r="C32" s="5">
        <v>30</v>
      </c>
      <c r="D32" s="9" t="s">
        <v>14</v>
      </c>
      <c r="E32" s="10">
        <v>155</v>
      </c>
      <c r="F32" s="13">
        <f t="shared" si="0"/>
        <v>4650</v>
      </c>
    </row>
    <row r="33" spans="1:6" x14ac:dyDescent="0.25">
      <c r="B33" s="9"/>
      <c r="D33" s="9"/>
      <c r="F33" s="8">
        <f>SUM(F32)</f>
        <v>4650</v>
      </c>
    </row>
    <row r="34" spans="1:6" x14ac:dyDescent="0.25">
      <c r="B34" s="9"/>
      <c r="D34" s="9"/>
      <c r="F34" s="13"/>
    </row>
    <row r="35" spans="1:6" x14ac:dyDescent="0.25">
      <c r="A35" t="s">
        <v>72</v>
      </c>
      <c r="B35" s="4">
        <v>45962</v>
      </c>
      <c r="C35" s="5">
        <v>214</v>
      </c>
      <c r="D35" s="9" t="s">
        <v>13</v>
      </c>
      <c r="E35" s="10">
        <v>155</v>
      </c>
      <c r="F35" s="13">
        <f t="shared" si="0"/>
        <v>33170</v>
      </c>
    </row>
    <row r="36" spans="1:6" x14ac:dyDescent="0.25">
      <c r="B36" s="9"/>
      <c r="C36" s="5">
        <v>34</v>
      </c>
      <c r="D36" s="9" t="s">
        <v>12</v>
      </c>
      <c r="E36" s="10">
        <v>150</v>
      </c>
      <c r="F36" s="13">
        <f t="shared" si="0"/>
        <v>5100</v>
      </c>
    </row>
    <row r="37" spans="1:6" x14ac:dyDescent="0.25">
      <c r="B37" s="9"/>
      <c r="C37" s="5">
        <v>120</v>
      </c>
      <c r="D37" s="9" t="s">
        <v>14</v>
      </c>
      <c r="E37" s="10">
        <v>155</v>
      </c>
      <c r="F37" s="13">
        <f t="shared" si="0"/>
        <v>18600</v>
      </c>
    </row>
    <row r="38" spans="1:6" x14ac:dyDescent="0.25">
      <c r="B38" s="9"/>
      <c r="C38" s="5">
        <v>42</v>
      </c>
      <c r="D38" s="9" t="s">
        <v>11</v>
      </c>
      <c r="E38" s="10">
        <v>150</v>
      </c>
      <c r="F38" s="13">
        <f t="shared" si="0"/>
        <v>6300</v>
      </c>
    </row>
    <row r="39" spans="1:6" x14ac:dyDescent="0.25">
      <c r="B39" s="9"/>
      <c r="D39" s="9"/>
      <c r="F39" s="8">
        <f>SUM(F35:F38)</f>
        <v>63170</v>
      </c>
    </row>
    <row r="40" spans="1:6" x14ac:dyDescent="0.25">
      <c r="B40" s="4"/>
      <c r="D40" s="9"/>
      <c r="F40" s="13"/>
    </row>
    <row r="41" spans="1:6" x14ac:dyDescent="0.25">
      <c r="A41" t="s">
        <v>101</v>
      </c>
      <c r="B41" s="4">
        <v>45962</v>
      </c>
      <c r="C41" s="5">
        <v>2</v>
      </c>
      <c r="D41" s="9" t="s">
        <v>13</v>
      </c>
      <c r="E41" s="10">
        <v>170</v>
      </c>
      <c r="F41" s="13">
        <f t="shared" si="0"/>
        <v>340</v>
      </c>
    </row>
    <row r="42" spans="1:6" x14ac:dyDescent="0.25">
      <c r="B42" s="9"/>
      <c r="C42" s="5">
        <v>1</v>
      </c>
      <c r="D42" s="9" t="s">
        <v>12</v>
      </c>
      <c r="E42" s="10">
        <v>160</v>
      </c>
      <c r="F42" s="13">
        <f t="shared" si="0"/>
        <v>160</v>
      </c>
    </row>
    <row r="43" spans="1:6" x14ac:dyDescent="0.25">
      <c r="B43" s="9"/>
      <c r="D43" s="9"/>
      <c r="F43" s="8">
        <f>SUM(F41:F42)</f>
        <v>500</v>
      </c>
    </row>
    <row r="44" spans="1:6" x14ac:dyDescent="0.25">
      <c r="B44" s="4"/>
      <c r="D44" s="9"/>
      <c r="F44" s="13"/>
    </row>
    <row r="45" spans="1:6" x14ac:dyDescent="0.25">
      <c r="A45" t="s">
        <v>7</v>
      </c>
      <c r="B45" s="4">
        <v>45962</v>
      </c>
      <c r="C45" s="5">
        <v>1</v>
      </c>
      <c r="D45" s="9" t="s">
        <v>13</v>
      </c>
      <c r="E45" s="10">
        <v>170</v>
      </c>
      <c r="F45" s="13">
        <f t="shared" si="0"/>
        <v>170</v>
      </c>
    </row>
    <row r="46" spans="1:6" x14ac:dyDescent="0.25">
      <c r="B46" s="9"/>
      <c r="C46" s="5">
        <v>1</v>
      </c>
      <c r="D46" s="9" t="s">
        <v>8</v>
      </c>
      <c r="E46" s="10">
        <v>180</v>
      </c>
      <c r="F46" s="13">
        <f t="shared" si="0"/>
        <v>180</v>
      </c>
    </row>
    <row r="47" spans="1:6" x14ac:dyDescent="0.25">
      <c r="B47" s="4"/>
      <c r="C47" s="5">
        <v>1</v>
      </c>
      <c r="D47" s="9" t="s">
        <v>1091</v>
      </c>
      <c r="E47" s="10">
        <v>150</v>
      </c>
      <c r="F47" s="13">
        <f t="shared" si="0"/>
        <v>150</v>
      </c>
    </row>
    <row r="48" spans="1:6" x14ac:dyDescent="0.25">
      <c r="B48" s="9"/>
      <c r="C48" s="5">
        <v>1</v>
      </c>
      <c r="D48" s="9" t="s">
        <v>1092</v>
      </c>
      <c r="E48" s="10">
        <v>125</v>
      </c>
      <c r="F48" s="13">
        <f t="shared" si="0"/>
        <v>125</v>
      </c>
    </row>
    <row r="49" spans="1:6" x14ac:dyDescent="0.25">
      <c r="B49" s="9"/>
      <c r="D49" s="9"/>
      <c r="F49" s="8">
        <f>SUM(F45:F48)</f>
        <v>625</v>
      </c>
    </row>
    <row r="50" spans="1:6" x14ac:dyDescent="0.25">
      <c r="B50" s="4"/>
      <c r="D50" s="9"/>
      <c r="F50" s="13"/>
    </row>
    <row r="51" spans="1:6" x14ac:dyDescent="0.25">
      <c r="A51" t="s">
        <v>65</v>
      </c>
      <c r="B51" s="4">
        <v>45963</v>
      </c>
      <c r="C51" s="5">
        <v>75</v>
      </c>
      <c r="D51" s="9" t="s">
        <v>11</v>
      </c>
      <c r="E51" s="10">
        <v>150</v>
      </c>
      <c r="F51" s="13">
        <f t="shared" si="0"/>
        <v>11250</v>
      </c>
    </row>
    <row r="52" spans="1:6" x14ac:dyDescent="0.25">
      <c r="B52" s="9"/>
      <c r="C52" s="5">
        <v>30</v>
      </c>
      <c r="D52" s="9" t="s">
        <v>14</v>
      </c>
      <c r="E52" s="10">
        <v>155</v>
      </c>
      <c r="F52" s="13">
        <f t="shared" si="0"/>
        <v>4650</v>
      </c>
    </row>
    <row r="53" spans="1:6" x14ac:dyDescent="0.25">
      <c r="B53" s="9"/>
      <c r="C53" s="5">
        <v>4</v>
      </c>
      <c r="D53" s="9" t="s">
        <v>50</v>
      </c>
      <c r="E53" s="10">
        <v>135</v>
      </c>
      <c r="F53" s="13">
        <f t="shared" si="0"/>
        <v>540</v>
      </c>
    </row>
    <row r="54" spans="1:6" x14ac:dyDescent="0.25">
      <c r="B54" s="4"/>
      <c r="C54" s="5">
        <v>62</v>
      </c>
      <c r="D54" s="9" t="s">
        <v>753</v>
      </c>
      <c r="E54" s="10">
        <v>150</v>
      </c>
      <c r="F54" s="13">
        <f t="shared" si="0"/>
        <v>9300</v>
      </c>
    </row>
    <row r="55" spans="1:6" x14ac:dyDescent="0.25">
      <c r="B55" s="9"/>
      <c r="C55" s="5">
        <v>102</v>
      </c>
      <c r="D55" s="9" t="s">
        <v>13</v>
      </c>
      <c r="E55" s="10">
        <v>155</v>
      </c>
      <c r="F55" s="13">
        <f t="shared" si="0"/>
        <v>15810</v>
      </c>
    </row>
    <row r="56" spans="1:6" x14ac:dyDescent="0.25">
      <c r="B56" s="9"/>
      <c r="C56" s="5">
        <v>4</v>
      </c>
      <c r="D56" s="9" t="s">
        <v>22</v>
      </c>
      <c r="E56" s="10">
        <v>135</v>
      </c>
      <c r="F56" s="13">
        <f t="shared" si="0"/>
        <v>540</v>
      </c>
    </row>
    <row r="57" spans="1:6" x14ac:dyDescent="0.25">
      <c r="B57" s="4"/>
      <c r="D57" s="9"/>
      <c r="F57" s="8">
        <f>SUM(F51:F56)</f>
        <v>42090</v>
      </c>
    </row>
    <row r="58" spans="1:6" x14ac:dyDescent="0.25">
      <c r="B58" s="9"/>
      <c r="D58" s="9"/>
      <c r="F58" s="13"/>
    </row>
    <row r="59" spans="1:6" x14ac:dyDescent="0.25">
      <c r="A59" t="s">
        <v>101</v>
      </c>
      <c r="B59" s="4">
        <v>45963</v>
      </c>
      <c r="C59" s="5">
        <v>2</v>
      </c>
      <c r="D59" s="9" t="s">
        <v>22</v>
      </c>
      <c r="E59" s="10">
        <v>140</v>
      </c>
      <c r="F59" s="13">
        <f t="shared" si="0"/>
        <v>280</v>
      </c>
    </row>
    <row r="60" spans="1:6" x14ac:dyDescent="0.25">
      <c r="B60" s="4"/>
      <c r="D60" s="9"/>
      <c r="F60" s="8">
        <f>SUM(F59)</f>
        <v>280</v>
      </c>
    </row>
    <row r="61" spans="1:6" x14ac:dyDescent="0.25">
      <c r="B61" s="9"/>
      <c r="D61" s="9"/>
      <c r="F61" s="13"/>
    </row>
    <row r="62" spans="1:6" x14ac:dyDescent="0.25">
      <c r="A62" t="s">
        <v>181</v>
      </c>
      <c r="B62" s="4">
        <v>45963</v>
      </c>
      <c r="C62" s="5">
        <v>1</v>
      </c>
      <c r="D62" s="9" t="s">
        <v>787</v>
      </c>
      <c r="E62" s="10">
        <v>150</v>
      </c>
      <c r="F62" s="13">
        <f t="shared" si="0"/>
        <v>150</v>
      </c>
    </row>
    <row r="63" spans="1:6" x14ac:dyDescent="0.25">
      <c r="B63" s="9"/>
      <c r="C63" s="5">
        <v>1</v>
      </c>
      <c r="D63" s="9" t="s">
        <v>846</v>
      </c>
      <c r="E63" s="10">
        <v>0</v>
      </c>
      <c r="F63" s="13">
        <f t="shared" si="0"/>
        <v>0</v>
      </c>
    </row>
    <row r="64" spans="1:6" x14ac:dyDescent="0.25">
      <c r="B64" s="9"/>
      <c r="C64" s="5">
        <v>1</v>
      </c>
      <c r="D64" s="9" t="s">
        <v>8</v>
      </c>
      <c r="E64" s="10">
        <v>180</v>
      </c>
      <c r="F64" s="13">
        <f t="shared" si="0"/>
        <v>180</v>
      </c>
    </row>
    <row r="65" spans="1:6" x14ac:dyDescent="0.25">
      <c r="B65" s="4"/>
      <c r="C65" s="5">
        <v>1</v>
      </c>
      <c r="D65" s="9" t="s">
        <v>768</v>
      </c>
      <c r="E65" s="10">
        <v>150</v>
      </c>
      <c r="F65" s="13">
        <f t="shared" si="0"/>
        <v>150</v>
      </c>
    </row>
    <row r="66" spans="1:6" x14ac:dyDescent="0.25">
      <c r="B66" s="9"/>
      <c r="D66" s="9"/>
      <c r="F66" s="8">
        <f>SUM(F62:F65)</f>
        <v>480</v>
      </c>
    </row>
    <row r="67" spans="1:6" x14ac:dyDescent="0.25">
      <c r="B67" s="9"/>
      <c r="D67" s="9"/>
      <c r="F67" s="13"/>
    </row>
    <row r="68" spans="1:6" x14ac:dyDescent="0.25">
      <c r="A68" t="s">
        <v>550</v>
      </c>
      <c r="B68" s="4">
        <v>45964</v>
      </c>
      <c r="C68" s="5">
        <v>10</v>
      </c>
      <c r="D68" s="9" t="s">
        <v>98</v>
      </c>
      <c r="E68" s="10">
        <v>120</v>
      </c>
      <c r="F68" s="13">
        <f t="shared" ref="F68:F130" si="1">+C68*E68</f>
        <v>1200</v>
      </c>
    </row>
    <row r="69" spans="1:6" x14ac:dyDescent="0.25">
      <c r="B69" s="9"/>
      <c r="D69" s="9"/>
      <c r="F69" s="8">
        <f>SUM(F68)</f>
        <v>1200</v>
      </c>
    </row>
    <row r="70" spans="1:6" x14ac:dyDescent="0.25">
      <c r="B70" s="9"/>
      <c r="D70" s="9"/>
      <c r="F70" s="13"/>
    </row>
    <row r="71" spans="1:6" x14ac:dyDescent="0.25">
      <c r="A71" t="s">
        <v>15</v>
      </c>
      <c r="B71" s="4">
        <v>45964</v>
      </c>
      <c r="C71" s="5">
        <v>22</v>
      </c>
      <c r="D71" s="9" t="s">
        <v>98</v>
      </c>
      <c r="E71" s="10">
        <v>115</v>
      </c>
      <c r="F71" s="13">
        <f t="shared" si="1"/>
        <v>2530</v>
      </c>
    </row>
    <row r="72" spans="1:6" x14ac:dyDescent="0.25">
      <c r="B72" s="9"/>
      <c r="D72" s="9"/>
      <c r="F72" s="8">
        <f>SUM(F71)</f>
        <v>2530</v>
      </c>
    </row>
    <row r="73" spans="1:6" x14ac:dyDescent="0.25">
      <c r="B73" s="4"/>
      <c r="D73" s="9"/>
      <c r="F73" s="13"/>
    </row>
    <row r="74" spans="1:6" x14ac:dyDescent="0.25">
      <c r="A74" t="s">
        <v>18</v>
      </c>
      <c r="B74" s="4">
        <v>45964</v>
      </c>
      <c r="C74" s="5">
        <v>8</v>
      </c>
      <c r="D74" s="9" t="s">
        <v>13</v>
      </c>
      <c r="E74" s="10">
        <v>165</v>
      </c>
      <c r="F74" s="13">
        <f t="shared" si="1"/>
        <v>1320</v>
      </c>
    </row>
    <row r="75" spans="1:6" x14ac:dyDescent="0.25">
      <c r="B75" s="9"/>
      <c r="D75" s="9"/>
      <c r="F75" s="8">
        <f>SUM(F74)</f>
        <v>1320</v>
      </c>
    </row>
    <row r="76" spans="1:6" x14ac:dyDescent="0.25">
      <c r="B76" s="4"/>
      <c r="D76" s="9"/>
      <c r="F76" s="13"/>
    </row>
    <row r="77" spans="1:6" x14ac:dyDescent="0.25">
      <c r="A77" t="s">
        <v>20</v>
      </c>
      <c r="B77" s="4">
        <v>45964</v>
      </c>
      <c r="C77" s="5">
        <v>20</v>
      </c>
      <c r="D77" s="9" t="s">
        <v>13</v>
      </c>
      <c r="E77" s="10">
        <v>165</v>
      </c>
      <c r="F77" s="13">
        <f t="shared" si="1"/>
        <v>3300</v>
      </c>
    </row>
    <row r="78" spans="1:6" x14ac:dyDescent="0.25">
      <c r="B78" s="9"/>
      <c r="D78" s="9"/>
      <c r="F78" s="8">
        <f>SUM(F77)</f>
        <v>3300</v>
      </c>
    </row>
    <row r="79" spans="1:6" x14ac:dyDescent="0.25">
      <c r="B79" s="4"/>
      <c r="D79" s="9"/>
      <c r="F79" s="13"/>
    </row>
    <row r="80" spans="1:6" x14ac:dyDescent="0.25">
      <c r="A80" t="s">
        <v>1093</v>
      </c>
      <c r="B80" s="4">
        <v>45964</v>
      </c>
      <c r="C80" s="5">
        <v>20</v>
      </c>
      <c r="D80" s="9" t="s">
        <v>13</v>
      </c>
      <c r="E80" s="10">
        <v>165</v>
      </c>
      <c r="F80" s="13">
        <f t="shared" si="1"/>
        <v>3300</v>
      </c>
    </row>
    <row r="81" spans="1:6" x14ac:dyDescent="0.25">
      <c r="B81" s="9"/>
      <c r="D81" s="9"/>
      <c r="F81" s="8">
        <f>SUM(F80)</f>
        <v>3300</v>
      </c>
    </row>
    <row r="82" spans="1:6" x14ac:dyDescent="0.25">
      <c r="B82" s="9"/>
      <c r="D82" s="9"/>
      <c r="F82" s="13"/>
    </row>
    <row r="83" spans="1:6" x14ac:dyDescent="0.25">
      <c r="A83" t="s">
        <v>21</v>
      </c>
      <c r="B83" s="4">
        <v>45964</v>
      </c>
      <c r="C83" s="5">
        <v>30</v>
      </c>
      <c r="D83" s="9" t="s">
        <v>50</v>
      </c>
      <c r="E83" s="10">
        <v>145</v>
      </c>
      <c r="F83" s="13">
        <f t="shared" si="1"/>
        <v>4350</v>
      </c>
    </row>
    <row r="84" spans="1:6" x14ac:dyDescent="0.25">
      <c r="B84" s="9"/>
      <c r="C84" s="5">
        <v>5</v>
      </c>
      <c r="D84" s="9" t="s">
        <v>22</v>
      </c>
      <c r="E84" s="10">
        <v>150</v>
      </c>
      <c r="F84" s="13">
        <f t="shared" si="1"/>
        <v>750</v>
      </c>
    </row>
    <row r="85" spans="1:6" x14ac:dyDescent="0.25">
      <c r="B85" s="9"/>
      <c r="C85" s="5">
        <v>13</v>
      </c>
      <c r="D85" s="9" t="s">
        <v>12</v>
      </c>
      <c r="E85" s="10">
        <v>155</v>
      </c>
      <c r="F85" s="13">
        <f t="shared" si="1"/>
        <v>2015</v>
      </c>
    </row>
    <row r="86" spans="1:6" x14ac:dyDescent="0.25">
      <c r="B86" s="4"/>
      <c r="C86" s="5">
        <v>10</v>
      </c>
      <c r="D86" s="9" t="s">
        <v>13</v>
      </c>
      <c r="E86" s="10">
        <v>165</v>
      </c>
      <c r="F86" s="13">
        <f t="shared" si="1"/>
        <v>1650</v>
      </c>
    </row>
    <row r="87" spans="1:6" x14ac:dyDescent="0.25">
      <c r="B87" s="9"/>
      <c r="D87" s="9"/>
      <c r="F87" s="8">
        <f>SUM(F83:F86)</f>
        <v>8765</v>
      </c>
    </row>
    <row r="88" spans="1:6" x14ac:dyDescent="0.25">
      <c r="B88" s="9"/>
      <c r="D88" s="9"/>
      <c r="F88" s="13"/>
    </row>
    <row r="89" spans="1:6" x14ac:dyDescent="0.25">
      <c r="A89" t="s">
        <v>367</v>
      </c>
      <c r="B89" s="4">
        <v>45964</v>
      </c>
      <c r="C89" s="5">
        <v>10</v>
      </c>
      <c r="D89" s="9" t="s">
        <v>13</v>
      </c>
      <c r="E89" s="10">
        <v>165</v>
      </c>
      <c r="F89" s="13">
        <f t="shared" si="1"/>
        <v>1650</v>
      </c>
    </row>
    <row r="90" spans="1:6" x14ac:dyDescent="0.25">
      <c r="B90" s="9"/>
      <c r="D90" s="9"/>
      <c r="F90" s="8">
        <f>SUM(F89)</f>
        <v>1650</v>
      </c>
    </row>
    <row r="91" spans="1:6" x14ac:dyDescent="0.25">
      <c r="B91" s="9"/>
      <c r="D91" s="9"/>
      <c r="F91" s="13"/>
    </row>
    <row r="92" spans="1:6" x14ac:dyDescent="0.25">
      <c r="A92" t="s">
        <v>37</v>
      </c>
      <c r="B92" s="4">
        <v>45964</v>
      </c>
      <c r="C92" s="5">
        <v>20</v>
      </c>
      <c r="D92" s="9" t="s">
        <v>12</v>
      </c>
      <c r="E92" s="10">
        <v>155</v>
      </c>
      <c r="F92" s="13">
        <f t="shared" si="1"/>
        <v>3100</v>
      </c>
    </row>
    <row r="93" spans="1:6" x14ac:dyDescent="0.25">
      <c r="B93" s="9"/>
      <c r="D93" s="9"/>
      <c r="F93" s="8">
        <f>SUM(F92)</f>
        <v>3100</v>
      </c>
    </row>
    <row r="94" spans="1:6" x14ac:dyDescent="0.25">
      <c r="B94" s="9"/>
      <c r="D94" s="9"/>
      <c r="F94" s="13"/>
    </row>
    <row r="95" spans="1:6" x14ac:dyDescent="0.25">
      <c r="A95" t="s">
        <v>923</v>
      </c>
      <c r="B95" s="4">
        <v>45964</v>
      </c>
      <c r="C95" s="5">
        <v>10</v>
      </c>
      <c r="D95" s="9" t="s">
        <v>13</v>
      </c>
      <c r="E95" s="10">
        <v>165</v>
      </c>
      <c r="F95" s="13">
        <f t="shared" si="1"/>
        <v>1650</v>
      </c>
    </row>
    <row r="96" spans="1:6" x14ac:dyDescent="0.25">
      <c r="B96" s="4"/>
      <c r="C96" s="5">
        <v>10</v>
      </c>
      <c r="D96" s="9" t="s">
        <v>22</v>
      </c>
      <c r="E96" s="10">
        <v>150</v>
      </c>
      <c r="F96" s="13">
        <f t="shared" si="1"/>
        <v>1500</v>
      </c>
    </row>
    <row r="97" spans="1:6" x14ac:dyDescent="0.25">
      <c r="B97" s="9"/>
      <c r="C97" s="5">
        <v>10</v>
      </c>
      <c r="D97" s="9" t="s">
        <v>12</v>
      </c>
      <c r="E97" s="10">
        <v>155</v>
      </c>
      <c r="F97" s="13">
        <f t="shared" si="1"/>
        <v>1550</v>
      </c>
    </row>
    <row r="98" spans="1:6" x14ac:dyDescent="0.25">
      <c r="B98" s="9"/>
      <c r="C98" s="5">
        <v>8</v>
      </c>
      <c r="D98" s="9" t="s">
        <v>8</v>
      </c>
      <c r="E98" s="10">
        <v>175</v>
      </c>
      <c r="F98" s="13">
        <f t="shared" si="1"/>
        <v>1400</v>
      </c>
    </row>
    <row r="99" spans="1:6" x14ac:dyDescent="0.25">
      <c r="B99" s="9"/>
      <c r="D99" s="9"/>
      <c r="F99" s="8">
        <f>SUM(F95:F98)</f>
        <v>6100</v>
      </c>
    </row>
    <row r="100" spans="1:6" x14ac:dyDescent="0.25">
      <c r="B100" s="4"/>
      <c r="D100" s="9"/>
      <c r="F100" s="13"/>
    </row>
    <row r="101" spans="1:6" x14ac:dyDescent="0.25">
      <c r="A101" t="s">
        <v>40</v>
      </c>
      <c r="B101" s="4">
        <v>45964</v>
      </c>
      <c r="C101" s="5">
        <v>13</v>
      </c>
      <c r="D101" s="9" t="s">
        <v>13</v>
      </c>
      <c r="E101" s="10">
        <v>165</v>
      </c>
      <c r="F101" s="13">
        <f t="shared" si="1"/>
        <v>2145</v>
      </c>
    </row>
    <row r="102" spans="1:6" x14ac:dyDescent="0.25">
      <c r="B102" s="9"/>
      <c r="C102" s="5">
        <v>10</v>
      </c>
      <c r="D102" s="9" t="s">
        <v>1094</v>
      </c>
      <c r="E102" s="10">
        <v>175</v>
      </c>
      <c r="F102" s="13">
        <f t="shared" si="1"/>
        <v>1750</v>
      </c>
    </row>
    <row r="103" spans="1:6" x14ac:dyDescent="0.25">
      <c r="B103" s="4"/>
      <c r="D103" s="9"/>
      <c r="F103" s="8">
        <f>SUM(F101:F102)</f>
        <v>3895</v>
      </c>
    </row>
    <row r="104" spans="1:6" x14ac:dyDescent="0.25">
      <c r="B104" s="9"/>
      <c r="D104" s="9"/>
      <c r="F104" s="13"/>
    </row>
    <row r="105" spans="1:6" x14ac:dyDescent="0.25">
      <c r="A105" t="s">
        <v>17</v>
      </c>
      <c r="B105" s="4">
        <v>45964</v>
      </c>
      <c r="C105" s="5">
        <v>10</v>
      </c>
      <c r="D105" s="9" t="s">
        <v>13</v>
      </c>
      <c r="E105" s="10">
        <v>165</v>
      </c>
      <c r="F105" s="13">
        <f t="shared" si="1"/>
        <v>1650</v>
      </c>
    </row>
    <row r="106" spans="1:6" x14ac:dyDescent="0.25">
      <c r="B106" s="4"/>
      <c r="D106" s="9"/>
      <c r="F106" s="8">
        <f>SUM(F105)</f>
        <v>1650</v>
      </c>
    </row>
    <row r="107" spans="1:6" x14ac:dyDescent="0.25">
      <c r="B107" s="9"/>
      <c r="D107" s="9"/>
      <c r="F107" s="13"/>
    </row>
    <row r="108" spans="1:6" x14ac:dyDescent="0.25">
      <c r="A108" t="s">
        <v>1095</v>
      </c>
      <c r="B108" s="4">
        <v>45964</v>
      </c>
      <c r="C108" s="5">
        <v>10</v>
      </c>
      <c r="D108" s="9" t="s">
        <v>14</v>
      </c>
      <c r="E108" s="10">
        <v>165</v>
      </c>
      <c r="F108" s="13">
        <f t="shared" si="1"/>
        <v>1650</v>
      </c>
    </row>
    <row r="109" spans="1:6" x14ac:dyDescent="0.25">
      <c r="B109" s="9"/>
      <c r="D109" s="9"/>
      <c r="F109" s="8">
        <f>SUM(F108)</f>
        <v>1650</v>
      </c>
    </row>
    <row r="110" spans="1:6" x14ac:dyDescent="0.25">
      <c r="B110" s="9"/>
      <c r="D110" s="9"/>
      <c r="F110" s="13"/>
    </row>
    <row r="111" spans="1:6" x14ac:dyDescent="0.25">
      <c r="A111" t="s">
        <v>41</v>
      </c>
      <c r="B111" s="4">
        <v>45964</v>
      </c>
      <c r="C111" s="5">
        <v>37</v>
      </c>
      <c r="D111" s="9" t="s">
        <v>14</v>
      </c>
      <c r="E111" s="10">
        <v>145</v>
      </c>
      <c r="F111" s="13">
        <f t="shared" si="1"/>
        <v>5365</v>
      </c>
    </row>
    <row r="112" spans="1:6" x14ac:dyDescent="0.25">
      <c r="B112" s="9"/>
      <c r="D112" s="9"/>
      <c r="F112" s="8">
        <f>SUM(F111)</f>
        <v>5365</v>
      </c>
    </row>
    <row r="113" spans="1:6" x14ac:dyDescent="0.25">
      <c r="B113" s="4"/>
      <c r="D113" s="9"/>
      <c r="F113" s="13"/>
    </row>
    <row r="114" spans="1:6" x14ac:dyDescent="0.25">
      <c r="A114" t="s">
        <v>43</v>
      </c>
      <c r="B114" s="4">
        <v>45964</v>
      </c>
      <c r="C114" s="5">
        <v>20</v>
      </c>
      <c r="D114" s="20" t="s">
        <v>14</v>
      </c>
      <c r="E114" s="10">
        <v>165</v>
      </c>
      <c r="F114" s="13">
        <f t="shared" si="1"/>
        <v>3300</v>
      </c>
    </row>
    <row r="115" spans="1:6" x14ac:dyDescent="0.25">
      <c r="B115" s="9"/>
      <c r="D115" s="9"/>
      <c r="F115" s="8">
        <f>SUM(F114)</f>
        <v>3300</v>
      </c>
    </row>
    <row r="116" spans="1:6" x14ac:dyDescent="0.25">
      <c r="B116" s="9"/>
      <c r="D116" s="9"/>
      <c r="F116" s="13"/>
    </row>
    <row r="117" spans="1:6" x14ac:dyDescent="0.25">
      <c r="A117" t="s">
        <v>42</v>
      </c>
      <c r="B117" s="4">
        <v>45964</v>
      </c>
      <c r="C117" s="5">
        <v>10</v>
      </c>
      <c r="D117" s="20" t="s">
        <v>14</v>
      </c>
      <c r="E117" s="10">
        <v>165</v>
      </c>
      <c r="F117" s="13">
        <f t="shared" si="1"/>
        <v>1650</v>
      </c>
    </row>
    <row r="118" spans="1:6" x14ac:dyDescent="0.25">
      <c r="B118" s="9"/>
      <c r="D118" s="9"/>
      <c r="F118" s="8">
        <f>SUM(F117)</f>
        <v>1650</v>
      </c>
    </row>
    <row r="119" spans="1:6" x14ac:dyDescent="0.25">
      <c r="B119" s="9"/>
      <c r="D119" s="9"/>
      <c r="F119" s="13"/>
    </row>
    <row r="120" spans="1:6" x14ac:dyDescent="0.25">
      <c r="A120" t="s">
        <v>44</v>
      </c>
      <c r="B120" s="4">
        <v>45964</v>
      </c>
      <c r="C120" s="5">
        <v>80</v>
      </c>
      <c r="D120" s="20" t="s">
        <v>14</v>
      </c>
      <c r="E120" s="10">
        <v>160</v>
      </c>
      <c r="F120" s="13">
        <f t="shared" si="1"/>
        <v>12800</v>
      </c>
    </row>
    <row r="121" spans="1:6" x14ac:dyDescent="0.25">
      <c r="B121" s="4"/>
      <c r="D121" s="9"/>
      <c r="F121" s="8">
        <f>SUM(F120)</f>
        <v>12800</v>
      </c>
    </row>
    <row r="122" spans="1:6" x14ac:dyDescent="0.25">
      <c r="B122" s="9"/>
      <c r="D122" s="9"/>
      <c r="F122" s="13"/>
    </row>
    <row r="123" spans="1:6" x14ac:dyDescent="0.25">
      <c r="A123" t="s">
        <v>18</v>
      </c>
      <c r="B123" s="4">
        <v>45964</v>
      </c>
      <c r="C123" s="5">
        <v>28</v>
      </c>
      <c r="D123" s="9" t="s">
        <v>11</v>
      </c>
      <c r="E123" s="10">
        <v>155</v>
      </c>
      <c r="F123" s="13">
        <f t="shared" si="1"/>
        <v>4340</v>
      </c>
    </row>
    <row r="124" spans="1:6" x14ac:dyDescent="0.25">
      <c r="B124" s="9"/>
      <c r="C124" s="5">
        <v>20</v>
      </c>
      <c r="D124" s="9" t="s">
        <v>1096</v>
      </c>
      <c r="E124" s="10">
        <v>165</v>
      </c>
      <c r="F124" s="13">
        <f t="shared" si="1"/>
        <v>3300</v>
      </c>
    </row>
    <row r="125" spans="1:6" x14ac:dyDescent="0.25">
      <c r="B125" s="9"/>
      <c r="D125" s="9"/>
      <c r="F125" s="8">
        <f>SUM(F123:F124)</f>
        <v>7640</v>
      </c>
    </row>
    <row r="126" spans="1:6" x14ac:dyDescent="0.25">
      <c r="B126" s="9"/>
      <c r="D126" s="9"/>
      <c r="F126" s="13"/>
    </row>
    <row r="127" spans="1:6" x14ac:dyDescent="0.25">
      <c r="A127" t="s">
        <v>47</v>
      </c>
      <c r="B127" s="4">
        <v>45964</v>
      </c>
      <c r="C127" s="5">
        <v>20</v>
      </c>
      <c r="D127" s="9" t="s">
        <v>1096</v>
      </c>
      <c r="E127" s="10">
        <v>165</v>
      </c>
      <c r="F127" s="13">
        <f t="shared" si="1"/>
        <v>3300</v>
      </c>
    </row>
    <row r="128" spans="1:6" x14ac:dyDescent="0.25">
      <c r="B128" s="9"/>
      <c r="D128" s="9"/>
      <c r="F128" s="8">
        <f>SUM(F127)</f>
        <v>3300</v>
      </c>
    </row>
    <row r="129" spans="1:6" x14ac:dyDescent="0.25">
      <c r="B129" s="9"/>
      <c r="D129" s="9"/>
      <c r="F129" s="13"/>
    </row>
    <row r="130" spans="1:6" x14ac:dyDescent="0.25">
      <c r="A130" t="s">
        <v>46</v>
      </c>
      <c r="B130" s="4">
        <v>45964</v>
      </c>
      <c r="C130" s="5">
        <v>14</v>
      </c>
      <c r="D130" s="9" t="s">
        <v>1096</v>
      </c>
      <c r="E130" s="10">
        <v>165</v>
      </c>
      <c r="F130" s="13">
        <f t="shared" si="1"/>
        <v>2310</v>
      </c>
    </row>
    <row r="131" spans="1:6" x14ac:dyDescent="0.25">
      <c r="B131" s="9"/>
      <c r="D131" s="9"/>
      <c r="F131" s="8">
        <f>SUM(F130)</f>
        <v>2310</v>
      </c>
    </row>
    <row r="132" spans="1:6" x14ac:dyDescent="0.25">
      <c r="B132" s="9"/>
      <c r="D132" s="9"/>
      <c r="F132" s="13"/>
    </row>
    <row r="133" spans="1:6" x14ac:dyDescent="0.25">
      <c r="A133" t="s">
        <v>1097</v>
      </c>
      <c r="B133" s="4">
        <v>45964</v>
      </c>
      <c r="C133" s="5">
        <v>130</v>
      </c>
      <c r="D133" s="9" t="s">
        <v>14</v>
      </c>
      <c r="F133" s="13">
        <f t="shared" ref="F133:F194" si="2">+C133*E133</f>
        <v>0</v>
      </c>
    </row>
    <row r="134" spans="1:6" x14ac:dyDescent="0.25">
      <c r="B134" s="9"/>
      <c r="C134" s="5">
        <v>70</v>
      </c>
      <c r="D134" s="9" t="s">
        <v>11</v>
      </c>
      <c r="F134" s="13">
        <f t="shared" si="2"/>
        <v>0</v>
      </c>
    </row>
    <row r="135" spans="1:6" x14ac:dyDescent="0.25">
      <c r="B135" s="9"/>
      <c r="D135" s="9"/>
      <c r="F135" s="8">
        <f>SUM(F133:F134)</f>
        <v>0</v>
      </c>
    </row>
    <row r="136" spans="1:6" x14ac:dyDescent="0.25">
      <c r="B136" s="4"/>
      <c r="D136" s="9"/>
      <c r="F136" s="13"/>
    </row>
    <row r="137" spans="1:6" x14ac:dyDescent="0.25">
      <c r="A137" t="s">
        <v>48</v>
      </c>
      <c r="B137" s="4">
        <v>45964</v>
      </c>
      <c r="C137" s="5">
        <v>240</v>
      </c>
      <c r="D137" s="9" t="s">
        <v>14</v>
      </c>
      <c r="F137" s="13">
        <f t="shared" si="2"/>
        <v>0</v>
      </c>
    </row>
    <row r="138" spans="1:6" x14ac:dyDescent="0.25">
      <c r="B138" s="9"/>
      <c r="C138" s="5">
        <v>60</v>
      </c>
      <c r="D138" s="9" t="s">
        <v>11</v>
      </c>
      <c r="F138" s="13">
        <f t="shared" si="2"/>
        <v>0</v>
      </c>
    </row>
    <row r="139" spans="1:6" x14ac:dyDescent="0.25">
      <c r="B139" s="4"/>
      <c r="D139" s="9"/>
      <c r="F139" s="8">
        <f>SUM(F137:F138)</f>
        <v>0</v>
      </c>
    </row>
    <row r="140" spans="1:6" x14ac:dyDescent="0.25">
      <c r="B140" s="9"/>
      <c r="D140" s="9"/>
      <c r="F140" s="13"/>
    </row>
    <row r="141" spans="1:6" x14ac:dyDescent="0.25">
      <c r="A141" t="s">
        <v>610</v>
      </c>
      <c r="B141" s="4">
        <v>45964</v>
      </c>
      <c r="C141" s="5">
        <v>5</v>
      </c>
      <c r="D141" s="9" t="s">
        <v>13</v>
      </c>
      <c r="E141" s="10">
        <v>170</v>
      </c>
      <c r="F141" s="13">
        <f t="shared" si="2"/>
        <v>850</v>
      </c>
    </row>
    <row r="142" spans="1:6" x14ac:dyDescent="0.25">
      <c r="B142" s="4"/>
      <c r="C142" s="5">
        <v>12</v>
      </c>
      <c r="D142" s="9" t="s">
        <v>14</v>
      </c>
      <c r="E142" s="10">
        <v>170</v>
      </c>
      <c r="F142" s="13">
        <f t="shared" si="2"/>
        <v>2040</v>
      </c>
    </row>
    <row r="143" spans="1:6" x14ac:dyDescent="0.25">
      <c r="B143" s="9"/>
      <c r="D143" s="9"/>
      <c r="F143" s="8">
        <f>SUM(F141:F142)</f>
        <v>2890</v>
      </c>
    </row>
    <row r="144" spans="1:6" x14ac:dyDescent="0.25">
      <c r="B144" s="9"/>
      <c r="D144" s="9"/>
      <c r="F144" s="13"/>
    </row>
    <row r="145" spans="1:6" x14ac:dyDescent="0.25">
      <c r="A145" t="s">
        <v>26</v>
      </c>
      <c r="B145" s="4">
        <v>45964</v>
      </c>
      <c r="C145" s="5">
        <v>30</v>
      </c>
      <c r="D145" s="9" t="s">
        <v>14</v>
      </c>
      <c r="E145" s="10">
        <v>155</v>
      </c>
      <c r="F145" s="13">
        <f t="shared" si="2"/>
        <v>4650</v>
      </c>
    </row>
    <row r="146" spans="1:6" x14ac:dyDescent="0.25">
      <c r="B146" s="9"/>
      <c r="D146" s="9"/>
      <c r="F146" s="8">
        <f>SUM(F145)</f>
        <v>4650</v>
      </c>
    </row>
    <row r="147" spans="1:6" x14ac:dyDescent="0.25">
      <c r="B147" s="9"/>
      <c r="D147" s="9"/>
      <c r="F147" s="13"/>
    </row>
    <row r="148" spans="1:6" x14ac:dyDescent="0.25">
      <c r="A148" t="s">
        <v>117</v>
      </c>
      <c r="B148" s="4">
        <v>45964</v>
      </c>
      <c r="C148" s="5">
        <v>5</v>
      </c>
      <c r="D148" s="9" t="s">
        <v>13</v>
      </c>
      <c r="E148" s="10">
        <v>170</v>
      </c>
      <c r="F148" s="13">
        <f t="shared" si="2"/>
        <v>850</v>
      </c>
    </row>
    <row r="149" spans="1:6" x14ac:dyDescent="0.25">
      <c r="B149" s="9"/>
      <c r="D149" s="9"/>
      <c r="F149" s="8">
        <f>SUM(F148)</f>
        <v>850</v>
      </c>
    </row>
    <row r="150" spans="1:6" x14ac:dyDescent="0.25">
      <c r="B150" s="9"/>
      <c r="D150" s="9"/>
      <c r="F150" s="13"/>
    </row>
    <row r="151" spans="1:6" x14ac:dyDescent="0.25">
      <c r="A151" t="s">
        <v>61</v>
      </c>
      <c r="B151" s="4">
        <v>45964</v>
      </c>
      <c r="C151" s="5">
        <v>20</v>
      </c>
      <c r="D151" s="9" t="s">
        <v>13</v>
      </c>
      <c r="E151" s="10">
        <v>165</v>
      </c>
      <c r="F151" s="13">
        <f t="shared" si="2"/>
        <v>3300</v>
      </c>
    </row>
    <row r="152" spans="1:6" x14ac:dyDescent="0.25">
      <c r="B152" s="9"/>
      <c r="D152" s="9"/>
      <c r="F152" s="8">
        <f>SUM(F151)</f>
        <v>3300</v>
      </c>
    </row>
    <row r="153" spans="1:6" x14ac:dyDescent="0.25">
      <c r="B153" s="9"/>
      <c r="D153" s="9"/>
      <c r="F153" s="13"/>
    </row>
    <row r="154" spans="1:6" x14ac:dyDescent="0.25">
      <c r="A154" t="s">
        <v>112</v>
      </c>
      <c r="B154" s="4">
        <v>45964</v>
      </c>
      <c r="C154" s="5">
        <v>20</v>
      </c>
      <c r="D154" s="9" t="s">
        <v>22</v>
      </c>
      <c r="E154" s="10">
        <v>145</v>
      </c>
      <c r="F154" s="13">
        <f t="shared" si="2"/>
        <v>2900</v>
      </c>
    </row>
    <row r="155" spans="1:6" x14ac:dyDescent="0.25">
      <c r="B155" s="9"/>
      <c r="C155" s="5">
        <v>20</v>
      </c>
      <c r="D155" s="9" t="s">
        <v>489</v>
      </c>
      <c r="E155" s="10">
        <v>145</v>
      </c>
      <c r="F155" s="13">
        <f t="shared" si="2"/>
        <v>2900</v>
      </c>
    </row>
    <row r="156" spans="1:6" x14ac:dyDescent="0.25">
      <c r="B156" s="9"/>
      <c r="C156" s="5">
        <v>50</v>
      </c>
      <c r="D156" s="9" t="s">
        <v>12</v>
      </c>
      <c r="E156" s="10">
        <v>155</v>
      </c>
      <c r="F156" s="13">
        <f t="shared" si="2"/>
        <v>7750</v>
      </c>
    </row>
    <row r="157" spans="1:6" x14ac:dyDescent="0.25">
      <c r="B157" s="9"/>
      <c r="C157" s="5">
        <v>20</v>
      </c>
      <c r="D157" s="9" t="s">
        <v>14</v>
      </c>
      <c r="E157" s="10">
        <v>160</v>
      </c>
      <c r="F157" s="13">
        <f t="shared" si="2"/>
        <v>3200</v>
      </c>
    </row>
    <row r="158" spans="1:6" x14ac:dyDescent="0.25">
      <c r="B158" s="9"/>
      <c r="C158" s="5">
        <v>20</v>
      </c>
      <c r="D158" s="9" t="s">
        <v>11</v>
      </c>
      <c r="E158" s="10">
        <v>155</v>
      </c>
      <c r="F158" s="13">
        <f t="shared" si="2"/>
        <v>3100</v>
      </c>
    </row>
    <row r="159" spans="1:6" x14ac:dyDescent="0.25">
      <c r="B159" s="9"/>
      <c r="C159" s="5">
        <v>30</v>
      </c>
      <c r="D159" s="9" t="s">
        <v>13</v>
      </c>
      <c r="E159" s="10">
        <v>160</v>
      </c>
      <c r="F159" s="13">
        <f t="shared" si="2"/>
        <v>4800</v>
      </c>
    </row>
    <row r="160" spans="1:6" x14ac:dyDescent="0.25">
      <c r="B160" s="9"/>
      <c r="D160" s="9"/>
      <c r="F160" s="8">
        <f>SUM(F154:F159)</f>
        <v>24650</v>
      </c>
    </row>
    <row r="161" spans="1:6" x14ac:dyDescent="0.25">
      <c r="B161" s="4"/>
      <c r="D161" s="9"/>
      <c r="F161" s="13"/>
    </row>
    <row r="162" spans="1:6" x14ac:dyDescent="0.25">
      <c r="A162" t="s">
        <v>101</v>
      </c>
      <c r="B162" s="4">
        <v>45964</v>
      </c>
      <c r="C162" s="11">
        <v>0.5</v>
      </c>
      <c r="D162" s="9" t="s">
        <v>1098</v>
      </c>
      <c r="E162" s="10">
        <v>160</v>
      </c>
      <c r="F162" s="13">
        <f t="shared" si="2"/>
        <v>80</v>
      </c>
    </row>
    <row r="163" spans="1:6" x14ac:dyDescent="0.25">
      <c r="B163" s="9"/>
      <c r="C163" s="5">
        <v>3</v>
      </c>
      <c r="D163" s="9" t="s">
        <v>22</v>
      </c>
      <c r="E163" s="10">
        <v>140</v>
      </c>
      <c r="F163" s="13">
        <f t="shared" si="2"/>
        <v>420</v>
      </c>
    </row>
    <row r="164" spans="1:6" x14ac:dyDescent="0.25">
      <c r="B164" s="4"/>
      <c r="C164" s="5">
        <v>1</v>
      </c>
      <c r="D164" s="9" t="s">
        <v>13</v>
      </c>
      <c r="E164" s="10">
        <v>170</v>
      </c>
      <c r="F164" s="13">
        <f t="shared" si="2"/>
        <v>170</v>
      </c>
    </row>
    <row r="165" spans="1:6" x14ac:dyDescent="0.25">
      <c r="B165" s="9"/>
      <c r="D165" s="9"/>
      <c r="F165" s="8">
        <f>SUM(F162:F164)</f>
        <v>670</v>
      </c>
    </row>
    <row r="166" spans="1:6" x14ac:dyDescent="0.25">
      <c r="B166" s="9"/>
      <c r="D166" s="9"/>
      <c r="F166" s="13"/>
    </row>
    <row r="167" spans="1:6" x14ac:dyDescent="0.25">
      <c r="A167" t="s">
        <v>181</v>
      </c>
      <c r="B167" s="4">
        <v>45964</v>
      </c>
      <c r="C167" s="5">
        <v>2</v>
      </c>
      <c r="D167" s="9" t="s">
        <v>8</v>
      </c>
      <c r="E167" s="10">
        <v>180</v>
      </c>
      <c r="F167" s="13">
        <f t="shared" si="2"/>
        <v>360</v>
      </c>
    </row>
    <row r="168" spans="1:6" x14ac:dyDescent="0.25">
      <c r="B168" s="9"/>
      <c r="C168" s="5">
        <v>1</v>
      </c>
      <c r="D168" s="9" t="s">
        <v>12</v>
      </c>
      <c r="E168" s="10">
        <v>160</v>
      </c>
      <c r="F168" s="13">
        <f t="shared" si="2"/>
        <v>160</v>
      </c>
    </row>
    <row r="169" spans="1:6" x14ac:dyDescent="0.25">
      <c r="B169" s="9"/>
      <c r="C169" s="5">
        <v>12</v>
      </c>
      <c r="D169" s="9" t="s">
        <v>161</v>
      </c>
      <c r="E169" s="10">
        <v>145</v>
      </c>
      <c r="F169" s="13">
        <f t="shared" si="2"/>
        <v>1740</v>
      </c>
    </row>
    <row r="170" spans="1:6" x14ac:dyDescent="0.25">
      <c r="B170" s="4"/>
      <c r="C170" s="5">
        <v>2</v>
      </c>
      <c r="D170" s="9" t="s">
        <v>8</v>
      </c>
      <c r="E170" s="10">
        <v>180</v>
      </c>
      <c r="F170" s="13">
        <f t="shared" si="2"/>
        <v>360</v>
      </c>
    </row>
    <row r="171" spans="1:6" x14ac:dyDescent="0.25">
      <c r="B171" s="9"/>
      <c r="C171" s="5">
        <v>3</v>
      </c>
      <c r="D171" s="9" t="s">
        <v>13</v>
      </c>
      <c r="E171" s="10">
        <v>170</v>
      </c>
      <c r="F171" s="13">
        <f t="shared" si="2"/>
        <v>510</v>
      </c>
    </row>
    <row r="172" spans="1:6" x14ac:dyDescent="0.25">
      <c r="B172" s="9"/>
      <c r="C172" s="11">
        <v>1.5</v>
      </c>
      <c r="D172" s="9" t="s">
        <v>12</v>
      </c>
      <c r="E172" s="10">
        <v>160</v>
      </c>
      <c r="F172" s="13">
        <f t="shared" si="2"/>
        <v>240</v>
      </c>
    </row>
    <row r="173" spans="1:6" x14ac:dyDescent="0.25">
      <c r="B173" s="9"/>
      <c r="C173" s="5">
        <v>5</v>
      </c>
      <c r="D173" s="9" t="s">
        <v>12</v>
      </c>
      <c r="E173" s="10">
        <v>160</v>
      </c>
      <c r="F173" s="13">
        <f t="shared" si="2"/>
        <v>800</v>
      </c>
    </row>
    <row r="174" spans="1:6" x14ac:dyDescent="0.25">
      <c r="B174" s="9"/>
      <c r="C174" s="5">
        <v>1</v>
      </c>
      <c r="D174" s="9" t="s">
        <v>13</v>
      </c>
      <c r="E174" s="10">
        <v>170</v>
      </c>
      <c r="F174" s="13">
        <f t="shared" si="2"/>
        <v>170</v>
      </c>
    </row>
    <row r="175" spans="1:6" x14ac:dyDescent="0.25">
      <c r="B175" s="9"/>
      <c r="C175" s="5">
        <v>10</v>
      </c>
      <c r="D175" s="9" t="s">
        <v>14</v>
      </c>
      <c r="E175" s="10">
        <v>165</v>
      </c>
      <c r="F175" s="13">
        <f t="shared" si="2"/>
        <v>1650</v>
      </c>
    </row>
    <row r="176" spans="1:6" x14ac:dyDescent="0.25">
      <c r="B176" s="9"/>
      <c r="D176" s="9"/>
      <c r="F176" s="8">
        <f>SUM(F167:F175)</f>
        <v>5990</v>
      </c>
    </row>
    <row r="177" spans="1:6" x14ac:dyDescent="0.25">
      <c r="B177" s="4"/>
      <c r="D177" s="9"/>
      <c r="F177" s="13"/>
    </row>
    <row r="178" spans="1:6" x14ac:dyDescent="0.25">
      <c r="A178" t="s">
        <v>140</v>
      </c>
      <c r="B178" s="4">
        <v>45965</v>
      </c>
      <c r="C178" s="5">
        <v>250</v>
      </c>
      <c r="D178" s="9" t="s">
        <v>8</v>
      </c>
      <c r="E178" s="10">
        <v>168</v>
      </c>
      <c r="F178" s="13">
        <f t="shared" si="2"/>
        <v>42000</v>
      </c>
    </row>
    <row r="179" spans="1:6" x14ac:dyDescent="0.25">
      <c r="B179" s="9"/>
      <c r="C179" s="5">
        <v>150</v>
      </c>
      <c r="D179" s="9" t="s">
        <v>13</v>
      </c>
      <c r="E179" s="10">
        <v>163</v>
      </c>
      <c r="F179" s="13">
        <f t="shared" si="2"/>
        <v>24450</v>
      </c>
    </row>
    <row r="180" spans="1:6" x14ac:dyDescent="0.25">
      <c r="B180" s="9"/>
      <c r="C180" s="5">
        <v>50</v>
      </c>
      <c r="D180" s="9" t="s">
        <v>11</v>
      </c>
      <c r="E180" s="10">
        <v>160</v>
      </c>
      <c r="F180" s="13">
        <f t="shared" si="2"/>
        <v>8000</v>
      </c>
    </row>
    <row r="181" spans="1:6" x14ac:dyDescent="0.25">
      <c r="B181" s="9"/>
      <c r="D181" s="9"/>
      <c r="F181" s="8">
        <f>SUM(F178:F180)</f>
        <v>74450</v>
      </c>
    </row>
    <row r="182" spans="1:6" x14ac:dyDescent="0.25">
      <c r="B182" s="4"/>
      <c r="D182" s="9"/>
      <c r="F182" s="13"/>
    </row>
    <row r="183" spans="1:6" x14ac:dyDescent="0.25">
      <c r="A183" t="s">
        <v>1090</v>
      </c>
      <c r="B183" s="4">
        <v>45965</v>
      </c>
      <c r="C183" s="5">
        <v>4</v>
      </c>
      <c r="D183" s="9" t="s">
        <v>13</v>
      </c>
      <c r="E183" s="10">
        <v>170</v>
      </c>
      <c r="F183" s="13">
        <f t="shared" si="2"/>
        <v>680</v>
      </c>
    </row>
    <row r="184" spans="1:6" x14ac:dyDescent="0.25">
      <c r="B184" s="9"/>
      <c r="D184" s="9"/>
      <c r="F184" s="8">
        <f>SUM(F183)</f>
        <v>680</v>
      </c>
    </row>
    <row r="185" spans="1:6" x14ac:dyDescent="0.25">
      <c r="B185" s="4"/>
      <c r="D185" s="9"/>
      <c r="F185" s="13"/>
    </row>
    <row r="186" spans="1:6" x14ac:dyDescent="0.25">
      <c r="A186" t="s">
        <v>40</v>
      </c>
      <c r="B186" s="4">
        <v>45965</v>
      </c>
      <c r="C186" s="5">
        <v>10</v>
      </c>
      <c r="D186" s="9" t="s">
        <v>14</v>
      </c>
      <c r="E186" s="10">
        <v>165</v>
      </c>
      <c r="F186" s="13">
        <f t="shared" si="2"/>
        <v>1650</v>
      </c>
    </row>
    <row r="187" spans="1:6" x14ac:dyDescent="0.25">
      <c r="B187" s="9"/>
      <c r="C187" s="5">
        <v>10</v>
      </c>
      <c r="D187" s="9" t="s">
        <v>12</v>
      </c>
      <c r="E187" s="10">
        <v>160</v>
      </c>
      <c r="F187" s="13">
        <f t="shared" si="2"/>
        <v>1600</v>
      </c>
    </row>
    <row r="188" spans="1:6" x14ac:dyDescent="0.25">
      <c r="B188" s="4"/>
      <c r="C188" s="5">
        <v>10</v>
      </c>
      <c r="D188" s="9" t="s">
        <v>13</v>
      </c>
      <c r="E188" s="10">
        <v>170</v>
      </c>
      <c r="F188" s="13">
        <f t="shared" si="2"/>
        <v>1700</v>
      </c>
    </row>
    <row r="189" spans="1:6" x14ac:dyDescent="0.25">
      <c r="B189" s="9"/>
      <c r="D189" s="9"/>
      <c r="F189" s="8">
        <f>SUM(F186:F188)</f>
        <v>4950</v>
      </c>
    </row>
    <row r="190" spans="1:6" x14ac:dyDescent="0.25">
      <c r="B190" s="9"/>
      <c r="D190" s="9"/>
      <c r="F190" s="13"/>
    </row>
    <row r="191" spans="1:6" x14ac:dyDescent="0.25">
      <c r="A191" t="s">
        <v>58</v>
      </c>
      <c r="B191" s="4">
        <v>45965</v>
      </c>
      <c r="C191" s="5">
        <v>10</v>
      </c>
      <c r="D191" s="9" t="s">
        <v>13</v>
      </c>
      <c r="E191" s="10">
        <v>165</v>
      </c>
      <c r="F191" s="13">
        <f t="shared" si="2"/>
        <v>1650</v>
      </c>
    </row>
    <row r="192" spans="1:6" x14ac:dyDescent="0.25">
      <c r="B192" s="4"/>
      <c r="D192" s="9"/>
      <c r="F192" s="8">
        <f>SUM(F191)</f>
        <v>1650</v>
      </c>
    </row>
    <row r="193" spans="1:6" x14ac:dyDescent="0.25">
      <c r="B193" s="9"/>
      <c r="D193" s="9"/>
      <c r="F193" s="13"/>
    </row>
    <row r="194" spans="1:6" x14ac:dyDescent="0.25">
      <c r="A194" t="s">
        <v>1099</v>
      </c>
      <c r="B194" s="4">
        <v>45965</v>
      </c>
      <c r="C194" s="5">
        <v>8</v>
      </c>
      <c r="D194" s="9" t="s">
        <v>98</v>
      </c>
      <c r="E194" s="10">
        <v>120</v>
      </c>
      <c r="F194" s="13">
        <f t="shared" si="2"/>
        <v>960</v>
      </c>
    </row>
    <row r="195" spans="1:6" x14ac:dyDescent="0.25">
      <c r="B195" s="4"/>
      <c r="D195" s="9"/>
      <c r="F195" s="8">
        <f>SUM(F194)</f>
        <v>960</v>
      </c>
    </row>
    <row r="196" spans="1:6" x14ac:dyDescent="0.25">
      <c r="B196" s="9"/>
      <c r="D196" s="9"/>
      <c r="F196" s="13"/>
    </row>
    <row r="197" spans="1:6" x14ac:dyDescent="0.25">
      <c r="A197" t="s">
        <v>20</v>
      </c>
      <c r="B197" s="4">
        <v>45965</v>
      </c>
      <c r="C197" s="5">
        <v>30</v>
      </c>
      <c r="D197" s="9" t="s">
        <v>8</v>
      </c>
      <c r="E197" s="10">
        <v>175</v>
      </c>
      <c r="F197" s="13">
        <f t="shared" ref="F197:F258" si="3">+C197*E197</f>
        <v>5250</v>
      </c>
    </row>
    <row r="198" spans="1:6" x14ac:dyDescent="0.25">
      <c r="B198" s="4"/>
      <c r="D198" s="9"/>
      <c r="F198" s="8">
        <f>SUM(F197)</f>
        <v>5250</v>
      </c>
    </row>
    <row r="199" spans="1:6" x14ac:dyDescent="0.25">
      <c r="B199" s="9"/>
      <c r="D199" s="9"/>
      <c r="F199" s="13"/>
    </row>
    <row r="200" spans="1:6" x14ac:dyDescent="0.25">
      <c r="A200" t="s">
        <v>21</v>
      </c>
      <c r="B200" s="4">
        <v>45965</v>
      </c>
      <c r="C200" s="5">
        <v>45</v>
      </c>
      <c r="D200" s="9" t="s">
        <v>12</v>
      </c>
      <c r="E200" s="10">
        <v>160</v>
      </c>
      <c r="F200" s="13">
        <f t="shared" si="3"/>
        <v>7200</v>
      </c>
    </row>
    <row r="201" spans="1:6" x14ac:dyDescent="0.25">
      <c r="B201" s="4"/>
      <c r="C201" s="5">
        <v>45</v>
      </c>
      <c r="D201" s="9" t="s">
        <v>13</v>
      </c>
      <c r="E201" s="10">
        <v>170</v>
      </c>
      <c r="F201" s="13">
        <f t="shared" si="3"/>
        <v>7650</v>
      </c>
    </row>
    <row r="202" spans="1:6" x14ac:dyDescent="0.25">
      <c r="B202" s="9"/>
      <c r="C202" s="5">
        <v>10</v>
      </c>
      <c r="D202" s="9" t="s">
        <v>50</v>
      </c>
      <c r="E202" s="10">
        <v>150</v>
      </c>
      <c r="F202" s="13">
        <f t="shared" si="3"/>
        <v>1500</v>
      </c>
    </row>
    <row r="203" spans="1:6" x14ac:dyDescent="0.25">
      <c r="B203" s="9"/>
      <c r="D203" s="9"/>
      <c r="F203" s="8">
        <f>SUM(F200:F202)</f>
        <v>16350</v>
      </c>
    </row>
    <row r="204" spans="1:6" x14ac:dyDescent="0.25">
      <c r="B204" s="4"/>
      <c r="D204" s="9"/>
      <c r="F204" s="13"/>
    </row>
    <row r="205" spans="1:6" x14ac:dyDescent="0.25">
      <c r="A205" t="s">
        <v>1100</v>
      </c>
      <c r="B205" s="4">
        <v>45965</v>
      </c>
      <c r="C205" s="5">
        <v>20</v>
      </c>
      <c r="D205" s="9" t="s">
        <v>13</v>
      </c>
      <c r="E205" s="10">
        <v>170</v>
      </c>
      <c r="F205" s="13">
        <f t="shared" si="3"/>
        <v>3400</v>
      </c>
    </row>
    <row r="206" spans="1:6" x14ac:dyDescent="0.25">
      <c r="B206" s="9"/>
      <c r="C206" s="5">
        <v>15</v>
      </c>
      <c r="D206" s="9" t="s">
        <v>14</v>
      </c>
      <c r="E206" s="10">
        <v>165</v>
      </c>
      <c r="F206" s="13">
        <f t="shared" si="3"/>
        <v>2475</v>
      </c>
    </row>
    <row r="207" spans="1:6" x14ac:dyDescent="0.25">
      <c r="B207" s="4"/>
      <c r="D207" s="9"/>
      <c r="F207" s="8">
        <f>SUM(F205:F206)</f>
        <v>5875</v>
      </c>
    </row>
    <row r="208" spans="1:6" x14ac:dyDescent="0.25">
      <c r="B208" s="9"/>
      <c r="D208" s="9"/>
      <c r="F208" s="13"/>
    </row>
    <row r="209" spans="1:6" x14ac:dyDescent="0.25">
      <c r="A209" t="s">
        <v>21</v>
      </c>
      <c r="B209" s="4">
        <v>45965</v>
      </c>
      <c r="C209" s="5">
        <v>10</v>
      </c>
      <c r="D209" s="9" t="s">
        <v>13</v>
      </c>
      <c r="E209" s="10">
        <v>170</v>
      </c>
      <c r="F209" s="13">
        <f t="shared" si="3"/>
        <v>1700</v>
      </c>
    </row>
    <row r="210" spans="1:6" x14ac:dyDescent="0.25">
      <c r="B210" s="9"/>
      <c r="D210" s="9"/>
      <c r="F210" s="8">
        <f>SUM(F209)</f>
        <v>1700</v>
      </c>
    </row>
    <row r="211" spans="1:6" x14ac:dyDescent="0.25">
      <c r="B211" s="9"/>
      <c r="D211" s="9"/>
      <c r="F211" s="13"/>
    </row>
    <row r="212" spans="1:6" x14ac:dyDescent="0.25">
      <c r="A212" t="s">
        <v>1017</v>
      </c>
      <c r="B212" s="4">
        <v>45965</v>
      </c>
      <c r="C212" s="5">
        <v>20</v>
      </c>
      <c r="D212" s="9" t="s">
        <v>12</v>
      </c>
      <c r="E212" s="10">
        <v>160</v>
      </c>
      <c r="F212" s="13">
        <f t="shared" si="3"/>
        <v>3200</v>
      </c>
    </row>
    <row r="213" spans="1:6" x14ac:dyDescent="0.25">
      <c r="B213" s="4"/>
      <c r="C213" s="5">
        <v>15</v>
      </c>
      <c r="D213" s="9" t="s">
        <v>22</v>
      </c>
      <c r="E213" s="10">
        <v>155</v>
      </c>
      <c r="F213" s="13">
        <f t="shared" si="3"/>
        <v>2325</v>
      </c>
    </row>
    <row r="214" spans="1:6" x14ac:dyDescent="0.25">
      <c r="B214" s="9"/>
      <c r="C214" s="5">
        <v>15</v>
      </c>
      <c r="D214" s="9" t="s">
        <v>8</v>
      </c>
      <c r="E214" s="10">
        <v>175</v>
      </c>
      <c r="F214" s="13">
        <f t="shared" si="3"/>
        <v>2625</v>
      </c>
    </row>
    <row r="215" spans="1:6" x14ac:dyDescent="0.25">
      <c r="B215" s="9"/>
      <c r="C215" s="5">
        <v>15</v>
      </c>
      <c r="D215" s="9" t="s">
        <v>13</v>
      </c>
      <c r="E215" s="10">
        <v>170</v>
      </c>
      <c r="F215" s="13">
        <f t="shared" si="3"/>
        <v>2550</v>
      </c>
    </row>
    <row r="216" spans="1:6" x14ac:dyDescent="0.25">
      <c r="B216" s="4"/>
      <c r="D216" s="9"/>
      <c r="F216" s="8">
        <f>SUM(F212:F215)</f>
        <v>10700</v>
      </c>
    </row>
    <row r="217" spans="1:6" x14ac:dyDescent="0.25">
      <c r="B217" s="9"/>
      <c r="D217" s="9"/>
      <c r="F217" s="13"/>
    </row>
    <row r="218" spans="1:6" x14ac:dyDescent="0.25">
      <c r="A218" t="s">
        <v>65</v>
      </c>
      <c r="B218" s="29">
        <v>45965</v>
      </c>
      <c r="C218" s="5">
        <v>300</v>
      </c>
      <c r="D218" s="9" t="s">
        <v>12</v>
      </c>
      <c r="E218" s="10">
        <v>155</v>
      </c>
      <c r="F218" s="13">
        <f t="shared" si="3"/>
        <v>46500</v>
      </c>
    </row>
    <row r="219" spans="1:6" x14ac:dyDescent="0.25">
      <c r="B219" s="4"/>
      <c r="C219" s="5">
        <v>300</v>
      </c>
      <c r="D219" s="9" t="s">
        <v>13</v>
      </c>
      <c r="E219" s="10">
        <v>160</v>
      </c>
      <c r="F219" s="13">
        <f t="shared" si="3"/>
        <v>48000</v>
      </c>
    </row>
    <row r="220" spans="1:6" x14ac:dyDescent="0.25">
      <c r="B220" s="9"/>
      <c r="C220" s="5">
        <v>30</v>
      </c>
      <c r="D220" s="9" t="s">
        <v>1101</v>
      </c>
      <c r="E220" s="10">
        <v>155</v>
      </c>
      <c r="F220" s="13">
        <f t="shared" si="3"/>
        <v>4650</v>
      </c>
    </row>
    <row r="221" spans="1:6" x14ac:dyDescent="0.25">
      <c r="B221" s="9"/>
      <c r="C221" s="5">
        <v>200</v>
      </c>
      <c r="D221" s="9" t="s">
        <v>1102</v>
      </c>
      <c r="E221" s="10">
        <v>160</v>
      </c>
      <c r="F221" s="13">
        <f t="shared" si="3"/>
        <v>32000</v>
      </c>
    </row>
    <row r="222" spans="1:6" x14ac:dyDescent="0.25">
      <c r="B222" s="4"/>
      <c r="D222" s="9"/>
      <c r="F222" s="8">
        <f>SUM(F218:F221)</f>
        <v>131150</v>
      </c>
    </row>
    <row r="223" spans="1:6" x14ac:dyDescent="0.25">
      <c r="B223" s="9"/>
      <c r="D223" s="9"/>
      <c r="F223" s="13"/>
    </row>
    <row r="224" spans="1:6" x14ac:dyDescent="0.25">
      <c r="A224" t="s">
        <v>1103</v>
      </c>
      <c r="B224" s="4">
        <v>45965</v>
      </c>
      <c r="C224" s="5">
        <v>200</v>
      </c>
      <c r="D224" s="9" t="s">
        <v>13</v>
      </c>
      <c r="E224" s="10">
        <v>160</v>
      </c>
      <c r="F224" s="13">
        <f t="shared" si="3"/>
        <v>32000</v>
      </c>
    </row>
    <row r="225" spans="1:6" x14ac:dyDescent="0.25">
      <c r="B225" s="4"/>
      <c r="C225" s="5">
        <v>170</v>
      </c>
      <c r="D225" s="9" t="s">
        <v>12</v>
      </c>
      <c r="E225" s="10">
        <v>155</v>
      </c>
      <c r="F225" s="13">
        <f t="shared" si="3"/>
        <v>26350</v>
      </c>
    </row>
    <row r="226" spans="1:6" x14ac:dyDescent="0.25">
      <c r="B226" s="9"/>
      <c r="C226" s="5">
        <v>25</v>
      </c>
      <c r="D226" s="9" t="s">
        <v>22</v>
      </c>
      <c r="E226" s="10">
        <v>145</v>
      </c>
      <c r="F226" s="13">
        <f t="shared" si="3"/>
        <v>3625</v>
      </c>
    </row>
    <row r="227" spans="1:6" x14ac:dyDescent="0.25">
      <c r="B227" s="9"/>
      <c r="D227" s="9"/>
      <c r="F227" s="8">
        <f>SUM(F224:F226)</f>
        <v>61975</v>
      </c>
    </row>
    <row r="228" spans="1:6" x14ac:dyDescent="0.25">
      <c r="B228" s="4"/>
      <c r="D228" s="9"/>
      <c r="F228" s="13"/>
    </row>
    <row r="229" spans="1:6" x14ac:dyDescent="0.25">
      <c r="A229" t="s">
        <v>66</v>
      </c>
      <c r="B229" s="4">
        <v>45965</v>
      </c>
      <c r="C229" s="5">
        <v>20</v>
      </c>
      <c r="D229" s="9" t="s">
        <v>8</v>
      </c>
      <c r="E229" s="10">
        <v>175</v>
      </c>
      <c r="F229" s="13">
        <f t="shared" si="3"/>
        <v>3500</v>
      </c>
    </row>
    <row r="230" spans="1:6" x14ac:dyDescent="0.25">
      <c r="B230" s="9"/>
      <c r="D230" s="9"/>
      <c r="F230" s="8">
        <f>SUM(F229)</f>
        <v>3500</v>
      </c>
    </row>
    <row r="231" spans="1:6" x14ac:dyDescent="0.25">
      <c r="B231" s="9"/>
      <c r="D231" s="9"/>
      <c r="F231" s="13"/>
    </row>
    <row r="232" spans="1:6" x14ac:dyDescent="0.25">
      <c r="A232" t="s">
        <v>113</v>
      </c>
      <c r="B232" s="4">
        <v>45965</v>
      </c>
      <c r="C232" s="5">
        <v>20</v>
      </c>
      <c r="D232" s="9" t="s">
        <v>8</v>
      </c>
      <c r="E232" s="10">
        <v>175</v>
      </c>
      <c r="F232" s="13">
        <f t="shared" si="3"/>
        <v>3500</v>
      </c>
    </row>
    <row r="233" spans="1:6" x14ac:dyDescent="0.25">
      <c r="B233" s="4"/>
      <c r="D233" s="9"/>
      <c r="F233" s="8">
        <f>SUM(F232)</f>
        <v>3500</v>
      </c>
    </row>
    <row r="234" spans="1:6" x14ac:dyDescent="0.25">
      <c r="B234" s="9"/>
      <c r="D234" s="9"/>
      <c r="F234" s="13"/>
    </row>
    <row r="235" spans="1:6" x14ac:dyDescent="0.25">
      <c r="A235" t="s">
        <v>61</v>
      </c>
      <c r="B235" s="4">
        <v>45965</v>
      </c>
      <c r="C235" s="5">
        <v>30</v>
      </c>
      <c r="D235" s="9" t="s">
        <v>1104</v>
      </c>
      <c r="E235" s="10">
        <v>165</v>
      </c>
      <c r="F235" s="13">
        <f t="shared" si="3"/>
        <v>4950</v>
      </c>
    </row>
    <row r="236" spans="1:6" x14ac:dyDescent="0.25">
      <c r="B236" s="9"/>
      <c r="D236" s="9"/>
      <c r="F236" s="8">
        <f>SUM(F235)</f>
        <v>4950</v>
      </c>
    </row>
    <row r="237" spans="1:6" x14ac:dyDescent="0.25">
      <c r="B237" s="4"/>
      <c r="D237" s="9"/>
      <c r="F237" s="13"/>
    </row>
    <row r="238" spans="1:6" x14ac:dyDescent="0.25">
      <c r="A238" t="s">
        <v>112</v>
      </c>
      <c r="B238" s="4">
        <v>45965</v>
      </c>
      <c r="C238" s="5">
        <v>20</v>
      </c>
      <c r="D238" s="9" t="s">
        <v>14</v>
      </c>
      <c r="E238" s="10">
        <v>160</v>
      </c>
      <c r="F238" s="13">
        <f t="shared" si="3"/>
        <v>3200</v>
      </c>
    </row>
    <row r="239" spans="1:6" x14ac:dyDescent="0.25">
      <c r="B239" s="9"/>
      <c r="C239" s="5">
        <v>20</v>
      </c>
      <c r="D239" s="9" t="s">
        <v>11</v>
      </c>
      <c r="E239" s="10">
        <v>155</v>
      </c>
      <c r="F239" s="13">
        <f t="shared" si="3"/>
        <v>3100</v>
      </c>
    </row>
    <row r="240" spans="1:6" x14ac:dyDescent="0.25">
      <c r="B240" s="9"/>
      <c r="C240" s="5">
        <v>10</v>
      </c>
      <c r="D240" s="9" t="s">
        <v>13</v>
      </c>
      <c r="E240" s="10">
        <v>160</v>
      </c>
      <c r="F240" s="13">
        <f t="shared" si="3"/>
        <v>1600</v>
      </c>
    </row>
    <row r="241" spans="1:6" x14ac:dyDescent="0.25">
      <c r="B241" s="4"/>
      <c r="D241" s="9"/>
      <c r="F241" s="8">
        <f>SUM(F238:F240)</f>
        <v>7900</v>
      </c>
    </row>
    <row r="242" spans="1:6" x14ac:dyDescent="0.25">
      <c r="B242" s="9"/>
      <c r="D242" s="9"/>
      <c r="F242" s="13"/>
    </row>
    <row r="243" spans="1:6" x14ac:dyDescent="0.25">
      <c r="A243" t="s">
        <v>292</v>
      </c>
      <c r="B243" s="4">
        <v>45965</v>
      </c>
      <c r="C243" s="5">
        <v>10</v>
      </c>
      <c r="D243" s="9" t="s">
        <v>14</v>
      </c>
      <c r="E243" s="10">
        <v>155</v>
      </c>
      <c r="F243" s="13">
        <f t="shared" si="3"/>
        <v>1550</v>
      </c>
    </row>
    <row r="244" spans="1:6" x14ac:dyDescent="0.25">
      <c r="B244" s="4"/>
      <c r="C244" s="5">
        <v>5</v>
      </c>
      <c r="D244" s="9" t="s">
        <v>11</v>
      </c>
      <c r="E244" s="10">
        <v>150</v>
      </c>
      <c r="F244" s="13">
        <f t="shared" si="3"/>
        <v>750</v>
      </c>
    </row>
    <row r="245" spans="1:6" x14ac:dyDescent="0.25">
      <c r="B245" s="9"/>
      <c r="C245" s="5">
        <v>2</v>
      </c>
      <c r="D245" s="9" t="s">
        <v>8</v>
      </c>
      <c r="E245" s="10">
        <v>165</v>
      </c>
      <c r="F245" s="13">
        <f t="shared" si="3"/>
        <v>330</v>
      </c>
    </row>
    <row r="246" spans="1:6" x14ac:dyDescent="0.25">
      <c r="B246" s="9"/>
      <c r="D246" s="9"/>
      <c r="F246" s="8">
        <f>SUM(F243:F245)</f>
        <v>2630</v>
      </c>
    </row>
    <row r="247" spans="1:6" x14ac:dyDescent="0.25">
      <c r="B247" s="4"/>
      <c r="D247" s="9"/>
      <c r="F247" s="13"/>
    </row>
    <row r="248" spans="1:6" x14ac:dyDescent="0.25">
      <c r="A248" t="s">
        <v>62</v>
      </c>
      <c r="B248" s="4">
        <v>45965</v>
      </c>
      <c r="C248" s="5">
        <v>70</v>
      </c>
      <c r="D248" s="9" t="s">
        <v>8</v>
      </c>
      <c r="E248" s="10">
        <v>165</v>
      </c>
      <c r="F248" s="13">
        <f t="shared" si="3"/>
        <v>11550</v>
      </c>
    </row>
    <row r="249" spans="1:6" x14ac:dyDescent="0.25">
      <c r="B249" s="9"/>
      <c r="D249" s="9"/>
      <c r="F249" s="8">
        <f>SUM(F248)</f>
        <v>11550</v>
      </c>
    </row>
    <row r="250" spans="1:6" x14ac:dyDescent="0.25">
      <c r="B250" s="4"/>
      <c r="D250" s="9"/>
      <c r="F250" s="13"/>
    </row>
    <row r="251" spans="1:6" x14ac:dyDescent="0.25">
      <c r="A251" t="s">
        <v>191</v>
      </c>
      <c r="B251" s="4">
        <v>45965</v>
      </c>
      <c r="C251" s="5">
        <v>100</v>
      </c>
      <c r="D251" s="9" t="s">
        <v>11</v>
      </c>
      <c r="E251" s="10">
        <v>150</v>
      </c>
      <c r="F251" s="13">
        <f t="shared" si="3"/>
        <v>15000</v>
      </c>
    </row>
    <row r="252" spans="1:6" x14ac:dyDescent="0.25">
      <c r="B252" s="9"/>
      <c r="C252" s="5">
        <v>150</v>
      </c>
      <c r="D252" s="9" t="s">
        <v>14</v>
      </c>
      <c r="E252" s="10">
        <v>160</v>
      </c>
      <c r="F252" s="13">
        <f t="shared" si="3"/>
        <v>24000</v>
      </c>
    </row>
    <row r="253" spans="1:6" x14ac:dyDescent="0.25">
      <c r="B253" s="4"/>
      <c r="D253" s="9"/>
      <c r="F253" s="8">
        <f>SUM(F251:F252)</f>
        <v>39000</v>
      </c>
    </row>
    <row r="254" spans="1:6" x14ac:dyDescent="0.25">
      <c r="B254" s="9"/>
      <c r="D254" s="9"/>
      <c r="F254" s="13"/>
    </row>
    <row r="255" spans="1:6" x14ac:dyDescent="0.25">
      <c r="A255" t="s">
        <v>44</v>
      </c>
      <c r="B255" s="4">
        <v>45965</v>
      </c>
      <c r="C255" s="5">
        <v>10</v>
      </c>
      <c r="D255" s="9" t="s">
        <v>8</v>
      </c>
      <c r="E255" s="10">
        <v>175</v>
      </c>
      <c r="F255" s="13">
        <f t="shared" si="3"/>
        <v>1750</v>
      </c>
    </row>
    <row r="256" spans="1:6" x14ac:dyDescent="0.25">
      <c r="B256" s="4"/>
      <c r="D256" s="9"/>
      <c r="F256" s="8">
        <f>SUM(F255)</f>
        <v>1750</v>
      </c>
    </row>
    <row r="257" spans="1:6" x14ac:dyDescent="0.25">
      <c r="B257" s="9"/>
      <c r="D257" s="9"/>
      <c r="F257" s="13"/>
    </row>
    <row r="258" spans="1:6" x14ac:dyDescent="0.25">
      <c r="A258" t="s">
        <v>313</v>
      </c>
      <c r="B258" s="4">
        <v>45965</v>
      </c>
      <c r="C258" s="5">
        <v>5</v>
      </c>
      <c r="D258" s="9" t="s">
        <v>12</v>
      </c>
      <c r="E258" s="10">
        <v>160</v>
      </c>
      <c r="F258" s="13">
        <f t="shared" si="3"/>
        <v>800</v>
      </c>
    </row>
    <row r="259" spans="1:6" x14ac:dyDescent="0.25">
      <c r="B259" s="9"/>
      <c r="D259" s="9"/>
      <c r="F259" s="8">
        <f>SUM(F258)</f>
        <v>800</v>
      </c>
    </row>
    <row r="260" spans="1:6" x14ac:dyDescent="0.25">
      <c r="B260" s="9"/>
      <c r="D260" s="9"/>
      <c r="F260" s="13"/>
    </row>
    <row r="261" spans="1:6" x14ac:dyDescent="0.25">
      <c r="A261" t="s">
        <v>305</v>
      </c>
      <c r="B261" s="4">
        <v>45965</v>
      </c>
      <c r="C261" s="5">
        <v>152</v>
      </c>
      <c r="D261" s="9" t="s">
        <v>49</v>
      </c>
      <c r="E261" s="10">
        <v>165</v>
      </c>
      <c r="F261" s="13">
        <f t="shared" ref="F261:F321" si="4">+C261*E261</f>
        <v>25080</v>
      </c>
    </row>
    <row r="262" spans="1:6" x14ac:dyDescent="0.25">
      <c r="B262" s="9"/>
      <c r="C262" s="5">
        <v>350</v>
      </c>
      <c r="D262" s="9" t="s">
        <v>14</v>
      </c>
      <c r="E262" s="10">
        <v>160</v>
      </c>
      <c r="F262" s="13">
        <f t="shared" si="4"/>
        <v>56000</v>
      </c>
    </row>
    <row r="263" spans="1:6" x14ac:dyDescent="0.25">
      <c r="B263" s="9"/>
      <c r="C263" s="5">
        <v>50</v>
      </c>
      <c r="D263" s="9" t="s">
        <v>1105</v>
      </c>
      <c r="E263" s="10">
        <v>155</v>
      </c>
      <c r="F263" s="13">
        <f t="shared" si="4"/>
        <v>7750</v>
      </c>
    </row>
    <row r="264" spans="1:6" x14ac:dyDescent="0.25">
      <c r="B264" s="4"/>
      <c r="C264" s="5">
        <v>150</v>
      </c>
      <c r="D264" s="9" t="s">
        <v>13</v>
      </c>
      <c r="E264" s="10">
        <v>160</v>
      </c>
      <c r="F264" s="13">
        <f t="shared" si="4"/>
        <v>24000</v>
      </c>
    </row>
    <row r="265" spans="1:6" x14ac:dyDescent="0.25">
      <c r="B265" s="9"/>
      <c r="C265" s="5">
        <v>50</v>
      </c>
      <c r="D265" s="9" t="s">
        <v>22</v>
      </c>
      <c r="E265" s="10">
        <v>145</v>
      </c>
      <c r="F265" s="13">
        <f t="shared" si="4"/>
        <v>7250</v>
      </c>
    </row>
    <row r="266" spans="1:6" x14ac:dyDescent="0.25">
      <c r="B266" s="9"/>
      <c r="D266" s="9"/>
      <c r="F266" s="8">
        <f>SUM(F261:F265)</f>
        <v>120080</v>
      </c>
    </row>
    <row r="267" spans="1:6" x14ac:dyDescent="0.25">
      <c r="B267" s="9"/>
      <c r="D267" s="9"/>
      <c r="F267" s="13"/>
    </row>
    <row r="268" spans="1:6" x14ac:dyDescent="0.25">
      <c r="A268" t="s">
        <v>7</v>
      </c>
      <c r="B268" s="4">
        <v>45965</v>
      </c>
      <c r="C268" s="5">
        <v>1</v>
      </c>
      <c r="D268" s="9" t="s">
        <v>14</v>
      </c>
      <c r="E268" s="10">
        <v>170</v>
      </c>
      <c r="F268" s="13">
        <f t="shared" si="4"/>
        <v>170</v>
      </c>
    </row>
    <row r="269" spans="1:6" x14ac:dyDescent="0.25">
      <c r="B269" s="4"/>
      <c r="C269" s="5">
        <v>1</v>
      </c>
      <c r="D269" s="9" t="s">
        <v>12</v>
      </c>
      <c r="E269" s="10">
        <v>160</v>
      </c>
      <c r="F269" s="13">
        <f t="shared" si="4"/>
        <v>160</v>
      </c>
    </row>
    <row r="270" spans="1:6" x14ac:dyDescent="0.25">
      <c r="B270" s="9"/>
      <c r="D270" s="9"/>
      <c r="F270" s="8">
        <f>SUM(F268:F269)</f>
        <v>330</v>
      </c>
    </row>
    <row r="271" spans="1:6" x14ac:dyDescent="0.25">
      <c r="B271" s="9"/>
      <c r="D271" s="9"/>
      <c r="F271" s="13"/>
    </row>
    <row r="272" spans="1:6" x14ac:dyDescent="0.25">
      <c r="A272" t="s">
        <v>107</v>
      </c>
      <c r="B272" s="4">
        <v>45966</v>
      </c>
      <c r="C272" s="5">
        <v>15</v>
      </c>
      <c r="D272" s="9" t="s">
        <v>14</v>
      </c>
      <c r="E272" s="10">
        <v>155</v>
      </c>
      <c r="F272" s="13">
        <f t="shared" si="4"/>
        <v>2325</v>
      </c>
    </row>
    <row r="273" spans="1:6" x14ac:dyDescent="0.25">
      <c r="B273" s="9"/>
      <c r="C273" s="5">
        <v>49</v>
      </c>
      <c r="D273" s="9" t="s">
        <v>11</v>
      </c>
      <c r="E273" s="10">
        <v>155</v>
      </c>
      <c r="F273" s="13">
        <f t="shared" si="4"/>
        <v>7595</v>
      </c>
    </row>
    <row r="274" spans="1:6" x14ac:dyDescent="0.25">
      <c r="B274" s="9"/>
      <c r="D274" s="9"/>
      <c r="F274" s="8">
        <f>SUM(F272:F273)</f>
        <v>9920</v>
      </c>
    </row>
    <row r="275" spans="1:6" x14ac:dyDescent="0.25">
      <c r="B275" s="9"/>
      <c r="D275" s="9"/>
      <c r="F275" s="13"/>
    </row>
    <row r="276" spans="1:6" x14ac:dyDescent="0.25">
      <c r="A276" t="s">
        <v>41</v>
      </c>
      <c r="B276" s="4">
        <v>45966</v>
      </c>
      <c r="C276" s="5">
        <v>35</v>
      </c>
      <c r="D276" s="9" t="s">
        <v>14</v>
      </c>
      <c r="E276" s="10">
        <v>150</v>
      </c>
      <c r="F276" s="13">
        <f t="shared" si="4"/>
        <v>5250</v>
      </c>
    </row>
    <row r="277" spans="1:6" x14ac:dyDescent="0.25">
      <c r="B277" s="9"/>
      <c r="D277" s="9"/>
      <c r="F277" s="8">
        <f>SUM(F276)</f>
        <v>5250</v>
      </c>
    </row>
    <row r="278" spans="1:6" x14ac:dyDescent="0.25">
      <c r="B278" s="9"/>
      <c r="D278" s="9"/>
      <c r="F278" s="13"/>
    </row>
    <row r="279" spans="1:6" x14ac:dyDescent="0.25">
      <c r="A279" t="s">
        <v>1021</v>
      </c>
      <c r="B279" s="4">
        <v>45966</v>
      </c>
      <c r="C279" s="5">
        <v>12</v>
      </c>
      <c r="D279" s="9" t="s">
        <v>14</v>
      </c>
      <c r="E279" s="10">
        <v>165</v>
      </c>
      <c r="F279" s="13">
        <f t="shared" si="4"/>
        <v>1980</v>
      </c>
    </row>
    <row r="280" spans="1:6" x14ac:dyDescent="0.25">
      <c r="B280" s="9"/>
      <c r="D280" s="9"/>
      <c r="F280" s="8">
        <f>SUM(F279)</f>
        <v>1980</v>
      </c>
    </row>
    <row r="281" spans="1:6" x14ac:dyDescent="0.25">
      <c r="B281" s="9"/>
      <c r="D281" s="9"/>
      <c r="F281" s="13"/>
    </row>
    <row r="282" spans="1:6" x14ac:dyDescent="0.25">
      <c r="A282" t="s">
        <v>43</v>
      </c>
      <c r="B282" s="4">
        <v>45966</v>
      </c>
      <c r="C282" s="5">
        <v>9</v>
      </c>
      <c r="D282" s="9" t="s">
        <v>49</v>
      </c>
      <c r="E282" s="10">
        <v>170</v>
      </c>
      <c r="F282" s="13">
        <f t="shared" si="4"/>
        <v>1530</v>
      </c>
    </row>
    <row r="283" spans="1:6" x14ac:dyDescent="0.25">
      <c r="B283" s="9"/>
      <c r="C283" s="5">
        <v>44</v>
      </c>
      <c r="D283" s="9" t="s">
        <v>14</v>
      </c>
      <c r="E283" s="10">
        <v>165</v>
      </c>
      <c r="F283" s="13">
        <f t="shared" si="4"/>
        <v>7260</v>
      </c>
    </row>
    <row r="284" spans="1:6" x14ac:dyDescent="0.25">
      <c r="B284" s="9"/>
      <c r="D284" s="9"/>
      <c r="F284" s="8">
        <f>SUM(F282:F283)</f>
        <v>8790</v>
      </c>
    </row>
    <row r="285" spans="1:6" x14ac:dyDescent="0.25">
      <c r="B285" s="9"/>
      <c r="D285" s="9"/>
      <c r="F285" s="13"/>
    </row>
    <row r="286" spans="1:6" x14ac:dyDescent="0.25">
      <c r="A286" t="s">
        <v>44</v>
      </c>
      <c r="B286" s="4">
        <v>45966</v>
      </c>
      <c r="C286" s="5">
        <v>90</v>
      </c>
      <c r="D286" s="9" t="s">
        <v>14</v>
      </c>
      <c r="E286" s="10">
        <v>160</v>
      </c>
      <c r="F286" s="13">
        <f t="shared" si="4"/>
        <v>14400</v>
      </c>
    </row>
    <row r="287" spans="1:6" x14ac:dyDescent="0.25">
      <c r="B287" s="4"/>
      <c r="D287" s="9"/>
      <c r="F287" s="8">
        <f>SUM(F286)</f>
        <v>14400</v>
      </c>
    </row>
    <row r="288" spans="1:6" x14ac:dyDescent="0.25">
      <c r="B288" s="9"/>
      <c r="D288" s="9"/>
      <c r="F288" s="13"/>
    </row>
    <row r="289" spans="1:6" x14ac:dyDescent="0.25">
      <c r="A289" t="s">
        <v>18</v>
      </c>
      <c r="B289" s="4">
        <v>45966</v>
      </c>
      <c r="C289" s="5">
        <v>20</v>
      </c>
      <c r="D289" s="9" t="s">
        <v>12</v>
      </c>
      <c r="E289" s="10">
        <v>155</v>
      </c>
      <c r="F289" s="13">
        <f t="shared" si="4"/>
        <v>3100</v>
      </c>
    </row>
    <row r="290" spans="1:6" x14ac:dyDescent="0.25">
      <c r="B290" s="9"/>
      <c r="C290" s="5">
        <v>10</v>
      </c>
      <c r="D290" s="9" t="s">
        <v>11</v>
      </c>
      <c r="E290" s="10">
        <v>155</v>
      </c>
      <c r="F290" s="13">
        <f t="shared" si="4"/>
        <v>1550</v>
      </c>
    </row>
    <row r="291" spans="1:6" x14ac:dyDescent="0.25">
      <c r="B291" s="9"/>
      <c r="D291" s="9"/>
      <c r="F291" s="8">
        <f>SUM(F289:F290)</f>
        <v>4650</v>
      </c>
    </row>
    <row r="292" spans="1:6" x14ac:dyDescent="0.25">
      <c r="B292" s="9"/>
      <c r="D292" s="9"/>
      <c r="F292" s="13"/>
    </row>
    <row r="293" spans="1:6" x14ac:dyDescent="0.25">
      <c r="A293" t="s">
        <v>138</v>
      </c>
      <c r="B293" s="4">
        <v>45966</v>
      </c>
      <c r="C293" s="5">
        <v>20</v>
      </c>
      <c r="D293" s="9" t="s">
        <v>14</v>
      </c>
      <c r="E293" s="10">
        <v>165</v>
      </c>
      <c r="F293" s="13">
        <f t="shared" si="4"/>
        <v>3300</v>
      </c>
    </row>
    <row r="294" spans="1:6" x14ac:dyDescent="0.25">
      <c r="B294" s="9"/>
      <c r="D294" s="9"/>
      <c r="F294" s="8">
        <f>SUM(F293)</f>
        <v>3300</v>
      </c>
    </row>
    <row r="295" spans="1:6" x14ac:dyDescent="0.25">
      <c r="B295" s="9"/>
      <c r="D295" s="9"/>
      <c r="F295" s="13"/>
    </row>
    <row r="296" spans="1:6" x14ac:dyDescent="0.25">
      <c r="A296" t="s">
        <v>455</v>
      </c>
      <c r="B296" s="4">
        <v>45966</v>
      </c>
      <c r="C296" s="5">
        <v>37</v>
      </c>
      <c r="D296" s="9" t="s">
        <v>14</v>
      </c>
      <c r="E296" s="10">
        <v>160</v>
      </c>
      <c r="F296" s="13">
        <f t="shared" si="4"/>
        <v>5920</v>
      </c>
    </row>
    <row r="297" spans="1:6" x14ac:dyDescent="0.25">
      <c r="B297" s="9"/>
      <c r="D297" s="9"/>
      <c r="F297" s="8">
        <f>SUM(F296)</f>
        <v>5920</v>
      </c>
    </row>
    <row r="298" spans="1:6" x14ac:dyDescent="0.25">
      <c r="B298" s="9"/>
      <c r="D298" s="9"/>
      <c r="F298" s="13"/>
    </row>
    <row r="299" spans="1:6" x14ac:dyDescent="0.25">
      <c r="A299" t="s">
        <v>112</v>
      </c>
      <c r="B299" s="4">
        <v>45966</v>
      </c>
      <c r="C299" s="5">
        <v>20</v>
      </c>
      <c r="D299" s="9" t="s">
        <v>14</v>
      </c>
      <c r="E299" s="10">
        <v>160</v>
      </c>
      <c r="F299" s="13">
        <f t="shared" si="4"/>
        <v>3200</v>
      </c>
    </row>
    <row r="300" spans="1:6" x14ac:dyDescent="0.25">
      <c r="B300" s="4"/>
      <c r="C300" s="5">
        <v>20</v>
      </c>
      <c r="D300" s="9" t="s">
        <v>11</v>
      </c>
      <c r="E300" s="10">
        <v>155</v>
      </c>
      <c r="F300" s="13">
        <f t="shared" si="4"/>
        <v>3100</v>
      </c>
    </row>
    <row r="301" spans="1:6" x14ac:dyDescent="0.25">
      <c r="B301" s="9"/>
      <c r="C301" s="5">
        <v>20</v>
      </c>
      <c r="D301" s="9" t="s">
        <v>13</v>
      </c>
      <c r="E301" s="10">
        <v>160</v>
      </c>
      <c r="F301" s="13">
        <f t="shared" si="4"/>
        <v>3200</v>
      </c>
    </row>
    <row r="302" spans="1:6" x14ac:dyDescent="0.25">
      <c r="B302" s="9"/>
      <c r="C302" s="5">
        <v>97</v>
      </c>
      <c r="D302" s="9" t="s">
        <v>8</v>
      </c>
      <c r="E302" s="10">
        <v>165</v>
      </c>
      <c r="F302" s="13">
        <f t="shared" si="4"/>
        <v>16005</v>
      </c>
    </row>
    <row r="303" spans="1:6" x14ac:dyDescent="0.25">
      <c r="B303" s="4"/>
      <c r="D303" s="9"/>
      <c r="F303" s="8">
        <f>SUM(F299:F302)</f>
        <v>25505</v>
      </c>
    </row>
    <row r="304" spans="1:6" x14ac:dyDescent="0.25">
      <c r="B304" s="9"/>
      <c r="D304" s="9"/>
      <c r="F304" s="13"/>
    </row>
    <row r="305" spans="1:6" x14ac:dyDescent="0.25">
      <c r="A305" t="s">
        <v>1106</v>
      </c>
      <c r="B305" s="4">
        <v>45966</v>
      </c>
      <c r="C305" s="5">
        <v>60</v>
      </c>
      <c r="D305" s="9" t="s">
        <v>13</v>
      </c>
      <c r="E305" s="10">
        <v>165</v>
      </c>
      <c r="F305" s="13">
        <f t="shared" si="4"/>
        <v>9900</v>
      </c>
    </row>
    <row r="306" spans="1:6" x14ac:dyDescent="0.25">
      <c r="B306" s="4"/>
      <c r="D306" s="9"/>
      <c r="F306" s="8">
        <f>SUM(F305)</f>
        <v>9900</v>
      </c>
    </row>
    <row r="307" spans="1:6" x14ac:dyDescent="0.25">
      <c r="B307" s="9"/>
      <c r="D307" s="9"/>
      <c r="F307" s="13"/>
    </row>
    <row r="308" spans="1:6" x14ac:dyDescent="0.25">
      <c r="A308" t="s">
        <v>391</v>
      </c>
      <c r="B308" s="4">
        <v>45966</v>
      </c>
      <c r="C308" s="5">
        <v>4</v>
      </c>
      <c r="D308" s="9" t="s">
        <v>304</v>
      </c>
      <c r="E308" s="10">
        <v>160</v>
      </c>
      <c r="F308" s="13">
        <f t="shared" si="4"/>
        <v>640</v>
      </c>
    </row>
    <row r="309" spans="1:6" x14ac:dyDescent="0.25">
      <c r="B309" s="4"/>
      <c r="C309" s="5">
        <v>7</v>
      </c>
      <c r="D309" s="9" t="s">
        <v>8</v>
      </c>
      <c r="E309" s="10">
        <v>160</v>
      </c>
      <c r="F309" s="13">
        <f t="shared" si="4"/>
        <v>1120</v>
      </c>
    </row>
    <row r="310" spans="1:6" x14ac:dyDescent="0.25">
      <c r="B310" s="9"/>
      <c r="D310" s="9"/>
      <c r="F310" s="8">
        <f>SUM(F308:F309)</f>
        <v>1760</v>
      </c>
    </row>
    <row r="311" spans="1:6" x14ac:dyDescent="0.25">
      <c r="B311" s="9"/>
      <c r="D311" s="9"/>
      <c r="F311" s="13"/>
    </row>
    <row r="312" spans="1:6" x14ac:dyDescent="0.25">
      <c r="A312" t="s">
        <v>72</v>
      </c>
      <c r="B312" s="4">
        <v>45966</v>
      </c>
      <c r="C312" s="5">
        <v>40</v>
      </c>
      <c r="D312" s="9" t="s">
        <v>11</v>
      </c>
      <c r="E312" s="10">
        <v>155</v>
      </c>
      <c r="F312" s="13">
        <f t="shared" si="4"/>
        <v>6200</v>
      </c>
    </row>
    <row r="313" spans="1:6" x14ac:dyDescent="0.25">
      <c r="B313" s="9"/>
      <c r="C313" s="5">
        <v>110</v>
      </c>
      <c r="D313" s="9" t="s">
        <v>1107</v>
      </c>
      <c r="E313" s="10">
        <v>160</v>
      </c>
      <c r="F313" s="13">
        <f t="shared" si="4"/>
        <v>17600</v>
      </c>
    </row>
    <row r="314" spans="1:6" x14ac:dyDescent="0.25">
      <c r="B314" s="9"/>
      <c r="C314" s="5">
        <v>230</v>
      </c>
      <c r="D314" s="9" t="s">
        <v>13</v>
      </c>
      <c r="E314" s="10">
        <v>160</v>
      </c>
      <c r="F314" s="13">
        <f t="shared" si="4"/>
        <v>36800</v>
      </c>
    </row>
    <row r="315" spans="1:6" x14ac:dyDescent="0.25">
      <c r="B315" s="9"/>
      <c r="C315" s="5">
        <v>70</v>
      </c>
      <c r="D315" s="9" t="s">
        <v>12</v>
      </c>
      <c r="E315" s="10">
        <v>155</v>
      </c>
      <c r="F315" s="13">
        <f t="shared" si="4"/>
        <v>10850</v>
      </c>
    </row>
    <row r="316" spans="1:6" x14ac:dyDescent="0.25">
      <c r="B316" s="9"/>
      <c r="D316" s="9"/>
      <c r="F316" s="8">
        <f>SUM(F312:F315)</f>
        <v>71450</v>
      </c>
    </row>
    <row r="317" spans="1:6" x14ac:dyDescent="0.25">
      <c r="B317" s="4"/>
      <c r="D317" s="9"/>
      <c r="F317" s="13"/>
    </row>
    <row r="318" spans="1:6" x14ac:dyDescent="0.25">
      <c r="A318" t="s">
        <v>26</v>
      </c>
      <c r="B318" s="4">
        <v>45966</v>
      </c>
      <c r="C318" s="5">
        <v>20</v>
      </c>
      <c r="D318" s="9" t="s">
        <v>14</v>
      </c>
      <c r="E318" s="10">
        <v>155</v>
      </c>
      <c r="F318" s="13">
        <f t="shared" si="4"/>
        <v>3100</v>
      </c>
    </row>
    <row r="319" spans="1:6" x14ac:dyDescent="0.25">
      <c r="B319" s="9"/>
      <c r="D319" s="9"/>
      <c r="F319" s="8">
        <f>SUM(F318)</f>
        <v>3100</v>
      </c>
    </row>
    <row r="320" spans="1:6" x14ac:dyDescent="0.25">
      <c r="B320" s="4"/>
      <c r="D320" s="9"/>
      <c r="F320" s="13"/>
    </row>
    <row r="321" spans="1:6" x14ac:dyDescent="0.25">
      <c r="A321" t="s">
        <v>1108</v>
      </c>
      <c r="B321" s="4">
        <v>45966</v>
      </c>
      <c r="C321" s="5">
        <v>2</v>
      </c>
      <c r="D321" s="9" t="s">
        <v>1109</v>
      </c>
      <c r="E321" s="10">
        <v>180</v>
      </c>
      <c r="F321" s="13">
        <f t="shared" si="4"/>
        <v>360</v>
      </c>
    </row>
    <row r="322" spans="1:6" x14ac:dyDescent="0.25">
      <c r="B322" s="9"/>
      <c r="D322" s="9"/>
      <c r="F322" s="8">
        <f>SUM(F321)</f>
        <v>360</v>
      </c>
    </row>
    <row r="323" spans="1:6" x14ac:dyDescent="0.25">
      <c r="B323" s="4"/>
      <c r="D323" s="9"/>
      <c r="F323" s="13"/>
    </row>
    <row r="324" spans="1:6" x14ac:dyDescent="0.25">
      <c r="A324" t="s">
        <v>7</v>
      </c>
      <c r="B324" s="4">
        <v>45966</v>
      </c>
      <c r="C324" s="5">
        <v>1</v>
      </c>
      <c r="D324" s="9" t="s">
        <v>14</v>
      </c>
      <c r="E324" s="10">
        <v>170</v>
      </c>
      <c r="F324" s="13">
        <f t="shared" ref="F324:F386" si="5">+C324*E324</f>
        <v>170</v>
      </c>
    </row>
    <row r="325" spans="1:6" x14ac:dyDescent="0.25">
      <c r="B325" s="9"/>
      <c r="C325" s="5">
        <v>4</v>
      </c>
      <c r="D325" s="9" t="s">
        <v>1109</v>
      </c>
      <c r="E325" s="10">
        <v>180</v>
      </c>
      <c r="F325" s="13">
        <f t="shared" si="5"/>
        <v>720</v>
      </c>
    </row>
    <row r="326" spans="1:6" x14ac:dyDescent="0.25">
      <c r="B326" s="9"/>
      <c r="D326" s="9"/>
      <c r="F326" s="8">
        <f>SUM(F324:F325)</f>
        <v>890</v>
      </c>
    </row>
    <row r="327" spans="1:6" x14ac:dyDescent="0.25">
      <c r="B327" s="4"/>
      <c r="D327" s="9"/>
      <c r="F327" s="13"/>
    </row>
    <row r="328" spans="1:6" x14ac:dyDescent="0.25">
      <c r="A328" t="s">
        <v>514</v>
      </c>
      <c r="B328" s="4">
        <v>45967</v>
      </c>
      <c r="C328" s="5">
        <v>15</v>
      </c>
      <c r="D328" s="9" t="s">
        <v>98</v>
      </c>
      <c r="E328" s="10">
        <v>120</v>
      </c>
      <c r="F328" s="13">
        <f t="shared" si="5"/>
        <v>1800</v>
      </c>
    </row>
    <row r="329" spans="1:6" x14ac:dyDescent="0.25">
      <c r="B329" s="9"/>
      <c r="D329" s="9"/>
      <c r="F329" s="8">
        <f>SUM(F328)</f>
        <v>1800</v>
      </c>
    </row>
    <row r="330" spans="1:6" x14ac:dyDescent="0.25">
      <c r="B330" s="9"/>
      <c r="D330" s="9"/>
      <c r="F330" s="13"/>
    </row>
    <row r="331" spans="1:6" x14ac:dyDescent="0.25">
      <c r="A331" t="s">
        <v>15</v>
      </c>
      <c r="B331" s="4">
        <v>45967</v>
      </c>
      <c r="C331" s="5">
        <v>80</v>
      </c>
      <c r="D331" s="9" t="s">
        <v>98</v>
      </c>
      <c r="E331" s="10">
        <v>115</v>
      </c>
      <c r="F331" s="13">
        <f t="shared" si="5"/>
        <v>9200</v>
      </c>
    </row>
    <row r="332" spans="1:6" x14ac:dyDescent="0.25">
      <c r="B332" s="9"/>
      <c r="D332" s="9"/>
      <c r="F332" s="8">
        <f>SUM(F331)</f>
        <v>9200</v>
      </c>
    </row>
    <row r="333" spans="1:6" x14ac:dyDescent="0.25">
      <c r="B333" s="9"/>
      <c r="D333" s="9"/>
      <c r="F333" s="13"/>
    </row>
    <row r="334" spans="1:6" x14ac:dyDescent="0.25">
      <c r="A334" t="s">
        <v>175</v>
      </c>
      <c r="B334" s="4">
        <v>45967</v>
      </c>
      <c r="C334" s="5">
        <v>10</v>
      </c>
      <c r="D334" s="9" t="s">
        <v>13</v>
      </c>
      <c r="E334" s="10">
        <v>170</v>
      </c>
      <c r="F334" s="13">
        <f t="shared" si="5"/>
        <v>1700</v>
      </c>
    </row>
    <row r="335" spans="1:6" x14ac:dyDescent="0.25">
      <c r="B335" s="9"/>
      <c r="D335" s="9"/>
      <c r="F335" s="8">
        <f>SUM(F334)</f>
        <v>1700</v>
      </c>
    </row>
    <row r="336" spans="1:6" x14ac:dyDescent="0.25">
      <c r="B336" s="9"/>
      <c r="D336" s="9"/>
      <c r="F336" s="13"/>
    </row>
    <row r="337" spans="1:6" x14ac:dyDescent="0.25">
      <c r="A337" t="s">
        <v>184</v>
      </c>
      <c r="B337" s="4">
        <v>45967</v>
      </c>
      <c r="C337" s="5">
        <v>7</v>
      </c>
      <c r="D337" s="9" t="s">
        <v>13</v>
      </c>
      <c r="E337" s="10">
        <v>170</v>
      </c>
      <c r="F337" s="13">
        <f t="shared" si="5"/>
        <v>1190</v>
      </c>
    </row>
    <row r="338" spans="1:6" x14ac:dyDescent="0.25">
      <c r="B338" s="9"/>
      <c r="D338" s="9"/>
      <c r="F338" s="8">
        <f>SUM(F337)</f>
        <v>1190</v>
      </c>
    </row>
    <row r="339" spans="1:6" x14ac:dyDescent="0.25">
      <c r="B339" s="9"/>
      <c r="D339" s="9"/>
      <c r="F339" s="13"/>
    </row>
    <row r="340" spans="1:6" x14ac:dyDescent="0.25">
      <c r="A340" t="s">
        <v>1088</v>
      </c>
      <c r="B340" s="4">
        <v>45967</v>
      </c>
      <c r="C340" s="5">
        <v>3</v>
      </c>
      <c r="D340" s="9" t="s">
        <v>13</v>
      </c>
      <c r="E340" s="10">
        <v>170</v>
      </c>
      <c r="F340" s="13">
        <f t="shared" si="5"/>
        <v>510</v>
      </c>
    </row>
    <row r="341" spans="1:6" x14ac:dyDescent="0.25">
      <c r="B341" s="9"/>
      <c r="D341" s="9"/>
      <c r="F341" s="8">
        <f>SUM(F340)</f>
        <v>510</v>
      </c>
    </row>
    <row r="342" spans="1:6" x14ac:dyDescent="0.25">
      <c r="B342" s="9"/>
      <c r="D342" s="9"/>
      <c r="F342" s="13"/>
    </row>
    <row r="343" spans="1:6" x14ac:dyDescent="0.25">
      <c r="A343" t="s">
        <v>1069</v>
      </c>
      <c r="B343" s="4">
        <v>45967</v>
      </c>
      <c r="C343" s="5">
        <v>5</v>
      </c>
      <c r="D343" s="9" t="s">
        <v>13</v>
      </c>
      <c r="E343" s="10">
        <v>170</v>
      </c>
      <c r="F343" s="13">
        <f t="shared" si="5"/>
        <v>850</v>
      </c>
    </row>
    <row r="344" spans="1:6" x14ac:dyDescent="0.25">
      <c r="B344" s="9"/>
      <c r="C344" s="11"/>
      <c r="D344" s="9"/>
      <c r="F344" s="8">
        <f>SUM(F343)</f>
        <v>850</v>
      </c>
    </row>
    <row r="345" spans="1:6" x14ac:dyDescent="0.25">
      <c r="B345" s="9"/>
      <c r="D345" s="9"/>
      <c r="F345" s="13"/>
    </row>
    <row r="346" spans="1:6" x14ac:dyDescent="0.25">
      <c r="A346" t="s">
        <v>117</v>
      </c>
      <c r="B346" s="4">
        <v>45967</v>
      </c>
      <c r="C346" s="5">
        <v>5</v>
      </c>
      <c r="D346" s="9" t="s">
        <v>13</v>
      </c>
      <c r="E346" s="10">
        <v>170</v>
      </c>
      <c r="F346" s="13">
        <f t="shared" si="5"/>
        <v>850</v>
      </c>
    </row>
    <row r="347" spans="1:6" x14ac:dyDescent="0.25">
      <c r="B347" s="9"/>
      <c r="D347" s="9"/>
      <c r="F347" s="8">
        <f>SUM(F346)</f>
        <v>850</v>
      </c>
    </row>
    <row r="348" spans="1:6" x14ac:dyDescent="0.25">
      <c r="B348" s="9"/>
      <c r="D348" s="9"/>
      <c r="F348" s="13"/>
    </row>
    <row r="349" spans="1:6" x14ac:dyDescent="0.25">
      <c r="A349" t="s">
        <v>1110</v>
      </c>
      <c r="B349" s="4">
        <v>45967</v>
      </c>
      <c r="C349" s="5">
        <v>50</v>
      </c>
      <c r="D349" s="9" t="s">
        <v>13</v>
      </c>
      <c r="E349" s="10">
        <v>160</v>
      </c>
      <c r="F349" s="13">
        <f t="shared" si="5"/>
        <v>8000</v>
      </c>
    </row>
    <row r="350" spans="1:6" x14ac:dyDescent="0.25">
      <c r="B350" s="4"/>
      <c r="D350" s="9"/>
      <c r="F350" s="8">
        <f>SUM(F349)</f>
        <v>8000</v>
      </c>
    </row>
    <row r="351" spans="1:6" x14ac:dyDescent="0.25">
      <c r="B351" s="9"/>
      <c r="D351" s="9"/>
      <c r="F351" s="13"/>
    </row>
    <row r="352" spans="1:6" x14ac:dyDescent="0.25">
      <c r="A352" t="s">
        <v>1069</v>
      </c>
      <c r="B352" s="4">
        <v>45967</v>
      </c>
      <c r="C352" s="5">
        <v>5</v>
      </c>
      <c r="D352" s="9" t="s">
        <v>13</v>
      </c>
      <c r="E352" s="10">
        <v>170</v>
      </c>
      <c r="F352" s="13">
        <f t="shared" si="5"/>
        <v>850</v>
      </c>
    </row>
    <row r="353" spans="1:6" x14ac:dyDescent="0.25">
      <c r="B353" s="4"/>
      <c r="D353" s="9"/>
      <c r="F353" s="8">
        <f>SUM(F352)</f>
        <v>850</v>
      </c>
    </row>
    <row r="354" spans="1:6" x14ac:dyDescent="0.25">
      <c r="B354" s="9"/>
      <c r="D354" s="9"/>
      <c r="F354" s="13"/>
    </row>
    <row r="355" spans="1:6" x14ac:dyDescent="0.25">
      <c r="A355" t="s">
        <v>349</v>
      </c>
      <c r="B355" s="4">
        <v>45967</v>
      </c>
      <c r="C355" s="5">
        <v>50</v>
      </c>
      <c r="D355" s="9" t="s">
        <v>13</v>
      </c>
      <c r="E355" s="10">
        <v>155</v>
      </c>
      <c r="F355" s="13">
        <f t="shared" si="5"/>
        <v>7750</v>
      </c>
    </row>
    <row r="356" spans="1:6" x14ac:dyDescent="0.25">
      <c r="B356" s="4"/>
      <c r="C356" s="5">
        <v>10</v>
      </c>
      <c r="D356" s="9" t="s">
        <v>12</v>
      </c>
      <c r="E356" s="10">
        <v>150</v>
      </c>
      <c r="F356" s="13">
        <f t="shared" si="5"/>
        <v>1500</v>
      </c>
    </row>
    <row r="357" spans="1:6" x14ac:dyDescent="0.25">
      <c r="B357" s="9"/>
      <c r="D357" s="9"/>
      <c r="F357" s="8">
        <f>SUM(F355:F356)</f>
        <v>9250</v>
      </c>
    </row>
    <row r="358" spans="1:6" x14ac:dyDescent="0.25">
      <c r="B358" s="9"/>
      <c r="D358" s="9"/>
      <c r="F358" s="13"/>
    </row>
    <row r="359" spans="1:6" x14ac:dyDescent="0.25">
      <c r="A359" t="s">
        <v>29</v>
      </c>
      <c r="B359" s="4">
        <v>45967</v>
      </c>
      <c r="C359" s="5">
        <v>2</v>
      </c>
      <c r="D359" s="9" t="s">
        <v>8</v>
      </c>
      <c r="E359" s="10">
        <v>180</v>
      </c>
      <c r="F359" s="13">
        <f t="shared" si="5"/>
        <v>360</v>
      </c>
    </row>
    <row r="360" spans="1:6" x14ac:dyDescent="0.25">
      <c r="B360" s="9"/>
      <c r="C360" s="5">
        <v>1</v>
      </c>
      <c r="D360" s="9" t="s">
        <v>12</v>
      </c>
      <c r="E360" s="10">
        <v>160</v>
      </c>
      <c r="F360" s="13">
        <f t="shared" si="5"/>
        <v>160</v>
      </c>
    </row>
    <row r="361" spans="1:6" x14ac:dyDescent="0.25">
      <c r="B361" s="9"/>
      <c r="C361" s="5">
        <v>8</v>
      </c>
      <c r="D361" s="9" t="s">
        <v>50</v>
      </c>
      <c r="E361" s="10">
        <v>140</v>
      </c>
      <c r="F361" s="13">
        <f t="shared" si="5"/>
        <v>1120</v>
      </c>
    </row>
    <row r="362" spans="1:6" x14ac:dyDescent="0.25">
      <c r="B362" s="9"/>
      <c r="C362" s="5">
        <v>1</v>
      </c>
      <c r="D362" s="9" t="s">
        <v>8</v>
      </c>
      <c r="E362" s="10">
        <v>180</v>
      </c>
      <c r="F362" s="13">
        <f t="shared" si="5"/>
        <v>180</v>
      </c>
    </row>
    <row r="363" spans="1:6" x14ac:dyDescent="0.25">
      <c r="B363" s="4"/>
      <c r="D363" s="9"/>
      <c r="F363" s="8">
        <f>SUM(F359:F362)</f>
        <v>1820</v>
      </c>
    </row>
    <row r="364" spans="1:6" x14ac:dyDescent="0.25">
      <c r="B364" s="9"/>
      <c r="D364" s="9"/>
      <c r="F364" s="13"/>
    </row>
    <row r="365" spans="1:6" x14ac:dyDescent="0.25">
      <c r="A365" t="s">
        <v>1111</v>
      </c>
      <c r="B365" s="4">
        <v>45967</v>
      </c>
      <c r="C365" s="5">
        <v>2</v>
      </c>
      <c r="D365" s="9" t="s">
        <v>12</v>
      </c>
      <c r="E365" s="10">
        <v>160</v>
      </c>
      <c r="F365" s="13">
        <f t="shared" si="5"/>
        <v>320</v>
      </c>
    </row>
    <row r="366" spans="1:6" x14ac:dyDescent="0.25">
      <c r="B366" s="4"/>
      <c r="C366" s="5">
        <v>2</v>
      </c>
      <c r="D366" s="9" t="s">
        <v>22</v>
      </c>
      <c r="E366" s="10">
        <v>140</v>
      </c>
      <c r="F366" s="13">
        <f t="shared" si="5"/>
        <v>280</v>
      </c>
    </row>
    <row r="367" spans="1:6" x14ac:dyDescent="0.25">
      <c r="B367" s="9"/>
      <c r="C367" s="5">
        <v>2</v>
      </c>
      <c r="D367" s="9" t="s">
        <v>13</v>
      </c>
      <c r="E367" s="10">
        <v>170</v>
      </c>
      <c r="F367" s="13">
        <f t="shared" si="5"/>
        <v>340</v>
      </c>
    </row>
    <row r="368" spans="1:6" x14ac:dyDescent="0.25">
      <c r="B368" s="9"/>
      <c r="C368" s="5">
        <v>2</v>
      </c>
      <c r="D368" s="9" t="s">
        <v>13</v>
      </c>
      <c r="E368" s="10">
        <v>0</v>
      </c>
      <c r="F368" s="13">
        <f t="shared" si="5"/>
        <v>0</v>
      </c>
    </row>
    <row r="369" spans="1:6" x14ac:dyDescent="0.25">
      <c r="B369" s="9"/>
      <c r="C369" s="5">
        <v>10</v>
      </c>
      <c r="D369" s="9" t="s">
        <v>1007</v>
      </c>
      <c r="E369" s="10">
        <v>165</v>
      </c>
      <c r="F369" s="13">
        <f t="shared" si="5"/>
        <v>1650</v>
      </c>
    </row>
    <row r="370" spans="1:6" x14ac:dyDescent="0.25">
      <c r="B370" s="9"/>
      <c r="C370" s="11">
        <v>0.5</v>
      </c>
      <c r="D370" s="9" t="s">
        <v>49</v>
      </c>
      <c r="E370" s="10">
        <v>180</v>
      </c>
      <c r="F370" s="13">
        <f t="shared" si="5"/>
        <v>90</v>
      </c>
    </row>
    <row r="371" spans="1:6" x14ac:dyDescent="0.25">
      <c r="B371" s="9"/>
      <c r="D371" s="9"/>
      <c r="F371" s="8">
        <f>SUM(F365:F370)</f>
        <v>2680</v>
      </c>
    </row>
    <row r="372" spans="1:6" x14ac:dyDescent="0.25">
      <c r="B372" s="9"/>
      <c r="D372" s="9"/>
      <c r="F372" s="13"/>
    </row>
    <row r="373" spans="1:6" x14ac:dyDescent="0.25">
      <c r="A373" t="s">
        <v>20</v>
      </c>
      <c r="B373" s="4">
        <v>45968</v>
      </c>
      <c r="C373" s="5">
        <v>20</v>
      </c>
      <c r="D373" s="9" t="s">
        <v>8</v>
      </c>
      <c r="E373" s="10">
        <v>175</v>
      </c>
      <c r="F373" s="13">
        <f t="shared" si="5"/>
        <v>3500</v>
      </c>
    </row>
    <row r="374" spans="1:6" x14ac:dyDescent="0.25">
      <c r="B374" s="9"/>
      <c r="C374" s="5">
        <v>10</v>
      </c>
      <c r="D374" s="9" t="s">
        <v>13</v>
      </c>
      <c r="E374" s="10">
        <v>170</v>
      </c>
      <c r="F374" s="13">
        <f t="shared" si="5"/>
        <v>1700</v>
      </c>
    </row>
    <row r="375" spans="1:6" x14ac:dyDescent="0.25">
      <c r="B375" s="9"/>
      <c r="D375" s="9"/>
      <c r="F375" s="8">
        <f>SUM(F373:F374)</f>
        <v>5200</v>
      </c>
    </row>
    <row r="376" spans="1:6" x14ac:dyDescent="0.25">
      <c r="B376" s="9"/>
      <c r="D376" s="9"/>
      <c r="F376" s="13"/>
    </row>
    <row r="377" spans="1:6" x14ac:dyDescent="0.25">
      <c r="A377" t="s">
        <v>58</v>
      </c>
      <c r="B377" s="4">
        <v>45968</v>
      </c>
      <c r="C377" s="5">
        <v>10</v>
      </c>
      <c r="D377" s="9" t="s">
        <v>13</v>
      </c>
      <c r="E377" s="10">
        <v>165</v>
      </c>
      <c r="F377" s="13">
        <f t="shared" si="5"/>
        <v>1650</v>
      </c>
    </row>
    <row r="378" spans="1:6" x14ac:dyDescent="0.25">
      <c r="B378" s="9"/>
      <c r="D378" s="9"/>
      <c r="F378" s="8">
        <f>SUM(F377)</f>
        <v>1650</v>
      </c>
    </row>
    <row r="379" spans="1:6" x14ac:dyDescent="0.25">
      <c r="B379" s="9"/>
      <c r="D379" s="9"/>
      <c r="F379" s="13"/>
    </row>
    <row r="380" spans="1:6" x14ac:dyDescent="0.25">
      <c r="A380" t="s">
        <v>18</v>
      </c>
      <c r="B380" s="4">
        <v>45968</v>
      </c>
      <c r="C380" s="5">
        <v>5</v>
      </c>
      <c r="D380" s="9" t="s">
        <v>13</v>
      </c>
      <c r="E380" s="10">
        <v>170</v>
      </c>
      <c r="F380" s="13">
        <f t="shared" si="5"/>
        <v>850</v>
      </c>
    </row>
    <row r="381" spans="1:6" x14ac:dyDescent="0.25">
      <c r="B381" s="4"/>
      <c r="D381" s="9"/>
      <c r="F381" s="8">
        <f>SUM(F380)</f>
        <v>850</v>
      </c>
    </row>
    <row r="382" spans="1:6" x14ac:dyDescent="0.25">
      <c r="B382" s="9"/>
      <c r="D382" s="9"/>
      <c r="F382" s="13"/>
    </row>
    <row r="383" spans="1:6" x14ac:dyDescent="0.25">
      <c r="A383" t="s">
        <v>44</v>
      </c>
      <c r="B383" s="4">
        <v>45968</v>
      </c>
      <c r="C383" s="5">
        <v>8</v>
      </c>
      <c r="D383" s="9" t="s">
        <v>13</v>
      </c>
      <c r="E383" s="10">
        <v>165</v>
      </c>
      <c r="F383" s="13">
        <f t="shared" si="5"/>
        <v>1320</v>
      </c>
    </row>
    <row r="384" spans="1:6" x14ac:dyDescent="0.25">
      <c r="B384" s="4"/>
      <c r="D384" s="9"/>
      <c r="F384" s="8">
        <f>SUM(F383)</f>
        <v>1320</v>
      </c>
    </row>
    <row r="385" spans="1:6" x14ac:dyDescent="0.25">
      <c r="B385" s="9"/>
      <c r="D385" s="9"/>
      <c r="F385" s="13"/>
    </row>
    <row r="386" spans="1:6" x14ac:dyDescent="0.25">
      <c r="A386" t="s">
        <v>688</v>
      </c>
      <c r="B386" s="4">
        <v>45968</v>
      </c>
      <c r="C386" s="5">
        <v>7</v>
      </c>
      <c r="D386" s="9" t="s">
        <v>13</v>
      </c>
      <c r="E386" s="10">
        <v>165</v>
      </c>
      <c r="F386" s="13">
        <f t="shared" si="5"/>
        <v>1155</v>
      </c>
    </row>
    <row r="387" spans="1:6" x14ac:dyDescent="0.25">
      <c r="B387" s="9"/>
      <c r="D387" s="9"/>
      <c r="F387" s="8">
        <f>SUM(F386)</f>
        <v>1155</v>
      </c>
    </row>
    <row r="388" spans="1:6" x14ac:dyDescent="0.25">
      <c r="B388" s="4"/>
      <c r="D388" s="9"/>
      <c r="F388" s="13"/>
    </row>
    <row r="389" spans="1:6" x14ac:dyDescent="0.25">
      <c r="A389" t="s">
        <v>427</v>
      </c>
      <c r="B389" s="4">
        <v>45968</v>
      </c>
      <c r="C389" s="5">
        <v>10</v>
      </c>
      <c r="D389" s="9" t="s">
        <v>1112</v>
      </c>
      <c r="E389" s="10">
        <v>170</v>
      </c>
      <c r="F389" s="13">
        <f t="shared" ref="F389:F449" si="6">+C389*E389</f>
        <v>1700</v>
      </c>
    </row>
    <row r="390" spans="1:6" x14ac:dyDescent="0.25">
      <c r="B390" s="9"/>
      <c r="C390" s="5">
        <v>10</v>
      </c>
      <c r="D390" s="9" t="s">
        <v>12</v>
      </c>
      <c r="E390" s="10">
        <v>160</v>
      </c>
      <c r="F390" s="13">
        <f t="shared" si="6"/>
        <v>1600</v>
      </c>
    </row>
    <row r="391" spans="1:6" x14ac:dyDescent="0.25">
      <c r="B391" s="4"/>
      <c r="D391" s="9"/>
      <c r="F391" s="8">
        <f>SUM(F389:F390)</f>
        <v>3300</v>
      </c>
    </row>
    <row r="392" spans="1:6" x14ac:dyDescent="0.25">
      <c r="B392" s="9"/>
      <c r="D392" s="9"/>
      <c r="F392" s="13"/>
    </row>
    <row r="393" spans="1:6" x14ac:dyDescent="0.25">
      <c r="A393" t="s">
        <v>21</v>
      </c>
      <c r="B393" s="4">
        <v>45968</v>
      </c>
      <c r="C393" s="5">
        <v>50</v>
      </c>
      <c r="D393" s="9" t="s">
        <v>13</v>
      </c>
      <c r="E393" s="10">
        <v>170</v>
      </c>
      <c r="F393" s="13">
        <f t="shared" si="6"/>
        <v>8500</v>
      </c>
    </row>
    <row r="394" spans="1:6" x14ac:dyDescent="0.25">
      <c r="B394" s="4"/>
      <c r="C394" s="5">
        <v>50</v>
      </c>
      <c r="D394" s="9" t="s">
        <v>12</v>
      </c>
      <c r="E394" s="10">
        <v>160</v>
      </c>
      <c r="F394" s="13">
        <f t="shared" si="6"/>
        <v>8000</v>
      </c>
    </row>
    <row r="395" spans="1:6" x14ac:dyDescent="0.25">
      <c r="B395" s="9"/>
      <c r="D395" s="9"/>
      <c r="F395" s="8">
        <f>SUM(F393:F394)</f>
        <v>16500</v>
      </c>
    </row>
    <row r="396" spans="1:6" x14ac:dyDescent="0.25">
      <c r="B396" s="9"/>
      <c r="D396" s="9"/>
      <c r="F396" s="13"/>
    </row>
    <row r="397" spans="1:6" x14ac:dyDescent="0.25">
      <c r="A397" t="s">
        <v>367</v>
      </c>
      <c r="B397" s="4">
        <v>45968</v>
      </c>
      <c r="C397" s="5">
        <v>20</v>
      </c>
      <c r="D397" s="9" t="s">
        <v>13</v>
      </c>
      <c r="E397" s="10">
        <v>170</v>
      </c>
      <c r="F397" s="13">
        <f t="shared" si="6"/>
        <v>3400</v>
      </c>
    </row>
    <row r="398" spans="1:6" x14ac:dyDescent="0.25">
      <c r="B398" s="9"/>
      <c r="D398" s="9"/>
      <c r="F398" s="8">
        <f>SUM(F397)</f>
        <v>3400</v>
      </c>
    </row>
    <row r="399" spans="1:6" x14ac:dyDescent="0.25">
      <c r="B399" s="9"/>
      <c r="D399" s="9"/>
      <c r="F399" s="13"/>
    </row>
    <row r="400" spans="1:6" x14ac:dyDescent="0.25">
      <c r="A400" t="s">
        <v>1113</v>
      </c>
      <c r="B400" s="4">
        <v>45968</v>
      </c>
      <c r="C400" s="5">
        <v>10</v>
      </c>
      <c r="D400" s="9" t="s">
        <v>12</v>
      </c>
      <c r="E400" s="10">
        <v>160</v>
      </c>
      <c r="F400" s="13">
        <f t="shared" si="6"/>
        <v>1600</v>
      </c>
    </row>
    <row r="401" spans="1:6" x14ac:dyDescent="0.25">
      <c r="B401" s="9"/>
      <c r="D401" s="9"/>
      <c r="F401" s="8">
        <f>SUM(F400)</f>
        <v>1600</v>
      </c>
    </row>
    <row r="402" spans="1:6" x14ac:dyDescent="0.25">
      <c r="B402" s="9"/>
      <c r="D402" s="9"/>
      <c r="F402" s="13"/>
    </row>
    <row r="403" spans="1:6" x14ac:dyDescent="0.25">
      <c r="A403" t="s">
        <v>21</v>
      </c>
      <c r="B403" s="4">
        <v>45968</v>
      </c>
      <c r="C403" s="5">
        <v>10</v>
      </c>
      <c r="D403" s="9" t="s">
        <v>8</v>
      </c>
      <c r="E403" s="10">
        <v>175</v>
      </c>
      <c r="F403" s="13">
        <f t="shared" si="6"/>
        <v>1750</v>
      </c>
    </row>
    <row r="404" spans="1:6" x14ac:dyDescent="0.25">
      <c r="B404" s="9"/>
      <c r="D404" s="9"/>
      <c r="F404" s="8">
        <f>SUM(F403)</f>
        <v>1750</v>
      </c>
    </row>
    <row r="405" spans="1:6" x14ac:dyDescent="0.25">
      <c r="B405" s="9"/>
      <c r="D405" s="9"/>
      <c r="F405" s="13"/>
    </row>
    <row r="406" spans="1:6" x14ac:dyDescent="0.25">
      <c r="A406" t="s">
        <v>923</v>
      </c>
      <c r="B406" s="4">
        <v>45968</v>
      </c>
      <c r="C406" s="5">
        <v>20</v>
      </c>
      <c r="D406" s="9" t="s">
        <v>22</v>
      </c>
      <c r="E406" s="10">
        <v>155</v>
      </c>
      <c r="F406" s="13">
        <f t="shared" si="6"/>
        <v>3100</v>
      </c>
    </row>
    <row r="407" spans="1:6" x14ac:dyDescent="0.25">
      <c r="B407" s="9"/>
      <c r="D407" s="9"/>
      <c r="F407" s="8">
        <f>SUM(F406)</f>
        <v>3100</v>
      </c>
    </row>
    <row r="408" spans="1:6" x14ac:dyDescent="0.25">
      <c r="B408" s="9"/>
      <c r="D408" s="9"/>
      <c r="F408" s="13"/>
    </row>
    <row r="409" spans="1:6" x14ac:dyDescent="0.25">
      <c r="A409" t="s">
        <v>25</v>
      </c>
      <c r="B409" s="4">
        <v>45968</v>
      </c>
      <c r="C409" s="5">
        <v>20</v>
      </c>
      <c r="D409" s="9" t="s">
        <v>8</v>
      </c>
      <c r="E409" s="10">
        <v>175</v>
      </c>
      <c r="F409" s="13">
        <f t="shared" si="6"/>
        <v>3500</v>
      </c>
    </row>
    <row r="410" spans="1:6" x14ac:dyDescent="0.25">
      <c r="B410" s="9"/>
      <c r="D410" s="9"/>
      <c r="F410" s="8">
        <f>SUM(F409)</f>
        <v>3500</v>
      </c>
    </row>
    <row r="411" spans="1:6" x14ac:dyDescent="0.25">
      <c r="B411" s="9"/>
      <c r="D411" s="9"/>
      <c r="F411" s="13"/>
    </row>
    <row r="412" spans="1:6" x14ac:dyDescent="0.25">
      <c r="A412" t="s">
        <v>1114</v>
      </c>
      <c r="B412" s="4">
        <v>45968</v>
      </c>
      <c r="C412" s="5">
        <v>15</v>
      </c>
      <c r="D412" s="9" t="s">
        <v>98</v>
      </c>
      <c r="E412" s="10">
        <v>125</v>
      </c>
      <c r="F412" s="13">
        <f t="shared" si="6"/>
        <v>1875</v>
      </c>
    </row>
    <row r="413" spans="1:6" x14ac:dyDescent="0.25">
      <c r="B413" s="9"/>
      <c r="D413" s="9"/>
      <c r="F413" s="8">
        <f>SUM(F412)</f>
        <v>1875</v>
      </c>
    </row>
    <row r="414" spans="1:6" x14ac:dyDescent="0.25">
      <c r="B414" s="9"/>
      <c r="D414" s="9"/>
      <c r="F414" s="13"/>
    </row>
    <row r="415" spans="1:6" x14ac:dyDescent="0.25">
      <c r="A415" t="s">
        <v>17</v>
      </c>
      <c r="B415" s="4">
        <v>45968</v>
      </c>
      <c r="C415" s="5">
        <v>10</v>
      </c>
      <c r="D415" s="9" t="s">
        <v>8</v>
      </c>
      <c r="E415" s="10">
        <v>175</v>
      </c>
      <c r="F415" s="13">
        <f t="shared" si="6"/>
        <v>1750</v>
      </c>
    </row>
    <row r="416" spans="1:6" x14ac:dyDescent="0.25">
      <c r="B416" s="4"/>
      <c r="D416" s="9"/>
      <c r="F416" s="8">
        <f>SUM(F415)</f>
        <v>1750</v>
      </c>
    </row>
    <row r="417" spans="1:6" x14ac:dyDescent="0.25">
      <c r="B417" s="9"/>
      <c r="D417" s="9"/>
      <c r="F417" s="13"/>
    </row>
    <row r="418" spans="1:6" x14ac:dyDescent="0.25">
      <c r="A418" t="s">
        <v>40</v>
      </c>
      <c r="B418" s="4">
        <v>45968</v>
      </c>
      <c r="C418" s="5">
        <v>9</v>
      </c>
      <c r="D418" s="9" t="s">
        <v>12</v>
      </c>
      <c r="E418" s="10">
        <v>160</v>
      </c>
      <c r="F418" s="13">
        <f t="shared" si="6"/>
        <v>1440</v>
      </c>
    </row>
    <row r="419" spans="1:6" x14ac:dyDescent="0.25">
      <c r="B419" s="9"/>
      <c r="D419" s="9"/>
      <c r="F419" s="8">
        <f>SUM(F418)</f>
        <v>1440</v>
      </c>
    </row>
    <row r="420" spans="1:6" x14ac:dyDescent="0.25">
      <c r="B420" s="9"/>
      <c r="D420" s="9"/>
      <c r="F420" s="13"/>
    </row>
    <row r="421" spans="1:6" x14ac:dyDescent="0.25">
      <c r="A421" t="s">
        <v>1115</v>
      </c>
      <c r="B421" s="4">
        <v>45968</v>
      </c>
      <c r="C421" s="5">
        <v>40</v>
      </c>
      <c r="D421" s="9" t="s">
        <v>1116</v>
      </c>
      <c r="E421" s="10">
        <v>150</v>
      </c>
      <c r="F421" s="13">
        <f t="shared" si="6"/>
        <v>6000</v>
      </c>
    </row>
    <row r="422" spans="1:6" x14ac:dyDescent="0.25">
      <c r="B422" s="4"/>
      <c r="D422" s="9"/>
      <c r="F422" s="8">
        <f>SUM(F421)</f>
        <v>6000</v>
      </c>
    </row>
    <row r="423" spans="1:6" x14ac:dyDescent="0.25">
      <c r="B423" s="9"/>
      <c r="D423" s="9"/>
      <c r="F423" s="13"/>
    </row>
    <row r="424" spans="1:6" x14ac:dyDescent="0.25">
      <c r="A424" t="s">
        <v>106</v>
      </c>
      <c r="B424" s="4">
        <v>45968</v>
      </c>
      <c r="C424" s="5">
        <v>80</v>
      </c>
      <c r="D424" s="9" t="s">
        <v>12</v>
      </c>
      <c r="E424" s="10">
        <v>160</v>
      </c>
      <c r="F424" s="13">
        <f t="shared" si="6"/>
        <v>12800</v>
      </c>
    </row>
    <row r="425" spans="1:6" x14ac:dyDescent="0.25">
      <c r="B425" s="4"/>
      <c r="D425" s="9"/>
      <c r="F425" s="8">
        <f>SUM(F424)</f>
        <v>12800</v>
      </c>
    </row>
    <row r="426" spans="1:6" x14ac:dyDescent="0.25">
      <c r="B426" s="9"/>
      <c r="D426" s="9"/>
      <c r="F426" s="13"/>
    </row>
    <row r="427" spans="1:6" x14ac:dyDescent="0.25">
      <c r="A427" t="s">
        <v>43</v>
      </c>
      <c r="B427" s="4">
        <v>45968</v>
      </c>
      <c r="C427" s="5">
        <v>7</v>
      </c>
      <c r="D427" s="9" t="s">
        <v>49</v>
      </c>
      <c r="E427" s="10">
        <v>170</v>
      </c>
      <c r="F427" s="13">
        <f t="shared" si="6"/>
        <v>1190</v>
      </c>
    </row>
    <row r="428" spans="1:6" x14ac:dyDescent="0.25">
      <c r="B428" s="9"/>
      <c r="C428" s="5">
        <v>36</v>
      </c>
      <c r="D428" s="9" t="s">
        <v>14</v>
      </c>
      <c r="E428" s="10">
        <v>165</v>
      </c>
      <c r="F428" s="13">
        <f t="shared" si="6"/>
        <v>5940</v>
      </c>
    </row>
    <row r="429" spans="1:6" x14ac:dyDescent="0.25">
      <c r="B429" s="4"/>
      <c r="D429" s="9"/>
      <c r="F429" s="8">
        <f>SUM(F427:F428)</f>
        <v>7130</v>
      </c>
    </row>
    <row r="430" spans="1:6" x14ac:dyDescent="0.25">
      <c r="B430" s="9"/>
      <c r="D430" s="9"/>
      <c r="F430" s="13"/>
    </row>
    <row r="431" spans="1:6" x14ac:dyDescent="0.25">
      <c r="A431" t="s">
        <v>253</v>
      </c>
      <c r="B431" s="4">
        <v>45968</v>
      </c>
      <c r="C431" s="5">
        <v>17</v>
      </c>
      <c r="D431" s="9" t="s">
        <v>11</v>
      </c>
      <c r="E431" s="10">
        <v>155</v>
      </c>
      <c r="F431" s="13">
        <f t="shared" si="6"/>
        <v>2635</v>
      </c>
    </row>
    <row r="432" spans="1:6" x14ac:dyDescent="0.25">
      <c r="B432" s="9"/>
      <c r="D432" s="9"/>
      <c r="F432" s="8">
        <f>SUM(F431)</f>
        <v>2635</v>
      </c>
    </row>
    <row r="433" spans="1:6" x14ac:dyDescent="0.25">
      <c r="B433" s="4"/>
      <c r="D433" s="9"/>
      <c r="F433" s="13"/>
    </row>
    <row r="434" spans="1:6" x14ac:dyDescent="0.25">
      <c r="A434" t="s">
        <v>44</v>
      </c>
      <c r="B434" s="4">
        <v>45968</v>
      </c>
      <c r="C434" s="5">
        <v>50</v>
      </c>
      <c r="D434" s="9" t="s">
        <v>14</v>
      </c>
      <c r="E434" s="10">
        <v>160</v>
      </c>
      <c r="F434" s="13">
        <f t="shared" si="6"/>
        <v>8000</v>
      </c>
    </row>
    <row r="435" spans="1:6" x14ac:dyDescent="0.25">
      <c r="B435" s="9"/>
      <c r="D435" s="9"/>
      <c r="F435" s="8">
        <f>SUM(F434)</f>
        <v>8000</v>
      </c>
    </row>
    <row r="436" spans="1:6" x14ac:dyDescent="0.25">
      <c r="B436" s="9"/>
      <c r="D436" s="9"/>
      <c r="F436" s="13"/>
    </row>
    <row r="437" spans="1:6" x14ac:dyDescent="0.25">
      <c r="A437" t="s">
        <v>81</v>
      </c>
      <c r="B437" s="4">
        <v>45968</v>
      </c>
      <c r="C437" s="5">
        <v>18</v>
      </c>
      <c r="D437" s="9" t="s">
        <v>14</v>
      </c>
      <c r="E437" s="10">
        <v>165</v>
      </c>
      <c r="F437" s="13">
        <f t="shared" si="6"/>
        <v>2970</v>
      </c>
    </row>
    <row r="438" spans="1:6" x14ac:dyDescent="0.25">
      <c r="B438" s="9"/>
      <c r="C438" s="5">
        <v>40</v>
      </c>
      <c r="D438" s="9" t="s">
        <v>11</v>
      </c>
      <c r="E438" s="10">
        <v>155</v>
      </c>
      <c r="F438" s="13">
        <f t="shared" si="6"/>
        <v>6200</v>
      </c>
    </row>
    <row r="439" spans="1:6" x14ac:dyDescent="0.25">
      <c r="B439" s="4"/>
      <c r="D439" s="9"/>
      <c r="F439" s="8">
        <f>SUM(F437:F438)</f>
        <v>9170</v>
      </c>
    </row>
    <row r="440" spans="1:6" x14ac:dyDescent="0.25">
      <c r="B440" s="9"/>
      <c r="D440" s="9"/>
      <c r="F440" s="13"/>
    </row>
    <row r="441" spans="1:6" x14ac:dyDescent="0.25">
      <c r="A441" t="s">
        <v>46</v>
      </c>
      <c r="B441" s="4">
        <v>45968</v>
      </c>
      <c r="C441" s="5">
        <v>25</v>
      </c>
      <c r="D441" s="9" t="s">
        <v>14</v>
      </c>
      <c r="E441" s="10">
        <v>165</v>
      </c>
      <c r="F441" s="13">
        <f t="shared" si="6"/>
        <v>4125</v>
      </c>
    </row>
    <row r="442" spans="1:6" x14ac:dyDescent="0.25">
      <c r="B442" s="9"/>
      <c r="D442" s="9"/>
      <c r="F442" s="8">
        <f>SUM(F441)</f>
        <v>4125</v>
      </c>
    </row>
    <row r="443" spans="1:6" x14ac:dyDescent="0.25">
      <c r="B443" s="9"/>
      <c r="D443" s="9"/>
      <c r="F443" s="13"/>
    </row>
    <row r="444" spans="1:6" x14ac:dyDescent="0.25">
      <c r="A444" t="s">
        <v>292</v>
      </c>
      <c r="B444" s="4">
        <v>45968</v>
      </c>
      <c r="C444" s="5">
        <v>5</v>
      </c>
      <c r="D444" s="9" t="s">
        <v>14</v>
      </c>
      <c r="E444" s="10">
        <v>155</v>
      </c>
      <c r="F444" s="13">
        <f t="shared" si="6"/>
        <v>775</v>
      </c>
    </row>
    <row r="445" spans="1:6" x14ac:dyDescent="0.25">
      <c r="B445" s="9"/>
      <c r="C445" s="5">
        <v>5</v>
      </c>
      <c r="D445" s="9" t="s">
        <v>11</v>
      </c>
      <c r="E445" s="10">
        <v>150</v>
      </c>
      <c r="F445" s="13">
        <f t="shared" si="6"/>
        <v>750</v>
      </c>
    </row>
    <row r="446" spans="1:6" x14ac:dyDescent="0.25">
      <c r="B446" s="9"/>
      <c r="D446" s="9"/>
      <c r="F446" s="8">
        <f>SUM(F444:F445)</f>
        <v>1525</v>
      </c>
    </row>
    <row r="447" spans="1:6" x14ac:dyDescent="0.25">
      <c r="B447" s="9"/>
      <c r="D447" s="9"/>
      <c r="F447" s="13"/>
    </row>
    <row r="448" spans="1:6" x14ac:dyDescent="0.25">
      <c r="A448" t="s">
        <v>151</v>
      </c>
      <c r="B448" s="4">
        <v>45968</v>
      </c>
      <c r="C448" s="5">
        <v>50</v>
      </c>
      <c r="D448" s="9" t="s">
        <v>11</v>
      </c>
      <c r="E448" s="10">
        <v>155</v>
      </c>
      <c r="F448" s="13">
        <f t="shared" si="6"/>
        <v>7750</v>
      </c>
    </row>
    <row r="449" spans="1:6" x14ac:dyDescent="0.25">
      <c r="B449" s="9"/>
      <c r="C449" s="5">
        <v>20</v>
      </c>
      <c r="D449" s="9" t="s">
        <v>12</v>
      </c>
      <c r="E449" s="10">
        <v>155</v>
      </c>
      <c r="F449" s="13">
        <f t="shared" si="6"/>
        <v>3100</v>
      </c>
    </row>
    <row r="450" spans="1:6" x14ac:dyDescent="0.25">
      <c r="B450" s="9"/>
      <c r="D450" s="9"/>
      <c r="F450" s="8">
        <f>SUM(F448:F449)</f>
        <v>10850</v>
      </c>
    </row>
    <row r="451" spans="1:6" x14ac:dyDescent="0.25">
      <c r="B451" s="9"/>
      <c r="D451" s="9"/>
      <c r="F451" s="13"/>
    </row>
    <row r="452" spans="1:6" x14ac:dyDescent="0.25">
      <c r="A452" t="s">
        <v>103</v>
      </c>
      <c r="B452" s="4">
        <v>45968</v>
      </c>
      <c r="C452" s="5">
        <v>4</v>
      </c>
      <c r="D452" s="9" t="s">
        <v>13</v>
      </c>
      <c r="E452" s="10">
        <v>170</v>
      </c>
      <c r="F452" s="13">
        <f t="shared" ref="F452:F515" si="7">+C452*E452</f>
        <v>680</v>
      </c>
    </row>
    <row r="453" spans="1:6" x14ac:dyDescent="0.25">
      <c r="B453" s="9"/>
      <c r="D453" s="9"/>
      <c r="F453" s="8">
        <f>SUM(F452)</f>
        <v>680</v>
      </c>
    </row>
    <row r="454" spans="1:6" x14ac:dyDescent="0.25">
      <c r="B454" s="9"/>
      <c r="D454" s="9"/>
      <c r="F454" s="13"/>
    </row>
    <row r="455" spans="1:6" x14ac:dyDescent="0.25">
      <c r="A455" t="s">
        <v>141</v>
      </c>
      <c r="B455" s="4">
        <v>45968</v>
      </c>
      <c r="C455" s="5">
        <v>10</v>
      </c>
      <c r="D455" s="9" t="s">
        <v>8</v>
      </c>
      <c r="E455" s="10">
        <v>175</v>
      </c>
      <c r="F455" s="13">
        <f t="shared" si="7"/>
        <v>1750</v>
      </c>
    </row>
    <row r="456" spans="1:6" x14ac:dyDescent="0.25">
      <c r="B456" s="9"/>
      <c r="D456" s="9"/>
      <c r="F456" s="8">
        <f>SUM(F455)</f>
        <v>1750</v>
      </c>
    </row>
    <row r="457" spans="1:6" x14ac:dyDescent="0.25">
      <c r="B457" s="9"/>
      <c r="D457" s="9"/>
      <c r="F457" s="13"/>
    </row>
    <row r="458" spans="1:6" x14ac:dyDescent="0.25">
      <c r="A458" t="s">
        <v>26</v>
      </c>
      <c r="B458" s="4">
        <v>45968</v>
      </c>
      <c r="C458" s="5">
        <v>10</v>
      </c>
      <c r="D458" s="9" t="s">
        <v>13</v>
      </c>
      <c r="E458" s="10">
        <v>155</v>
      </c>
      <c r="F458" s="13">
        <f t="shared" si="7"/>
        <v>1550</v>
      </c>
    </row>
    <row r="459" spans="1:6" x14ac:dyDescent="0.25">
      <c r="B459" s="4"/>
      <c r="D459" s="9"/>
      <c r="F459" s="8">
        <f>SUM(F458)</f>
        <v>1550</v>
      </c>
    </row>
    <row r="460" spans="1:6" x14ac:dyDescent="0.25">
      <c r="B460" s="9"/>
      <c r="D460" s="9"/>
      <c r="F460" s="13"/>
    </row>
    <row r="461" spans="1:6" x14ac:dyDescent="0.25">
      <c r="A461" t="s">
        <v>29</v>
      </c>
      <c r="B461" s="4">
        <v>45968</v>
      </c>
      <c r="C461" s="5">
        <v>2</v>
      </c>
      <c r="D461" s="9" t="s">
        <v>12</v>
      </c>
      <c r="E461" s="10">
        <v>160</v>
      </c>
      <c r="F461" s="13">
        <f t="shared" si="7"/>
        <v>320</v>
      </c>
    </row>
    <row r="462" spans="1:6" x14ac:dyDescent="0.25">
      <c r="B462" s="4"/>
      <c r="C462" s="11">
        <v>1.5</v>
      </c>
      <c r="D462" s="9" t="s">
        <v>13</v>
      </c>
      <c r="E462" s="10">
        <v>170</v>
      </c>
      <c r="F462" s="13">
        <f t="shared" si="7"/>
        <v>255</v>
      </c>
    </row>
    <row r="463" spans="1:6" x14ac:dyDescent="0.25">
      <c r="B463" s="9"/>
      <c r="C463" s="5">
        <v>10</v>
      </c>
      <c r="D463" s="9" t="s">
        <v>74</v>
      </c>
      <c r="E463" s="10">
        <v>170</v>
      </c>
      <c r="F463" s="13">
        <f t="shared" si="7"/>
        <v>1700</v>
      </c>
    </row>
    <row r="464" spans="1:6" x14ac:dyDescent="0.25">
      <c r="B464" s="9"/>
      <c r="D464" s="9"/>
      <c r="F464" s="8">
        <f>SUM(F461:F463)</f>
        <v>2275</v>
      </c>
    </row>
    <row r="465" spans="1:6" x14ac:dyDescent="0.25">
      <c r="B465" s="9"/>
      <c r="D465" s="9"/>
      <c r="F465" s="13"/>
    </row>
    <row r="466" spans="1:6" x14ac:dyDescent="0.25">
      <c r="A466" t="s">
        <v>127</v>
      </c>
      <c r="B466" s="4">
        <v>45969</v>
      </c>
      <c r="C466" s="5">
        <v>140</v>
      </c>
      <c r="D466" s="9" t="s">
        <v>13</v>
      </c>
      <c r="E466" s="10">
        <v>165</v>
      </c>
      <c r="F466" s="13">
        <f t="shared" si="7"/>
        <v>23100</v>
      </c>
    </row>
    <row r="467" spans="1:6" x14ac:dyDescent="0.25">
      <c r="B467" s="9"/>
      <c r="D467" s="9"/>
      <c r="F467" s="8">
        <f>SUM(F466)</f>
        <v>23100</v>
      </c>
    </row>
    <row r="468" spans="1:6" x14ac:dyDescent="0.25">
      <c r="B468" s="4"/>
      <c r="D468" s="9"/>
      <c r="F468" s="13"/>
    </row>
    <row r="469" spans="1:6" x14ac:dyDescent="0.25">
      <c r="A469" t="s">
        <v>88</v>
      </c>
      <c r="B469" s="4">
        <v>45969</v>
      </c>
      <c r="C469" s="5">
        <v>10</v>
      </c>
      <c r="D469" s="9" t="s">
        <v>14</v>
      </c>
      <c r="E469" s="10">
        <v>165</v>
      </c>
      <c r="F469" s="13">
        <f t="shared" si="7"/>
        <v>1650</v>
      </c>
    </row>
    <row r="470" spans="1:6" x14ac:dyDescent="0.25">
      <c r="B470" s="9"/>
      <c r="D470" s="9"/>
      <c r="F470" s="8">
        <f>SUM(F469)</f>
        <v>1650</v>
      </c>
    </row>
    <row r="471" spans="1:6" x14ac:dyDescent="0.25">
      <c r="B471" s="4"/>
      <c r="D471" s="9"/>
      <c r="F471" s="13"/>
    </row>
    <row r="472" spans="1:6" x14ac:dyDescent="0.25">
      <c r="A472" t="s">
        <v>72</v>
      </c>
      <c r="B472" s="4">
        <v>45969</v>
      </c>
      <c r="C472" s="5">
        <v>100</v>
      </c>
      <c r="D472" s="9" t="s">
        <v>14</v>
      </c>
      <c r="E472" s="10">
        <v>160</v>
      </c>
      <c r="F472" s="13">
        <f t="shared" si="7"/>
        <v>16000</v>
      </c>
    </row>
    <row r="473" spans="1:6" x14ac:dyDescent="0.25">
      <c r="B473" s="9"/>
      <c r="C473" s="5">
        <v>100</v>
      </c>
      <c r="D473" s="9" t="s">
        <v>11</v>
      </c>
      <c r="E473" s="10">
        <v>155</v>
      </c>
      <c r="F473" s="13">
        <f t="shared" si="7"/>
        <v>15500</v>
      </c>
    </row>
    <row r="474" spans="1:6" x14ac:dyDescent="0.25">
      <c r="B474" s="4"/>
      <c r="C474" s="5">
        <v>80</v>
      </c>
      <c r="D474" s="9" t="s">
        <v>13</v>
      </c>
      <c r="E474" s="10">
        <v>160</v>
      </c>
      <c r="F474" s="13">
        <f t="shared" si="7"/>
        <v>12800</v>
      </c>
    </row>
    <row r="475" spans="1:6" x14ac:dyDescent="0.25">
      <c r="B475" s="9"/>
      <c r="C475" s="5">
        <v>170</v>
      </c>
      <c r="D475" s="9" t="s">
        <v>12</v>
      </c>
      <c r="E475" s="10">
        <v>155</v>
      </c>
      <c r="F475" s="13">
        <f t="shared" si="7"/>
        <v>26350</v>
      </c>
    </row>
    <row r="476" spans="1:6" x14ac:dyDescent="0.25">
      <c r="B476" s="9"/>
      <c r="D476" s="9"/>
      <c r="F476" s="8">
        <f>SUM(F472:F475)</f>
        <v>70650</v>
      </c>
    </row>
    <row r="477" spans="1:6" x14ac:dyDescent="0.25">
      <c r="B477" s="9"/>
      <c r="D477" s="9"/>
      <c r="F477" s="13"/>
    </row>
    <row r="478" spans="1:6" x14ac:dyDescent="0.25">
      <c r="A478" t="s">
        <v>1117</v>
      </c>
      <c r="B478" s="4">
        <v>45969</v>
      </c>
      <c r="C478" s="5">
        <v>15</v>
      </c>
      <c r="D478" s="9" t="s">
        <v>12</v>
      </c>
      <c r="E478" s="10">
        <v>160</v>
      </c>
      <c r="F478" s="13">
        <f t="shared" si="7"/>
        <v>2400</v>
      </c>
    </row>
    <row r="479" spans="1:6" x14ac:dyDescent="0.25">
      <c r="B479" s="9"/>
      <c r="C479" s="5">
        <v>10</v>
      </c>
      <c r="D479" s="9" t="s">
        <v>13</v>
      </c>
      <c r="E479" s="10">
        <v>165</v>
      </c>
      <c r="F479" s="13">
        <f t="shared" si="7"/>
        <v>1650</v>
      </c>
    </row>
    <row r="480" spans="1:6" x14ac:dyDescent="0.25">
      <c r="B480" s="9"/>
      <c r="C480" s="5">
        <v>25</v>
      </c>
      <c r="D480" s="9" t="s">
        <v>14</v>
      </c>
      <c r="E480" s="10">
        <v>165</v>
      </c>
      <c r="F480" s="13">
        <f t="shared" si="7"/>
        <v>4125</v>
      </c>
    </row>
    <row r="481" spans="1:6" x14ac:dyDescent="0.25">
      <c r="B481" s="9"/>
      <c r="D481" s="9"/>
      <c r="F481" s="8">
        <f>SUM(F478:F480)</f>
        <v>8175</v>
      </c>
    </row>
    <row r="482" spans="1:6" x14ac:dyDescent="0.25">
      <c r="B482" s="9"/>
      <c r="D482" s="9"/>
      <c r="F482" s="13"/>
    </row>
    <row r="483" spans="1:6" x14ac:dyDescent="0.25">
      <c r="A483" t="s">
        <v>29</v>
      </c>
      <c r="B483" s="4">
        <v>45969</v>
      </c>
      <c r="C483" s="5">
        <v>4</v>
      </c>
      <c r="D483" s="9" t="s">
        <v>98</v>
      </c>
      <c r="E483" s="10">
        <v>125</v>
      </c>
      <c r="F483" s="13">
        <f t="shared" si="7"/>
        <v>500</v>
      </c>
    </row>
    <row r="484" spans="1:6" x14ac:dyDescent="0.25">
      <c r="B484" s="4"/>
      <c r="C484" s="5">
        <v>6</v>
      </c>
      <c r="D484" s="9" t="s">
        <v>14</v>
      </c>
      <c r="E484" s="10">
        <v>140</v>
      </c>
      <c r="F484" s="13">
        <f t="shared" si="7"/>
        <v>840</v>
      </c>
    </row>
    <row r="485" spans="1:6" x14ac:dyDescent="0.25">
      <c r="B485" s="9"/>
      <c r="C485" s="5">
        <v>1</v>
      </c>
      <c r="D485" s="9" t="s">
        <v>49</v>
      </c>
      <c r="E485" s="10">
        <v>180</v>
      </c>
      <c r="F485" s="13">
        <f t="shared" si="7"/>
        <v>180</v>
      </c>
    </row>
    <row r="486" spans="1:6" x14ac:dyDescent="0.25">
      <c r="B486" s="9"/>
      <c r="C486" s="5">
        <v>1</v>
      </c>
      <c r="D486" s="9" t="s">
        <v>13</v>
      </c>
      <c r="E486" s="10">
        <v>170</v>
      </c>
      <c r="F486" s="13">
        <f t="shared" si="7"/>
        <v>170</v>
      </c>
    </row>
    <row r="487" spans="1:6" x14ac:dyDescent="0.25">
      <c r="B487" s="9"/>
      <c r="D487" s="9"/>
      <c r="F487" s="8">
        <f>SUM(F483:F486)</f>
        <v>1690</v>
      </c>
    </row>
    <row r="488" spans="1:6" x14ac:dyDescent="0.25">
      <c r="B488" s="4"/>
      <c r="D488" s="9"/>
      <c r="F488" s="13"/>
    </row>
    <row r="489" spans="1:6" x14ac:dyDescent="0.25">
      <c r="A489" t="s">
        <v>181</v>
      </c>
      <c r="B489" s="4">
        <v>45969</v>
      </c>
      <c r="C489" s="5">
        <v>1</v>
      </c>
      <c r="D489" s="9" t="s">
        <v>49</v>
      </c>
      <c r="E489" s="10">
        <v>180</v>
      </c>
      <c r="F489" s="13">
        <f t="shared" si="7"/>
        <v>180</v>
      </c>
    </row>
    <row r="490" spans="1:6" x14ac:dyDescent="0.25">
      <c r="B490" s="9"/>
      <c r="D490" s="9"/>
      <c r="F490" s="8">
        <f>SUM(F489)</f>
        <v>180</v>
      </c>
    </row>
    <row r="491" spans="1:6" x14ac:dyDescent="0.25">
      <c r="B491" s="9"/>
      <c r="D491" s="9"/>
      <c r="F491" s="13"/>
    </row>
    <row r="492" spans="1:6" x14ac:dyDescent="0.25">
      <c r="A492" t="s">
        <v>1118</v>
      </c>
      <c r="B492" s="4">
        <v>45970</v>
      </c>
      <c r="C492" s="5">
        <v>71</v>
      </c>
      <c r="D492" s="9" t="s">
        <v>22</v>
      </c>
      <c r="E492" s="10">
        <v>145</v>
      </c>
      <c r="F492" s="13">
        <f t="shared" si="7"/>
        <v>10295</v>
      </c>
    </row>
    <row r="493" spans="1:6" x14ac:dyDescent="0.25">
      <c r="B493" s="9"/>
      <c r="C493" s="5">
        <v>40</v>
      </c>
      <c r="D493" s="9" t="s">
        <v>14</v>
      </c>
      <c r="E493" s="10">
        <v>165</v>
      </c>
      <c r="F493" s="13">
        <f t="shared" si="7"/>
        <v>6600</v>
      </c>
    </row>
    <row r="494" spans="1:6" x14ac:dyDescent="0.25">
      <c r="B494" s="4"/>
      <c r="C494" s="5">
        <v>94</v>
      </c>
      <c r="D494" s="9" t="s">
        <v>13</v>
      </c>
      <c r="E494" s="10">
        <v>165</v>
      </c>
      <c r="F494" s="13">
        <f t="shared" si="7"/>
        <v>15510</v>
      </c>
    </row>
    <row r="495" spans="1:6" x14ac:dyDescent="0.25">
      <c r="B495" s="9"/>
      <c r="D495" s="9"/>
      <c r="F495" s="8">
        <f>SUM(F492:F494)</f>
        <v>32405</v>
      </c>
    </row>
    <row r="496" spans="1:6" x14ac:dyDescent="0.25">
      <c r="B496" s="9"/>
      <c r="D496" s="9"/>
      <c r="F496" s="13"/>
    </row>
    <row r="497" spans="1:6" x14ac:dyDescent="0.25">
      <c r="A497" t="s">
        <v>181</v>
      </c>
      <c r="B497" s="4">
        <v>45970</v>
      </c>
      <c r="C497" s="5">
        <v>1</v>
      </c>
      <c r="D497" s="9" t="s">
        <v>8</v>
      </c>
      <c r="E497" s="10">
        <v>180</v>
      </c>
      <c r="F497" s="13">
        <f t="shared" si="7"/>
        <v>180</v>
      </c>
    </row>
    <row r="498" spans="1:6" x14ac:dyDescent="0.25">
      <c r="B498" s="9"/>
      <c r="C498" s="5">
        <v>1</v>
      </c>
      <c r="D498" s="9" t="s">
        <v>1119</v>
      </c>
      <c r="E498" s="10">
        <v>0</v>
      </c>
      <c r="F498" s="13">
        <f t="shared" si="7"/>
        <v>0</v>
      </c>
    </row>
    <row r="499" spans="1:6" x14ac:dyDescent="0.25">
      <c r="B499" s="9"/>
      <c r="C499" s="5">
        <v>2</v>
      </c>
      <c r="D499" s="9" t="s">
        <v>8</v>
      </c>
      <c r="E499" s="10">
        <v>180</v>
      </c>
      <c r="F499" s="13">
        <f t="shared" si="7"/>
        <v>360</v>
      </c>
    </row>
    <row r="500" spans="1:6" x14ac:dyDescent="0.25">
      <c r="B500" s="9"/>
      <c r="C500" s="5">
        <v>2</v>
      </c>
      <c r="D500" s="9" t="s">
        <v>12</v>
      </c>
      <c r="E500" s="10">
        <v>180</v>
      </c>
      <c r="F500" s="13">
        <f t="shared" si="7"/>
        <v>360</v>
      </c>
    </row>
    <row r="501" spans="1:6" x14ac:dyDescent="0.25">
      <c r="B501" s="9"/>
      <c r="C501" s="5">
        <v>3</v>
      </c>
      <c r="D501" s="9" t="s">
        <v>8</v>
      </c>
      <c r="E501" s="10">
        <v>180</v>
      </c>
      <c r="F501" s="13">
        <f t="shared" si="7"/>
        <v>540</v>
      </c>
    </row>
    <row r="502" spans="1:6" x14ac:dyDescent="0.25">
      <c r="B502" s="4"/>
      <c r="C502" s="5">
        <v>1</v>
      </c>
      <c r="D502" s="9" t="s">
        <v>1120</v>
      </c>
      <c r="E502" s="10">
        <v>0</v>
      </c>
      <c r="F502" s="13">
        <f t="shared" si="7"/>
        <v>0</v>
      </c>
    </row>
    <row r="503" spans="1:6" x14ac:dyDescent="0.25">
      <c r="B503" s="9"/>
      <c r="C503" s="5">
        <v>1</v>
      </c>
      <c r="D503" s="9" t="s">
        <v>12</v>
      </c>
      <c r="E503" s="10">
        <v>160</v>
      </c>
      <c r="F503" s="13">
        <f t="shared" si="7"/>
        <v>160</v>
      </c>
    </row>
    <row r="504" spans="1:6" x14ac:dyDescent="0.25">
      <c r="B504" s="9"/>
      <c r="D504" s="9"/>
      <c r="F504" s="8">
        <f>SUM(F497:F503)</f>
        <v>1600</v>
      </c>
    </row>
    <row r="505" spans="1:6" x14ac:dyDescent="0.25">
      <c r="B505" s="9"/>
      <c r="D505" s="9"/>
      <c r="F505" s="13"/>
    </row>
    <row r="506" spans="1:6" x14ac:dyDescent="0.25">
      <c r="A506" t="s">
        <v>550</v>
      </c>
      <c r="B506" s="4">
        <v>45971</v>
      </c>
      <c r="C506" s="5">
        <v>10</v>
      </c>
      <c r="D506" s="9" t="s">
        <v>98</v>
      </c>
      <c r="E506" s="10">
        <v>125</v>
      </c>
      <c r="F506" s="13">
        <f t="shared" si="7"/>
        <v>1250</v>
      </c>
    </row>
    <row r="507" spans="1:6" x14ac:dyDescent="0.25">
      <c r="B507" s="9"/>
      <c r="D507" s="9"/>
      <c r="F507" s="8">
        <f>SUM(F506)</f>
        <v>1250</v>
      </c>
    </row>
    <row r="508" spans="1:6" x14ac:dyDescent="0.25">
      <c r="B508" s="9"/>
      <c r="D508" s="9"/>
      <c r="F508" s="13"/>
    </row>
    <row r="509" spans="1:6" x14ac:dyDescent="0.25">
      <c r="A509" t="s">
        <v>15</v>
      </c>
      <c r="B509" s="4">
        <v>45971</v>
      </c>
      <c r="C509" s="5">
        <v>40</v>
      </c>
      <c r="D509" s="9" t="s">
        <v>98</v>
      </c>
      <c r="E509" s="10">
        <v>120</v>
      </c>
      <c r="F509" s="13">
        <f t="shared" si="7"/>
        <v>4800</v>
      </c>
    </row>
    <row r="510" spans="1:6" x14ac:dyDescent="0.25">
      <c r="B510" s="9"/>
      <c r="D510" s="9"/>
      <c r="F510" s="8">
        <f>SUM(F509)</f>
        <v>4800</v>
      </c>
    </row>
    <row r="511" spans="1:6" x14ac:dyDescent="0.25">
      <c r="B511" s="9"/>
      <c r="D511" s="9"/>
      <c r="F511" s="13"/>
    </row>
    <row r="512" spans="1:6" x14ac:dyDescent="0.25">
      <c r="A512" t="s">
        <v>58</v>
      </c>
      <c r="B512" s="4">
        <v>45971</v>
      </c>
      <c r="C512" s="5">
        <v>8</v>
      </c>
      <c r="D512" s="9" t="s">
        <v>13</v>
      </c>
      <c r="E512" s="10">
        <v>165</v>
      </c>
      <c r="F512" s="13">
        <f t="shared" si="7"/>
        <v>1320</v>
      </c>
    </row>
    <row r="513" spans="1:6" x14ac:dyDescent="0.25">
      <c r="B513" s="9"/>
      <c r="D513" s="9"/>
      <c r="F513" s="8">
        <f>SUM(F512)</f>
        <v>1320</v>
      </c>
    </row>
    <row r="514" spans="1:6" x14ac:dyDescent="0.25">
      <c r="B514" s="9"/>
      <c r="D514" s="9"/>
      <c r="F514" s="13"/>
    </row>
    <row r="515" spans="1:6" x14ac:dyDescent="0.25">
      <c r="A515" t="s">
        <v>1121</v>
      </c>
      <c r="B515" s="4">
        <v>45971</v>
      </c>
      <c r="C515" s="5">
        <v>5</v>
      </c>
      <c r="D515" s="9" t="s">
        <v>13</v>
      </c>
      <c r="E515" s="10">
        <v>170</v>
      </c>
      <c r="F515" s="13">
        <f t="shared" si="7"/>
        <v>850</v>
      </c>
    </row>
    <row r="516" spans="1:6" x14ac:dyDescent="0.25">
      <c r="B516" s="9"/>
      <c r="D516" s="9"/>
      <c r="F516" s="8">
        <f>SUM(F515)</f>
        <v>850</v>
      </c>
    </row>
    <row r="517" spans="1:6" x14ac:dyDescent="0.25">
      <c r="B517" s="9"/>
      <c r="D517" s="9"/>
      <c r="F517" s="13"/>
    </row>
    <row r="518" spans="1:6" x14ac:dyDescent="0.25">
      <c r="A518" t="s">
        <v>688</v>
      </c>
      <c r="B518" s="4">
        <v>45971</v>
      </c>
      <c r="C518" s="5">
        <v>3</v>
      </c>
      <c r="D518" s="9" t="s">
        <v>13</v>
      </c>
      <c r="E518" s="10">
        <v>165</v>
      </c>
      <c r="F518" s="13">
        <f t="shared" ref="F518:F578" si="8">+C518*E518</f>
        <v>495</v>
      </c>
    </row>
    <row r="519" spans="1:6" x14ac:dyDescent="0.25">
      <c r="B519" s="9"/>
      <c r="D519" s="9"/>
      <c r="F519" s="8">
        <f>SUM(F518)</f>
        <v>495</v>
      </c>
    </row>
    <row r="520" spans="1:6" x14ac:dyDescent="0.25">
      <c r="B520" s="9"/>
      <c r="D520" s="9"/>
      <c r="F520" s="13"/>
    </row>
    <row r="521" spans="1:6" x14ac:dyDescent="0.25">
      <c r="A521" t="s">
        <v>20</v>
      </c>
      <c r="B521" s="4">
        <v>45971</v>
      </c>
      <c r="C521" s="5">
        <v>20</v>
      </c>
      <c r="D521" s="9" t="s">
        <v>13</v>
      </c>
      <c r="E521" s="10">
        <v>170</v>
      </c>
      <c r="F521" s="13">
        <f t="shared" si="8"/>
        <v>3400</v>
      </c>
    </row>
    <row r="522" spans="1:6" x14ac:dyDescent="0.25">
      <c r="B522" s="9"/>
      <c r="C522" s="5">
        <v>20</v>
      </c>
      <c r="D522" s="9" t="s">
        <v>8</v>
      </c>
      <c r="E522" s="10">
        <v>175</v>
      </c>
      <c r="F522" s="13">
        <f t="shared" si="8"/>
        <v>3500</v>
      </c>
    </row>
    <row r="523" spans="1:6" x14ac:dyDescent="0.25">
      <c r="B523" s="9"/>
      <c r="D523" s="9"/>
      <c r="F523" s="8">
        <f>SUM(F521:F522)</f>
        <v>6900</v>
      </c>
    </row>
    <row r="524" spans="1:6" x14ac:dyDescent="0.25">
      <c r="B524" s="9"/>
      <c r="D524" s="9"/>
      <c r="F524" s="13"/>
    </row>
    <row r="525" spans="1:6" x14ac:dyDescent="0.25">
      <c r="A525" t="s">
        <v>21</v>
      </c>
      <c r="B525" s="4">
        <v>45971</v>
      </c>
      <c r="C525" s="5">
        <v>13</v>
      </c>
      <c r="D525" s="9" t="s">
        <v>13</v>
      </c>
      <c r="E525" s="10">
        <v>170</v>
      </c>
      <c r="F525" s="13">
        <f t="shared" si="8"/>
        <v>2210</v>
      </c>
    </row>
    <row r="526" spans="1:6" x14ac:dyDescent="0.25">
      <c r="B526" s="9"/>
      <c r="D526" s="9"/>
      <c r="F526" s="8">
        <f>SUM(F525)</f>
        <v>2210</v>
      </c>
    </row>
    <row r="527" spans="1:6" x14ac:dyDescent="0.25">
      <c r="B527" s="9"/>
      <c r="D527" s="9"/>
      <c r="F527" s="13"/>
    </row>
    <row r="528" spans="1:6" x14ac:dyDescent="0.25">
      <c r="A528" t="s">
        <v>367</v>
      </c>
      <c r="B528" s="4">
        <v>45971</v>
      </c>
      <c r="C528" s="5">
        <v>10</v>
      </c>
      <c r="D528" s="9" t="s">
        <v>13</v>
      </c>
      <c r="E528" s="10">
        <v>170</v>
      </c>
      <c r="F528" s="13">
        <f t="shared" si="8"/>
        <v>1700</v>
      </c>
    </row>
    <row r="529" spans="1:6" x14ac:dyDescent="0.25">
      <c r="B529" s="9"/>
      <c r="D529" s="9"/>
      <c r="F529" s="8">
        <f>SUM(F528)</f>
        <v>1700</v>
      </c>
    </row>
    <row r="530" spans="1:6" x14ac:dyDescent="0.25">
      <c r="B530" s="9"/>
      <c r="D530" s="9"/>
      <c r="F530" s="13"/>
    </row>
    <row r="531" spans="1:6" x14ac:dyDescent="0.25">
      <c r="A531" t="s">
        <v>923</v>
      </c>
      <c r="B531" s="4">
        <v>45971</v>
      </c>
      <c r="C531" s="5">
        <v>10</v>
      </c>
      <c r="D531" s="9" t="s">
        <v>8</v>
      </c>
      <c r="E531" s="10">
        <v>175</v>
      </c>
      <c r="F531" s="13">
        <f t="shared" si="8"/>
        <v>1750</v>
      </c>
    </row>
    <row r="532" spans="1:6" x14ac:dyDescent="0.25">
      <c r="B532" s="9"/>
      <c r="C532" s="5">
        <v>3</v>
      </c>
      <c r="D532" s="9" t="s">
        <v>8</v>
      </c>
      <c r="E532" s="10">
        <v>175</v>
      </c>
      <c r="F532" s="13">
        <f t="shared" si="8"/>
        <v>525</v>
      </c>
    </row>
    <row r="533" spans="1:6" x14ac:dyDescent="0.25">
      <c r="B533" s="9"/>
      <c r="D533" s="9"/>
      <c r="F533" s="8">
        <f>SUM(F531:F532)</f>
        <v>2275</v>
      </c>
    </row>
    <row r="534" spans="1:6" x14ac:dyDescent="0.25">
      <c r="B534" s="4"/>
      <c r="D534" s="9"/>
      <c r="F534" s="13"/>
    </row>
    <row r="535" spans="1:6" x14ac:dyDescent="0.25">
      <c r="A535" t="s">
        <v>40</v>
      </c>
      <c r="B535" s="4">
        <v>45971</v>
      </c>
      <c r="C535" s="5">
        <v>15</v>
      </c>
      <c r="D535" s="9" t="s">
        <v>13</v>
      </c>
      <c r="E535" s="10">
        <v>170</v>
      </c>
      <c r="F535" s="13">
        <f t="shared" si="8"/>
        <v>2550</v>
      </c>
    </row>
    <row r="536" spans="1:6" x14ac:dyDescent="0.25">
      <c r="B536" s="9"/>
      <c r="C536" s="5">
        <v>10</v>
      </c>
      <c r="D536" s="9" t="s">
        <v>12</v>
      </c>
      <c r="E536" s="10">
        <v>160</v>
      </c>
      <c r="F536" s="13">
        <f t="shared" si="8"/>
        <v>1600</v>
      </c>
    </row>
    <row r="537" spans="1:6" x14ac:dyDescent="0.25">
      <c r="B537" s="9"/>
      <c r="C537" s="5">
        <v>10</v>
      </c>
      <c r="D537" s="9" t="s">
        <v>187</v>
      </c>
      <c r="E537" s="10">
        <v>165</v>
      </c>
      <c r="F537" s="13">
        <f t="shared" si="8"/>
        <v>1650</v>
      </c>
    </row>
    <row r="538" spans="1:6" x14ac:dyDescent="0.25">
      <c r="B538" s="4"/>
      <c r="C538" s="5">
        <v>10</v>
      </c>
      <c r="D538" s="9" t="s">
        <v>8</v>
      </c>
      <c r="E538" s="10">
        <v>175</v>
      </c>
      <c r="F538" s="13">
        <f t="shared" si="8"/>
        <v>1750</v>
      </c>
    </row>
    <row r="539" spans="1:6" x14ac:dyDescent="0.25">
      <c r="B539" s="9"/>
      <c r="D539" s="9"/>
      <c r="F539" s="8">
        <f>SUM(F535:F538)</f>
        <v>7550</v>
      </c>
    </row>
    <row r="540" spans="1:6" x14ac:dyDescent="0.25">
      <c r="B540" s="9"/>
      <c r="D540" s="9"/>
      <c r="F540" s="13"/>
    </row>
    <row r="541" spans="1:6" x14ac:dyDescent="0.25">
      <c r="A541" t="s">
        <v>1122</v>
      </c>
      <c r="B541" s="4">
        <v>45971</v>
      </c>
      <c r="C541" s="5">
        <v>10</v>
      </c>
      <c r="D541" s="9" t="s">
        <v>12</v>
      </c>
      <c r="E541" s="10">
        <v>160</v>
      </c>
      <c r="F541" s="13">
        <f t="shared" si="8"/>
        <v>1600</v>
      </c>
    </row>
    <row r="542" spans="1:6" x14ac:dyDescent="0.25">
      <c r="B542" s="9"/>
      <c r="D542" s="9"/>
      <c r="F542" s="8">
        <f>SUM(F541)</f>
        <v>1600</v>
      </c>
    </row>
    <row r="543" spans="1:6" x14ac:dyDescent="0.25">
      <c r="B543" s="9"/>
      <c r="D543" s="9"/>
      <c r="F543" s="13"/>
    </row>
    <row r="544" spans="1:6" x14ac:dyDescent="0.25">
      <c r="A544" t="s">
        <v>41</v>
      </c>
      <c r="B544" s="4">
        <v>45971</v>
      </c>
      <c r="C544" s="5">
        <v>30</v>
      </c>
      <c r="D544" s="9" t="s">
        <v>1123</v>
      </c>
      <c r="E544" s="10">
        <v>150</v>
      </c>
      <c r="F544" s="13">
        <f t="shared" si="8"/>
        <v>4500</v>
      </c>
    </row>
    <row r="545" spans="1:6" x14ac:dyDescent="0.25">
      <c r="B545" s="9"/>
      <c r="D545" s="9"/>
      <c r="F545" s="8">
        <f>SUM(F544)</f>
        <v>4500</v>
      </c>
    </row>
    <row r="546" spans="1:6" x14ac:dyDescent="0.25">
      <c r="B546" s="9"/>
      <c r="D546" s="9"/>
      <c r="F546" s="13"/>
    </row>
    <row r="547" spans="1:6" x14ac:dyDescent="0.25">
      <c r="A547" t="s">
        <v>959</v>
      </c>
      <c r="B547" s="4">
        <v>45971</v>
      </c>
      <c r="C547" s="5">
        <v>15</v>
      </c>
      <c r="D547" s="9" t="s">
        <v>14</v>
      </c>
      <c r="E547" s="10">
        <v>170</v>
      </c>
      <c r="F547" s="13">
        <f t="shared" si="8"/>
        <v>2550</v>
      </c>
    </row>
    <row r="548" spans="1:6" x14ac:dyDescent="0.25">
      <c r="B548" s="9"/>
      <c r="D548" s="9"/>
      <c r="F548" s="8">
        <f>SUM(F547)</f>
        <v>2550</v>
      </c>
    </row>
    <row r="549" spans="1:6" x14ac:dyDescent="0.25">
      <c r="B549" s="9"/>
      <c r="D549" s="9"/>
      <c r="F549" s="13"/>
    </row>
    <row r="550" spans="1:6" x14ac:dyDescent="0.25">
      <c r="A550" t="s">
        <v>383</v>
      </c>
      <c r="B550" s="4">
        <v>45971</v>
      </c>
      <c r="C550" s="5">
        <v>20</v>
      </c>
      <c r="D550" s="9" t="s">
        <v>14</v>
      </c>
      <c r="E550" s="10">
        <v>170</v>
      </c>
      <c r="F550" s="13">
        <f t="shared" si="8"/>
        <v>3400</v>
      </c>
    </row>
    <row r="551" spans="1:6" x14ac:dyDescent="0.25">
      <c r="B551" s="9"/>
      <c r="D551" s="9"/>
      <c r="F551" s="8">
        <f>SUM(F550)</f>
        <v>3400</v>
      </c>
    </row>
    <row r="552" spans="1:6" x14ac:dyDescent="0.25">
      <c r="B552" s="9"/>
      <c r="D552" s="9"/>
      <c r="F552" s="13"/>
    </row>
    <row r="553" spans="1:6" x14ac:dyDescent="0.25">
      <c r="A553" t="s">
        <v>44</v>
      </c>
      <c r="B553" s="4">
        <v>45971</v>
      </c>
      <c r="C553" s="5">
        <v>90</v>
      </c>
      <c r="D553" s="9" t="s">
        <v>14</v>
      </c>
      <c r="E553" s="10">
        <v>165</v>
      </c>
      <c r="F553" s="13">
        <f t="shared" si="8"/>
        <v>14850</v>
      </c>
    </row>
    <row r="554" spans="1:6" x14ac:dyDescent="0.25">
      <c r="B554" s="9"/>
      <c r="D554" s="9"/>
      <c r="F554" s="8">
        <f>SUM(F553)</f>
        <v>14850</v>
      </c>
    </row>
    <row r="555" spans="1:6" x14ac:dyDescent="0.25">
      <c r="B555" s="9"/>
      <c r="D555" s="9"/>
      <c r="F555" s="13"/>
    </row>
    <row r="556" spans="1:6" x14ac:dyDescent="0.25">
      <c r="A556" t="s">
        <v>43</v>
      </c>
      <c r="B556" s="4">
        <v>45971</v>
      </c>
      <c r="C556" s="5">
        <v>10</v>
      </c>
      <c r="D556" s="9" t="s">
        <v>14</v>
      </c>
      <c r="E556" s="10">
        <v>170</v>
      </c>
      <c r="F556" s="13">
        <f t="shared" si="8"/>
        <v>1700</v>
      </c>
    </row>
    <row r="557" spans="1:6" x14ac:dyDescent="0.25">
      <c r="B557" s="9"/>
      <c r="D557" s="9"/>
      <c r="F557" s="8">
        <f>SUM(F556)</f>
        <v>1700</v>
      </c>
    </row>
    <row r="558" spans="1:6" x14ac:dyDescent="0.25">
      <c r="B558" s="9"/>
      <c r="D558" s="9"/>
      <c r="F558" s="13"/>
    </row>
    <row r="559" spans="1:6" s="9" customFormat="1" x14ac:dyDescent="0.25">
      <c r="A559" s="9" t="s">
        <v>18</v>
      </c>
      <c r="B559" s="4">
        <v>45971</v>
      </c>
      <c r="C559" s="5">
        <v>50</v>
      </c>
      <c r="D559" s="9" t="s">
        <v>14</v>
      </c>
      <c r="E559" s="10">
        <v>170</v>
      </c>
      <c r="F559" s="13">
        <f t="shared" si="8"/>
        <v>8500</v>
      </c>
    </row>
    <row r="560" spans="1:6" s="9" customFormat="1" x14ac:dyDescent="0.25">
      <c r="C560" s="5"/>
      <c r="E560" s="10"/>
      <c r="F560" s="8">
        <f>SUM(F559)</f>
        <v>8500</v>
      </c>
    </row>
    <row r="561" spans="1:6" s="9" customFormat="1" x14ac:dyDescent="0.25">
      <c r="C561" s="5"/>
      <c r="E561" s="10"/>
      <c r="F561" s="13"/>
    </row>
    <row r="562" spans="1:6" x14ac:dyDescent="0.25">
      <c r="A562" t="s">
        <v>1069</v>
      </c>
      <c r="B562" s="4">
        <v>45971</v>
      </c>
      <c r="C562" s="5">
        <v>4</v>
      </c>
      <c r="D562" s="9" t="s">
        <v>13</v>
      </c>
      <c r="E562" s="10">
        <v>170</v>
      </c>
      <c r="F562" s="13">
        <f t="shared" si="8"/>
        <v>680</v>
      </c>
    </row>
    <row r="563" spans="1:6" x14ac:dyDescent="0.25">
      <c r="B563" s="9"/>
      <c r="D563" s="9"/>
      <c r="F563" s="8">
        <f>SUM(F562)</f>
        <v>680</v>
      </c>
    </row>
    <row r="564" spans="1:6" x14ac:dyDescent="0.25">
      <c r="B564" s="9"/>
      <c r="D564" s="9"/>
      <c r="F564" s="13"/>
    </row>
    <row r="565" spans="1:6" x14ac:dyDescent="0.25">
      <c r="A565" t="s">
        <v>66</v>
      </c>
      <c r="B565" s="4">
        <v>45971</v>
      </c>
      <c r="C565" s="5">
        <v>20</v>
      </c>
      <c r="D565" s="9" t="s">
        <v>8</v>
      </c>
      <c r="E565" s="10">
        <v>175</v>
      </c>
      <c r="F565" s="13">
        <f t="shared" si="8"/>
        <v>3500</v>
      </c>
    </row>
    <row r="566" spans="1:6" x14ac:dyDescent="0.25">
      <c r="B566" s="4"/>
      <c r="D566" s="9"/>
      <c r="F566" s="8">
        <f>SUM(F565)</f>
        <v>3500</v>
      </c>
    </row>
    <row r="567" spans="1:6" x14ac:dyDescent="0.25">
      <c r="B567" s="9"/>
      <c r="D567" s="9"/>
      <c r="F567" s="13"/>
    </row>
    <row r="568" spans="1:6" x14ac:dyDescent="0.25">
      <c r="A568" t="s">
        <v>76</v>
      </c>
      <c r="B568" s="4">
        <v>45971</v>
      </c>
      <c r="C568" s="5">
        <v>48</v>
      </c>
      <c r="D568" s="9" t="s">
        <v>12</v>
      </c>
      <c r="E568" s="10">
        <v>155</v>
      </c>
      <c r="F568" s="13">
        <f t="shared" si="8"/>
        <v>7440</v>
      </c>
    </row>
    <row r="569" spans="1:6" x14ac:dyDescent="0.25">
      <c r="B569" s="4"/>
      <c r="C569" s="5">
        <v>22</v>
      </c>
      <c r="D569" s="9" t="s">
        <v>13</v>
      </c>
      <c r="E569" s="10">
        <v>160</v>
      </c>
      <c r="F569" s="13">
        <f t="shared" si="8"/>
        <v>3520</v>
      </c>
    </row>
    <row r="570" spans="1:6" x14ac:dyDescent="0.25">
      <c r="B570" s="9"/>
      <c r="C570" s="5">
        <v>36</v>
      </c>
      <c r="D570" s="9" t="s">
        <v>799</v>
      </c>
      <c r="E570" s="10">
        <v>155</v>
      </c>
      <c r="F570" s="13">
        <f t="shared" si="8"/>
        <v>5580</v>
      </c>
    </row>
    <row r="571" spans="1:6" x14ac:dyDescent="0.25">
      <c r="B571" s="9"/>
      <c r="C571" s="5">
        <v>17.5</v>
      </c>
      <c r="D571" s="9" t="s">
        <v>1124</v>
      </c>
      <c r="E571" s="10">
        <v>155</v>
      </c>
      <c r="F571" s="13">
        <f t="shared" si="8"/>
        <v>2712.5</v>
      </c>
    </row>
    <row r="572" spans="1:6" x14ac:dyDescent="0.25">
      <c r="B572" s="9"/>
      <c r="C572" s="5">
        <v>300</v>
      </c>
      <c r="D572" s="9" t="s">
        <v>121</v>
      </c>
      <c r="E572" s="10">
        <v>160</v>
      </c>
      <c r="F572" s="13">
        <f t="shared" si="8"/>
        <v>48000</v>
      </c>
    </row>
    <row r="573" spans="1:6" x14ac:dyDescent="0.25">
      <c r="B573" s="9"/>
      <c r="C573" s="5">
        <v>98</v>
      </c>
      <c r="D573" s="9" t="s">
        <v>50</v>
      </c>
      <c r="E573" s="10">
        <v>145</v>
      </c>
      <c r="F573" s="13">
        <f t="shared" si="8"/>
        <v>14210</v>
      </c>
    </row>
    <row r="574" spans="1:6" x14ac:dyDescent="0.25">
      <c r="B574" s="9"/>
      <c r="C574" s="5">
        <v>24</v>
      </c>
      <c r="D574" s="9" t="s">
        <v>1125</v>
      </c>
      <c r="E574" s="10">
        <v>150</v>
      </c>
      <c r="F574" s="13">
        <f t="shared" si="8"/>
        <v>3600</v>
      </c>
    </row>
    <row r="575" spans="1:6" x14ac:dyDescent="0.25">
      <c r="B575" s="9"/>
      <c r="C575" s="5">
        <v>4</v>
      </c>
      <c r="D575" s="9" t="s">
        <v>579</v>
      </c>
      <c r="E575" s="10">
        <v>140</v>
      </c>
      <c r="F575" s="13">
        <f t="shared" si="8"/>
        <v>560</v>
      </c>
    </row>
    <row r="576" spans="1:6" x14ac:dyDescent="0.25">
      <c r="B576" s="4"/>
      <c r="D576" s="9"/>
      <c r="F576" s="8">
        <f>SUM(F568:F575)</f>
        <v>85622.5</v>
      </c>
    </row>
    <row r="577" spans="1:6" x14ac:dyDescent="0.25">
      <c r="B577" s="9"/>
      <c r="D577" s="9"/>
      <c r="F577" s="13"/>
    </row>
    <row r="578" spans="1:6" x14ac:dyDescent="0.25">
      <c r="A578" t="s">
        <v>26</v>
      </c>
      <c r="B578" s="4">
        <v>45971</v>
      </c>
      <c r="C578" s="5">
        <v>10</v>
      </c>
      <c r="D578" s="9" t="s">
        <v>14</v>
      </c>
      <c r="E578" s="10">
        <v>155</v>
      </c>
      <c r="F578" s="13">
        <f t="shared" si="8"/>
        <v>1550</v>
      </c>
    </row>
    <row r="579" spans="1:6" x14ac:dyDescent="0.25">
      <c r="B579" s="9"/>
      <c r="D579" s="9"/>
      <c r="F579" s="8">
        <f>SUM(F578)</f>
        <v>1550</v>
      </c>
    </row>
    <row r="580" spans="1:6" x14ac:dyDescent="0.25">
      <c r="B580" s="4"/>
      <c r="D580" s="9"/>
      <c r="F580" s="13"/>
    </row>
    <row r="581" spans="1:6" x14ac:dyDescent="0.25">
      <c r="A581" t="s">
        <v>29</v>
      </c>
      <c r="B581" s="4">
        <v>45971</v>
      </c>
      <c r="C581" s="5">
        <v>2</v>
      </c>
      <c r="D581" s="9" t="s">
        <v>13</v>
      </c>
      <c r="E581" s="10">
        <v>170</v>
      </c>
      <c r="F581" s="13">
        <f t="shared" ref="F581:F640" si="9">+C581*E581</f>
        <v>340</v>
      </c>
    </row>
    <row r="582" spans="1:6" x14ac:dyDescent="0.25">
      <c r="B582" s="9"/>
      <c r="C582" s="5">
        <v>1</v>
      </c>
      <c r="D582" s="9" t="s">
        <v>98</v>
      </c>
      <c r="E582" s="10">
        <v>120</v>
      </c>
      <c r="F582" s="13">
        <f t="shared" si="9"/>
        <v>120</v>
      </c>
    </row>
    <row r="583" spans="1:6" x14ac:dyDescent="0.25">
      <c r="B583" s="4"/>
      <c r="D583" s="9"/>
      <c r="F583" s="8">
        <f>SUM(F581:F582)</f>
        <v>460</v>
      </c>
    </row>
    <row r="584" spans="1:6" x14ac:dyDescent="0.25">
      <c r="B584" s="9"/>
      <c r="D584" s="9"/>
      <c r="F584" s="13"/>
    </row>
    <row r="585" spans="1:6" x14ac:dyDescent="0.25">
      <c r="A585" t="s">
        <v>7</v>
      </c>
      <c r="B585" s="4">
        <v>45971</v>
      </c>
      <c r="C585" s="5">
        <v>1</v>
      </c>
      <c r="D585" s="9" t="s">
        <v>8</v>
      </c>
      <c r="E585" s="10">
        <v>180</v>
      </c>
      <c r="F585" s="13">
        <f t="shared" si="9"/>
        <v>180</v>
      </c>
    </row>
    <row r="586" spans="1:6" x14ac:dyDescent="0.25">
      <c r="B586" s="4"/>
      <c r="C586" s="5">
        <v>1</v>
      </c>
      <c r="D586" s="9" t="s">
        <v>13</v>
      </c>
      <c r="E586" s="10">
        <v>170</v>
      </c>
      <c r="F586" s="13">
        <f t="shared" si="9"/>
        <v>170</v>
      </c>
    </row>
    <row r="587" spans="1:6" x14ac:dyDescent="0.25">
      <c r="B587" s="9"/>
      <c r="C587" s="5">
        <v>2</v>
      </c>
      <c r="D587" s="9" t="s">
        <v>12</v>
      </c>
      <c r="E587" s="10">
        <v>160</v>
      </c>
      <c r="F587" s="13">
        <f t="shared" si="9"/>
        <v>320</v>
      </c>
    </row>
    <row r="588" spans="1:6" x14ac:dyDescent="0.25">
      <c r="B588" s="9"/>
      <c r="C588" s="5">
        <v>1</v>
      </c>
      <c r="D588" s="9" t="s">
        <v>13</v>
      </c>
      <c r="E588" s="10">
        <v>170</v>
      </c>
      <c r="F588" s="13">
        <f t="shared" si="9"/>
        <v>170</v>
      </c>
    </row>
    <row r="589" spans="1:6" x14ac:dyDescent="0.25">
      <c r="B589" s="9"/>
      <c r="D589" s="9"/>
      <c r="F589" s="8">
        <f>SUM(F585:F588)</f>
        <v>840</v>
      </c>
    </row>
    <row r="590" spans="1:6" x14ac:dyDescent="0.25">
      <c r="B590" s="9"/>
      <c r="D590" s="9"/>
      <c r="F590" s="13"/>
    </row>
    <row r="591" spans="1:6" x14ac:dyDescent="0.25">
      <c r="A591" t="s">
        <v>1126</v>
      </c>
      <c r="B591" s="4">
        <v>45972</v>
      </c>
      <c r="C591" s="5">
        <v>190</v>
      </c>
      <c r="D591" s="9" t="s">
        <v>14</v>
      </c>
      <c r="E591" s="10">
        <v>165</v>
      </c>
      <c r="F591" s="13">
        <f t="shared" si="9"/>
        <v>31350</v>
      </c>
    </row>
    <row r="592" spans="1:6" x14ac:dyDescent="0.25">
      <c r="B592" s="4"/>
      <c r="C592" s="5">
        <v>150</v>
      </c>
      <c r="D592" s="9" t="s">
        <v>11</v>
      </c>
      <c r="E592" s="10">
        <v>160</v>
      </c>
      <c r="F592" s="13">
        <f t="shared" si="9"/>
        <v>24000</v>
      </c>
    </row>
    <row r="593" spans="1:6" x14ac:dyDescent="0.25">
      <c r="B593" s="9"/>
      <c r="C593" s="5">
        <v>114</v>
      </c>
      <c r="D593" s="9" t="s">
        <v>13</v>
      </c>
      <c r="E593" s="10">
        <v>165</v>
      </c>
      <c r="F593" s="13">
        <f t="shared" si="9"/>
        <v>18810</v>
      </c>
    </row>
    <row r="594" spans="1:6" x14ac:dyDescent="0.25">
      <c r="B594" s="9"/>
      <c r="C594" s="5">
        <v>186</v>
      </c>
      <c r="D594" s="9" t="s">
        <v>12</v>
      </c>
      <c r="E594" s="10">
        <v>160</v>
      </c>
      <c r="F594" s="13">
        <f t="shared" si="9"/>
        <v>29760</v>
      </c>
    </row>
    <row r="595" spans="1:6" x14ac:dyDescent="0.25">
      <c r="B595" s="9"/>
      <c r="D595" s="9"/>
      <c r="F595" s="8">
        <f>SUM(F591:F594)</f>
        <v>103920</v>
      </c>
    </row>
    <row r="596" spans="1:6" x14ac:dyDescent="0.25">
      <c r="B596" s="4"/>
      <c r="D596" s="9"/>
      <c r="F596" s="13"/>
    </row>
    <row r="597" spans="1:6" x14ac:dyDescent="0.25">
      <c r="A597" t="s">
        <v>151</v>
      </c>
      <c r="B597" s="4">
        <v>45972</v>
      </c>
      <c r="C597" s="5">
        <v>39</v>
      </c>
      <c r="D597" s="9" t="s">
        <v>13</v>
      </c>
      <c r="E597" s="10">
        <v>160</v>
      </c>
      <c r="F597" s="13">
        <f t="shared" si="9"/>
        <v>6240</v>
      </c>
    </row>
    <row r="598" spans="1:6" x14ac:dyDescent="0.25">
      <c r="B598" s="9"/>
      <c r="C598" s="5">
        <v>50</v>
      </c>
      <c r="D598" s="9" t="s">
        <v>1127</v>
      </c>
      <c r="E598" s="10">
        <v>155</v>
      </c>
      <c r="F598" s="13">
        <f t="shared" si="9"/>
        <v>7750</v>
      </c>
    </row>
    <row r="599" spans="1:6" x14ac:dyDescent="0.25">
      <c r="B599" s="9"/>
      <c r="C599" s="5">
        <v>40</v>
      </c>
      <c r="D599" s="9" t="s">
        <v>14</v>
      </c>
      <c r="E599" s="10">
        <v>160</v>
      </c>
      <c r="F599" s="13">
        <f t="shared" si="9"/>
        <v>6400</v>
      </c>
    </row>
    <row r="600" spans="1:6" x14ac:dyDescent="0.25">
      <c r="B600" s="9"/>
      <c r="D600" s="9"/>
      <c r="F600" s="8">
        <f>SUM(F597:F599)</f>
        <v>20390</v>
      </c>
    </row>
    <row r="601" spans="1:6" x14ac:dyDescent="0.25">
      <c r="B601" s="9"/>
      <c r="D601" s="9"/>
      <c r="F601" s="13"/>
    </row>
    <row r="602" spans="1:6" x14ac:dyDescent="0.25">
      <c r="A602" t="s">
        <v>292</v>
      </c>
      <c r="B602" s="4">
        <v>45972</v>
      </c>
      <c r="C602" s="5">
        <v>5</v>
      </c>
      <c r="D602" s="9" t="s">
        <v>8</v>
      </c>
      <c r="E602" s="10">
        <v>105</v>
      </c>
      <c r="F602" s="13">
        <f t="shared" si="9"/>
        <v>525</v>
      </c>
    </row>
    <row r="603" spans="1:6" x14ac:dyDescent="0.25">
      <c r="B603" s="9"/>
      <c r="C603" s="5">
        <v>5</v>
      </c>
      <c r="D603" s="9" t="s">
        <v>11</v>
      </c>
      <c r="E603" s="10">
        <v>165</v>
      </c>
      <c r="F603" s="13">
        <f t="shared" si="9"/>
        <v>825</v>
      </c>
    </row>
    <row r="604" spans="1:6" x14ac:dyDescent="0.25">
      <c r="B604" s="9"/>
      <c r="D604" s="9"/>
      <c r="F604" s="8">
        <f>SUM(F602:F603)</f>
        <v>1350</v>
      </c>
    </row>
    <row r="605" spans="1:6" x14ac:dyDescent="0.25">
      <c r="B605" s="4"/>
      <c r="D605" s="9"/>
      <c r="F605" s="13"/>
    </row>
    <row r="606" spans="1:6" x14ac:dyDescent="0.25">
      <c r="A606" t="s">
        <v>586</v>
      </c>
      <c r="B606" s="4">
        <v>45972</v>
      </c>
      <c r="C606" s="5">
        <v>5</v>
      </c>
      <c r="D606" s="9" t="s">
        <v>1128</v>
      </c>
      <c r="E606" s="10">
        <v>160</v>
      </c>
      <c r="F606" s="13">
        <f t="shared" si="9"/>
        <v>800</v>
      </c>
    </row>
    <row r="607" spans="1:6" x14ac:dyDescent="0.25">
      <c r="B607" s="9"/>
      <c r="D607" s="9"/>
      <c r="F607" s="8">
        <f>SUM(F606)</f>
        <v>800</v>
      </c>
    </row>
    <row r="608" spans="1:6" x14ac:dyDescent="0.25">
      <c r="B608" s="4"/>
      <c r="D608" s="9"/>
      <c r="F608" s="13"/>
    </row>
    <row r="609" spans="1:6" x14ac:dyDescent="0.25">
      <c r="A609" t="s">
        <v>62</v>
      </c>
      <c r="B609" s="4">
        <v>45972</v>
      </c>
      <c r="C609" s="5">
        <v>50</v>
      </c>
      <c r="D609" s="9" t="s">
        <v>8</v>
      </c>
      <c r="E609" s="10">
        <v>175</v>
      </c>
      <c r="F609" s="13">
        <f t="shared" si="9"/>
        <v>8750</v>
      </c>
    </row>
    <row r="610" spans="1:6" x14ac:dyDescent="0.25">
      <c r="B610" s="9"/>
      <c r="D610" s="9"/>
      <c r="F610" s="8">
        <f>SUM(F609)</f>
        <v>8750</v>
      </c>
    </row>
    <row r="611" spans="1:6" x14ac:dyDescent="0.25">
      <c r="B611" s="4"/>
      <c r="D611" s="9"/>
      <c r="F611" s="13"/>
    </row>
    <row r="612" spans="1:6" x14ac:dyDescent="0.25">
      <c r="A612" t="s">
        <v>1129</v>
      </c>
      <c r="B612" s="4">
        <v>45972</v>
      </c>
      <c r="C612" s="5">
        <v>30</v>
      </c>
      <c r="D612" s="9" t="s">
        <v>13</v>
      </c>
      <c r="E612" s="10">
        <v>170</v>
      </c>
      <c r="F612" s="13">
        <f t="shared" si="9"/>
        <v>5100</v>
      </c>
    </row>
    <row r="613" spans="1:6" x14ac:dyDescent="0.25">
      <c r="B613" s="9"/>
      <c r="D613" s="9"/>
      <c r="F613" s="8">
        <f>SUM(F612)</f>
        <v>5100</v>
      </c>
    </row>
    <row r="614" spans="1:6" x14ac:dyDescent="0.25">
      <c r="B614" s="4"/>
      <c r="D614" s="9"/>
      <c r="F614" s="13"/>
    </row>
    <row r="615" spans="1:6" x14ac:dyDescent="0.25">
      <c r="A615" t="s">
        <v>95</v>
      </c>
      <c r="B615" s="4">
        <v>45972</v>
      </c>
      <c r="C615" s="5">
        <v>20</v>
      </c>
      <c r="D615" s="9" t="s">
        <v>13</v>
      </c>
      <c r="E615" s="10">
        <v>175</v>
      </c>
      <c r="F615" s="13">
        <f t="shared" si="9"/>
        <v>3500</v>
      </c>
    </row>
    <row r="616" spans="1:6" x14ac:dyDescent="0.25">
      <c r="B616" s="9"/>
      <c r="D616" s="9"/>
      <c r="F616" s="8">
        <f>SUM(F615)</f>
        <v>3500</v>
      </c>
    </row>
    <row r="617" spans="1:6" x14ac:dyDescent="0.25">
      <c r="B617" s="4"/>
      <c r="D617" s="9"/>
      <c r="F617" s="13"/>
    </row>
    <row r="618" spans="1:6" x14ac:dyDescent="0.25">
      <c r="A618" t="s">
        <v>112</v>
      </c>
      <c r="B618" s="4">
        <v>45972</v>
      </c>
      <c r="C618" s="5">
        <v>20</v>
      </c>
      <c r="D618" s="9" t="s">
        <v>13</v>
      </c>
      <c r="E618" s="10">
        <v>165</v>
      </c>
      <c r="F618" s="13">
        <f t="shared" si="9"/>
        <v>3300</v>
      </c>
    </row>
    <row r="619" spans="1:6" x14ac:dyDescent="0.25">
      <c r="B619" s="9"/>
      <c r="C619" s="5">
        <v>20</v>
      </c>
      <c r="D619" s="9" t="s">
        <v>8</v>
      </c>
      <c r="E619" s="10">
        <v>170</v>
      </c>
      <c r="F619" s="13">
        <f t="shared" si="9"/>
        <v>3400</v>
      </c>
    </row>
    <row r="620" spans="1:6" x14ac:dyDescent="0.25">
      <c r="B620" s="9"/>
      <c r="C620" s="5">
        <v>20</v>
      </c>
      <c r="D620" s="9" t="s">
        <v>683</v>
      </c>
      <c r="E620" s="10">
        <v>150</v>
      </c>
      <c r="F620" s="13">
        <f t="shared" si="9"/>
        <v>3000</v>
      </c>
    </row>
    <row r="621" spans="1:6" x14ac:dyDescent="0.25">
      <c r="B621" s="4"/>
      <c r="D621" s="9"/>
      <c r="F621" s="8">
        <f>SUM(F618:F620)</f>
        <v>9700</v>
      </c>
    </row>
    <row r="622" spans="1:6" x14ac:dyDescent="0.25">
      <c r="B622" s="9"/>
      <c r="D622" s="9"/>
      <c r="F622" s="13"/>
    </row>
    <row r="623" spans="1:6" x14ac:dyDescent="0.25">
      <c r="A623" t="s">
        <v>29</v>
      </c>
      <c r="B623" s="4">
        <v>45972</v>
      </c>
      <c r="C623" s="5">
        <v>6</v>
      </c>
      <c r="D623" s="9" t="s">
        <v>13</v>
      </c>
      <c r="E623" s="10">
        <v>160</v>
      </c>
      <c r="F623" s="13">
        <f t="shared" si="9"/>
        <v>960</v>
      </c>
    </row>
    <row r="624" spans="1:6" x14ac:dyDescent="0.25">
      <c r="B624" s="9"/>
      <c r="D624" s="9"/>
      <c r="F624" s="8">
        <f>SUM(F623)</f>
        <v>960</v>
      </c>
    </row>
    <row r="625" spans="1:6" x14ac:dyDescent="0.25">
      <c r="B625" s="4"/>
      <c r="D625" s="9"/>
      <c r="F625" s="13"/>
    </row>
    <row r="626" spans="1:6" x14ac:dyDescent="0.25">
      <c r="A626" t="s">
        <v>181</v>
      </c>
      <c r="B626" s="4">
        <v>45972</v>
      </c>
      <c r="C626" s="5">
        <v>5</v>
      </c>
      <c r="D626" s="9" t="s">
        <v>858</v>
      </c>
      <c r="E626" s="10">
        <v>165</v>
      </c>
      <c r="F626" s="13">
        <f t="shared" si="9"/>
        <v>825</v>
      </c>
    </row>
    <row r="627" spans="1:6" x14ac:dyDescent="0.25">
      <c r="B627" s="9"/>
      <c r="C627" s="5">
        <v>3</v>
      </c>
      <c r="D627" s="9" t="s">
        <v>12</v>
      </c>
      <c r="E627" s="10">
        <v>165</v>
      </c>
      <c r="F627" s="13">
        <f t="shared" si="9"/>
        <v>495</v>
      </c>
    </row>
    <row r="628" spans="1:6" x14ac:dyDescent="0.25">
      <c r="B628" s="9"/>
      <c r="C628" s="5">
        <v>2</v>
      </c>
      <c r="D628" s="9" t="s">
        <v>8</v>
      </c>
      <c r="E628" s="10">
        <v>180</v>
      </c>
      <c r="F628" s="13">
        <f t="shared" si="9"/>
        <v>360</v>
      </c>
    </row>
    <row r="629" spans="1:6" x14ac:dyDescent="0.25">
      <c r="B629" s="4"/>
      <c r="C629" s="5">
        <v>1</v>
      </c>
      <c r="D629" s="9" t="s">
        <v>13</v>
      </c>
      <c r="E629" s="10">
        <v>175</v>
      </c>
      <c r="F629" s="13">
        <f t="shared" si="9"/>
        <v>175</v>
      </c>
    </row>
    <row r="630" spans="1:6" x14ac:dyDescent="0.25">
      <c r="B630" s="9"/>
      <c r="C630" s="5">
        <v>15</v>
      </c>
      <c r="D630" s="9" t="s">
        <v>161</v>
      </c>
      <c r="E630" s="10">
        <v>145</v>
      </c>
      <c r="F630" s="13">
        <f t="shared" si="9"/>
        <v>2175</v>
      </c>
    </row>
    <row r="631" spans="1:6" x14ac:dyDescent="0.25">
      <c r="B631" s="9"/>
      <c r="C631" s="11">
        <v>0.5</v>
      </c>
      <c r="D631" s="9" t="s">
        <v>12</v>
      </c>
      <c r="E631" s="10">
        <v>165</v>
      </c>
      <c r="F631" s="13">
        <f t="shared" si="9"/>
        <v>82.5</v>
      </c>
    </row>
    <row r="632" spans="1:6" x14ac:dyDescent="0.25">
      <c r="B632" s="4"/>
      <c r="D632" s="9"/>
      <c r="F632" s="8">
        <f>SUM(F626:F631)</f>
        <v>4112.5</v>
      </c>
    </row>
    <row r="633" spans="1:6" x14ac:dyDescent="0.25">
      <c r="B633" s="9"/>
      <c r="D633" s="9"/>
      <c r="F633" s="13"/>
    </row>
    <row r="634" spans="1:6" x14ac:dyDescent="0.25">
      <c r="A634" t="s">
        <v>514</v>
      </c>
      <c r="B634" s="4">
        <v>45973</v>
      </c>
      <c r="C634" s="5">
        <v>10</v>
      </c>
      <c r="D634" s="9" t="s">
        <v>98</v>
      </c>
      <c r="E634" s="10">
        <v>125</v>
      </c>
      <c r="F634" s="13">
        <f t="shared" si="9"/>
        <v>1250</v>
      </c>
    </row>
    <row r="635" spans="1:6" x14ac:dyDescent="0.25">
      <c r="B635" s="9"/>
      <c r="D635" s="9"/>
      <c r="F635" s="8">
        <f>SUM(F634)</f>
        <v>1250</v>
      </c>
    </row>
    <row r="636" spans="1:6" x14ac:dyDescent="0.25">
      <c r="B636" s="9"/>
      <c r="D636" s="9"/>
      <c r="F636" s="13"/>
    </row>
    <row r="637" spans="1:6" s="9" customFormat="1" x14ac:dyDescent="0.25">
      <c r="A637" s="9" t="s">
        <v>15</v>
      </c>
      <c r="B637" s="4">
        <v>45973</v>
      </c>
      <c r="C637" s="5">
        <v>40</v>
      </c>
      <c r="D637" s="9" t="s">
        <v>98</v>
      </c>
      <c r="E637" s="10">
        <v>120</v>
      </c>
      <c r="F637" s="13">
        <f t="shared" si="9"/>
        <v>4800</v>
      </c>
    </row>
    <row r="638" spans="1:6" s="9" customFormat="1" x14ac:dyDescent="0.25">
      <c r="C638" s="5"/>
      <c r="E638" s="10"/>
      <c r="F638" s="8">
        <f>SUM(F637)</f>
        <v>4800</v>
      </c>
    </row>
    <row r="639" spans="1:6" s="9" customFormat="1" x14ac:dyDescent="0.25">
      <c r="C639" s="5"/>
      <c r="E639" s="10"/>
      <c r="F639" s="13"/>
    </row>
    <row r="640" spans="1:6" x14ac:dyDescent="0.25">
      <c r="A640" t="s">
        <v>81</v>
      </c>
      <c r="B640" s="4">
        <v>45973</v>
      </c>
      <c r="C640" s="5">
        <v>10</v>
      </c>
      <c r="D640" s="9" t="s">
        <v>13</v>
      </c>
      <c r="E640" s="10">
        <v>170</v>
      </c>
      <c r="F640" s="13">
        <f t="shared" si="9"/>
        <v>1700</v>
      </c>
    </row>
    <row r="641" spans="1:6" x14ac:dyDescent="0.25">
      <c r="B641" s="9"/>
      <c r="D641" s="9"/>
      <c r="F641" s="8">
        <f>SUM(F640)</f>
        <v>1700</v>
      </c>
    </row>
    <row r="642" spans="1:6" x14ac:dyDescent="0.25">
      <c r="B642" s="9"/>
      <c r="D642" s="9"/>
      <c r="F642" s="13"/>
    </row>
    <row r="643" spans="1:6" x14ac:dyDescent="0.25">
      <c r="A643" t="s">
        <v>58</v>
      </c>
      <c r="B643" s="4">
        <v>45973</v>
      </c>
      <c r="C643" s="5">
        <v>5</v>
      </c>
      <c r="D643" s="9" t="s">
        <v>13</v>
      </c>
      <c r="E643" s="10">
        <v>165</v>
      </c>
      <c r="F643" s="13">
        <f t="shared" ref="F643:F704" si="10">+C643*E643</f>
        <v>825</v>
      </c>
    </row>
    <row r="644" spans="1:6" x14ac:dyDescent="0.25">
      <c r="B644" s="9"/>
      <c r="D644" s="9"/>
      <c r="F644" s="8">
        <f>SUM(F643)</f>
        <v>825</v>
      </c>
    </row>
    <row r="645" spans="1:6" x14ac:dyDescent="0.25">
      <c r="B645" s="9"/>
      <c r="D645" s="9"/>
      <c r="F645" s="13"/>
    </row>
    <row r="646" spans="1:6" x14ac:dyDescent="0.25">
      <c r="A646" t="s">
        <v>37</v>
      </c>
      <c r="B646" s="4">
        <v>45973</v>
      </c>
      <c r="C646" s="5">
        <v>10</v>
      </c>
      <c r="D646" s="9" t="s">
        <v>12</v>
      </c>
      <c r="E646" s="10">
        <v>160</v>
      </c>
      <c r="F646" s="13">
        <f t="shared" si="10"/>
        <v>1600</v>
      </c>
    </row>
    <row r="647" spans="1:6" x14ac:dyDescent="0.25">
      <c r="B647" s="9"/>
      <c r="D647" s="9"/>
      <c r="F647" s="8">
        <f>SUM(F646)</f>
        <v>1600</v>
      </c>
    </row>
    <row r="648" spans="1:6" x14ac:dyDescent="0.25">
      <c r="B648" s="9"/>
      <c r="D648" s="9"/>
      <c r="F648" s="13"/>
    </row>
    <row r="649" spans="1:6" x14ac:dyDescent="0.25">
      <c r="A649" t="s">
        <v>17</v>
      </c>
      <c r="B649" s="4">
        <v>45973</v>
      </c>
      <c r="C649" s="5">
        <v>10</v>
      </c>
      <c r="D649" s="9" t="s">
        <v>13</v>
      </c>
      <c r="E649" s="10">
        <v>170</v>
      </c>
      <c r="F649" s="13">
        <f t="shared" si="10"/>
        <v>1700</v>
      </c>
    </row>
    <row r="650" spans="1:6" x14ac:dyDescent="0.25">
      <c r="B650" s="9"/>
      <c r="D650" s="9"/>
      <c r="F650" s="8">
        <f>SUM(F649)</f>
        <v>1700</v>
      </c>
    </row>
    <row r="651" spans="1:6" x14ac:dyDescent="0.25">
      <c r="B651" s="4"/>
      <c r="D651" s="9"/>
      <c r="F651" s="13"/>
    </row>
    <row r="652" spans="1:6" x14ac:dyDescent="0.25">
      <c r="A652" t="s">
        <v>20</v>
      </c>
      <c r="B652" s="4">
        <v>45973</v>
      </c>
      <c r="C652" s="5">
        <v>30</v>
      </c>
      <c r="D652" s="9" t="s">
        <v>8</v>
      </c>
      <c r="E652" s="10">
        <v>175</v>
      </c>
      <c r="F652" s="13">
        <f t="shared" si="10"/>
        <v>5250</v>
      </c>
    </row>
    <row r="653" spans="1:6" x14ac:dyDescent="0.25">
      <c r="B653" s="9"/>
      <c r="D653" s="9"/>
      <c r="F653" s="8">
        <f>SUM(F652)</f>
        <v>5250</v>
      </c>
    </row>
    <row r="654" spans="1:6" x14ac:dyDescent="0.25">
      <c r="B654" s="4"/>
      <c r="D654" s="9"/>
      <c r="F654" s="13"/>
    </row>
    <row r="655" spans="1:6" x14ac:dyDescent="0.25">
      <c r="A655" t="s">
        <v>21</v>
      </c>
      <c r="B655" s="4">
        <v>45973</v>
      </c>
      <c r="C655" s="5">
        <v>18</v>
      </c>
      <c r="D655" s="9" t="s">
        <v>1130</v>
      </c>
      <c r="E655" s="10">
        <v>150</v>
      </c>
      <c r="F655" s="13">
        <f t="shared" si="10"/>
        <v>2700</v>
      </c>
    </row>
    <row r="656" spans="1:6" x14ac:dyDescent="0.25">
      <c r="B656" s="9"/>
      <c r="C656" s="5">
        <v>10</v>
      </c>
      <c r="D656" s="9" t="s">
        <v>22</v>
      </c>
      <c r="E656" s="10">
        <v>155</v>
      </c>
      <c r="F656" s="13">
        <f t="shared" si="10"/>
        <v>1550</v>
      </c>
    </row>
    <row r="657" spans="1:6" x14ac:dyDescent="0.25">
      <c r="B657" s="9"/>
      <c r="C657" s="5">
        <v>15</v>
      </c>
      <c r="D657" s="9" t="s">
        <v>13</v>
      </c>
      <c r="E657" s="10">
        <v>170</v>
      </c>
      <c r="F657" s="13">
        <f t="shared" si="10"/>
        <v>2550</v>
      </c>
    </row>
    <row r="658" spans="1:6" x14ac:dyDescent="0.25">
      <c r="B658" s="9"/>
      <c r="C658" s="5">
        <v>20</v>
      </c>
      <c r="D658" s="9" t="s">
        <v>12</v>
      </c>
      <c r="E658" s="10">
        <v>160</v>
      </c>
      <c r="F658" s="13">
        <f t="shared" si="10"/>
        <v>3200</v>
      </c>
    </row>
    <row r="659" spans="1:6" x14ac:dyDescent="0.25">
      <c r="B659" s="9"/>
      <c r="C659" s="5">
        <v>10</v>
      </c>
      <c r="D659" s="9" t="s">
        <v>217</v>
      </c>
      <c r="E659" s="10">
        <v>175</v>
      </c>
      <c r="F659" s="13">
        <f t="shared" si="10"/>
        <v>1750</v>
      </c>
    </row>
    <row r="660" spans="1:6" x14ac:dyDescent="0.25">
      <c r="B660" s="4"/>
      <c r="D660" s="9"/>
      <c r="F660" s="8">
        <f>SUM(F655:F659)</f>
        <v>11750</v>
      </c>
    </row>
    <row r="661" spans="1:6" x14ac:dyDescent="0.25">
      <c r="B661" s="9"/>
      <c r="D661" s="9"/>
      <c r="F661" s="13"/>
    </row>
    <row r="662" spans="1:6" x14ac:dyDescent="0.25">
      <c r="A662" t="s">
        <v>726</v>
      </c>
      <c r="B662" s="4">
        <v>45973</v>
      </c>
      <c r="C662" s="5">
        <v>10</v>
      </c>
      <c r="D662" s="9" t="s">
        <v>14</v>
      </c>
      <c r="E662" s="10">
        <v>165</v>
      </c>
      <c r="F662" s="13">
        <f t="shared" si="10"/>
        <v>1650</v>
      </c>
    </row>
    <row r="663" spans="1:6" x14ac:dyDescent="0.25">
      <c r="B663" s="4"/>
      <c r="C663" s="5">
        <v>10</v>
      </c>
      <c r="D663" s="9" t="s">
        <v>217</v>
      </c>
      <c r="E663" s="10">
        <v>175</v>
      </c>
      <c r="F663" s="13">
        <f t="shared" si="10"/>
        <v>1750</v>
      </c>
    </row>
    <row r="664" spans="1:6" x14ac:dyDescent="0.25">
      <c r="B664" s="9"/>
      <c r="D664" s="9"/>
      <c r="F664" s="8">
        <f>SUM(F662:F663)</f>
        <v>3400</v>
      </c>
    </row>
    <row r="665" spans="1:6" x14ac:dyDescent="0.25">
      <c r="B665" s="9"/>
      <c r="D665" s="9"/>
      <c r="F665" s="13"/>
    </row>
    <row r="666" spans="1:6" x14ac:dyDescent="0.25">
      <c r="A666" t="s">
        <v>1017</v>
      </c>
      <c r="B666" s="4">
        <v>45973</v>
      </c>
      <c r="C666" s="5">
        <v>10</v>
      </c>
      <c r="D666" s="9" t="s">
        <v>8</v>
      </c>
      <c r="E666" s="10">
        <v>175</v>
      </c>
      <c r="F666" s="13">
        <f t="shared" si="10"/>
        <v>1750</v>
      </c>
    </row>
    <row r="667" spans="1:6" x14ac:dyDescent="0.25">
      <c r="B667" s="9"/>
      <c r="C667" s="5">
        <v>10</v>
      </c>
      <c r="D667" s="9" t="s">
        <v>13</v>
      </c>
      <c r="E667" s="10">
        <v>170</v>
      </c>
      <c r="F667" s="13">
        <f t="shared" si="10"/>
        <v>1700</v>
      </c>
    </row>
    <row r="668" spans="1:6" x14ac:dyDescent="0.25">
      <c r="B668" s="9"/>
      <c r="C668" s="5">
        <v>10</v>
      </c>
      <c r="D668" s="9" t="s">
        <v>22</v>
      </c>
      <c r="E668" s="10">
        <v>155</v>
      </c>
      <c r="F668" s="13">
        <f t="shared" si="10"/>
        <v>1550</v>
      </c>
    </row>
    <row r="669" spans="1:6" x14ac:dyDescent="0.25">
      <c r="B669" s="9"/>
      <c r="D669" s="9"/>
      <c r="F669" s="8">
        <f>SUM(F666:F668)</f>
        <v>5000</v>
      </c>
    </row>
    <row r="670" spans="1:6" x14ac:dyDescent="0.25">
      <c r="B670" s="9"/>
      <c r="D670" s="9"/>
      <c r="F670" s="13"/>
    </row>
    <row r="671" spans="1:6" x14ac:dyDescent="0.25">
      <c r="A671" t="s">
        <v>25</v>
      </c>
      <c r="B671" s="4">
        <v>45973</v>
      </c>
      <c r="C671" s="5">
        <v>40</v>
      </c>
      <c r="D671" s="9" t="s">
        <v>8</v>
      </c>
      <c r="E671" s="10">
        <v>175</v>
      </c>
      <c r="F671" s="13">
        <f t="shared" si="10"/>
        <v>7000</v>
      </c>
    </row>
    <row r="672" spans="1:6" x14ac:dyDescent="0.25">
      <c r="B672" s="4"/>
      <c r="C672" s="5">
        <v>30</v>
      </c>
      <c r="D672" s="9" t="s">
        <v>49</v>
      </c>
      <c r="E672" s="10">
        <v>170</v>
      </c>
      <c r="F672" s="13">
        <f t="shared" si="10"/>
        <v>5100</v>
      </c>
    </row>
    <row r="673" spans="1:6" x14ac:dyDescent="0.25">
      <c r="B673" s="9"/>
      <c r="D673" s="9"/>
      <c r="F673" s="8">
        <f>SUM(F671:F672)</f>
        <v>12100</v>
      </c>
    </row>
    <row r="674" spans="1:6" x14ac:dyDescent="0.25">
      <c r="B674" s="9"/>
      <c r="D674" s="9"/>
      <c r="F674" s="13"/>
    </row>
    <row r="675" spans="1:6" x14ac:dyDescent="0.25">
      <c r="A675" t="s">
        <v>40</v>
      </c>
      <c r="B675" s="4">
        <v>45973</v>
      </c>
      <c r="C675" s="5">
        <v>20</v>
      </c>
      <c r="D675" s="9" t="s">
        <v>8</v>
      </c>
      <c r="E675" s="10">
        <v>175</v>
      </c>
      <c r="F675" s="13">
        <f t="shared" si="10"/>
        <v>3500</v>
      </c>
    </row>
    <row r="676" spans="1:6" x14ac:dyDescent="0.25">
      <c r="B676" s="9"/>
      <c r="C676" s="5">
        <v>20</v>
      </c>
      <c r="D676" s="9" t="s">
        <v>14</v>
      </c>
      <c r="E676" s="10">
        <v>165</v>
      </c>
      <c r="F676" s="13">
        <f t="shared" si="10"/>
        <v>3300</v>
      </c>
    </row>
    <row r="677" spans="1:6" x14ac:dyDescent="0.25">
      <c r="B677" s="9"/>
      <c r="C677" s="5">
        <v>20</v>
      </c>
      <c r="D677" s="9" t="s">
        <v>579</v>
      </c>
      <c r="E677" s="10">
        <v>155</v>
      </c>
      <c r="F677" s="13">
        <f t="shared" si="10"/>
        <v>3100</v>
      </c>
    </row>
    <row r="678" spans="1:6" x14ac:dyDescent="0.25">
      <c r="B678" s="4"/>
      <c r="C678" s="5">
        <v>10</v>
      </c>
      <c r="D678" s="9" t="s">
        <v>764</v>
      </c>
      <c r="E678" s="10">
        <v>170</v>
      </c>
      <c r="F678" s="13">
        <f t="shared" si="10"/>
        <v>1700</v>
      </c>
    </row>
    <row r="679" spans="1:6" x14ac:dyDescent="0.25">
      <c r="B679" s="9"/>
      <c r="D679" s="9"/>
      <c r="F679" s="8">
        <f>SUM(F675:F678)</f>
        <v>11600</v>
      </c>
    </row>
    <row r="680" spans="1:6" x14ac:dyDescent="0.25">
      <c r="B680" s="9"/>
      <c r="D680" s="9"/>
      <c r="F680" s="13"/>
    </row>
    <row r="681" spans="1:6" x14ac:dyDescent="0.25">
      <c r="A681" t="s">
        <v>18</v>
      </c>
      <c r="B681" s="4">
        <v>45973</v>
      </c>
      <c r="C681" s="5">
        <v>20</v>
      </c>
      <c r="D681" s="9" t="s">
        <v>12</v>
      </c>
      <c r="E681" s="10">
        <v>165</v>
      </c>
      <c r="F681" s="13">
        <f t="shared" si="10"/>
        <v>3300</v>
      </c>
    </row>
    <row r="682" spans="1:6" x14ac:dyDescent="0.25">
      <c r="B682" s="9"/>
      <c r="C682" s="5">
        <v>30</v>
      </c>
      <c r="D682" s="9" t="s">
        <v>878</v>
      </c>
      <c r="E682" s="10">
        <v>165</v>
      </c>
      <c r="F682" s="13">
        <f t="shared" si="10"/>
        <v>4950</v>
      </c>
    </row>
    <row r="683" spans="1:6" x14ac:dyDescent="0.25">
      <c r="B683" s="9"/>
      <c r="D683" s="9"/>
      <c r="F683" s="8">
        <f>SUM(F681:F682)</f>
        <v>8250</v>
      </c>
    </row>
    <row r="684" spans="1:6" x14ac:dyDescent="0.25">
      <c r="B684" s="9"/>
      <c r="D684" s="9"/>
      <c r="F684" s="13"/>
    </row>
    <row r="685" spans="1:6" x14ac:dyDescent="0.25">
      <c r="A685" t="s">
        <v>41</v>
      </c>
      <c r="B685" s="4">
        <v>45973</v>
      </c>
      <c r="C685" s="5">
        <v>36</v>
      </c>
      <c r="D685" s="9" t="s">
        <v>902</v>
      </c>
      <c r="E685" s="10">
        <v>150</v>
      </c>
      <c r="F685" s="13">
        <f t="shared" si="10"/>
        <v>5400</v>
      </c>
    </row>
    <row r="686" spans="1:6" x14ac:dyDescent="0.25">
      <c r="B686" s="9"/>
      <c r="D686" s="9"/>
      <c r="F686" s="8">
        <f>SUM(F685)</f>
        <v>5400</v>
      </c>
    </row>
    <row r="687" spans="1:6" x14ac:dyDescent="0.25">
      <c r="B687" s="9"/>
      <c r="D687" s="9"/>
      <c r="F687" s="13"/>
    </row>
    <row r="688" spans="1:6" x14ac:dyDescent="0.25">
      <c r="A688" t="s">
        <v>383</v>
      </c>
      <c r="B688" s="4">
        <v>45973</v>
      </c>
      <c r="C688" s="5">
        <v>20</v>
      </c>
      <c r="D688" s="9" t="s">
        <v>14</v>
      </c>
      <c r="E688" s="10">
        <v>170</v>
      </c>
      <c r="F688" s="13">
        <f t="shared" si="10"/>
        <v>3400</v>
      </c>
    </row>
    <row r="689" spans="1:6" x14ac:dyDescent="0.25">
      <c r="B689" s="9"/>
      <c r="D689" s="9"/>
      <c r="F689" s="8">
        <f>SUM(F688)</f>
        <v>3400</v>
      </c>
    </row>
    <row r="690" spans="1:6" x14ac:dyDescent="0.25">
      <c r="B690" s="9"/>
      <c r="D690" s="9"/>
      <c r="F690" s="13"/>
    </row>
    <row r="691" spans="1:6" x14ac:dyDescent="0.25">
      <c r="A691" t="s">
        <v>107</v>
      </c>
      <c r="B691" s="4">
        <v>45973</v>
      </c>
      <c r="C691" s="5">
        <v>64</v>
      </c>
      <c r="D691" s="9" t="s">
        <v>11</v>
      </c>
      <c r="E691" s="10">
        <v>165</v>
      </c>
      <c r="F691" s="13">
        <f t="shared" si="10"/>
        <v>10560</v>
      </c>
    </row>
    <row r="692" spans="1:6" x14ac:dyDescent="0.25">
      <c r="B692" s="9"/>
      <c r="D692" s="9"/>
      <c r="F692" s="8">
        <f>SUM(F691)</f>
        <v>10560</v>
      </c>
    </row>
    <row r="693" spans="1:6" x14ac:dyDescent="0.25">
      <c r="B693" s="4"/>
      <c r="D693" s="9"/>
      <c r="F693" s="13"/>
    </row>
    <row r="694" spans="1:6" x14ac:dyDescent="0.25">
      <c r="A694" t="s">
        <v>44</v>
      </c>
      <c r="B694" s="4">
        <v>45973</v>
      </c>
      <c r="C694" s="5">
        <v>70</v>
      </c>
      <c r="D694" s="9" t="s">
        <v>14</v>
      </c>
      <c r="E694" s="10">
        <v>165</v>
      </c>
      <c r="F694" s="13">
        <f t="shared" si="10"/>
        <v>11550</v>
      </c>
    </row>
    <row r="695" spans="1:6" x14ac:dyDescent="0.25">
      <c r="B695" s="9"/>
      <c r="D695" s="9"/>
      <c r="F695" s="8">
        <f>SUM(F694)</f>
        <v>11550</v>
      </c>
    </row>
    <row r="696" spans="1:6" x14ac:dyDescent="0.25">
      <c r="B696" s="4"/>
      <c r="D696" s="9"/>
      <c r="F696" s="13"/>
    </row>
    <row r="697" spans="1:6" x14ac:dyDescent="0.25">
      <c r="A697" t="s">
        <v>85</v>
      </c>
      <c r="B697" s="4">
        <v>45973</v>
      </c>
      <c r="C697" s="5">
        <v>10</v>
      </c>
      <c r="D697" s="9" t="s">
        <v>14</v>
      </c>
      <c r="E697" s="10">
        <v>165</v>
      </c>
      <c r="F697" s="13">
        <f t="shared" si="10"/>
        <v>1650</v>
      </c>
    </row>
    <row r="698" spans="1:6" x14ac:dyDescent="0.25">
      <c r="B698" s="9"/>
      <c r="D698" s="9"/>
      <c r="F698" s="8">
        <f>SUM(F697)</f>
        <v>1650</v>
      </c>
    </row>
    <row r="699" spans="1:6" x14ac:dyDescent="0.25">
      <c r="B699" s="4"/>
      <c r="D699" s="9"/>
      <c r="F699" s="13"/>
    </row>
    <row r="700" spans="1:6" x14ac:dyDescent="0.25">
      <c r="A700" t="s">
        <v>455</v>
      </c>
      <c r="B700" s="4">
        <v>45973</v>
      </c>
      <c r="C700" s="5">
        <v>30</v>
      </c>
      <c r="D700" s="9" t="s">
        <v>14</v>
      </c>
      <c r="E700" s="10">
        <v>170</v>
      </c>
      <c r="F700" s="13">
        <f t="shared" si="10"/>
        <v>5100</v>
      </c>
    </row>
    <row r="701" spans="1:6" x14ac:dyDescent="0.25">
      <c r="B701" s="9"/>
      <c r="D701" s="9"/>
      <c r="F701" s="8">
        <f>SUM(F700)</f>
        <v>5100</v>
      </c>
    </row>
    <row r="702" spans="1:6" x14ac:dyDescent="0.25">
      <c r="B702" s="9"/>
      <c r="D702" s="9"/>
      <c r="F702" s="13"/>
    </row>
    <row r="703" spans="1:6" x14ac:dyDescent="0.25">
      <c r="A703" t="s">
        <v>112</v>
      </c>
      <c r="B703" s="4">
        <v>45973</v>
      </c>
      <c r="C703" s="5">
        <v>20</v>
      </c>
      <c r="D703" s="9" t="s">
        <v>14</v>
      </c>
      <c r="E703" s="10">
        <v>165</v>
      </c>
      <c r="F703" s="13">
        <f t="shared" si="10"/>
        <v>3300</v>
      </c>
    </row>
    <row r="704" spans="1:6" x14ac:dyDescent="0.25">
      <c r="B704" s="4"/>
      <c r="C704" s="5">
        <v>20</v>
      </c>
      <c r="D704" s="9" t="s">
        <v>11</v>
      </c>
      <c r="E704" s="10">
        <v>160</v>
      </c>
      <c r="F704" s="13">
        <f t="shared" si="10"/>
        <v>3200</v>
      </c>
    </row>
    <row r="705" spans="1:6" x14ac:dyDescent="0.25">
      <c r="B705" s="9"/>
      <c r="D705" s="9"/>
      <c r="F705" s="8">
        <f>SUM(F703:F704)</f>
        <v>6500</v>
      </c>
    </row>
    <row r="706" spans="1:6" x14ac:dyDescent="0.25">
      <c r="B706" s="9"/>
      <c r="D706" s="9"/>
      <c r="F706" s="13"/>
    </row>
    <row r="707" spans="1:6" x14ac:dyDescent="0.25">
      <c r="A707" t="s">
        <v>391</v>
      </c>
      <c r="B707" s="4">
        <v>45973</v>
      </c>
      <c r="C707" s="5">
        <v>10</v>
      </c>
      <c r="D707" s="9" t="s">
        <v>14</v>
      </c>
      <c r="E707" s="10">
        <v>165</v>
      </c>
      <c r="F707" s="13">
        <f t="shared" ref="F707:F770" si="11">+C707*E707</f>
        <v>1650</v>
      </c>
    </row>
    <row r="708" spans="1:6" x14ac:dyDescent="0.25">
      <c r="B708" s="9"/>
      <c r="D708" s="9"/>
      <c r="F708" s="8">
        <f>SUM(F707)</f>
        <v>1650</v>
      </c>
    </row>
    <row r="709" spans="1:6" x14ac:dyDescent="0.25">
      <c r="B709" s="9"/>
      <c r="D709" s="9"/>
      <c r="F709" s="13"/>
    </row>
    <row r="710" spans="1:6" x14ac:dyDescent="0.25">
      <c r="A710" t="s">
        <v>72</v>
      </c>
      <c r="B710" s="4">
        <v>45973</v>
      </c>
      <c r="C710" s="5">
        <v>134</v>
      </c>
      <c r="D710" s="9" t="s">
        <v>13</v>
      </c>
      <c r="E710" s="10">
        <v>160</v>
      </c>
      <c r="F710" s="13">
        <f t="shared" si="11"/>
        <v>21440</v>
      </c>
    </row>
    <row r="711" spans="1:6" x14ac:dyDescent="0.25">
      <c r="B711" s="9"/>
      <c r="C711" s="5">
        <v>116</v>
      </c>
      <c r="D711" s="9" t="s">
        <v>12</v>
      </c>
      <c r="E711" s="10">
        <v>155</v>
      </c>
      <c r="F711" s="13">
        <f t="shared" si="11"/>
        <v>17980</v>
      </c>
    </row>
    <row r="712" spans="1:6" x14ac:dyDescent="0.25">
      <c r="B712" s="9"/>
      <c r="C712" s="5">
        <v>100</v>
      </c>
      <c r="D712" s="9" t="s">
        <v>1131</v>
      </c>
      <c r="E712" s="10">
        <v>160</v>
      </c>
      <c r="F712" s="13">
        <f t="shared" si="11"/>
        <v>16000</v>
      </c>
    </row>
    <row r="713" spans="1:6" x14ac:dyDescent="0.25">
      <c r="B713" s="4"/>
      <c r="C713" s="5">
        <v>100</v>
      </c>
      <c r="D713" s="9" t="s">
        <v>11</v>
      </c>
      <c r="E713" s="10">
        <v>155</v>
      </c>
      <c r="F713" s="13">
        <f t="shared" si="11"/>
        <v>15500</v>
      </c>
    </row>
    <row r="714" spans="1:6" x14ac:dyDescent="0.25">
      <c r="B714" s="9"/>
      <c r="D714" s="9"/>
      <c r="F714" s="8">
        <f>SUM(F710:F713)</f>
        <v>70920</v>
      </c>
    </row>
    <row r="715" spans="1:6" x14ac:dyDescent="0.25">
      <c r="B715" s="9"/>
      <c r="D715" s="9"/>
      <c r="F715" s="13"/>
    </row>
    <row r="716" spans="1:6" x14ac:dyDescent="0.25">
      <c r="A716" t="s">
        <v>88</v>
      </c>
      <c r="B716" s="4">
        <v>45973</v>
      </c>
      <c r="C716" s="5">
        <v>15</v>
      </c>
      <c r="D716" s="9" t="s">
        <v>14</v>
      </c>
      <c r="E716" s="10">
        <v>165</v>
      </c>
      <c r="F716" s="13">
        <f t="shared" si="11"/>
        <v>2475</v>
      </c>
    </row>
    <row r="717" spans="1:6" x14ac:dyDescent="0.25">
      <c r="B717" s="9"/>
      <c r="D717" s="9"/>
      <c r="F717" s="8">
        <f>SUM(F716)</f>
        <v>2475</v>
      </c>
    </row>
    <row r="718" spans="1:6" x14ac:dyDescent="0.25">
      <c r="B718" s="9"/>
      <c r="D718" s="9"/>
      <c r="F718" s="13"/>
    </row>
    <row r="719" spans="1:6" x14ac:dyDescent="0.25">
      <c r="A719" t="s">
        <v>184</v>
      </c>
      <c r="B719" s="4">
        <v>45973</v>
      </c>
      <c r="C719" s="5">
        <v>7</v>
      </c>
      <c r="D719" s="9" t="s">
        <v>13</v>
      </c>
      <c r="E719" s="10">
        <v>175</v>
      </c>
      <c r="F719" s="13">
        <f t="shared" si="11"/>
        <v>1225</v>
      </c>
    </row>
    <row r="720" spans="1:6" x14ac:dyDescent="0.25">
      <c r="B720" s="9"/>
      <c r="D720" s="9"/>
      <c r="F720" s="8">
        <f>SUM(F719)</f>
        <v>1225</v>
      </c>
    </row>
    <row r="721" spans="1:6" x14ac:dyDescent="0.25">
      <c r="B721" s="9"/>
      <c r="D721" s="9"/>
      <c r="F721" s="13"/>
    </row>
    <row r="722" spans="1:6" x14ac:dyDescent="0.25">
      <c r="A722" t="s">
        <v>117</v>
      </c>
      <c r="B722" s="4">
        <v>45973</v>
      </c>
      <c r="C722" s="5">
        <v>5</v>
      </c>
      <c r="D722" s="9" t="s">
        <v>13</v>
      </c>
      <c r="E722" s="10">
        <v>175</v>
      </c>
      <c r="F722" s="13">
        <f t="shared" si="11"/>
        <v>875</v>
      </c>
    </row>
    <row r="723" spans="1:6" x14ac:dyDescent="0.25">
      <c r="B723" s="9"/>
      <c r="D723" s="9"/>
      <c r="F723" s="8">
        <f>SUM(F722)</f>
        <v>875</v>
      </c>
    </row>
    <row r="724" spans="1:6" x14ac:dyDescent="0.25">
      <c r="B724" s="9"/>
      <c r="D724" s="9"/>
      <c r="F724" s="13"/>
    </row>
    <row r="725" spans="1:6" x14ac:dyDescent="0.25">
      <c r="A725" t="s">
        <v>1132</v>
      </c>
      <c r="B725" s="4">
        <v>45973</v>
      </c>
      <c r="C725" s="5">
        <v>2</v>
      </c>
      <c r="D725" s="9" t="s">
        <v>12</v>
      </c>
      <c r="E725" s="10">
        <v>165</v>
      </c>
      <c r="F725" s="13">
        <f t="shared" si="11"/>
        <v>330</v>
      </c>
    </row>
    <row r="726" spans="1:6" x14ac:dyDescent="0.25">
      <c r="B726" s="9"/>
      <c r="C726" s="5">
        <v>3</v>
      </c>
      <c r="D726" s="9" t="s">
        <v>98</v>
      </c>
      <c r="E726" s="10">
        <v>125</v>
      </c>
      <c r="F726" s="13">
        <f t="shared" si="11"/>
        <v>375</v>
      </c>
    </row>
    <row r="727" spans="1:6" x14ac:dyDescent="0.25">
      <c r="B727" s="9"/>
      <c r="D727" s="9"/>
      <c r="F727" s="8">
        <f>SUM(F725:F726)</f>
        <v>705</v>
      </c>
    </row>
    <row r="728" spans="1:6" x14ac:dyDescent="0.25">
      <c r="B728" s="4"/>
      <c r="D728" s="9"/>
      <c r="F728" s="13"/>
    </row>
    <row r="729" spans="1:6" x14ac:dyDescent="0.25">
      <c r="A729" t="s">
        <v>76</v>
      </c>
      <c r="B729" s="4">
        <v>45973</v>
      </c>
      <c r="C729" s="5">
        <v>300</v>
      </c>
      <c r="D729" s="9" t="s">
        <v>387</v>
      </c>
      <c r="F729" s="13">
        <f t="shared" si="11"/>
        <v>0</v>
      </c>
    </row>
    <row r="730" spans="1:6" x14ac:dyDescent="0.25">
      <c r="B730" s="9"/>
      <c r="C730" s="5">
        <v>80</v>
      </c>
      <c r="D730" s="9" t="s">
        <v>49</v>
      </c>
      <c r="F730" s="13">
        <f t="shared" si="11"/>
        <v>0</v>
      </c>
    </row>
    <row r="731" spans="1:6" x14ac:dyDescent="0.25">
      <c r="B731" s="9"/>
      <c r="C731" s="5">
        <v>60</v>
      </c>
      <c r="D731" s="9" t="s">
        <v>11</v>
      </c>
      <c r="F731" s="13">
        <f t="shared" si="11"/>
        <v>0</v>
      </c>
    </row>
    <row r="732" spans="1:6" x14ac:dyDescent="0.25">
      <c r="B732" s="4"/>
      <c r="C732" s="5">
        <v>23</v>
      </c>
      <c r="D732" s="9" t="s">
        <v>22</v>
      </c>
      <c r="F732" s="13">
        <f t="shared" si="11"/>
        <v>0</v>
      </c>
    </row>
    <row r="733" spans="1:6" x14ac:dyDescent="0.25">
      <c r="B733" s="9"/>
      <c r="D733" s="9"/>
      <c r="F733" s="8">
        <f>SUM(F729:F732)</f>
        <v>0</v>
      </c>
    </row>
    <row r="734" spans="1:6" x14ac:dyDescent="0.25">
      <c r="B734" s="9"/>
      <c r="D734" s="9"/>
      <c r="F734" s="13"/>
    </row>
    <row r="735" spans="1:6" x14ac:dyDescent="0.25">
      <c r="A735" t="s">
        <v>769</v>
      </c>
      <c r="B735" s="4">
        <v>45973</v>
      </c>
      <c r="C735" s="5">
        <v>5</v>
      </c>
      <c r="D735" s="9" t="s">
        <v>14</v>
      </c>
      <c r="E735" s="10">
        <v>150</v>
      </c>
      <c r="F735" s="13">
        <f t="shared" si="11"/>
        <v>750</v>
      </c>
    </row>
    <row r="736" spans="1:6" x14ac:dyDescent="0.25">
      <c r="B736" s="9"/>
      <c r="D736" s="9"/>
      <c r="F736" s="8">
        <f>SUM(F735)</f>
        <v>750</v>
      </c>
    </row>
    <row r="737" spans="1:6" x14ac:dyDescent="0.25">
      <c r="B737" s="9"/>
      <c r="D737" s="9"/>
      <c r="F737" s="13"/>
    </row>
    <row r="738" spans="1:6" x14ac:dyDescent="0.25">
      <c r="A738" t="s">
        <v>29</v>
      </c>
      <c r="B738" s="4">
        <v>45973</v>
      </c>
      <c r="C738" s="5">
        <v>1</v>
      </c>
      <c r="D738" s="9" t="s">
        <v>8</v>
      </c>
      <c r="E738" s="10">
        <v>180</v>
      </c>
      <c r="F738" s="13">
        <f t="shared" si="11"/>
        <v>180</v>
      </c>
    </row>
    <row r="739" spans="1:6" x14ac:dyDescent="0.25">
      <c r="B739" s="9"/>
      <c r="C739" s="5">
        <v>10</v>
      </c>
      <c r="D739" s="9" t="s">
        <v>14</v>
      </c>
      <c r="E739" s="10">
        <v>175</v>
      </c>
      <c r="F739" s="13">
        <f t="shared" si="11"/>
        <v>1750</v>
      </c>
    </row>
    <row r="740" spans="1:6" x14ac:dyDescent="0.25">
      <c r="B740" s="9"/>
      <c r="C740" s="5">
        <v>1</v>
      </c>
      <c r="D740" s="9" t="s">
        <v>8</v>
      </c>
      <c r="E740" s="10">
        <v>180</v>
      </c>
      <c r="F740" s="13">
        <f t="shared" si="11"/>
        <v>180</v>
      </c>
    </row>
    <row r="741" spans="1:6" x14ac:dyDescent="0.25">
      <c r="B741" s="4"/>
      <c r="D741" s="9"/>
      <c r="F741" s="8">
        <f>SUM(F738:F740)</f>
        <v>2110</v>
      </c>
    </row>
    <row r="742" spans="1:6" x14ac:dyDescent="0.25">
      <c r="B742" s="9"/>
      <c r="D742" s="9"/>
      <c r="F742" s="13"/>
    </row>
    <row r="743" spans="1:6" x14ac:dyDescent="0.25">
      <c r="A743" t="s">
        <v>7</v>
      </c>
      <c r="B743" s="4">
        <v>45973</v>
      </c>
      <c r="C743" s="5">
        <v>1</v>
      </c>
      <c r="D743" s="9" t="s">
        <v>13</v>
      </c>
      <c r="E743" s="10">
        <v>180</v>
      </c>
      <c r="F743" s="13">
        <f t="shared" si="11"/>
        <v>180</v>
      </c>
    </row>
    <row r="744" spans="1:6" x14ac:dyDescent="0.25">
      <c r="B744" s="9"/>
      <c r="C744" s="5">
        <v>1</v>
      </c>
      <c r="D744" s="9" t="s">
        <v>49</v>
      </c>
      <c r="E744" s="10">
        <v>180</v>
      </c>
      <c r="F744" s="13">
        <f t="shared" si="11"/>
        <v>180</v>
      </c>
    </row>
    <row r="745" spans="1:6" x14ac:dyDescent="0.25">
      <c r="B745" s="4"/>
      <c r="C745" s="5">
        <v>1</v>
      </c>
      <c r="D745" s="9" t="s">
        <v>14</v>
      </c>
      <c r="E745" s="10">
        <v>175</v>
      </c>
      <c r="F745" s="13">
        <f t="shared" si="11"/>
        <v>175</v>
      </c>
    </row>
    <row r="746" spans="1:6" x14ac:dyDescent="0.25">
      <c r="B746" s="9"/>
      <c r="C746" s="5">
        <v>1</v>
      </c>
      <c r="D746" s="9" t="s">
        <v>8</v>
      </c>
      <c r="E746" s="10">
        <v>180</v>
      </c>
      <c r="F746" s="13">
        <f t="shared" si="11"/>
        <v>180</v>
      </c>
    </row>
    <row r="747" spans="1:6" x14ac:dyDescent="0.25">
      <c r="B747" s="9"/>
      <c r="D747" s="9"/>
      <c r="F747" s="8">
        <f>SUM(F743:F746)</f>
        <v>715</v>
      </c>
    </row>
    <row r="748" spans="1:6" x14ac:dyDescent="0.25">
      <c r="B748" s="9"/>
      <c r="D748" s="9"/>
      <c r="F748" s="13"/>
    </row>
    <row r="749" spans="1:6" x14ac:dyDescent="0.25">
      <c r="A749" t="s">
        <v>1133</v>
      </c>
      <c r="B749" s="4">
        <v>45974</v>
      </c>
      <c r="C749" s="5">
        <v>75</v>
      </c>
      <c r="D749" s="9" t="s">
        <v>1134</v>
      </c>
      <c r="F749" s="13">
        <f t="shared" si="11"/>
        <v>0</v>
      </c>
    </row>
    <row r="750" spans="1:6" x14ac:dyDescent="0.25">
      <c r="B750" s="9"/>
      <c r="D750" s="9"/>
      <c r="F750" s="8">
        <f>SUM(F749)</f>
        <v>0</v>
      </c>
    </row>
    <row r="751" spans="1:6" x14ac:dyDescent="0.25">
      <c r="B751" s="9"/>
      <c r="D751" s="9"/>
      <c r="F751" s="13"/>
    </row>
    <row r="752" spans="1:6" x14ac:dyDescent="0.25">
      <c r="A752" t="s">
        <v>102</v>
      </c>
      <c r="B752" s="4">
        <v>45974</v>
      </c>
      <c r="C752" s="5">
        <v>5</v>
      </c>
      <c r="D752" s="9" t="s">
        <v>13</v>
      </c>
      <c r="E752" s="10">
        <v>175</v>
      </c>
      <c r="F752" s="13">
        <f t="shared" si="11"/>
        <v>875</v>
      </c>
    </row>
    <row r="753" spans="1:6" x14ac:dyDescent="0.25">
      <c r="B753" s="9"/>
      <c r="D753" s="9"/>
      <c r="F753" s="8">
        <f>SUM(F752)</f>
        <v>875</v>
      </c>
    </row>
    <row r="754" spans="1:6" x14ac:dyDescent="0.25">
      <c r="B754" s="9"/>
      <c r="D754" s="9"/>
      <c r="F754" s="13"/>
    </row>
    <row r="755" spans="1:6" x14ac:dyDescent="0.25">
      <c r="A755" t="s">
        <v>103</v>
      </c>
      <c r="B755" s="4">
        <v>45974</v>
      </c>
      <c r="C755" s="5">
        <v>4</v>
      </c>
      <c r="D755" s="9" t="s">
        <v>13</v>
      </c>
      <c r="E755" s="10">
        <v>175</v>
      </c>
      <c r="F755" s="13">
        <f t="shared" si="11"/>
        <v>700</v>
      </c>
    </row>
    <row r="756" spans="1:6" x14ac:dyDescent="0.25">
      <c r="B756" s="9"/>
      <c r="D756" s="9"/>
      <c r="F756" s="8">
        <f>SUM(F755)</f>
        <v>700</v>
      </c>
    </row>
    <row r="757" spans="1:6" x14ac:dyDescent="0.25">
      <c r="B757" s="9"/>
      <c r="D757" s="9"/>
      <c r="F757" s="13"/>
    </row>
    <row r="758" spans="1:6" x14ac:dyDescent="0.25">
      <c r="A758" t="s">
        <v>89</v>
      </c>
      <c r="B758" s="4">
        <v>45974</v>
      </c>
      <c r="C758" s="5">
        <v>30</v>
      </c>
      <c r="D758" s="9" t="s">
        <v>652</v>
      </c>
      <c r="E758" s="10">
        <v>160</v>
      </c>
      <c r="F758" s="13">
        <f t="shared" si="11"/>
        <v>4800</v>
      </c>
    </row>
    <row r="759" spans="1:6" x14ac:dyDescent="0.25">
      <c r="B759" s="9"/>
      <c r="C759" s="5">
        <v>20</v>
      </c>
      <c r="D759" s="9" t="s">
        <v>12</v>
      </c>
      <c r="E759" s="10">
        <v>155</v>
      </c>
      <c r="F759" s="13">
        <f t="shared" si="11"/>
        <v>3100</v>
      </c>
    </row>
    <row r="760" spans="1:6" x14ac:dyDescent="0.25">
      <c r="B760" s="9"/>
      <c r="D760" s="9"/>
      <c r="F760" s="8">
        <f>SUM(F758:F759)</f>
        <v>7900</v>
      </c>
    </row>
    <row r="761" spans="1:6" x14ac:dyDescent="0.25">
      <c r="B761" s="9"/>
      <c r="D761" s="9"/>
      <c r="F761" s="13"/>
    </row>
    <row r="762" spans="1:6" x14ac:dyDescent="0.25">
      <c r="A762" t="s">
        <v>245</v>
      </c>
      <c r="B762" s="4">
        <v>45974</v>
      </c>
      <c r="C762" s="5">
        <v>30</v>
      </c>
      <c r="D762" s="9" t="s">
        <v>187</v>
      </c>
      <c r="E762" s="10">
        <v>155</v>
      </c>
      <c r="F762" s="13">
        <f t="shared" si="11"/>
        <v>4650</v>
      </c>
    </row>
    <row r="763" spans="1:6" x14ac:dyDescent="0.25">
      <c r="B763" s="9"/>
      <c r="D763" s="9"/>
      <c r="F763" s="8">
        <f>SUM(F762)</f>
        <v>4650</v>
      </c>
    </row>
    <row r="764" spans="1:6" x14ac:dyDescent="0.25">
      <c r="B764" s="9"/>
      <c r="D764" s="9"/>
      <c r="F764" s="13"/>
    </row>
    <row r="765" spans="1:6" x14ac:dyDescent="0.25">
      <c r="A765" t="s">
        <v>112</v>
      </c>
      <c r="B765" s="4">
        <v>45974</v>
      </c>
      <c r="C765" s="5">
        <v>20</v>
      </c>
      <c r="D765" s="9" t="s">
        <v>11</v>
      </c>
      <c r="E765" s="10">
        <v>160</v>
      </c>
      <c r="F765" s="13">
        <f t="shared" si="11"/>
        <v>3200</v>
      </c>
    </row>
    <row r="766" spans="1:6" x14ac:dyDescent="0.25">
      <c r="B766" s="9"/>
      <c r="C766" s="5">
        <v>20</v>
      </c>
      <c r="D766" s="9" t="s">
        <v>14</v>
      </c>
      <c r="E766" s="10">
        <v>165</v>
      </c>
      <c r="F766" s="13">
        <f t="shared" si="11"/>
        <v>3300</v>
      </c>
    </row>
    <row r="767" spans="1:6" x14ac:dyDescent="0.25">
      <c r="B767" s="9"/>
      <c r="C767" s="5">
        <v>30</v>
      </c>
      <c r="D767" s="9" t="s">
        <v>13</v>
      </c>
      <c r="E767" s="10">
        <v>165</v>
      </c>
      <c r="F767" s="13">
        <f t="shared" si="11"/>
        <v>4950</v>
      </c>
    </row>
    <row r="768" spans="1:6" x14ac:dyDescent="0.25">
      <c r="B768" s="4"/>
      <c r="D768" s="9"/>
      <c r="F768" s="8">
        <f>SUM(F765:F767)</f>
        <v>11450</v>
      </c>
    </row>
    <row r="769" spans="1:6" x14ac:dyDescent="0.25">
      <c r="B769" s="9"/>
      <c r="D769" s="9"/>
      <c r="F769" s="13"/>
    </row>
    <row r="770" spans="1:6" x14ac:dyDescent="0.25">
      <c r="A770" s="4" t="s">
        <v>32</v>
      </c>
      <c r="B770" s="4">
        <v>45974</v>
      </c>
      <c r="C770" s="5">
        <v>20</v>
      </c>
      <c r="D770" s="9" t="s">
        <v>13</v>
      </c>
      <c r="E770" s="10">
        <v>170</v>
      </c>
      <c r="F770" s="13">
        <f t="shared" si="11"/>
        <v>3400</v>
      </c>
    </row>
    <row r="771" spans="1:6" x14ac:dyDescent="0.25">
      <c r="B771" s="9"/>
      <c r="D771" s="9"/>
      <c r="F771" s="8">
        <f>SUM(F770)</f>
        <v>3400</v>
      </c>
    </row>
    <row r="772" spans="1:6" x14ac:dyDescent="0.25">
      <c r="B772" s="9"/>
      <c r="D772" s="9"/>
      <c r="F772" s="13"/>
    </row>
    <row r="773" spans="1:6" x14ac:dyDescent="0.25">
      <c r="A773" t="s">
        <v>29</v>
      </c>
      <c r="B773" s="4">
        <v>45974</v>
      </c>
      <c r="C773" s="5">
        <v>1</v>
      </c>
      <c r="D773" s="9" t="s">
        <v>13</v>
      </c>
      <c r="E773" s="10">
        <v>175</v>
      </c>
      <c r="F773" s="13">
        <f t="shared" ref="F773:F834" si="12">+C773*E773</f>
        <v>175</v>
      </c>
    </row>
    <row r="774" spans="1:6" x14ac:dyDescent="0.25">
      <c r="B774" s="9"/>
      <c r="C774" s="5">
        <v>2</v>
      </c>
      <c r="D774" s="9" t="s">
        <v>8</v>
      </c>
      <c r="E774" s="10">
        <v>180</v>
      </c>
      <c r="F774" s="13">
        <f t="shared" si="12"/>
        <v>360</v>
      </c>
    </row>
    <row r="775" spans="1:6" x14ac:dyDescent="0.25">
      <c r="B775" s="9"/>
      <c r="C775" s="5">
        <v>5</v>
      </c>
      <c r="D775" s="9" t="s">
        <v>12</v>
      </c>
      <c r="E775" s="10">
        <v>160</v>
      </c>
      <c r="F775" s="13">
        <f t="shared" si="12"/>
        <v>800</v>
      </c>
    </row>
    <row r="776" spans="1:6" x14ac:dyDescent="0.25">
      <c r="B776" s="4"/>
      <c r="F776" s="8">
        <f>SUM(F773:F775)</f>
        <v>1335</v>
      </c>
    </row>
    <row r="777" spans="1:6" x14ac:dyDescent="0.25">
      <c r="B777" s="9"/>
      <c r="D777" s="9"/>
      <c r="F777" s="13"/>
    </row>
    <row r="778" spans="1:6" x14ac:dyDescent="0.25">
      <c r="A778" t="s">
        <v>7</v>
      </c>
      <c r="B778" s="4">
        <v>45974</v>
      </c>
      <c r="C778" s="5">
        <v>1</v>
      </c>
      <c r="D778" s="9" t="s">
        <v>49</v>
      </c>
      <c r="E778" s="10">
        <v>180</v>
      </c>
      <c r="F778" s="13">
        <f t="shared" si="12"/>
        <v>180</v>
      </c>
    </row>
    <row r="779" spans="1:6" x14ac:dyDescent="0.25">
      <c r="B779" s="4"/>
      <c r="C779" s="5">
        <v>10</v>
      </c>
      <c r="D779" s="9" t="s">
        <v>1135</v>
      </c>
      <c r="E779" s="10">
        <v>170</v>
      </c>
      <c r="F779" s="13">
        <f t="shared" si="12"/>
        <v>1700</v>
      </c>
    </row>
    <row r="780" spans="1:6" x14ac:dyDescent="0.25">
      <c r="B780" s="9"/>
      <c r="C780" s="5">
        <v>2</v>
      </c>
      <c r="D780" s="9" t="s">
        <v>1136</v>
      </c>
      <c r="E780" s="10">
        <v>140</v>
      </c>
      <c r="F780" s="13">
        <f t="shared" si="12"/>
        <v>280</v>
      </c>
    </row>
    <row r="781" spans="1:6" x14ac:dyDescent="0.25">
      <c r="B781" s="9"/>
      <c r="C781" s="5">
        <v>2</v>
      </c>
      <c r="D781" s="9" t="s">
        <v>8</v>
      </c>
      <c r="E781" s="10">
        <v>180</v>
      </c>
      <c r="F781" s="13">
        <f t="shared" si="12"/>
        <v>360</v>
      </c>
    </row>
    <row r="782" spans="1:6" x14ac:dyDescent="0.25">
      <c r="B782" s="4"/>
      <c r="D782" s="9"/>
      <c r="F782" s="8">
        <f>SUM(F778:F781)</f>
        <v>2520</v>
      </c>
    </row>
    <row r="783" spans="1:6" x14ac:dyDescent="0.25">
      <c r="B783" s="9"/>
      <c r="D783" s="9"/>
      <c r="F783" s="13"/>
    </row>
    <row r="784" spans="1:6" x14ac:dyDescent="0.25">
      <c r="A784" t="s">
        <v>514</v>
      </c>
      <c r="B784" s="4">
        <v>45975</v>
      </c>
      <c r="C784" s="5">
        <v>15</v>
      </c>
      <c r="D784" s="9" t="s">
        <v>98</v>
      </c>
      <c r="E784" s="10">
        <v>130</v>
      </c>
      <c r="F784" s="13">
        <f t="shared" si="12"/>
        <v>1950</v>
      </c>
    </row>
    <row r="785" spans="1:6" x14ac:dyDescent="0.25">
      <c r="B785" s="4"/>
      <c r="D785" s="9"/>
      <c r="F785" s="8">
        <f>SUM(F784)</f>
        <v>1950</v>
      </c>
    </row>
    <row r="786" spans="1:6" x14ac:dyDescent="0.25">
      <c r="B786" s="9"/>
      <c r="D786" s="9"/>
      <c r="F786" s="13"/>
    </row>
    <row r="787" spans="1:6" x14ac:dyDescent="0.25">
      <c r="A787" t="s">
        <v>15</v>
      </c>
      <c r="B787" s="4">
        <v>45975</v>
      </c>
      <c r="C787" s="5">
        <v>30</v>
      </c>
      <c r="D787" s="9" t="s">
        <v>98</v>
      </c>
      <c r="E787" s="10">
        <v>125</v>
      </c>
      <c r="F787" s="13">
        <f t="shared" si="12"/>
        <v>3750</v>
      </c>
    </row>
    <row r="788" spans="1:6" x14ac:dyDescent="0.25">
      <c r="B788" s="4"/>
      <c r="C788" s="5">
        <v>60</v>
      </c>
      <c r="D788" s="9" t="s">
        <v>98</v>
      </c>
      <c r="E788" s="10">
        <v>125</v>
      </c>
      <c r="F788" s="13">
        <f t="shared" si="12"/>
        <v>7500</v>
      </c>
    </row>
    <row r="789" spans="1:6" x14ac:dyDescent="0.25">
      <c r="B789" s="9"/>
      <c r="D789" s="9"/>
      <c r="F789" s="8">
        <f>SUM(F787:F788)</f>
        <v>11250</v>
      </c>
    </row>
    <row r="790" spans="1:6" x14ac:dyDescent="0.25">
      <c r="B790" s="9"/>
      <c r="D790" s="9"/>
      <c r="F790" s="13"/>
    </row>
    <row r="791" spans="1:6" x14ac:dyDescent="0.25">
      <c r="A791" t="s">
        <v>58</v>
      </c>
      <c r="B791" s="4">
        <v>45975</v>
      </c>
      <c r="C791" s="5">
        <v>6</v>
      </c>
      <c r="D791" s="9" t="s">
        <v>626</v>
      </c>
      <c r="E791" s="10">
        <v>170</v>
      </c>
      <c r="F791" s="13">
        <f t="shared" si="12"/>
        <v>1020</v>
      </c>
    </row>
    <row r="792" spans="1:6" x14ac:dyDescent="0.25">
      <c r="B792" s="9"/>
      <c r="D792" s="9"/>
      <c r="F792" s="8">
        <f>SUM(F791)</f>
        <v>1020</v>
      </c>
    </row>
    <row r="793" spans="1:6" x14ac:dyDescent="0.25">
      <c r="B793" s="9"/>
      <c r="D793" s="9"/>
      <c r="F793" s="13"/>
    </row>
    <row r="794" spans="1:6" x14ac:dyDescent="0.25">
      <c r="A794" t="s">
        <v>427</v>
      </c>
      <c r="B794" s="4">
        <v>45975</v>
      </c>
      <c r="C794" s="5">
        <v>10</v>
      </c>
      <c r="D794" s="9" t="s">
        <v>13</v>
      </c>
      <c r="E794" s="10">
        <v>175</v>
      </c>
      <c r="F794" s="13">
        <f t="shared" si="12"/>
        <v>1750</v>
      </c>
    </row>
    <row r="795" spans="1:6" x14ac:dyDescent="0.25">
      <c r="B795" s="4"/>
      <c r="D795" s="9"/>
      <c r="F795" s="8">
        <f>SUM(F794)</f>
        <v>1750</v>
      </c>
    </row>
    <row r="796" spans="1:6" x14ac:dyDescent="0.25">
      <c r="B796" s="9"/>
      <c r="D796" s="9"/>
      <c r="F796" s="13"/>
    </row>
    <row r="797" spans="1:6" x14ac:dyDescent="0.25">
      <c r="A797" t="s">
        <v>20</v>
      </c>
      <c r="B797" s="4">
        <v>45975</v>
      </c>
      <c r="C797" s="5">
        <v>10</v>
      </c>
      <c r="D797" s="9" t="s">
        <v>13</v>
      </c>
      <c r="E797" s="10">
        <v>175</v>
      </c>
      <c r="F797" s="13">
        <f t="shared" si="12"/>
        <v>1750</v>
      </c>
    </row>
    <row r="798" spans="1:6" x14ac:dyDescent="0.25">
      <c r="B798" s="9"/>
      <c r="D798" s="9"/>
      <c r="F798" s="8">
        <f>SUM(F797)</f>
        <v>1750</v>
      </c>
    </row>
    <row r="799" spans="1:6" x14ac:dyDescent="0.25">
      <c r="B799" s="4"/>
      <c r="D799" s="9"/>
      <c r="F799" s="13"/>
    </row>
    <row r="800" spans="1:6" x14ac:dyDescent="0.25">
      <c r="A800" t="s">
        <v>21</v>
      </c>
      <c r="B800" s="4">
        <v>45975</v>
      </c>
      <c r="C800" s="5">
        <v>30</v>
      </c>
      <c r="D800" s="9" t="s">
        <v>13</v>
      </c>
      <c r="E800" s="10">
        <v>175</v>
      </c>
      <c r="F800" s="13">
        <f t="shared" si="12"/>
        <v>5250</v>
      </c>
    </row>
    <row r="801" spans="1:6" x14ac:dyDescent="0.25">
      <c r="B801" s="9"/>
      <c r="D801" s="9"/>
      <c r="F801" s="8">
        <f>SUM(F800)</f>
        <v>5250</v>
      </c>
    </row>
    <row r="802" spans="1:6" x14ac:dyDescent="0.25">
      <c r="B802" s="9"/>
      <c r="D802" s="9"/>
      <c r="F802" s="13"/>
    </row>
    <row r="803" spans="1:6" x14ac:dyDescent="0.25">
      <c r="A803" t="s">
        <v>367</v>
      </c>
      <c r="B803" s="4">
        <v>45975</v>
      </c>
      <c r="C803" s="5">
        <v>10</v>
      </c>
      <c r="D803" s="9" t="s">
        <v>13</v>
      </c>
      <c r="E803" s="10">
        <v>175</v>
      </c>
      <c r="F803" s="13">
        <f t="shared" si="12"/>
        <v>1750</v>
      </c>
    </row>
    <row r="804" spans="1:6" x14ac:dyDescent="0.25">
      <c r="B804" s="9"/>
      <c r="C804" s="5">
        <v>10</v>
      </c>
      <c r="D804" s="9" t="s">
        <v>14</v>
      </c>
      <c r="E804" s="10">
        <v>170</v>
      </c>
      <c r="F804" s="13">
        <f t="shared" si="12"/>
        <v>1700</v>
      </c>
    </row>
    <row r="805" spans="1:6" x14ac:dyDescent="0.25">
      <c r="B805" s="9"/>
      <c r="D805" s="9"/>
      <c r="F805" s="8">
        <f>SUM(F803:F804)</f>
        <v>3450</v>
      </c>
    </row>
    <row r="806" spans="1:6" x14ac:dyDescent="0.25">
      <c r="B806" s="9"/>
      <c r="D806" s="9"/>
      <c r="F806" s="13"/>
    </row>
    <row r="807" spans="1:6" x14ac:dyDescent="0.25">
      <c r="A807" t="s">
        <v>40</v>
      </c>
      <c r="B807" s="4">
        <v>45975</v>
      </c>
      <c r="C807" s="5">
        <v>10</v>
      </c>
      <c r="D807" s="9" t="s">
        <v>576</v>
      </c>
      <c r="E807" s="10">
        <v>175</v>
      </c>
      <c r="F807" s="13">
        <f t="shared" si="12"/>
        <v>1750</v>
      </c>
    </row>
    <row r="808" spans="1:6" x14ac:dyDescent="0.25">
      <c r="B808" s="9"/>
      <c r="C808" s="5">
        <v>10</v>
      </c>
      <c r="D808" s="9" t="s">
        <v>14</v>
      </c>
      <c r="E808" s="10">
        <v>170</v>
      </c>
      <c r="F808" s="13">
        <f t="shared" si="12"/>
        <v>1700</v>
      </c>
    </row>
    <row r="809" spans="1:6" x14ac:dyDescent="0.25">
      <c r="B809" s="9"/>
      <c r="D809" s="9"/>
      <c r="F809" s="8">
        <f>SUM(F807:F808)</f>
        <v>3450</v>
      </c>
    </row>
    <row r="810" spans="1:6" x14ac:dyDescent="0.25">
      <c r="B810" s="9"/>
      <c r="D810" s="9"/>
      <c r="F810" s="13"/>
    </row>
    <row r="811" spans="1:6" x14ac:dyDescent="0.25">
      <c r="A811" t="s">
        <v>106</v>
      </c>
      <c r="B811" s="4">
        <v>45975</v>
      </c>
      <c r="C811" s="5">
        <v>80</v>
      </c>
      <c r="D811" s="9" t="s">
        <v>12</v>
      </c>
      <c r="E811" s="10">
        <v>162</v>
      </c>
      <c r="F811" s="13">
        <f t="shared" si="12"/>
        <v>12960</v>
      </c>
    </row>
    <row r="812" spans="1:6" x14ac:dyDescent="0.25">
      <c r="B812" s="9"/>
      <c r="C812" s="5">
        <v>10</v>
      </c>
      <c r="D812" s="9" t="s">
        <v>11</v>
      </c>
      <c r="E812" s="10">
        <v>162</v>
      </c>
      <c r="F812" s="13">
        <f t="shared" si="12"/>
        <v>1620</v>
      </c>
    </row>
    <row r="813" spans="1:6" x14ac:dyDescent="0.25">
      <c r="B813" s="9"/>
      <c r="D813" s="9"/>
      <c r="F813" s="8">
        <f>SUM(F811:F812)</f>
        <v>14580</v>
      </c>
    </row>
    <row r="814" spans="1:6" x14ac:dyDescent="0.25">
      <c r="B814" s="9"/>
      <c r="D814" s="9"/>
      <c r="F814" s="13"/>
    </row>
    <row r="815" spans="1:6" x14ac:dyDescent="0.25">
      <c r="A815" t="s">
        <v>780</v>
      </c>
      <c r="B815" s="4">
        <v>45975</v>
      </c>
      <c r="C815" s="5">
        <v>5</v>
      </c>
      <c r="D815" s="9" t="s">
        <v>14</v>
      </c>
      <c r="E815" s="10">
        <v>170</v>
      </c>
      <c r="F815" s="13">
        <f t="shared" si="12"/>
        <v>850</v>
      </c>
    </row>
    <row r="816" spans="1:6" x14ac:dyDescent="0.25">
      <c r="B816" s="4"/>
      <c r="D816" s="9"/>
      <c r="F816" s="8">
        <f>SUM(F815)</f>
        <v>850</v>
      </c>
    </row>
    <row r="817" spans="1:6" x14ac:dyDescent="0.25">
      <c r="B817" s="9"/>
      <c r="D817" s="9"/>
      <c r="F817" s="13"/>
    </row>
    <row r="818" spans="1:6" x14ac:dyDescent="0.25">
      <c r="A818" t="s">
        <v>455</v>
      </c>
      <c r="B818" s="4">
        <v>45975</v>
      </c>
      <c r="C818" s="5">
        <v>30</v>
      </c>
      <c r="D818" s="9" t="s">
        <v>14</v>
      </c>
      <c r="E818" s="10">
        <v>165</v>
      </c>
      <c r="F818" s="13">
        <f t="shared" si="12"/>
        <v>4950</v>
      </c>
    </row>
    <row r="819" spans="1:6" x14ac:dyDescent="0.25">
      <c r="B819" s="4"/>
      <c r="D819" s="9"/>
      <c r="F819" s="8">
        <f>SUM(F818)</f>
        <v>4950</v>
      </c>
    </row>
    <row r="820" spans="1:6" x14ac:dyDescent="0.25">
      <c r="B820" s="9"/>
      <c r="D820" s="9"/>
      <c r="F820" s="13"/>
    </row>
    <row r="821" spans="1:6" x14ac:dyDescent="0.25">
      <c r="A821" t="s">
        <v>41</v>
      </c>
      <c r="B821" s="4">
        <v>45975</v>
      </c>
      <c r="C821" s="5">
        <v>50</v>
      </c>
      <c r="D821" s="9" t="s">
        <v>14</v>
      </c>
      <c r="E821" s="10">
        <v>155</v>
      </c>
      <c r="F821" s="13">
        <f t="shared" si="12"/>
        <v>7750</v>
      </c>
    </row>
    <row r="822" spans="1:6" x14ac:dyDescent="0.25">
      <c r="B822" s="9"/>
      <c r="D822" s="9"/>
      <c r="F822" s="8">
        <f>SUM(F821)</f>
        <v>7750</v>
      </c>
    </row>
    <row r="823" spans="1:6" x14ac:dyDescent="0.25">
      <c r="B823" s="4"/>
      <c r="D823" s="9"/>
      <c r="F823" s="13"/>
    </row>
    <row r="824" spans="1:6" x14ac:dyDescent="0.25">
      <c r="A824" t="s">
        <v>960</v>
      </c>
      <c r="B824" s="4">
        <v>45975</v>
      </c>
      <c r="C824" s="5">
        <v>10</v>
      </c>
      <c r="D824" s="9" t="s">
        <v>1137</v>
      </c>
      <c r="E824" s="10">
        <v>175</v>
      </c>
      <c r="F824" s="13">
        <f t="shared" si="12"/>
        <v>1750</v>
      </c>
    </row>
    <row r="825" spans="1:6" x14ac:dyDescent="0.25">
      <c r="B825" s="9"/>
      <c r="D825" s="9"/>
      <c r="F825" s="8">
        <f>SUM(F824)</f>
        <v>1750</v>
      </c>
    </row>
    <row r="826" spans="1:6" x14ac:dyDescent="0.25">
      <c r="B826" s="9"/>
      <c r="D826" s="9"/>
      <c r="F826" s="13"/>
    </row>
    <row r="827" spans="1:6" x14ac:dyDescent="0.25">
      <c r="A827" t="s">
        <v>785</v>
      </c>
      <c r="B827" s="4">
        <v>45975</v>
      </c>
      <c r="C827" s="5">
        <v>24</v>
      </c>
      <c r="D827" s="9" t="s">
        <v>14</v>
      </c>
      <c r="E827" s="10">
        <v>170</v>
      </c>
      <c r="F827" s="13">
        <f t="shared" si="12"/>
        <v>4080</v>
      </c>
    </row>
    <row r="828" spans="1:6" x14ac:dyDescent="0.25">
      <c r="B828" s="9"/>
      <c r="D828" s="9"/>
      <c r="F828" s="8">
        <f>SUM(F827)</f>
        <v>4080</v>
      </c>
    </row>
    <row r="829" spans="1:6" x14ac:dyDescent="0.25">
      <c r="B829" s="9"/>
      <c r="D829" s="9"/>
      <c r="F829" s="13"/>
    </row>
    <row r="830" spans="1:6" x14ac:dyDescent="0.25">
      <c r="A830" t="s">
        <v>292</v>
      </c>
      <c r="B830" s="4">
        <v>45975</v>
      </c>
      <c r="C830" s="5">
        <v>15</v>
      </c>
      <c r="D830" s="9" t="s">
        <v>11</v>
      </c>
      <c r="E830" s="10">
        <v>160</v>
      </c>
      <c r="F830" s="13">
        <f t="shared" si="12"/>
        <v>2400</v>
      </c>
    </row>
    <row r="831" spans="1:6" x14ac:dyDescent="0.25">
      <c r="B831" s="9"/>
      <c r="C831" s="5">
        <v>10</v>
      </c>
      <c r="D831" s="9" t="s">
        <v>615</v>
      </c>
      <c r="E831" s="10">
        <v>165</v>
      </c>
      <c r="F831" s="13">
        <f t="shared" si="12"/>
        <v>1650</v>
      </c>
    </row>
    <row r="832" spans="1:6" x14ac:dyDescent="0.25">
      <c r="B832" s="9"/>
      <c r="D832" s="9"/>
      <c r="F832" s="8">
        <f>SUM(F830:F831)</f>
        <v>4050</v>
      </c>
    </row>
    <row r="833" spans="1:6" x14ac:dyDescent="0.25">
      <c r="B833" s="4"/>
      <c r="D833" s="9"/>
      <c r="F833" s="13"/>
    </row>
    <row r="834" spans="1:6" x14ac:dyDescent="0.25">
      <c r="A834" t="s">
        <v>85</v>
      </c>
      <c r="B834" s="4">
        <v>45975</v>
      </c>
      <c r="C834" s="5">
        <v>50</v>
      </c>
      <c r="D834" s="9" t="s">
        <v>121</v>
      </c>
      <c r="E834" s="10">
        <v>165</v>
      </c>
      <c r="F834" s="13">
        <f t="shared" si="12"/>
        <v>8250</v>
      </c>
    </row>
    <row r="835" spans="1:6" x14ac:dyDescent="0.25">
      <c r="B835" s="9"/>
      <c r="D835" s="9"/>
      <c r="F835" s="13">
        <f>SUM(F834)</f>
        <v>8250</v>
      </c>
    </row>
    <row r="836" spans="1:6" x14ac:dyDescent="0.25">
      <c r="B836" s="4"/>
      <c r="D836" s="9"/>
      <c r="F836" s="13"/>
    </row>
    <row r="837" spans="1:6" x14ac:dyDescent="0.25">
      <c r="A837" t="s">
        <v>160</v>
      </c>
      <c r="B837" s="4">
        <v>45975</v>
      </c>
      <c r="C837" s="5">
        <v>4</v>
      </c>
      <c r="D837" s="9" t="s">
        <v>704</v>
      </c>
      <c r="E837" s="10">
        <v>165</v>
      </c>
      <c r="F837" s="13">
        <f t="shared" ref="F837:F896" si="13">+C837*E837</f>
        <v>660</v>
      </c>
    </row>
    <row r="838" spans="1:6" x14ac:dyDescent="0.25">
      <c r="B838" s="9"/>
      <c r="D838" s="9"/>
      <c r="F838" s="8">
        <f>SUM(F837)</f>
        <v>660</v>
      </c>
    </row>
    <row r="839" spans="1:6" x14ac:dyDescent="0.25">
      <c r="B839" s="4"/>
      <c r="D839" s="9"/>
      <c r="F839" s="13"/>
    </row>
    <row r="840" spans="1:6" x14ac:dyDescent="0.25">
      <c r="A840" t="s">
        <v>175</v>
      </c>
      <c r="B840" s="4">
        <v>45975</v>
      </c>
      <c r="C840" s="5">
        <v>10</v>
      </c>
      <c r="D840" s="9" t="s">
        <v>13</v>
      </c>
      <c r="E840" s="10">
        <v>170</v>
      </c>
      <c r="F840" s="13">
        <f t="shared" si="13"/>
        <v>1700</v>
      </c>
    </row>
    <row r="841" spans="1:6" x14ac:dyDescent="0.25">
      <c r="B841" s="9"/>
      <c r="D841" s="9"/>
      <c r="F841" s="8">
        <f>SUM(F840)</f>
        <v>1700</v>
      </c>
    </row>
    <row r="842" spans="1:6" x14ac:dyDescent="0.25">
      <c r="B842" s="4"/>
      <c r="D842" s="9"/>
      <c r="F842" s="13"/>
    </row>
    <row r="843" spans="1:6" x14ac:dyDescent="0.25">
      <c r="A843" t="s">
        <v>904</v>
      </c>
      <c r="B843" s="4">
        <v>45975</v>
      </c>
      <c r="C843" s="5">
        <v>3</v>
      </c>
      <c r="D843" s="9" t="s">
        <v>13</v>
      </c>
      <c r="E843" s="10">
        <v>175</v>
      </c>
      <c r="F843" s="13">
        <f t="shared" si="13"/>
        <v>525</v>
      </c>
    </row>
    <row r="844" spans="1:6" x14ac:dyDescent="0.25">
      <c r="B844" s="9"/>
      <c r="D844" s="9"/>
      <c r="F844" s="8">
        <f>SUM(F843)</f>
        <v>525</v>
      </c>
    </row>
    <row r="845" spans="1:6" x14ac:dyDescent="0.25">
      <c r="B845" s="4"/>
      <c r="D845" s="9"/>
      <c r="F845" s="13"/>
    </row>
    <row r="846" spans="1:6" x14ac:dyDescent="0.25">
      <c r="A846" t="s">
        <v>76</v>
      </c>
      <c r="B846" s="4">
        <v>45975</v>
      </c>
      <c r="C846" s="5">
        <v>150</v>
      </c>
      <c r="D846" s="9" t="s">
        <v>14</v>
      </c>
      <c r="F846" s="13">
        <f t="shared" si="13"/>
        <v>0</v>
      </c>
    </row>
    <row r="847" spans="1:6" x14ac:dyDescent="0.25">
      <c r="B847" s="9"/>
      <c r="D847" s="9"/>
      <c r="F847" s="8">
        <f>SUM(F846)</f>
        <v>0</v>
      </c>
    </row>
    <row r="848" spans="1:6" x14ac:dyDescent="0.25">
      <c r="B848" s="4"/>
      <c r="D848" s="9"/>
      <c r="F848" s="13"/>
    </row>
    <row r="849" spans="1:6" x14ac:dyDescent="0.25">
      <c r="A849" t="s">
        <v>151</v>
      </c>
      <c r="B849" s="4">
        <v>45975</v>
      </c>
      <c r="C849" s="5">
        <v>40</v>
      </c>
      <c r="D849" s="9" t="s">
        <v>11</v>
      </c>
      <c r="E849" s="10">
        <v>160</v>
      </c>
      <c r="F849" s="13">
        <f t="shared" si="13"/>
        <v>6400</v>
      </c>
    </row>
    <row r="850" spans="1:6" x14ac:dyDescent="0.25">
      <c r="B850" s="9"/>
      <c r="C850" s="5">
        <v>40</v>
      </c>
      <c r="D850" s="9" t="s">
        <v>14</v>
      </c>
      <c r="E850" s="10">
        <v>165</v>
      </c>
      <c r="F850" s="13">
        <f t="shared" si="13"/>
        <v>6600</v>
      </c>
    </row>
    <row r="851" spans="1:6" x14ac:dyDescent="0.25">
      <c r="B851" s="4"/>
      <c r="D851" s="9"/>
      <c r="F851" s="8">
        <f>SUM(F849:F850)</f>
        <v>13000</v>
      </c>
    </row>
    <row r="852" spans="1:6" x14ac:dyDescent="0.25">
      <c r="B852" s="9"/>
      <c r="D852" s="9"/>
      <c r="F852" s="13"/>
    </row>
    <row r="853" spans="1:6" x14ac:dyDescent="0.25">
      <c r="A853" t="s">
        <v>1026</v>
      </c>
      <c r="B853" s="4">
        <v>45975</v>
      </c>
      <c r="C853" s="5">
        <v>5</v>
      </c>
      <c r="D853" s="9" t="s">
        <v>12</v>
      </c>
      <c r="E853" s="10">
        <v>165</v>
      </c>
      <c r="F853" s="13">
        <f t="shared" si="13"/>
        <v>825</v>
      </c>
    </row>
    <row r="854" spans="1:6" x14ac:dyDescent="0.25">
      <c r="B854" s="9"/>
      <c r="D854" s="9"/>
      <c r="F854" s="8">
        <f>SUM(F853)</f>
        <v>825</v>
      </c>
    </row>
    <row r="855" spans="1:6" x14ac:dyDescent="0.25">
      <c r="B855" s="4"/>
      <c r="D855" s="9"/>
      <c r="F855" s="13"/>
    </row>
    <row r="856" spans="1:6" x14ac:dyDescent="0.25">
      <c r="A856" t="s">
        <v>7</v>
      </c>
      <c r="B856" s="4">
        <v>45975</v>
      </c>
      <c r="C856" s="5">
        <v>1</v>
      </c>
      <c r="D856" s="9" t="s">
        <v>13</v>
      </c>
      <c r="E856" s="10">
        <v>175</v>
      </c>
      <c r="F856" s="13">
        <f t="shared" si="13"/>
        <v>175</v>
      </c>
    </row>
    <row r="857" spans="1:6" x14ac:dyDescent="0.25">
      <c r="B857" s="9"/>
      <c r="C857" s="5">
        <v>4</v>
      </c>
      <c r="D857" s="9" t="s">
        <v>8</v>
      </c>
      <c r="E857" s="10">
        <v>180</v>
      </c>
      <c r="F857" s="13">
        <f t="shared" si="13"/>
        <v>720</v>
      </c>
    </row>
    <row r="858" spans="1:6" x14ac:dyDescent="0.25">
      <c r="B858" s="9"/>
      <c r="C858" s="5">
        <v>2</v>
      </c>
      <c r="D858" s="9" t="s">
        <v>13</v>
      </c>
      <c r="E858" s="10">
        <v>175</v>
      </c>
      <c r="F858" s="13">
        <f t="shared" si="13"/>
        <v>350</v>
      </c>
    </row>
    <row r="859" spans="1:6" x14ac:dyDescent="0.25">
      <c r="B859" s="9"/>
      <c r="C859" s="5">
        <v>2</v>
      </c>
      <c r="D859" s="9" t="s">
        <v>8</v>
      </c>
      <c r="E859" s="10">
        <v>180</v>
      </c>
      <c r="F859" s="13">
        <f t="shared" si="13"/>
        <v>360</v>
      </c>
    </row>
    <row r="860" spans="1:6" x14ac:dyDescent="0.25">
      <c r="B860" s="9"/>
      <c r="C860" s="5">
        <v>1</v>
      </c>
      <c r="D860" s="9" t="s">
        <v>13</v>
      </c>
      <c r="E860" s="10">
        <v>175</v>
      </c>
      <c r="F860" s="13">
        <f t="shared" si="13"/>
        <v>175</v>
      </c>
    </row>
    <row r="861" spans="1:6" x14ac:dyDescent="0.25">
      <c r="B861" s="9"/>
      <c r="C861" s="5">
        <v>4</v>
      </c>
      <c r="D861" s="9" t="s">
        <v>8</v>
      </c>
      <c r="E861" s="10">
        <v>180</v>
      </c>
      <c r="F861" s="13">
        <f t="shared" si="13"/>
        <v>720</v>
      </c>
    </row>
    <row r="862" spans="1:6" x14ac:dyDescent="0.25">
      <c r="B862" s="4"/>
      <c r="D862" s="9"/>
      <c r="F862" s="8">
        <f>SUM(F856:F861)</f>
        <v>2500</v>
      </c>
    </row>
    <row r="863" spans="1:6" x14ac:dyDescent="0.25">
      <c r="B863" s="9"/>
      <c r="D863" s="9"/>
      <c r="F863" s="13"/>
    </row>
    <row r="864" spans="1:6" x14ac:dyDescent="0.25">
      <c r="A864" t="s">
        <v>487</v>
      </c>
      <c r="B864" s="4">
        <v>45976</v>
      </c>
      <c r="C864" s="5">
        <v>5</v>
      </c>
      <c r="D864" s="9" t="s">
        <v>12</v>
      </c>
      <c r="E864" s="10">
        <v>165</v>
      </c>
      <c r="F864" s="13">
        <f t="shared" si="13"/>
        <v>825</v>
      </c>
    </row>
    <row r="865" spans="1:6" x14ac:dyDescent="0.25">
      <c r="B865" s="4"/>
      <c r="D865" s="9"/>
      <c r="F865" s="8">
        <f>SUM(F864)</f>
        <v>825</v>
      </c>
    </row>
    <row r="866" spans="1:6" x14ac:dyDescent="0.25">
      <c r="B866" s="9"/>
      <c r="D866" s="9"/>
      <c r="F866" s="13"/>
    </row>
    <row r="867" spans="1:6" x14ac:dyDescent="0.25">
      <c r="A867" t="s">
        <v>128</v>
      </c>
      <c r="B867" s="4">
        <v>45976</v>
      </c>
      <c r="C867" s="5">
        <v>5</v>
      </c>
      <c r="D867" s="9" t="s">
        <v>1138</v>
      </c>
      <c r="E867" s="10">
        <v>180</v>
      </c>
      <c r="F867" s="13">
        <f t="shared" si="13"/>
        <v>900</v>
      </c>
    </row>
    <row r="868" spans="1:6" s="9" customFormat="1" x14ac:dyDescent="0.25">
      <c r="B868" s="4"/>
      <c r="C868" s="5"/>
      <c r="E868" s="10"/>
      <c r="F868" s="8">
        <f>SUM(F867)</f>
        <v>900</v>
      </c>
    </row>
    <row r="869" spans="1:6" s="9" customFormat="1" x14ac:dyDescent="0.25">
      <c r="C869" s="5"/>
      <c r="E869" s="10"/>
      <c r="F869" s="13"/>
    </row>
    <row r="870" spans="1:6" s="9" customFormat="1" x14ac:dyDescent="0.25">
      <c r="A870" s="9" t="s">
        <v>66</v>
      </c>
      <c r="B870" s="4">
        <v>45976</v>
      </c>
      <c r="C870" s="5">
        <v>10</v>
      </c>
      <c r="D870" s="9" t="s">
        <v>1138</v>
      </c>
      <c r="E870" s="10">
        <v>180</v>
      </c>
      <c r="F870" s="13">
        <f t="shared" si="13"/>
        <v>1800</v>
      </c>
    </row>
    <row r="871" spans="1:6" s="9" customFormat="1" x14ac:dyDescent="0.25">
      <c r="C871" s="5"/>
      <c r="E871" s="10"/>
      <c r="F871" s="8">
        <f>SUM(F870)</f>
        <v>1800</v>
      </c>
    </row>
    <row r="872" spans="1:6" x14ac:dyDescent="0.25">
      <c r="B872" s="4"/>
      <c r="D872" s="9"/>
      <c r="F872" s="13"/>
    </row>
    <row r="873" spans="1:6" x14ac:dyDescent="0.25">
      <c r="A873" t="s">
        <v>113</v>
      </c>
      <c r="B873" s="4">
        <v>45976</v>
      </c>
      <c r="C873" s="5">
        <v>20</v>
      </c>
      <c r="D873" s="9" t="s">
        <v>8</v>
      </c>
      <c r="E873" s="10">
        <v>180</v>
      </c>
      <c r="F873" s="13">
        <f t="shared" si="13"/>
        <v>3600</v>
      </c>
    </row>
    <row r="874" spans="1:6" x14ac:dyDescent="0.25">
      <c r="B874" s="9"/>
      <c r="D874" s="9"/>
      <c r="F874" s="8">
        <f>SUM(F873)</f>
        <v>3600</v>
      </c>
    </row>
    <row r="875" spans="1:6" x14ac:dyDescent="0.25">
      <c r="B875" s="9"/>
      <c r="D875" s="9"/>
      <c r="F875" s="13"/>
    </row>
    <row r="876" spans="1:6" x14ac:dyDescent="0.25">
      <c r="A876" t="s">
        <v>114</v>
      </c>
      <c r="B876" s="4">
        <v>45976</v>
      </c>
      <c r="C876" s="5">
        <v>4</v>
      </c>
      <c r="D876" s="9" t="s">
        <v>13</v>
      </c>
      <c r="E876" s="10">
        <v>175</v>
      </c>
      <c r="F876" s="13">
        <f t="shared" si="13"/>
        <v>700</v>
      </c>
    </row>
    <row r="877" spans="1:6" x14ac:dyDescent="0.25">
      <c r="B877" s="9"/>
      <c r="D877" s="9"/>
      <c r="F877" s="8">
        <f>SUM(F876)</f>
        <v>700</v>
      </c>
    </row>
    <row r="878" spans="1:6" x14ac:dyDescent="0.25">
      <c r="B878" s="9"/>
      <c r="D878" s="9"/>
      <c r="F878" s="13"/>
    </row>
    <row r="879" spans="1:6" x14ac:dyDescent="0.25">
      <c r="A879" t="s">
        <v>68</v>
      </c>
      <c r="B879" s="4">
        <v>45976</v>
      </c>
      <c r="C879" s="5">
        <v>3</v>
      </c>
      <c r="D879" s="9" t="s">
        <v>13</v>
      </c>
      <c r="E879" s="10">
        <v>175</v>
      </c>
      <c r="F879" s="13">
        <f t="shared" si="13"/>
        <v>525</v>
      </c>
    </row>
    <row r="880" spans="1:6" x14ac:dyDescent="0.25">
      <c r="B880" s="9"/>
      <c r="D880" s="9"/>
      <c r="F880" s="8">
        <f>SUM(F879)</f>
        <v>525</v>
      </c>
    </row>
    <row r="881" spans="1:6" x14ac:dyDescent="0.25">
      <c r="B881" s="9"/>
      <c r="D881" s="9"/>
      <c r="F881" s="13"/>
    </row>
    <row r="882" spans="1:6" x14ac:dyDescent="0.25">
      <c r="A882" t="s">
        <v>26</v>
      </c>
      <c r="B882" s="4">
        <v>45976</v>
      </c>
      <c r="C882" s="5">
        <v>10</v>
      </c>
      <c r="D882" s="9" t="s">
        <v>121</v>
      </c>
      <c r="E882" s="10">
        <v>155</v>
      </c>
      <c r="F882" s="13">
        <f t="shared" si="13"/>
        <v>1550</v>
      </c>
    </row>
    <row r="883" spans="1:6" x14ac:dyDescent="0.25">
      <c r="B883" s="9"/>
      <c r="D883" s="9"/>
      <c r="F883" s="8">
        <f>SUM(F882)</f>
        <v>1550</v>
      </c>
    </row>
    <row r="884" spans="1:6" x14ac:dyDescent="0.25">
      <c r="B884" s="4"/>
      <c r="D884" s="9"/>
      <c r="F884" s="13"/>
    </row>
    <row r="885" spans="1:6" x14ac:dyDescent="0.25">
      <c r="A885" t="s">
        <v>245</v>
      </c>
      <c r="B885" s="4">
        <v>45976</v>
      </c>
      <c r="C885" s="5">
        <v>1000</v>
      </c>
      <c r="D885" s="9" t="s">
        <v>13</v>
      </c>
      <c r="E885" s="10">
        <v>167</v>
      </c>
      <c r="F885" s="13">
        <f t="shared" si="13"/>
        <v>167000</v>
      </c>
    </row>
    <row r="886" spans="1:6" x14ac:dyDescent="0.25">
      <c r="B886" s="9"/>
      <c r="D886" s="9"/>
      <c r="F886" s="8">
        <f>SUM(F885)</f>
        <v>167000</v>
      </c>
    </row>
    <row r="887" spans="1:6" x14ac:dyDescent="0.25">
      <c r="B887" s="4"/>
      <c r="D887" s="9"/>
      <c r="F887" s="13"/>
    </row>
    <row r="888" spans="1:6" x14ac:dyDescent="0.25">
      <c r="A888" t="s">
        <v>1139</v>
      </c>
      <c r="B888" s="4">
        <v>45976</v>
      </c>
      <c r="C888" s="5">
        <v>150</v>
      </c>
      <c r="D888" s="9" t="s">
        <v>13</v>
      </c>
      <c r="E888" s="10">
        <v>165</v>
      </c>
      <c r="F888" s="13">
        <f t="shared" si="13"/>
        <v>24750</v>
      </c>
    </row>
    <row r="889" spans="1:6" x14ac:dyDescent="0.25">
      <c r="B889" s="9"/>
      <c r="C889" s="5">
        <v>150</v>
      </c>
      <c r="D889" s="9" t="s">
        <v>12</v>
      </c>
      <c r="E889" s="10">
        <v>160</v>
      </c>
      <c r="F889" s="13">
        <f t="shared" si="13"/>
        <v>24000</v>
      </c>
    </row>
    <row r="890" spans="1:6" x14ac:dyDescent="0.25">
      <c r="B890" s="4"/>
      <c r="C890" s="5">
        <v>100</v>
      </c>
      <c r="D890" s="9" t="s">
        <v>14</v>
      </c>
      <c r="E890" s="10">
        <v>165</v>
      </c>
      <c r="F890" s="13">
        <f t="shared" si="13"/>
        <v>16500</v>
      </c>
    </row>
    <row r="891" spans="1:6" x14ac:dyDescent="0.25">
      <c r="B891" s="9"/>
      <c r="C891" s="5">
        <v>50</v>
      </c>
      <c r="D891" s="9" t="s">
        <v>11</v>
      </c>
      <c r="E891" s="10">
        <v>160</v>
      </c>
      <c r="F891" s="13">
        <f t="shared" si="13"/>
        <v>8000</v>
      </c>
    </row>
    <row r="892" spans="1:6" x14ac:dyDescent="0.25">
      <c r="B892" s="9"/>
      <c r="D892" s="9"/>
      <c r="F892" s="8">
        <f>SUM(F888:F891)</f>
        <v>73250</v>
      </c>
    </row>
    <row r="893" spans="1:6" x14ac:dyDescent="0.25">
      <c r="B893" s="4"/>
      <c r="D893" s="9"/>
      <c r="F893" s="13"/>
    </row>
    <row r="894" spans="1:6" x14ac:dyDescent="0.25">
      <c r="A894" t="s">
        <v>29</v>
      </c>
      <c r="B894" s="4">
        <v>45976</v>
      </c>
      <c r="C894" s="5">
        <v>1</v>
      </c>
      <c r="D894" s="9" t="s">
        <v>8</v>
      </c>
      <c r="E894" s="10">
        <v>180</v>
      </c>
      <c r="F894" s="13">
        <f t="shared" si="13"/>
        <v>180</v>
      </c>
    </row>
    <row r="895" spans="1:6" x14ac:dyDescent="0.25">
      <c r="B895" s="9"/>
      <c r="C895" s="5">
        <v>1</v>
      </c>
      <c r="D895" s="9" t="s">
        <v>8</v>
      </c>
      <c r="E895" s="10">
        <v>180</v>
      </c>
      <c r="F895" s="13">
        <f t="shared" si="13"/>
        <v>180</v>
      </c>
    </row>
    <row r="896" spans="1:6" x14ac:dyDescent="0.25">
      <c r="B896" s="4"/>
      <c r="C896" s="5">
        <v>7</v>
      </c>
      <c r="D896" s="9" t="s">
        <v>22</v>
      </c>
      <c r="E896" s="10">
        <v>150</v>
      </c>
      <c r="F896" s="13">
        <f t="shared" si="13"/>
        <v>1050</v>
      </c>
    </row>
    <row r="897" spans="1:6" x14ac:dyDescent="0.25">
      <c r="B897" s="9"/>
      <c r="D897" s="9"/>
      <c r="F897" s="8">
        <f>SUM(F894:F896)</f>
        <v>1410</v>
      </c>
    </row>
    <row r="898" spans="1:6" x14ac:dyDescent="0.25">
      <c r="B898" s="9"/>
      <c r="D898" s="9"/>
      <c r="F898" s="13"/>
    </row>
    <row r="899" spans="1:6" x14ac:dyDescent="0.25">
      <c r="A899" t="s">
        <v>76</v>
      </c>
      <c r="B899" s="4">
        <v>45977</v>
      </c>
      <c r="C899" s="5">
        <v>11</v>
      </c>
      <c r="D899" s="9" t="s">
        <v>49</v>
      </c>
      <c r="E899" s="10">
        <v>170</v>
      </c>
      <c r="F899" s="13">
        <f t="shared" ref="F899:F961" si="14">+C899*E899</f>
        <v>1870</v>
      </c>
    </row>
    <row r="900" spans="1:6" x14ac:dyDescent="0.25">
      <c r="B900" s="4"/>
      <c r="C900" s="5">
        <v>40</v>
      </c>
      <c r="D900" s="9" t="s">
        <v>14</v>
      </c>
      <c r="E900" s="10">
        <v>165</v>
      </c>
      <c r="F900" s="13">
        <f t="shared" si="14"/>
        <v>6600</v>
      </c>
    </row>
    <row r="901" spans="1:6" x14ac:dyDescent="0.25">
      <c r="B901" s="9"/>
      <c r="C901" s="5">
        <v>30</v>
      </c>
      <c r="D901" s="9" t="s">
        <v>642</v>
      </c>
      <c r="E901" s="10">
        <v>150</v>
      </c>
      <c r="F901" s="13">
        <f t="shared" si="14"/>
        <v>4500</v>
      </c>
    </row>
    <row r="902" spans="1:6" x14ac:dyDescent="0.25">
      <c r="B902" s="9"/>
      <c r="C902" s="5">
        <v>20</v>
      </c>
      <c r="D902" s="9" t="s">
        <v>12</v>
      </c>
      <c r="E902" s="10">
        <v>160</v>
      </c>
      <c r="F902" s="13">
        <f t="shared" si="14"/>
        <v>3200</v>
      </c>
    </row>
    <row r="903" spans="1:6" x14ac:dyDescent="0.25">
      <c r="B903" s="9"/>
      <c r="C903" s="5">
        <v>20</v>
      </c>
      <c r="D903" s="9" t="s">
        <v>799</v>
      </c>
      <c r="E903" s="10">
        <v>165</v>
      </c>
      <c r="F903" s="13">
        <f t="shared" si="14"/>
        <v>3300</v>
      </c>
    </row>
    <row r="904" spans="1:6" x14ac:dyDescent="0.25">
      <c r="B904" s="9"/>
      <c r="D904" s="9"/>
      <c r="F904" s="8">
        <f>SUM(F899:F903)</f>
        <v>19470</v>
      </c>
    </row>
    <row r="905" spans="1:6" x14ac:dyDescent="0.25">
      <c r="B905" s="9"/>
      <c r="D905" s="9"/>
      <c r="F905" s="13"/>
    </row>
    <row r="906" spans="1:6" x14ac:dyDescent="0.25">
      <c r="A906" t="s">
        <v>65</v>
      </c>
      <c r="B906" s="4">
        <v>45977</v>
      </c>
      <c r="C906" s="5">
        <v>137</v>
      </c>
      <c r="D906" s="9" t="s">
        <v>13</v>
      </c>
      <c r="E906" s="10">
        <v>170</v>
      </c>
      <c r="F906" s="13">
        <f t="shared" si="14"/>
        <v>23290</v>
      </c>
    </row>
    <row r="907" spans="1:6" x14ac:dyDescent="0.25">
      <c r="B907" s="9"/>
      <c r="C907" s="5">
        <v>42</v>
      </c>
      <c r="D907" s="9" t="s">
        <v>12</v>
      </c>
      <c r="E907" s="10">
        <v>165</v>
      </c>
      <c r="F907" s="13">
        <f t="shared" si="14"/>
        <v>6930</v>
      </c>
    </row>
    <row r="908" spans="1:6" x14ac:dyDescent="0.25">
      <c r="B908" s="9"/>
      <c r="C908" s="5">
        <v>30</v>
      </c>
      <c r="D908" s="9" t="s">
        <v>799</v>
      </c>
      <c r="E908" s="10">
        <v>160</v>
      </c>
      <c r="F908" s="13">
        <f t="shared" si="14"/>
        <v>4800</v>
      </c>
    </row>
    <row r="909" spans="1:6" x14ac:dyDescent="0.25">
      <c r="B909" s="9"/>
      <c r="C909" s="5">
        <v>105</v>
      </c>
      <c r="D909" s="9" t="s">
        <v>14</v>
      </c>
      <c r="E909" s="10">
        <v>170</v>
      </c>
      <c r="F909" s="13">
        <f t="shared" si="14"/>
        <v>17850</v>
      </c>
    </row>
    <row r="910" spans="1:6" x14ac:dyDescent="0.25">
      <c r="B910" s="9"/>
      <c r="C910" s="5">
        <v>76</v>
      </c>
      <c r="D910" s="9" t="s">
        <v>11</v>
      </c>
      <c r="E910" s="10">
        <v>165</v>
      </c>
      <c r="F910" s="13">
        <f t="shared" si="14"/>
        <v>12540</v>
      </c>
    </row>
    <row r="911" spans="1:6" x14ac:dyDescent="0.25">
      <c r="B911" s="4"/>
      <c r="C911" s="5">
        <v>10</v>
      </c>
      <c r="D911" s="9" t="s">
        <v>1140</v>
      </c>
      <c r="E911" s="10">
        <v>150</v>
      </c>
      <c r="F911" s="13">
        <f t="shared" si="14"/>
        <v>1500</v>
      </c>
    </row>
    <row r="912" spans="1:6" x14ac:dyDescent="0.25">
      <c r="B912" s="9"/>
      <c r="D912" s="9"/>
      <c r="F912" s="8">
        <f>SUM(F906:F911)</f>
        <v>66910</v>
      </c>
    </row>
    <row r="913" spans="1:6" x14ac:dyDescent="0.25">
      <c r="B913" s="9"/>
      <c r="D913" s="9"/>
      <c r="F913" s="13"/>
    </row>
    <row r="914" spans="1:6" x14ac:dyDescent="0.25">
      <c r="A914" t="s">
        <v>101</v>
      </c>
      <c r="B914" s="4">
        <v>45977</v>
      </c>
      <c r="C914" s="5">
        <v>10</v>
      </c>
      <c r="D914" s="9" t="s">
        <v>8</v>
      </c>
      <c r="E914" s="10">
        <v>175</v>
      </c>
      <c r="F914" s="13">
        <f t="shared" si="14"/>
        <v>1750</v>
      </c>
    </row>
    <row r="915" spans="1:6" x14ac:dyDescent="0.25">
      <c r="B915" s="9"/>
      <c r="D915" s="9"/>
      <c r="F915" s="8">
        <f>SUM(F914)</f>
        <v>1750</v>
      </c>
    </row>
    <row r="916" spans="1:6" x14ac:dyDescent="0.25">
      <c r="B916" s="9"/>
      <c r="D916" s="9"/>
      <c r="F916" s="13"/>
    </row>
    <row r="917" spans="1:6" x14ac:dyDescent="0.25">
      <c r="A917" t="s">
        <v>7</v>
      </c>
      <c r="B917" s="4">
        <v>45977</v>
      </c>
      <c r="C917" s="5">
        <v>4</v>
      </c>
      <c r="D917" s="9" t="s">
        <v>8</v>
      </c>
      <c r="E917" s="10">
        <v>180</v>
      </c>
      <c r="F917" s="13">
        <f t="shared" si="14"/>
        <v>720</v>
      </c>
    </row>
    <row r="918" spans="1:6" x14ac:dyDescent="0.25">
      <c r="B918" s="4"/>
      <c r="C918" s="5">
        <v>2</v>
      </c>
      <c r="D918" s="9" t="s">
        <v>13</v>
      </c>
      <c r="E918" s="10">
        <v>175</v>
      </c>
      <c r="F918" s="13">
        <f t="shared" si="14"/>
        <v>350</v>
      </c>
    </row>
    <row r="919" spans="1:6" x14ac:dyDescent="0.25">
      <c r="B919" s="9"/>
      <c r="C919" s="5">
        <v>1</v>
      </c>
      <c r="D919" s="9" t="s">
        <v>8</v>
      </c>
      <c r="E919" s="10">
        <v>180</v>
      </c>
      <c r="F919" s="13">
        <f t="shared" si="14"/>
        <v>180</v>
      </c>
    </row>
    <row r="920" spans="1:6" x14ac:dyDescent="0.25">
      <c r="B920" s="9"/>
      <c r="D920" s="9"/>
      <c r="F920" s="8">
        <f>SUM(F917:F919)</f>
        <v>1250</v>
      </c>
    </row>
    <row r="921" spans="1:6" x14ac:dyDescent="0.25">
      <c r="B921" s="4"/>
      <c r="D921" s="9"/>
      <c r="F921" s="13"/>
    </row>
    <row r="922" spans="1:6" x14ac:dyDescent="0.25">
      <c r="A922" t="s">
        <v>514</v>
      </c>
      <c r="B922" s="4">
        <v>45978</v>
      </c>
      <c r="C922" s="5">
        <v>10</v>
      </c>
      <c r="D922" s="9" t="s">
        <v>98</v>
      </c>
      <c r="E922" s="10">
        <v>130</v>
      </c>
      <c r="F922" s="13">
        <f t="shared" si="14"/>
        <v>1300</v>
      </c>
    </row>
    <row r="923" spans="1:6" x14ac:dyDescent="0.25">
      <c r="B923" s="9"/>
      <c r="D923" s="9"/>
      <c r="F923" s="8">
        <f>SUM(F922)</f>
        <v>1300</v>
      </c>
    </row>
    <row r="924" spans="1:6" x14ac:dyDescent="0.25">
      <c r="B924" s="4"/>
      <c r="D924" s="9"/>
      <c r="F924" s="13"/>
    </row>
    <row r="925" spans="1:6" x14ac:dyDescent="0.25">
      <c r="A925" t="s">
        <v>15</v>
      </c>
      <c r="B925" s="4">
        <v>45978</v>
      </c>
      <c r="C925" s="5">
        <v>70</v>
      </c>
      <c r="D925" s="9" t="s">
        <v>98</v>
      </c>
      <c r="E925" s="10">
        <v>130</v>
      </c>
      <c r="F925" s="13">
        <f t="shared" si="14"/>
        <v>9100</v>
      </c>
    </row>
    <row r="926" spans="1:6" x14ac:dyDescent="0.25">
      <c r="B926" s="9"/>
      <c r="D926" s="9"/>
      <c r="F926" s="8">
        <f>SUM(F925)</f>
        <v>9100</v>
      </c>
    </row>
    <row r="927" spans="1:6" x14ac:dyDescent="0.25">
      <c r="B927" s="4"/>
      <c r="D927" s="9"/>
      <c r="F927" s="13"/>
    </row>
    <row r="928" spans="1:6" x14ac:dyDescent="0.25">
      <c r="A928" t="s">
        <v>40</v>
      </c>
      <c r="B928" s="4">
        <v>45978</v>
      </c>
      <c r="C928" s="5">
        <v>20</v>
      </c>
      <c r="D928" s="9" t="s">
        <v>8</v>
      </c>
      <c r="E928" s="10">
        <v>180</v>
      </c>
      <c r="F928" s="13">
        <f t="shared" si="14"/>
        <v>3600</v>
      </c>
    </row>
    <row r="929" spans="1:6" x14ac:dyDescent="0.25">
      <c r="B929" s="9"/>
      <c r="C929" s="5">
        <v>15</v>
      </c>
      <c r="D929" s="9" t="s">
        <v>13</v>
      </c>
      <c r="E929" s="10">
        <v>175</v>
      </c>
      <c r="F929" s="13">
        <f t="shared" si="14"/>
        <v>2625</v>
      </c>
    </row>
    <row r="930" spans="1:6" x14ac:dyDescent="0.25">
      <c r="B930" s="4"/>
      <c r="D930" s="9"/>
      <c r="F930" s="8">
        <f>SUM(F928:F929)</f>
        <v>6225</v>
      </c>
    </row>
    <row r="931" spans="1:6" x14ac:dyDescent="0.25">
      <c r="B931" s="9"/>
      <c r="D931" s="9"/>
      <c r="F931" s="13"/>
    </row>
    <row r="932" spans="1:6" x14ac:dyDescent="0.25">
      <c r="A932" t="s">
        <v>25</v>
      </c>
      <c r="B932" s="4">
        <v>45978</v>
      </c>
      <c r="C932" s="5">
        <v>15</v>
      </c>
      <c r="D932" s="9" t="s">
        <v>8</v>
      </c>
      <c r="E932" s="10">
        <v>180</v>
      </c>
      <c r="F932" s="13">
        <f t="shared" si="14"/>
        <v>2700</v>
      </c>
    </row>
    <row r="933" spans="1:6" x14ac:dyDescent="0.25">
      <c r="B933" s="9"/>
      <c r="D933" s="9"/>
      <c r="F933" s="8">
        <f>SUM(F932)</f>
        <v>2700</v>
      </c>
    </row>
    <row r="934" spans="1:6" x14ac:dyDescent="0.25">
      <c r="B934" s="9"/>
      <c r="D934" s="9"/>
      <c r="F934" s="13"/>
    </row>
    <row r="935" spans="1:6" x14ac:dyDescent="0.25">
      <c r="A935" t="s">
        <v>923</v>
      </c>
      <c r="B935" s="4">
        <v>45978</v>
      </c>
      <c r="C935" s="5">
        <v>10</v>
      </c>
      <c r="D935" s="9" t="s">
        <v>8</v>
      </c>
      <c r="E935" s="10">
        <v>180</v>
      </c>
      <c r="F935" s="13">
        <f t="shared" si="14"/>
        <v>1800</v>
      </c>
    </row>
    <row r="936" spans="1:6" x14ac:dyDescent="0.25">
      <c r="B936" s="9"/>
      <c r="C936" s="5">
        <v>10</v>
      </c>
      <c r="D936" s="9" t="s">
        <v>13</v>
      </c>
      <c r="E936" s="10">
        <v>175</v>
      </c>
      <c r="F936" s="13">
        <f t="shared" si="14"/>
        <v>1750</v>
      </c>
    </row>
    <row r="937" spans="1:6" x14ac:dyDescent="0.25">
      <c r="B937" s="4"/>
      <c r="D937" s="9"/>
      <c r="F937" s="8">
        <f>SUM(F935:F936)</f>
        <v>3550</v>
      </c>
    </row>
    <row r="938" spans="1:6" x14ac:dyDescent="0.25">
      <c r="B938" s="9"/>
      <c r="D938" s="9"/>
      <c r="F938" s="13"/>
    </row>
    <row r="939" spans="1:6" x14ac:dyDescent="0.25">
      <c r="A939" t="s">
        <v>367</v>
      </c>
      <c r="B939" s="4">
        <v>45978</v>
      </c>
      <c r="C939" s="5">
        <v>15</v>
      </c>
      <c r="D939" s="9" t="s">
        <v>13</v>
      </c>
      <c r="E939" s="10">
        <v>175</v>
      </c>
      <c r="F939" s="13">
        <f t="shared" si="14"/>
        <v>2625</v>
      </c>
    </row>
    <row r="940" spans="1:6" x14ac:dyDescent="0.25">
      <c r="B940" s="4"/>
      <c r="C940" s="5">
        <v>5</v>
      </c>
      <c r="D940" s="9" t="s">
        <v>14</v>
      </c>
      <c r="E940" s="10">
        <v>170</v>
      </c>
      <c r="F940" s="13">
        <f t="shared" si="14"/>
        <v>850</v>
      </c>
    </row>
    <row r="941" spans="1:6" x14ac:dyDescent="0.25">
      <c r="B941" s="9"/>
      <c r="D941" s="9"/>
      <c r="F941" s="8">
        <f>SUM(F939:F940)</f>
        <v>3475</v>
      </c>
    </row>
    <row r="942" spans="1:6" x14ac:dyDescent="0.25">
      <c r="B942" s="9"/>
      <c r="D942" s="9"/>
      <c r="F942" s="13"/>
    </row>
    <row r="943" spans="1:6" x14ac:dyDescent="0.25">
      <c r="A943" t="s">
        <v>20</v>
      </c>
      <c r="B943" s="4">
        <v>45978</v>
      </c>
      <c r="C943" s="5">
        <v>20</v>
      </c>
      <c r="D943" s="9" t="s">
        <v>8</v>
      </c>
      <c r="E943" s="10">
        <v>180</v>
      </c>
      <c r="F943" s="13">
        <f t="shared" si="14"/>
        <v>3600</v>
      </c>
    </row>
    <row r="944" spans="1:6" x14ac:dyDescent="0.25">
      <c r="B944" s="9"/>
      <c r="C944" s="5">
        <v>20</v>
      </c>
      <c r="D944" s="9" t="s">
        <v>13</v>
      </c>
      <c r="E944" s="10">
        <v>175</v>
      </c>
      <c r="F944" s="13">
        <f t="shared" si="14"/>
        <v>3500</v>
      </c>
    </row>
    <row r="945" spans="1:6" x14ac:dyDescent="0.25">
      <c r="B945" s="9"/>
      <c r="D945" s="9"/>
      <c r="F945" s="8">
        <f>SUM(F943:F944)</f>
        <v>7100</v>
      </c>
    </row>
    <row r="946" spans="1:6" x14ac:dyDescent="0.25">
      <c r="B946" s="9"/>
      <c r="D946" s="9"/>
      <c r="F946" s="13"/>
    </row>
    <row r="947" spans="1:6" x14ac:dyDescent="0.25">
      <c r="A947" t="s">
        <v>427</v>
      </c>
      <c r="B947" s="4">
        <v>45978</v>
      </c>
      <c r="C947" s="5">
        <v>10</v>
      </c>
      <c r="D947" s="9" t="s">
        <v>13</v>
      </c>
      <c r="E947" s="10">
        <v>175</v>
      </c>
      <c r="F947" s="13">
        <f t="shared" si="14"/>
        <v>1750</v>
      </c>
    </row>
    <row r="948" spans="1:6" x14ac:dyDescent="0.25">
      <c r="B948" s="9"/>
      <c r="D948" s="9"/>
      <c r="F948" s="8">
        <f>SUM(F947)</f>
        <v>1750</v>
      </c>
    </row>
    <row r="949" spans="1:6" x14ac:dyDescent="0.25">
      <c r="B949" s="9"/>
      <c r="D949" s="9"/>
      <c r="F949" s="13"/>
    </row>
    <row r="950" spans="1:6" x14ac:dyDescent="0.25">
      <c r="A950" t="s">
        <v>21</v>
      </c>
      <c r="B950" s="4">
        <v>45978</v>
      </c>
      <c r="C950" s="5">
        <v>10</v>
      </c>
      <c r="D950" s="9" t="s">
        <v>8</v>
      </c>
      <c r="E950" s="10">
        <v>180</v>
      </c>
      <c r="F950" s="13">
        <f t="shared" si="14"/>
        <v>1800</v>
      </c>
    </row>
    <row r="951" spans="1:6" x14ac:dyDescent="0.25">
      <c r="B951" s="9"/>
      <c r="C951" s="5">
        <v>5</v>
      </c>
      <c r="D951" s="9" t="s">
        <v>14</v>
      </c>
      <c r="E951" s="10">
        <v>170</v>
      </c>
      <c r="F951" s="13">
        <f t="shared" si="14"/>
        <v>850</v>
      </c>
    </row>
    <row r="952" spans="1:6" x14ac:dyDescent="0.25">
      <c r="B952" s="4"/>
      <c r="C952" s="5">
        <v>20</v>
      </c>
      <c r="D952" s="9" t="s">
        <v>13</v>
      </c>
      <c r="E952" s="10">
        <v>175</v>
      </c>
      <c r="F952" s="13">
        <f t="shared" si="14"/>
        <v>3500</v>
      </c>
    </row>
    <row r="953" spans="1:6" x14ac:dyDescent="0.25">
      <c r="B953" s="9"/>
      <c r="D953" s="9"/>
      <c r="F953" s="8">
        <f>SUM(F950:F952)</f>
        <v>6150</v>
      </c>
    </row>
    <row r="954" spans="1:6" x14ac:dyDescent="0.25">
      <c r="B954" s="9"/>
      <c r="D954" s="9"/>
      <c r="F954" s="13"/>
    </row>
    <row r="955" spans="1:6" x14ac:dyDescent="0.25">
      <c r="A955" t="s">
        <v>1122</v>
      </c>
      <c r="B955" s="4">
        <v>45978</v>
      </c>
      <c r="C955" s="5">
        <v>5</v>
      </c>
      <c r="D955" s="9" t="s">
        <v>13</v>
      </c>
      <c r="E955" s="10">
        <v>175</v>
      </c>
      <c r="F955" s="13">
        <f t="shared" si="14"/>
        <v>875</v>
      </c>
    </row>
    <row r="956" spans="1:6" x14ac:dyDescent="0.25">
      <c r="B956" s="4"/>
      <c r="D956" s="9"/>
      <c r="F956" s="8">
        <f>SUM(F955)</f>
        <v>875</v>
      </c>
    </row>
    <row r="957" spans="1:6" x14ac:dyDescent="0.25">
      <c r="B957" s="9"/>
      <c r="D957" s="9"/>
      <c r="F957" s="13"/>
    </row>
    <row r="958" spans="1:6" x14ac:dyDescent="0.25">
      <c r="A958" t="s">
        <v>117</v>
      </c>
      <c r="B958" s="4">
        <v>45978</v>
      </c>
      <c r="C958" s="5">
        <v>5</v>
      </c>
      <c r="D958" s="9" t="s">
        <v>13</v>
      </c>
      <c r="E958" s="10">
        <v>175</v>
      </c>
      <c r="F958" s="13">
        <f t="shared" si="14"/>
        <v>875</v>
      </c>
    </row>
    <row r="959" spans="1:6" x14ac:dyDescent="0.25">
      <c r="B959" s="9"/>
      <c r="D959" s="9"/>
      <c r="F959" s="8">
        <f>SUM(F958)</f>
        <v>875</v>
      </c>
    </row>
    <row r="960" spans="1:6" x14ac:dyDescent="0.25">
      <c r="B960" s="9"/>
      <c r="D960" s="9"/>
      <c r="F960" s="13"/>
    </row>
    <row r="961" spans="1:6" x14ac:dyDescent="0.25">
      <c r="A961" t="s">
        <v>32</v>
      </c>
      <c r="B961" s="4">
        <v>45978</v>
      </c>
      <c r="C961" s="5">
        <v>10</v>
      </c>
      <c r="D961" s="9" t="s">
        <v>13</v>
      </c>
      <c r="E961" s="10">
        <v>170</v>
      </c>
      <c r="F961" s="13">
        <f t="shared" si="14"/>
        <v>1700</v>
      </c>
    </row>
    <row r="962" spans="1:6" x14ac:dyDescent="0.25">
      <c r="B962" s="9"/>
      <c r="D962" s="9"/>
      <c r="F962" s="8">
        <f>SUM(F961)</f>
        <v>1700</v>
      </c>
    </row>
    <row r="963" spans="1:6" x14ac:dyDescent="0.25">
      <c r="B963" s="4"/>
      <c r="D963" s="9"/>
      <c r="F963" s="13"/>
    </row>
    <row r="964" spans="1:6" x14ac:dyDescent="0.25">
      <c r="A964" t="s">
        <v>1141</v>
      </c>
      <c r="B964" s="4">
        <v>45978</v>
      </c>
      <c r="C964" s="5">
        <v>50</v>
      </c>
      <c r="D964" s="9" t="s">
        <v>13</v>
      </c>
      <c r="E964" s="10">
        <v>175</v>
      </c>
      <c r="F964" s="13">
        <f t="shared" ref="F964:F1026" si="15">+C964*E964</f>
        <v>8750</v>
      </c>
    </row>
    <row r="965" spans="1:6" x14ac:dyDescent="0.25">
      <c r="B965" s="9"/>
      <c r="D965" s="9"/>
      <c r="F965" s="8">
        <f>SUM(F964)</f>
        <v>8750</v>
      </c>
    </row>
    <row r="966" spans="1:6" x14ac:dyDescent="0.25">
      <c r="B966" s="9"/>
      <c r="D966" s="9"/>
      <c r="F966" s="13"/>
    </row>
    <row r="967" spans="1:6" x14ac:dyDescent="0.25">
      <c r="A967" t="s">
        <v>59</v>
      </c>
      <c r="B967" s="4">
        <v>45978</v>
      </c>
      <c r="C967" s="5">
        <v>30</v>
      </c>
      <c r="D967" s="9" t="s">
        <v>956</v>
      </c>
      <c r="E967" s="10">
        <v>175</v>
      </c>
      <c r="F967" s="13">
        <f t="shared" si="15"/>
        <v>5250</v>
      </c>
    </row>
    <row r="968" spans="1:6" x14ac:dyDescent="0.25">
      <c r="B968" s="4"/>
      <c r="D968" s="9"/>
      <c r="F968" s="8">
        <f>SUM(F967)</f>
        <v>5250</v>
      </c>
    </row>
    <row r="969" spans="1:6" x14ac:dyDescent="0.25">
      <c r="B969" s="9"/>
      <c r="D969" s="9"/>
      <c r="F969" s="13"/>
    </row>
    <row r="970" spans="1:6" x14ac:dyDescent="0.25">
      <c r="A970" t="s">
        <v>1142</v>
      </c>
      <c r="B970" s="4">
        <v>45978</v>
      </c>
      <c r="C970" s="5">
        <v>6</v>
      </c>
      <c r="D970" s="9" t="s">
        <v>13</v>
      </c>
      <c r="E970" s="10">
        <v>180</v>
      </c>
      <c r="F970" s="13">
        <f t="shared" si="15"/>
        <v>1080</v>
      </c>
    </row>
    <row r="971" spans="1:6" x14ac:dyDescent="0.25">
      <c r="B971" s="9"/>
      <c r="D971" s="9"/>
      <c r="F971" s="8">
        <f>SUM(F970)</f>
        <v>1080</v>
      </c>
    </row>
    <row r="972" spans="1:6" x14ac:dyDescent="0.25">
      <c r="B972" s="9"/>
      <c r="D972" s="9"/>
      <c r="F972" s="13"/>
    </row>
    <row r="973" spans="1:6" x14ac:dyDescent="0.25">
      <c r="A973" t="s">
        <v>160</v>
      </c>
      <c r="B973" s="4">
        <v>45978</v>
      </c>
      <c r="C973" s="5">
        <v>5</v>
      </c>
      <c r="D973" s="9" t="s">
        <v>12</v>
      </c>
      <c r="E973" s="10">
        <v>170</v>
      </c>
      <c r="F973" s="13">
        <f t="shared" si="15"/>
        <v>850</v>
      </c>
    </row>
    <row r="974" spans="1:6" x14ac:dyDescent="0.25">
      <c r="B974" s="4"/>
      <c r="D974" s="9"/>
      <c r="F974" s="8">
        <f>SUM(F973)</f>
        <v>850</v>
      </c>
    </row>
    <row r="975" spans="1:6" x14ac:dyDescent="0.25">
      <c r="B975" s="9"/>
      <c r="D975" s="9"/>
      <c r="F975" s="13"/>
    </row>
    <row r="976" spans="1:6" x14ac:dyDescent="0.25">
      <c r="A976" t="s">
        <v>184</v>
      </c>
      <c r="B976" s="4">
        <v>45978</v>
      </c>
      <c r="C976" s="5">
        <v>7</v>
      </c>
      <c r="D976" s="9" t="s">
        <v>13</v>
      </c>
      <c r="E976" s="10">
        <v>180</v>
      </c>
      <c r="F976" s="13">
        <f t="shared" si="15"/>
        <v>1260</v>
      </c>
    </row>
    <row r="977" spans="1:6" x14ac:dyDescent="0.25">
      <c r="B977" s="4"/>
      <c r="D977" s="9"/>
      <c r="F977" s="8">
        <f>SUM(F976)</f>
        <v>1260</v>
      </c>
    </row>
    <row r="978" spans="1:6" x14ac:dyDescent="0.25">
      <c r="B978" s="9"/>
      <c r="D978" s="9"/>
      <c r="F978" s="13"/>
    </row>
    <row r="979" spans="1:6" x14ac:dyDescent="0.25">
      <c r="A979" t="s">
        <v>41</v>
      </c>
      <c r="B979" s="4">
        <v>45978</v>
      </c>
      <c r="C979" s="5">
        <v>40</v>
      </c>
      <c r="D979" s="9" t="s">
        <v>14</v>
      </c>
      <c r="E979" s="10">
        <v>155</v>
      </c>
      <c r="F979" s="13">
        <f t="shared" si="15"/>
        <v>6200</v>
      </c>
    </row>
    <row r="980" spans="1:6" x14ac:dyDescent="0.25">
      <c r="B980" s="4"/>
      <c r="D980" s="9"/>
      <c r="F980" s="8">
        <f>SUM(F979)</f>
        <v>6200</v>
      </c>
    </row>
    <row r="981" spans="1:6" x14ac:dyDescent="0.25">
      <c r="B981" s="9"/>
      <c r="D981" s="9"/>
      <c r="F981" s="13"/>
    </row>
    <row r="982" spans="1:6" x14ac:dyDescent="0.25">
      <c r="A982" t="s">
        <v>43</v>
      </c>
      <c r="B982" s="4">
        <v>45978</v>
      </c>
      <c r="C982" s="5">
        <v>10</v>
      </c>
      <c r="D982" s="9" t="s">
        <v>14</v>
      </c>
      <c r="E982" s="10">
        <v>170</v>
      </c>
      <c r="F982" s="13">
        <f t="shared" si="15"/>
        <v>1700</v>
      </c>
    </row>
    <row r="983" spans="1:6" x14ac:dyDescent="0.25">
      <c r="B983" s="4"/>
      <c r="D983" s="9"/>
      <c r="F983" s="8">
        <f>SUM(F982)</f>
        <v>1700</v>
      </c>
    </row>
    <row r="984" spans="1:6" x14ac:dyDescent="0.25">
      <c r="B984" s="9"/>
      <c r="D984" s="9"/>
      <c r="F984" s="13"/>
    </row>
    <row r="985" spans="1:6" x14ac:dyDescent="0.25">
      <c r="A985" t="s">
        <v>42</v>
      </c>
      <c r="B985" s="4">
        <v>45978</v>
      </c>
      <c r="C985" s="5">
        <v>10</v>
      </c>
      <c r="D985" s="9" t="s">
        <v>11</v>
      </c>
      <c r="E985" s="10">
        <v>160</v>
      </c>
      <c r="F985" s="13">
        <f t="shared" si="15"/>
        <v>1600</v>
      </c>
    </row>
    <row r="986" spans="1:6" x14ac:dyDescent="0.25">
      <c r="B986" s="4"/>
      <c r="D986" s="9"/>
      <c r="F986" s="8">
        <f>SUM(F985)</f>
        <v>1600</v>
      </c>
    </row>
    <row r="987" spans="1:6" x14ac:dyDescent="0.25">
      <c r="B987" s="9"/>
      <c r="D987" s="9"/>
      <c r="F987" s="13"/>
    </row>
    <row r="988" spans="1:6" x14ac:dyDescent="0.25">
      <c r="A988" t="s">
        <v>780</v>
      </c>
      <c r="B988" s="4">
        <v>45978</v>
      </c>
      <c r="C988" s="5">
        <v>8</v>
      </c>
      <c r="D988" s="9" t="s">
        <v>14</v>
      </c>
      <c r="E988" s="10">
        <v>170</v>
      </c>
      <c r="F988" s="13">
        <f t="shared" si="15"/>
        <v>1360</v>
      </c>
    </row>
    <row r="989" spans="1:6" x14ac:dyDescent="0.25">
      <c r="B989" s="9"/>
      <c r="D989" s="9"/>
      <c r="F989" s="8">
        <f>SUM(F988)</f>
        <v>1360</v>
      </c>
    </row>
    <row r="990" spans="1:6" x14ac:dyDescent="0.25">
      <c r="B990" s="4"/>
      <c r="D990" s="9"/>
      <c r="F990" s="13"/>
    </row>
    <row r="991" spans="1:6" x14ac:dyDescent="0.25">
      <c r="A991" t="s">
        <v>46</v>
      </c>
      <c r="B991" s="4">
        <v>45978</v>
      </c>
      <c r="C991" s="5">
        <v>19</v>
      </c>
      <c r="D991" s="9" t="s">
        <v>14</v>
      </c>
      <c r="E991" s="10">
        <v>170</v>
      </c>
      <c r="F991" s="13">
        <f t="shared" si="15"/>
        <v>3230</v>
      </c>
    </row>
    <row r="992" spans="1:6" x14ac:dyDescent="0.25">
      <c r="B992" s="9"/>
      <c r="D992" s="9"/>
      <c r="F992" s="8">
        <f>SUM(F991)</f>
        <v>3230</v>
      </c>
    </row>
    <row r="993" spans="1:6" x14ac:dyDescent="0.25">
      <c r="B993" s="4"/>
      <c r="D993" s="9"/>
      <c r="F993" s="13"/>
    </row>
    <row r="994" spans="1:6" x14ac:dyDescent="0.25">
      <c r="A994" t="s">
        <v>44</v>
      </c>
      <c r="B994" s="4">
        <v>45978</v>
      </c>
      <c r="C994" s="5">
        <v>80</v>
      </c>
      <c r="D994" s="9" t="s">
        <v>14</v>
      </c>
      <c r="E994" s="10">
        <v>170</v>
      </c>
      <c r="F994" s="13">
        <f t="shared" si="15"/>
        <v>13600</v>
      </c>
    </row>
    <row r="995" spans="1:6" x14ac:dyDescent="0.25">
      <c r="B995" s="9"/>
      <c r="D995" s="9"/>
      <c r="F995" s="8">
        <f>SUM(F994)</f>
        <v>13600</v>
      </c>
    </row>
    <row r="996" spans="1:6" x14ac:dyDescent="0.25">
      <c r="B996" s="4"/>
      <c r="D996" s="9"/>
      <c r="F996" s="13"/>
    </row>
    <row r="997" spans="1:6" x14ac:dyDescent="0.25">
      <c r="A997" t="s">
        <v>18</v>
      </c>
      <c r="B997" s="4">
        <v>45978</v>
      </c>
      <c r="C997" s="5">
        <v>10</v>
      </c>
      <c r="D997" s="9" t="s">
        <v>14</v>
      </c>
      <c r="E997" s="10">
        <v>170</v>
      </c>
      <c r="F997" s="13">
        <f t="shared" si="15"/>
        <v>1700</v>
      </c>
    </row>
    <row r="998" spans="1:6" x14ac:dyDescent="0.25">
      <c r="B998" s="9"/>
      <c r="C998" s="5">
        <v>10</v>
      </c>
      <c r="D998" s="9" t="s">
        <v>12</v>
      </c>
      <c r="E998" s="10">
        <v>165</v>
      </c>
      <c r="F998" s="13">
        <f t="shared" si="15"/>
        <v>1650</v>
      </c>
    </row>
    <row r="999" spans="1:6" x14ac:dyDescent="0.25">
      <c r="B999" s="4"/>
      <c r="C999" s="5">
        <v>30</v>
      </c>
      <c r="D999" s="9" t="s">
        <v>11</v>
      </c>
      <c r="E999" s="10">
        <v>160</v>
      </c>
      <c r="F999" s="13">
        <f t="shared" si="15"/>
        <v>4800</v>
      </c>
    </row>
    <row r="1000" spans="1:6" x14ac:dyDescent="0.25">
      <c r="B1000" s="9"/>
      <c r="D1000" s="9"/>
      <c r="F1000" s="8">
        <f>SUM(F997:F999)</f>
        <v>8150</v>
      </c>
    </row>
    <row r="1001" spans="1:6" x14ac:dyDescent="0.25">
      <c r="B1001" s="9"/>
      <c r="D1001" s="9"/>
      <c r="F1001" s="13"/>
    </row>
    <row r="1002" spans="1:6" x14ac:dyDescent="0.25">
      <c r="A1002" t="s">
        <v>330</v>
      </c>
      <c r="B1002" s="4">
        <v>45978</v>
      </c>
      <c r="C1002" s="5">
        <v>150</v>
      </c>
      <c r="D1002" s="9" t="s">
        <v>13</v>
      </c>
      <c r="F1002" s="13">
        <f t="shared" si="15"/>
        <v>0</v>
      </c>
    </row>
    <row r="1003" spans="1:6" x14ac:dyDescent="0.25">
      <c r="B1003" s="9"/>
      <c r="C1003" s="5">
        <v>50</v>
      </c>
      <c r="D1003" s="9" t="s">
        <v>12</v>
      </c>
      <c r="F1003" s="13">
        <f t="shared" si="15"/>
        <v>0</v>
      </c>
    </row>
    <row r="1004" spans="1:6" x14ac:dyDescent="0.25">
      <c r="B1004" s="9"/>
      <c r="D1004" s="9"/>
      <c r="F1004" s="8">
        <f>SUM(F1002:F1003)</f>
        <v>0</v>
      </c>
    </row>
    <row r="1005" spans="1:6" x14ac:dyDescent="0.25">
      <c r="B1005" s="4"/>
      <c r="D1005" s="9"/>
      <c r="F1005" s="13"/>
    </row>
    <row r="1006" spans="1:6" x14ac:dyDescent="0.25">
      <c r="A1006" t="s">
        <v>883</v>
      </c>
      <c r="B1006" s="4">
        <v>45978</v>
      </c>
      <c r="C1006" s="5">
        <v>300</v>
      </c>
      <c r="D1006" s="9" t="s">
        <v>14</v>
      </c>
      <c r="F1006" s="13">
        <f t="shared" si="15"/>
        <v>0</v>
      </c>
    </row>
    <row r="1007" spans="1:6" x14ac:dyDescent="0.25">
      <c r="B1007" s="9"/>
      <c r="D1007" s="9"/>
      <c r="F1007" s="8">
        <f>SUM(F1006)</f>
        <v>0</v>
      </c>
    </row>
    <row r="1008" spans="1:6" x14ac:dyDescent="0.25">
      <c r="B1008" s="4"/>
      <c r="D1008" s="9"/>
      <c r="F1008" s="13"/>
    </row>
    <row r="1009" spans="1:6" x14ac:dyDescent="0.25">
      <c r="A1009" t="s">
        <v>174</v>
      </c>
      <c r="B1009" s="4">
        <v>45978</v>
      </c>
      <c r="C1009" s="5">
        <v>57</v>
      </c>
      <c r="D1009" s="9" t="s">
        <v>11</v>
      </c>
      <c r="E1009" s="10">
        <v>155</v>
      </c>
      <c r="F1009" s="13">
        <f t="shared" si="15"/>
        <v>8835</v>
      </c>
    </row>
    <row r="1010" spans="1:6" s="9" customFormat="1" x14ac:dyDescent="0.25">
      <c r="C1010" s="5">
        <v>26</v>
      </c>
      <c r="D1010" s="9" t="s">
        <v>12</v>
      </c>
      <c r="E1010" s="10">
        <v>155</v>
      </c>
      <c r="F1010" s="13">
        <f t="shared" si="15"/>
        <v>4030</v>
      </c>
    </row>
    <row r="1011" spans="1:6" s="9" customFormat="1" x14ac:dyDescent="0.25">
      <c r="B1011" s="4"/>
      <c r="C1011" s="5">
        <v>45</v>
      </c>
      <c r="D1011" s="9" t="s">
        <v>22</v>
      </c>
      <c r="E1011" s="10">
        <v>145</v>
      </c>
      <c r="F1011" s="13">
        <f t="shared" si="15"/>
        <v>6525</v>
      </c>
    </row>
    <row r="1012" spans="1:6" s="9" customFormat="1" x14ac:dyDescent="0.25">
      <c r="C1012" s="5"/>
      <c r="E1012" s="10"/>
      <c r="F1012" s="8">
        <f>SUM(F1009:F1011)</f>
        <v>19390</v>
      </c>
    </row>
    <row r="1013" spans="1:6" s="9" customFormat="1" x14ac:dyDescent="0.25">
      <c r="C1013" s="5"/>
      <c r="E1013" s="10"/>
      <c r="F1013" s="13"/>
    </row>
    <row r="1014" spans="1:6" s="9" customFormat="1" x14ac:dyDescent="0.25">
      <c r="A1014" s="9" t="s">
        <v>720</v>
      </c>
      <c r="B1014" s="4">
        <v>45978</v>
      </c>
      <c r="C1014" s="5">
        <v>10</v>
      </c>
      <c r="D1014" s="9" t="s">
        <v>8</v>
      </c>
      <c r="E1014" s="10">
        <v>175</v>
      </c>
      <c r="F1014" s="13">
        <f t="shared" si="15"/>
        <v>1750</v>
      </c>
    </row>
    <row r="1015" spans="1:6" s="9" customFormat="1" x14ac:dyDescent="0.25">
      <c r="B1015" s="4"/>
      <c r="C1015" s="5"/>
      <c r="E1015" s="10"/>
      <c r="F1015" s="8">
        <f>SUM(F1014)</f>
        <v>1750</v>
      </c>
    </row>
    <row r="1016" spans="1:6" s="9" customFormat="1" x14ac:dyDescent="0.25">
      <c r="C1016" s="5"/>
      <c r="E1016" s="10"/>
      <c r="F1016" s="13"/>
    </row>
    <row r="1017" spans="1:6" s="9" customFormat="1" x14ac:dyDescent="0.25">
      <c r="A1017" s="9" t="s">
        <v>112</v>
      </c>
      <c r="B1017" s="4">
        <v>45978</v>
      </c>
      <c r="C1017" s="5">
        <v>50</v>
      </c>
      <c r="D1017" s="9" t="s">
        <v>14</v>
      </c>
      <c r="E1017" s="10">
        <v>170</v>
      </c>
      <c r="F1017" s="13">
        <f t="shared" si="15"/>
        <v>8500</v>
      </c>
    </row>
    <row r="1018" spans="1:6" s="9" customFormat="1" x14ac:dyDescent="0.25">
      <c r="B1018" s="4"/>
      <c r="C1018" s="5">
        <v>50</v>
      </c>
      <c r="D1018" s="9" t="s">
        <v>11</v>
      </c>
      <c r="E1018" s="10">
        <v>165</v>
      </c>
      <c r="F1018" s="13">
        <f t="shared" si="15"/>
        <v>8250</v>
      </c>
    </row>
    <row r="1019" spans="1:6" s="9" customFormat="1" x14ac:dyDescent="0.25">
      <c r="C1019" s="5">
        <v>40</v>
      </c>
      <c r="D1019" s="9" t="s">
        <v>13</v>
      </c>
      <c r="E1019" s="10">
        <v>170</v>
      </c>
      <c r="F1019" s="13">
        <f t="shared" si="15"/>
        <v>6800</v>
      </c>
    </row>
    <row r="1020" spans="1:6" s="9" customFormat="1" x14ac:dyDescent="0.25">
      <c r="C1020" s="5">
        <v>10</v>
      </c>
      <c r="D1020" s="9" t="s">
        <v>8</v>
      </c>
      <c r="E1020" s="10">
        <v>175</v>
      </c>
      <c r="F1020" s="13">
        <f t="shared" si="15"/>
        <v>1750</v>
      </c>
    </row>
    <row r="1021" spans="1:6" s="9" customFormat="1" x14ac:dyDescent="0.25">
      <c r="C1021" s="5"/>
      <c r="E1021" s="10"/>
      <c r="F1021" s="8">
        <f>SUM(F1017:F1020)</f>
        <v>25300</v>
      </c>
    </row>
    <row r="1022" spans="1:6" s="9" customFormat="1" x14ac:dyDescent="0.25">
      <c r="B1022" s="4"/>
      <c r="C1022" s="5"/>
      <c r="E1022" s="10"/>
      <c r="F1022" s="13"/>
    </row>
    <row r="1023" spans="1:6" s="9" customFormat="1" x14ac:dyDescent="0.25">
      <c r="A1023" s="9" t="s">
        <v>1143</v>
      </c>
      <c r="B1023" s="4">
        <v>45978</v>
      </c>
      <c r="C1023" s="5">
        <v>5</v>
      </c>
      <c r="D1023" s="9" t="s">
        <v>13</v>
      </c>
      <c r="E1023" s="10">
        <v>170</v>
      </c>
      <c r="F1023" s="13">
        <f t="shared" si="15"/>
        <v>850</v>
      </c>
    </row>
    <row r="1024" spans="1:6" s="9" customFormat="1" x14ac:dyDescent="0.25">
      <c r="C1024" s="5"/>
      <c r="E1024" s="10"/>
      <c r="F1024" s="8">
        <f>SUM(F1023)</f>
        <v>850</v>
      </c>
    </row>
    <row r="1025" spans="1:6" s="9" customFormat="1" x14ac:dyDescent="0.25">
      <c r="B1025" s="4"/>
      <c r="C1025" s="5"/>
      <c r="E1025" s="10"/>
      <c r="F1025" s="13"/>
    </row>
    <row r="1026" spans="1:6" s="9" customFormat="1" x14ac:dyDescent="0.25">
      <c r="A1026" s="9" t="s">
        <v>29</v>
      </c>
      <c r="B1026" s="4">
        <v>45978</v>
      </c>
      <c r="C1026" s="5">
        <v>4</v>
      </c>
      <c r="D1026" s="9" t="s">
        <v>98</v>
      </c>
      <c r="E1026" s="10">
        <v>125</v>
      </c>
      <c r="F1026" s="13">
        <f t="shared" si="15"/>
        <v>500</v>
      </c>
    </row>
    <row r="1027" spans="1:6" s="9" customFormat="1" x14ac:dyDescent="0.25">
      <c r="C1027" s="5">
        <v>1</v>
      </c>
      <c r="D1027" s="9" t="s">
        <v>13</v>
      </c>
      <c r="E1027" s="10">
        <v>175</v>
      </c>
      <c r="F1027" s="13">
        <f t="shared" ref="F1027:F1088" si="16">+C1027*E1027</f>
        <v>175</v>
      </c>
    </row>
    <row r="1028" spans="1:6" s="9" customFormat="1" x14ac:dyDescent="0.25">
      <c r="C1028" s="5">
        <v>8</v>
      </c>
      <c r="D1028" s="9" t="s">
        <v>8</v>
      </c>
      <c r="E1028" s="10">
        <v>180</v>
      </c>
      <c r="F1028" s="13">
        <f t="shared" si="16"/>
        <v>1440</v>
      </c>
    </row>
    <row r="1029" spans="1:6" s="9" customFormat="1" x14ac:dyDescent="0.25">
      <c r="C1029" s="5">
        <v>1</v>
      </c>
      <c r="D1029" s="9" t="s">
        <v>8</v>
      </c>
      <c r="E1029" s="10">
        <v>190</v>
      </c>
      <c r="F1029" s="13">
        <f t="shared" si="16"/>
        <v>190</v>
      </c>
    </row>
    <row r="1030" spans="1:6" s="9" customFormat="1" x14ac:dyDescent="0.25">
      <c r="B1030" s="4"/>
      <c r="C1030" s="5">
        <v>1</v>
      </c>
      <c r="D1030" s="9" t="s">
        <v>1144</v>
      </c>
      <c r="E1030" s="10">
        <v>140</v>
      </c>
      <c r="F1030" s="13">
        <f t="shared" si="16"/>
        <v>140</v>
      </c>
    </row>
    <row r="1031" spans="1:6" s="9" customFormat="1" x14ac:dyDescent="0.25">
      <c r="C1031" s="5">
        <v>1</v>
      </c>
      <c r="D1031" s="9" t="s">
        <v>14</v>
      </c>
      <c r="E1031" s="10">
        <v>180</v>
      </c>
      <c r="F1031" s="13">
        <f t="shared" si="16"/>
        <v>180</v>
      </c>
    </row>
    <row r="1032" spans="1:6" s="9" customFormat="1" x14ac:dyDescent="0.25">
      <c r="C1032" s="5">
        <v>1</v>
      </c>
      <c r="D1032" s="9" t="s">
        <v>12</v>
      </c>
      <c r="E1032" s="10">
        <v>170</v>
      </c>
      <c r="F1032" s="13">
        <f t="shared" si="16"/>
        <v>170</v>
      </c>
    </row>
    <row r="1033" spans="1:6" s="9" customFormat="1" x14ac:dyDescent="0.25">
      <c r="B1033" s="4"/>
      <c r="C1033" s="5">
        <v>5</v>
      </c>
      <c r="D1033" s="9" t="s">
        <v>12</v>
      </c>
      <c r="E1033" s="10">
        <v>170</v>
      </c>
      <c r="F1033" s="13">
        <f t="shared" si="16"/>
        <v>850</v>
      </c>
    </row>
    <row r="1034" spans="1:6" s="9" customFormat="1" x14ac:dyDescent="0.25">
      <c r="C1034" s="5"/>
      <c r="E1034" s="10"/>
      <c r="F1034" s="8">
        <f>SUM(F1026:F1033)</f>
        <v>3645</v>
      </c>
    </row>
    <row r="1035" spans="1:6" s="9" customFormat="1" x14ac:dyDescent="0.25">
      <c r="C1035" s="5"/>
      <c r="E1035" s="10"/>
      <c r="F1035" s="13"/>
    </row>
    <row r="1036" spans="1:6" s="9" customFormat="1" x14ac:dyDescent="0.25">
      <c r="A1036" s="9" t="s">
        <v>181</v>
      </c>
      <c r="B1036" s="4">
        <v>45978</v>
      </c>
      <c r="C1036" s="5">
        <v>10</v>
      </c>
      <c r="D1036" s="9" t="s">
        <v>8</v>
      </c>
      <c r="E1036" s="10">
        <v>170</v>
      </c>
      <c r="F1036" s="13">
        <f t="shared" si="16"/>
        <v>1700</v>
      </c>
    </row>
    <row r="1037" spans="1:6" s="9" customFormat="1" x14ac:dyDescent="0.25">
      <c r="C1037" s="5">
        <v>5</v>
      </c>
      <c r="D1037" s="9" t="s">
        <v>600</v>
      </c>
      <c r="E1037" s="10">
        <v>140</v>
      </c>
      <c r="F1037" s="13">
        <f t="shared" si="16"/>
        <v>700</v>
      </c>
    </row>
    <row r="1038" spans="1:6" s="9" customFormat="1" x14ac:dyDescent="0.25">
      <c r="C1038" s="5">
        <v>2</v>
      </c>
      <c r="D1038" s="9" t="s">
        <v>12</v>
      </c>
      <c r="E1038" s="10">
        <v>160</v>
      </c>
      <c r="F1038" s="13">
        <f t="shared" si="16"/>
        <v>320</v>
      </c>
    </row>
    <row r="1039" spans="1:6" s="9" customFormat="1" x14ac:dyDescent="0.25">
      <c r="B1039" s="4"/>
      <c r="C1039" s="5">
        <v>1</v>
      </c>
      <c r="D1039" s="9" t="s">
        <v>170</v>
      </c>
      <c r="E1039" s="10">
        <v>125</v>
      </c>
      <c r="F1039" s="13">
        <f t="shared" si="16"/>
        <v>125</v>
      </c>
    </row>
    <row r="1040" spans="1:6" s="9" customFormat="1" x14ac:dyDescent="0.25">
      <c r="C1040" s="11">
        <v>3.5</v>
      </c>
      <c r="D1040" s="9" t="s">
        <v>13</v>
      </c>
      <c r="E1040" s="10">
        <v>165</v>
      </c>
      <c r="F1040" s="13">
        <f t="shared" si="16"/>
        <v>577.5</v>
      </c>
    </row>
    <row r="1041" spans="1:6" s="9" customFormat="1" x14ac:dyDescent="0.25">
      <c r="C1041" s="5">
        <v>1</v>
      </c>
      <c r="D1041" s="9" t="s">
        <v>12</v>
      </c>
      <c r="E1041" s="10">
        <v>165</v>
      </c>
      <c r="F1041" s="13">
        <f t="shared" si="16"/>
        <v>165</v>
      </c>
    </row>
    <row r="1042" spans="1:6" s="9" customFormat="1" x14ac:dyDescent="0.25">
      <c r="B1042" s="4"/>
      <c r="C1042" s="5"/>
      <c r="E1042" s="10"/>
      <c r="F1042" s="8">
        <f>SUM(F1036:F1041)</f>
        <v>3587.5</v>
      </c>
    </row>
    <row r="1043" spans="1:6" s="9" customFormat="1" x14ac:dyDescent="0.25">
      <c r="C1043" s="5"/>
      <c r="E1043" s="10"/>
      <c r="F1043" s="13"/>
    </row>
    <row r="1044" spans="1:6" s="9" customFormat="1" x14ac:dyDescent="0.25">
      <c r="A1044" s="9" t="s">
        <v>65</v>
      </c>
      <c r="B1044" s="4">
        <v>45979</v>
      </c>
      <c r="C1044" s="5">
        <v>16</v>
      </c>
      <c r="D1044" s="9" t="s">
        <v>22</v>
      </c>
      <c r="E1044" s="10">
        <v>155</v>
      </c>
      <c r="F1044" s="13">
        <f t="shared" si="16"/>
        <v>2480</v>
      </c>
    </row>
    <row r="1045" spans="1:6" s="9" customFormat="1" x14ac:dyDescent="0.25">
      <c r="B1045" s="4"/>
      <c r="C1045" s="5">
        <v>98</v>
      </c>
      <c r="D1045" s="9" t="s">
        <v>11</v>
      </c>
      <c r="E1045" s="10">
        <v>170</v>
      </c>
      <c r="F1045" s="13">
        <f t="shared" si="16"/>
        <v>16660</v>
      </c>
    </row>
    <row r="1046" spans="1:6" s="9" customFormat="1" x14ac:dyDescent="0.25">
      <c r="C1046" s="5">
        <v>130</v>
      </c>
      <c r="D1046" s="9" t="s">
        <v>14</v>
      </c>
      <c r="E1046" s="10">
        <v>175</v>
      </c>
      <c r="F1046" s="13">
        <f t="shared" si="16"/>
        <v>22750</v>
      </c>
    </row>
    <row r="1047" spans="1:6" s="9" customFormat="1" x14ac:dyDescent="0.25">
      <c r="C1047" s="5">
        <v>86</v>
      </c>
      <c r="D1047" s="9" t="s">
        <v>50</v>
      </c>
      <c r="E1047" s="10">
        <v>155</v>
      </c>
      <c r="F1047" s="13">
        <f t="shared" si="16"/>
        <v>13330</v>
      </c>
    </row>
    <row r="1048" spans="1:6" s="9" customFormat="1" x14ac:dyDescent="0.25">
      <c r="C1048" s="5">
        <v>170</v>
      </c>
      <c r="D1048" s="9" t="s">
        <v>12</v>
      </c>
      <c r="E1048" s="10">
        <v>170</v>
      </c>
      <c r="F1048" s="13">
        <f t="shared" si="16"/>
        <v>28900</v>
      </c>
    </row>
    <row r="1049" spans="1:6" s="9" customFormat="1" x14ac:dyDescent="0.25">
      <c r="B1049" s="4"/>
      <c r="C1049" s="5">
        <v>30</v>
      </c>
      <c r="D1049" s="9" t="s">
        <v>463</v>
      </c>
      <c r="E1049" s="10">
        <v>175</v>
      </c>
      <c r="F1049" s="13">
        <f t="shared" si="16"/>
        <v>5250</v>
      </c>
    </row>
    <row r="1050" spans="1:6" s="9" customFormat="1" x14ac:dyDescent="0.25">
      <c r="C1050" s="5"/>
      <c r="E1050" s="10"/>
      <c r="F1050" s="8">
        <f>SUM(F1044:F1049)</f>
        <v>89370</v>
      </c>
    </row>
    <row r="1051" spans="1:6" s="9" customFormat="1" x14ac:dyDescent="0.25">
      <c r="C1051" s="5"/>
      <c r="E1051" s="10"/>
      <c r="F1051" s="13"/>
    </row>
    <row r="1052" spans="1:6" s="9" customFormat="1" x14ac:dyDescent="0.25">
      <c r="A1052" s="9" t="s">
        <v>44</v>
      </c>
      <c r="B1052" s="4">
        <v>45979</v>
      </c>
      <c r="C1052" s="5">
        <v>100</v>
      </c>
      <c r="D1052" s="9" t="s">
        <v>13</v>
      </c>
      <c r="E1052" s="10">
        <v>175</v>
      </c>
      <c r="F1052" s="13">
        <f t="shared" si="16"/>
        <v>17500</v>
      </c>
    </row>
    <row r="1053" spans="1:6" s="9" customFormat="1" x14ac:dyDescent="0.25">
      <c r="B1053" s="4"/>
      <c r="C1053" s="5"/>
      <c r="E1053" s="10"/>
      <c r="F1053" s="8">
        <f>SUM(F1052)</f>
        <v>17500</v>
      </c>
    </row>
    <row r="1054" spans="1:6" s="9" customFormat="1" x14ac:dyDescent="0.25">
      <c r="C1054" s="5"/>
      <c r="E1054" s="10"/>
      <c r="F1054" s="13"/>
    </row>
    <row r="1055" spans="1:6" s="9" customFormat="1" x14ac:dyDescent="0.25">
      <c r="A1055" s="9" t="s">
        <v>584</v>
      </c>
      <c r="B1055" s="4">
        <v>45979</v>
      </c>
      <c r="C1055" s="5">
        <v>2</v>
      </c>
      <c r="D1055" s="9" t="s">
        <v>8</v>
      </c>
      <c r="E1055" s="10">
        <v>190</v>
      </c>
      <c r="F1055" s="13">
        <f t="shared" si="16"/>
        <v>380</v>
      </c>
    </row>
    <row r="1056" spans="1:6" s="9" customFormat="1" x14ac:dyDescent="0.25">
      <c r="C1056" s="5"/>
      <c r="E1056" s="10"/>
      <c r="F1056" s="8">
        <f>SUM(F1055)</f>
        <v>380</v>
      </c>
    </row>
    <row r="1057" spans="1:6" s="9" customFormat="1" x14ac:dyDescent="0.25">
      <c r="B1057" s="4"/>
      <c r="C1057" s="5"/>
      <c r="E1057" s="10"/>
      <c r="F1057" s="13"/>
    </row>
    <row r="1058" spans="1:6" s="9" customFormat="1" x14ac:dyDescent="0.25">
      <c r="A1058" s="9" t="s">
        <v>423</v>
      </c>
      <c r="B1058" s="4">
        <v>45979</v>
      </c>
      <c r="C1058" s="5">
        <v>6</v>
      </c>
      <c r="D1058" s="9" t="s">
        <v>13</v>
      </c>
      <c r="E1058" s="10">
        <v>180</v>
      </c>
      <c r="F1058" s="13">
        <f t="shared" si="16"/>
        <v>1080</v>
      </c>
    </row>
    <row r="1059" spans="1:6" s="9" customFormat="1" x14ac:dyDescent="0.25">
      <c r="C1059" s="5"/>
      <c r="E1059" s="10"/>
      <c r="F1059" s="8">
        <f>SUM(F1058)</f>
        <v>1080</v>
      </c>
    </row>
    <row r="1060" spans="1:6" s="9" customFormat="1" x14ac:dyDescent="0.25">
      <c r="B1060" s="4"/>
      <c r="C1060" s="5"/>
      <c r="E1060" s="10"/>
      <c r="F1060" s="13"/>
    </row>
    <row r="1061" spans="1:6" s="9" customFormat="1" x14ac:dyDescent="0.25">
      <c r="A1061" s="9" t="s">
        <v>88</v>
      </c>
      <c r="B1061" s="4">
        <v>45979</v>
      </c>
      <c r="C1061" s="5">
        <v>10</v>
      </c>
      <c r="D1061" s="9" t="s">
        <v>14</v>
      </c>
      <c r="E1061" s="10">
        <v>175</v>
      </c>
      <c r="F1061" s="13">
        <f t="shared" si="16"/>
        <v>1750</v>
      </c>
    </row>
    <row r="1062" spans="1:6" s="9" customFormat="1" x14ac:dyDescent="0.25">
      <c r="C1062" s="5"/>
      <c r="E1062" s="10"/>
      <c r="F1062" s="8">
        <f>SUM(F1061)</f>
        <v>1750</v>
      </c>
    </row>
    <row r="1063" spans="1:6" s="9" customFormat="1" x14ac:dyDescent="0.25">
      <c r="B1063" s="4"/>
      <c r="C1063" s="5"/>
      <c r="E1063" s="10"/>
      <c r="F1063" s="13"/>
    </row>
    <row r="1064" spans="1:6" s="9" customFormat="1" x14ac:dyDescent="0.25">
      <c r="A1064" s="9" t="s">
        <v>245</v>
      </c>
      <c r="B1064" s="4">
        <v>45979</v>
      </c>
      <c r="C1064" s="5">
        <v>30</v>
      </c>
      <c r="D1064" s="9" t="s">
        <v>14</v>
      </c>
      <c r="E1064" s="10">
        <v>165</v>
      </c>
      <c r="F1064" s="13">
        <f t="shared" si="16"/>
        <v>4950</v>
      </c>
    </row>
    <row r="1065" spans="1:6" s="9" customFormat="1" x14ac:dyDescent="0.25">
      <c r="C1065" s="5"/>
      <c r="E1065" s="10"/>
      <c r="F1065" s="8">
        <f>SUM(F1064)</f>
        <v>4950</v>
      </c>
    </row>
    <row r="1066" spans="1:6" s="9" customFormat="1" x14ac:dyDescent="0.25">
      <c r="B1066" s="4"/>
      <c r="C1066" s="5"/>
      <c r="E1066" s="10"/>
      <c r="F1066" s="13"/>
    </row>
    <row r="1067" spans="1:6" s="9" customFormat="1" x14ac:dyDescent="0.25">
      <c r="A1067" s="9" t="s">
        <v>904</v>
      </c>
      <c r="B1067" s="4">
        <v>45979</v>
      </c>
      <c r="C1067" s="5">
        <v>3</v>
      </c>
      <c r="D1067" s="9" t="s">
        <v>13</v>
      </c>
      <c r="E1067" s="10">
        <v>180</v>
      </c>
      <c r="F1067" s="13">
        <f t="shared" si="16"/>
        <v>540</v>
      </c>
    </row>
    <row r="1068" spans="1:6" s="9" customFormat="1" x14ac:dyDescent="0.25">
      <c r="C1068" s="5"/>
      <c r="E1068" s="10"/>
      <c r="F1068" s="8">
        <f>SUM(F1067)</f>
        <v>540</v>
      </c>
    </row>
    <row r="1069" spans="1:6" s="9" customFormat="1" x14ac:dyDescent="0.25">
      <c r="C1069" s="5"/>
      <c r="E1069" s="10"/>
      <c r="F1069" s="13"/>
    </row>
    <row r="1070" spans="1:6" s="9" customFormat="1" x14ac:dyDescent="0.25">
      <c r="A1070" s="9" t="s">
        <v>1145</v>
      </c>
      <c r="B1070" s="4">
        <v>45979</v>
      </c>
      <c r="C1070" s="5">
        <v>3</v>
      </c>
      <c r="D1070" s="9" t="s">
        <v>13</v>
      </c>
      <c r="E1070" s="10">
        <v>180</v>
      </c>
      <c r="F1070" s="13">
        <f t="shared" si="16"/>
        <v>540</v>
      </c>
    </row>
    <row r="1071" spans="1:6" s="9" customFormat="1" x14ac:dyDescent="0.25">
      <c r="B1071" s="4"/>
      <c r="C1071" s="5"/>
      <c r="E1071" s="10"/>
      <c r="F1071" s="8">
        <f>SUM(F1070)</f>
        <v>540</v>
      </c>
    </row>
    <row r="1072" spans="1:6" s="9" customFormat="1" x14ac:dyDescent="0.25">
      <c r="C1072" s="5"/>
      <c r="E1072" s="10"/>
      <c r="F1072" s="13"/>
    </row>
    <row r="1073" spans="1:6" s="9" customFormat="1" x14ac:dyDescent="0.25">
      <c r="A1073" s="9" t="s">
        <v>112</v>
      </c>
      <c r="B1073" s="4">
        <v>45979</v>
      </c>
      <c r="C1073" s="5">
        <v>30</v>
      </c>
      <c r="D1073" s="9" t="s">
        <v>11</v>
      </c>
      <c r="E1073" s="10">
        <v>165</v>
      </c>
      <c r="F1073" s="13">
        <f t="shared" si="16"/>
        <v>4950</v>
      </c>
    </row>
    <row r="1074" spans="1:6" s="9" customFormat="1" x14ac:dyDescent="0.25">
      <c r="C1074" s="5"/>
      <c r="E1074" s="10"/>
      <c r="F1074" s="8">
        <f>SUM(F1073)</f>
        <v>4950</v>
      </c>
    </row>
    <row r="1075" spans="1:6" s="9" customFormat="1" x14ac:dyDescent="0.25">
      <c r="C1075" s="5"/>
      <c r="E1075" s="10"/>
      <c r="F1075" s="13"/>
    </row>
    <row r="1076" spans="1:6" s="9" customFormat="1" x14ac:dyDescent="0.25">
      <c r="A1076" s="9" t="s">
        <v>62</v>
      </c>
      <c r="B1076" s="4">
        <v>45979</v>
      </c>
      <c r="C1076" s="5">
        <v>60</v>
      </c>
      <c r="D1076" s="9" t="s">
        <v>8</v>
      </c>
      <c r="E1076" s="10">
        <v>180</v>
      </c>
      <c r="F1076" s="13">
        <f t="shared" si="16"/>
        <v>10800</v>
      </c>
    </row>
    <row r="1077" spans="1:6" s="9" customFormat="1" x14ac:dyDescent="0.25">
      <c r="C1077" s="5"/>
      <c r="E1077" s="10"/>
      <c r="F1077" s="8">
        <f>SUM(F1076)</f>
        <v>10800</v>
      </c>
    </row>
    <row r="1078" spans="1:6" s="9" customFormat="1" x14ac:dyDescent="0.25">
      <c r="B1078" s="4"/>
      <c r="C1078" s="5"/>
      <c r="E1078" s="10"/>
      <c r="F1078" s="13"/>
    </row>
    <row r="1079" spans="1:6" s="9" customFormat="1" x14ac:dyDescent="0.25">
      <c r="A1079" s="9" t="s">
        <v>68</v>
      </c>
      <c r="B1079" s="4">
        <v>45979</v>
      </c>
      <c r="C1079" s="5">
        <v>3</v>
      </c>
      <c r="D1079" s="9" t="s">
        <v>619</v>
      </c>
      <c r="E1079" s="10">
        <v>180</v>
      </c>
      <c r="F1079" s="13">
        <f t="shared" si="16"/>
        <v>540</v>
      </c>
    </row>
    <row r="1080" spans="1:6" s="9" customFormat="1" x14ac:dyDescent="0.25">
      <c r="C1080" s="5"/>
      <c r="E1080" s="10"/>
      <c r="F1080" s="8">
        <f>SUM(F1079)</f>
        <v>540</v>
      </c>
    </row>
    <row r="1081" spans="1:6" s="9" customFormat="1" x14ac:dyDescent="0.25">
      <c r="C1081" s="5"/>
      <c r="E1081" s="10"/>
      <c r="F1081" s="13"/>
    </row>
    <row r="1082" spans="1:6" s="9" customFormat="1" x14ac:dyDescent="0.25">
      <c r="A1082" s="9" t="s">
        <v>160</v>
      </c>
      <c r="B1082" s="4">
        <v>45979</v>
      </c>
      <c r="C1082" s="5">
        <v>5</v>
      </c>
      <c r="D1082" s="9" t="s">
        <v>876</v>
      </c>
      <c r="E1082" s="10">
        <v>170</v>
      </c>
      <c r="F1082" s="13">
        <f t="shared" si="16"/>
        <v>850</v>
      </c>
    </row>
    <row r="1083" spans="1:6" s="9" customFormat="1" x14ac:dyDescent="0.25">
      <c r="C1083" s="5"/>
      <c r="E1083" s="10"/>
      <c r="F1083" s="8">
        <f>SUM(F1082)</f>
        <v>850</v>
      </c>
    </row>
    <row r="1084" spans="1:6" s="9" customFormat="1" x14ac:dyDescent="0.25">
      <c r="C1084" s="5"/>
      <c r="E1084" s="10"/>
      <c r="F1084" s="13"/>
    </row>
    <row r="1085" spans="1:6" s="9" customFormat="1" x14ac:dyDescent="0.25">
      <c r="A1085" s="9" t="s">
        <v>76</v>
      </c>
      <c r="B1085" s="4">
        <v>45979</v>
      </c>
      <c r="C1085" s="5">
        <v>150</v>
      </c>
      <c r="D1085" s="9" t="s">
        <v>11</v>
      </c>
      <c r="E1085" s="10">
        <v>160</v>
      </c>
      <c r="F1085" s="13">
        <f t="shared" si="16"/>
        <v>24000</v>
      </c>
    </row>
    <row r="1086" spans="1:6" s="9" customFormat="1" x14ac:dyDescent="0.25">
      <c r="C1086" s="5">
        <v>200</v>
      </c>
      <c r="D1086" s="9" t="s">
        <v>14</v>
      </c>
      <c r="E1086" s="10">
        <v>165</v>
      </c>
      <c r="F1086" s="13">
        <f t="shared" si="16"/>
        <v>33000</v>
      </c>
    </row>
    <row r="1087" spans="1:6" s="9" customFormat="1" x14ac:dyDescent="0.25">
      <c r="C1087" s="5">
        <v>100</v>
      </c>
      <c r="D1087" s="9" t="s">
        <v>49</v>
      </c>
      <c r="E1087" s="10">
        <v>170</v>
      </c>
      <c r="F1087" s="13">
        <f t="shared" si="16"/>
        <v>17000</v>
      </c>
    </row>
    <row r="1088" spans="1:6" s="9" customFormat="1" x14ac:dyDescent="0.25">
      <c r="C1088" s="5">
        <v>30</v>
      </c>
      <c r="D1088" s="9" t="s">
        <v>50</v>
      </c>
      <c r="E1088" s="10">
        <v>155</v>
      </c>
      <c r="F1088" s="13">
        <f t="shared" si="16"/>
        <v>4650</v>
      </c>
    </row>
    <row r="1089" spans="1:6" s="9" customFormat="1" x14ac:dyDescent="0.25">
      <c r="C1089" s="5"/>
      <c r="E1089" s="10"/>
      <c r="F1089" s="8">
        <f>SUM(F1085:F1088)</f>
        <v>78650</v>
      </c>
    </row>
    <row r="1090" spans="1:6" s="9" customFormat="1" x14ac:dyDescent="0.25">
      <c r="C1090" s="5"/>
      <c r="E1090" s="10"/>
      <c r="F1090" s="13"/>
    </row>
    <row r="1091" spans="1:6" s="9" customFormat="1" x14ac:dyDescent="0.25">
      <c r="A1091" s="9" t="s">
        <v>76</v>
      </c>
      <c r="B1091" s="4">
        <v>45979</v>
      </c>
      <c r="C1091" s="5">
        <v>30</v>
      </c>
      <c r="D1091" s="9" t="s">
        <v>13</v>
      </c>
      <c r="E1091" s="10">
        <v>160</v>
      </c>
      <c r="F1091" s="13">
        <f t="shared" ref="F1091:F1153" si="17">+C1091*E1091</f>
        <v>4800</v>
      </c>
    </row>
    <row r="1092" spans="1:6" s="9" customFormat="1" x14ac:dyDescent="0.25">
      <c r="C1092" s="5"/>
      <c r="E1092" s="10"/>
      <c r="F1092" s="8">
        <f>SUM(F1091)</f>
        <v>4800</v>
      </c>
    </row>
    <row r="1093" spans="1:6" s="9" customFormat="1" x14ac:dyDescent="0.25">
      <c r="C1093" s="5"/>
      <c r="E1093" s="10"/>
      <c r="F1093" s="13"/>
    </row>
    <row r="1094" spans="1:6" s="9" customFormat="1" x14ac:dyDescent="0.25">
      <c r="A1094" s="9" t="s">
        <v>181</v>
      </c>
      <c r="B1094" s="4">
        <v>45979</v>
      </c>
      <c r="C1094" s="5">
        <v>3</v>
      </c>
      <c r="D1094" s="9" t="s">
        <v>98</v>
      </c>
      <c r="E1094" s="10">
        <v>130</v>
      </c>
      <c r="F1094" s="13">
        <f t="shared" si="17"/>
        <v>390</v>
      </c>
    </row>
    <row r="1095" spans="1:6" s="9" customFormat="1" x14ac:dyDescent="0.25">
      <c r="C1095" s="5">
        <v>2</v>
      </c>
      <c r="D1095" s="9" t="s">
        <v>13</v>
      </c>
      <c r="E1095" s="10">
        <v>180</v>
      </c>
      <c r="F1095" s="13">
        <f t="shared" si="17"/>
        <v>360</v>
      </c>
    </row>
    <row r="1096" spans="1:6" s="9" customFormat="1" x14ac:dyDescent="0.25">
      <c r="C1096" s="5">
        <v>3</v>
      </c>
      <c r="D1096" s="9" t="s">
        <v>1146</v>
      </c>
      <c r="E1096" s="10">
        <v>180</v>
      </c>
      <c r="F1096" s="13">
        <f t="shared" si="17"/>
        <v>540</v>
      </c>
    </row>
    <row r="1097" spans="1:6" s="9" customFormat="1" x14ac:dyDescent="0.25">
      <c r="B1097" s="4"/>
      <c r="C1097" s="5"/>
      <c r="E1097" s="10"/>
      <c r="F1097" s="8">
        <f>SUM(F1094:F1096)</f>
        <v>1290</v>
      </c>
    </row>
    <row r="1098" spans="1:6" s="9" customFormat="1" x14ac:dyDescent="0.25">
      <c r="C1098" s="5"/>
      <c r="E1098" s="10"/>
      <c r="F1098" s="13"/>
    </row>
    <row r="1099" spans="1:6" s="9" customFormat="1" x14ac:dyDescent="0.25">
      <c r="A1099" s="9" t="s">
        <v>1147</v>
      </c>
      <c r="B1099" s="4">
        <v>45979</v>
      </c>
      <c r="C1099" s="5">
        <v>100</v>
      </c>
      <c r="D1099" s="9" t="s">
        <v>14</v>
      </c>
      <c r="E1099" s="10">
        <v>165</v>
      </c>
      <c r="F1099" s="13">
        <f t="shared" si="17"/>
        <v>16500</v>
      </c>
    </row>
    <row r="1100" spans="1:6" s="9" customFormat="1" x14ac:dyDescent="0.25">
      <c r="B1100" s="4"/>
      <c r="C1100" s="5">
        <v>150</v>
      </c>
      <c r="D1100" s="9" t="s">
        <v>11</v>
      </c>
      <c r="E1100" s="10">
        <v>160</v>
      </c>
      <c r="F1100" s="13">
        <f t="shared" si="17"/>
        <v>24000</v>
      </c>
    </row>
    <row r="1101" spans="1:6" s="9" customFormat="1" x14ac:dyDescent="0.25">
      <c r="C1101" s="5"/>
      <c r="E1101" s="10"/>
      <c r="F1101" s="8">
        <f>SUM(F1099:F1100)</f>
        <v>40500</v>
      </c>
    </row>
    <row r="1102" spans="1:6" s="9" customFormat="1" x14ac:dyDescent="0.25">
      <c r="C1102" s="5"/>
      <c r="E1102" s="10"/>
      <c r="F1102" s="13"/>
    </row>
    <row r="1103" spans="1:6" s="9" customFormat="1" x14ac:dyDescent="0.25">
      <c r="A1103" s="9" t="s">
        <v>29</v>
      </c>
      <c r="B1103" s="4">
        <v>45979</v>
      </c>
      <c r="C1103" s="5">
        <v>4</v>
      </c>
      <c r="D1103" s="9" t="s">
        <v>220</v>
      </c>
      <c r="E1103" s="10">
        <v>150</v>
      </c>
      <c r="F1103" s="13">
        <f t="shared" si="17"/>
        <v>600</v>
      </c>
    </row>
    <row r="1104" spans="1:6" s="9" customFormat="1" x14ac:dyDescent="0.25">
      <c r="C1104" s="5">
        <v>1</v>
      </c>
      <c r="D1104" s="9" t="s">
        <v>8</v>
      </c>
      <c r="E1104" s="10">
        <v>190</v>
      </c>
      <c r="F1104" s="13">
        <f t="shared" si="17"/>
        <v>190</v>
      </c>
    </row>
    <row r="1105" spans="1:6" s="9" customFormat="1" x14ac:dyDescent="0.25">
      <c r="C1105" s="5">
        <v>1</v>
      </c>
      <c r="D1105" s="9" t="s">
        <v>49</v>
      </c>
      <c r="E1105" s="10">
        <v>190</v>
      </c>
      <c r="F1105" s="13">
        <f t="shared" si="17"/>
        <v>190</v>
      </c>
    </row>
    <row r="1106" spans="1:6" s="9" customFormat="1" x14ac:dyDescent="0.25">
      <c r="B1106" s="4"/>
      <c r="C1106" s="5">
        <v>4</v>
      </c>
      <c r="D1106" s="9" t="s">
        <v>8</v>
      </c>
      <c r="E1106" s="10">
        <v>190</v>
      </c>
      <c r="F1106" s="13">
        <f t="shared" si="17"/>
        <v>760</v>
      </c>
    </row>
    <row r="1107" spans="1:6" s="9" customFormat="1" x14ac:dyDescent="0.25">
      <c r="C1107" s="5">
        <v>1</v>
      </c>
      <c r="D1107" s="9" t="s">
        <v>75</v>
      </c>
      <c r="E1107" s="10">
        <v>150</v>
      </c>
      <c r="F1107" s="13">
        <f t="shared" si="17"/>
        <v>150</v>
      </c>
    </row>
    <row r="1108" spans="1:6" s="9" customFormat="1" x14ac:dyDescent="0.25">
      <c r="C1108" s="5">
        <v>3</v>
      </c>
      <c r="D1108" s="9" t="s">
        <v>12</v>
      </c>
      <c r="E1108" s="10">
        <v>170</v>
      </c>
      <c r="F1108" s="13">
        <f t="shared" si="17"/>
        <v>510</v>
      </c>
    </row>
    <row r="1109" spans="1:6" s="9" customFormat="1" x14ac:dyDescent="0.25">
      <c r="C1109" s="5">
        <v>1</v>
      </c>
      <c r="D1109" s="9" t="s">
        <v>512</v>
      </c>
      <c r="E1109" s="10">
        <v>0</v>
      </c>
      <c r="F1109" s="13">
        <f t="shared" si="17"/>
        <v>0</v>
      </c>
    </row>
    <row r="1110" spans="1:6" s="9" customFormat="1" x14ac:dyDescent="0.25">
      <c r="C1110" s="5">
        <v>10</v>
      </c>
      <c r="D1110" s="9" t="s">
        <v>74</v>
      </c>
      <c r="E1110" s="10">
        <v>180</v>
      </c>
      <c r="F1110" s="13">
        <f t="shared" si="17"/>
        <v>1800</v>
      </c>
    </row>
    <row r="1111" spans="1:6" s="9" customFormat="1" x14ac:dyDescent="0.25">
      <c r="C1111" s="5">
        <v>1</v>
      </c>
      <c r="D1111" s="9" t="s">
        <v>91</v>
      </c>
      <c r="E1111" s="10">
        <v>130</v>
      </c>
      <c r="F1111" s="13">
        <f t="shared" si="17"/>
        <v>130</v>
      </c>
    </row>
    <row r="1112" spans="1:6" s="9" customFormat="1" x14ac:dyDescent="0.25">
      <c r="B1112" s="4"/>
      <c r="C1112" s="5"/>
      <c r="E1112" s="10"/>
      <c r="F1112" s="8">
        <f>SUM(F1103:F1111)</f>
        <v>4330</v>
      </c>
    </row>
    <row r="1113" spans="1:6" s="9" customFormat="1" x14ac:dyDescent="0.25">
      <c r="C1113" s="5"/>
      <c r="E1113" s="10"/>
      <c r="F1113" s="13"/>
    </row>
    <row r="1114" spans="1:6" s="9" customFormat="1" x14ac:dyDescent="0.25">
      <c r="A1114" s="9" t="s">
        <v>514</v>
      </c>
      <c r="B1114" s="4">
        <v>45980</v>
      </c>
      <c r="C1114" s="5">
        <v>10</v>
      </c>
      <c r="D1114" s="9" t="s">
        <v>98</v>
      </c>
      <c r="E1114" s="10">
        <v>130</v>
      </c>
      <c r="F1114" s="13">
        <f t="shared" si="17"/>
        <v>1300</v>
      </c>
    </row>
    <row r="1115" spans="1:6" s="9" customFormat="1" x14ac:dyDescent="0.25">
      <c r="C1115" s="5"/>
      <c r="E1115" s="10"/>
      <c r="F1115" s="8">
        <f>SUM(F1114)</f>
        <v>1300</v>
      </c>
    </row>
    <row r="1116" spans="1:6" s="9" customFormat="1" x14ac:dyDescent="0.25">
      <c r="B1116" s="4"/>
      <c r="C1116" s="5"/>
      <c r="E1116" s="10"/>
      <c r="F1116" s="13"/>
    </row>
    <row r="1117" spans="1:6" s="9" customFormat="1" x14ac:dyDescent="0.25">
      <c r="A1117" s="9" t="s">
        <v>15</v>
      </c>
      <c r="B1117" s="4">
        <v>45980</v>
      </c>
      <c r="C1117" s="5">
        <v>60</v>
      </c>
      <c r="D1117" s="9" t="s">
        <v>98</v>
      </c>
      <c r="E1117" s="10">
        <v>130</v>
      </c>
      <c r="F1117" s="13">
        <f t="shared" si="17"/>
        <v>7800</v>
      </c>
    </row>
    <row r="1118" spans="1:6" s="9" customFormat="1" x14ac:dyDescent="0.25">
      <c r="C1118" s="5"/>
      <c r="E1118" s="10"/>
      <c r="F1118" s="8">
        <f>SUM(F1117)</f>
        <v>7800</v>
      </c>
    </row>
    <row r="1119" spans="1:6" s="9" customFormat="1" x14ac:dyDescent="0.25">
      <c r="C1119" s="5"/>
      <c r="E1119" s="10"/>
      <c r="F1119" s="13"/>
    </row>
    <row r="1120" spans="1:6" s="9" customFormat="1" x14ac:dyDescent="0.25">
      <c r="A1120" s="9" t="s">
        <v>58</v>
      </c>
      <c r="B1120" s="4">
        <v>45980</v>
      </c>
      <c r="C1120" s="5">
        <v>5</v>
      </c>
      <c r="D1120" s="9" t="s">
        <v>13</v>
      </c>
      <c r="E1120" s="10">
        <v>175</v>
      </c>
      <c r="F1120" s="13">
        <f t="shared" si="17"/>
        <v>875</v>
      </c>
    </row>
    <row r="1121" spans="1:6" s="9" customFormat="1" x14ac:dyDescent="0.25">
      <c r="B1121" s="4"/>
      <c r="C1121" s="5"/>
      <c r="E1121" s="10"/>
      <c r="F1121" s="8">
        <f>SUM(F1120)</f>
        <v>875</v>
      </c>
    </row>
    <row r="1122" spans="1:6" s="9" customFormat="1" x14ac:dyDescent="0.25">
      <c r="C1122" s="5"/>
      <c r="E1122" s="10"/>
      <c r="F1122" s="13"/>
    </row>
    <row r="1123" spans="1:6" s="9" customFormat="1" x14ac:dyDescent="0.25">
      <c r="A1123" s="9" t="s">
        <v>18</v>
      </c>
      <c r="B1123" s="4">
        <v>45980</v>
      </c>
      <c r="C1123" s="5">
        <v>14</v>
      </c>
      <c r="D1123" s="9" t="s">
        <v>13</v>
      </c>
      <c r="E1123" s="10">
        <v>180</v>
      </c>
      <c r="F1123" s="13">
        <f t="shared" si="17"/>
        <v>2520</v>
      </c>
    </row>
    <row r="1124" spans="1:6" s="9" customFormat="1" x14ac:dyDescent="0.25">
      <c r="C1124" s="5"/>
      <c r="E1124" s="10"/>
      <c r="F1124" s="8">
        <f>SUM(F1123)</f>
        <v>2520</v>
      </c>
    </row>
    <row r="1125" spans="1:6" s="9" customFormat="1" x14ac:dyDescent="0.25">
      <c r="C1125" s="5"/>
      <c r="E1125" s="10"/>
      <c r="F1125" s="13"/>
    </row>
    <row r="1126" spans="1:6" s="9" customFormat="1" x14ac:dyDescent="0.25">
      <c r="A1126" s="9" t="s">
        <v>37</v>
      </c>
      <c r="B1126" s="4">
        <v>45980</v>
      </c>
      <c r="C1126" s="5">
        <v>10</v>
      </c>
      <c r="D1126" s="9" t="s">
        <v>1148</v>
      </c>
      <c r="E1126" s="10">
        <v>170</v>
      </c>
      <c r="F1126" s="13">
        <f t="shared" si="17"/>
        <v>1700</v>
      </c>
    </row>
    <row r="1127" spans="1:6" s="9" customFormat="1" x14ac:dyDescent="0.25">
      <c r="C1127" s="5"/>
      <c r="E1127" s="10"/>
      <c r="F1127" s="8">
        <f>SUM(F1126)</f>
        <v>1700</v>
      </c>
    </row>
    <row r="1128" spans="1:6" s="9" customFormat="1" x14ac:dyDescent="0.25">
      <c r="B1128" s="4"/>
      <c r="C1128" s="5"/>
      <c r="E1128" s="10"/>
      <c r="F1128" s="13"/>
    </row>
    <row r="1129" spans="1:6" s="9" customFormat="1" x14ac:dyDescent="0.25">
      <c r="A1129" s="9" t="s">
        <v>17</v>
      </c>
      <c r="B1129" s="4">
        <v>45980</v>
      </c>
      <c r="C1129" s="5">
        <v>10</v>
      </c>
      <c r="D1129" s="9" t="s">
        <v>13</v>
      </c>
      <c r="E1129" s="10">
        <v>180</v>
      </c>
      <c r="F1129" s="13">
        <f t="shared" si="17"/>
        <v>1800</v>
      </c>
    </row>
    <row r="1130" spans="1:6" s="9" customFormat="1" x14ac:dyDescent="0.25">
      <c r="C1130" s="5"/>
      <c r="E1130" s="10"/>
      <c r="F1130" s="8">
        <f>SUM(F1129)</f>
        <v>1800</v>
      </c>
    </row>
    <row r="1131" spans="1:6" s="9" customFormat="1" x14ac:dyDescent="0.25">
      <c r="B1131" s="4"/>
      <c r="C1131" s="5"/>
      <c r="E1131" s="10"/>
      <c r="F1131" s="13"/>
    </row>
    <row r="1132" spans="1:6" s="9" customFormat="1" x14ac:dyDescent="0.25">
      <c r="A1132" s="9" t="s">
        <v>20</v>
      </c>
      <c r="B1132" s="4">
        <v>45980</v>
      </c>
      <c r="C1132" s="5">
        <v>20</v>
      </c>
      <c r="D1132" s="9" t="s">
        <v>8</v>
      </c>
      <c r="E1132" s="10">
        <v>185</v>
      </c>
      <c r="F1132" s="13">
        <f t="shared" si="17"/>
        <v>3700</v>
      </c>
    </row>
    <row r="1133" spans="1:6" s="9" customFormat="1" x14ac:dyDescent="0.25">
      <c r="C1133" s="5">
        <v>10</v>
      </c>
      <c r="D1133" s="9" t="s">
        <v>13</v>
      </c>
      <c r="E1133" s="10">
        <v>180</v>
      </c>
      <c r="F1133" s="13">
        <f t="shared" si="17"/>
        <v>1800</v>
      </c>
    </row>
    <row r="1134" spans="1:6" s="9" customFormat="1" x14ac:dyDescent="0.25">
      <c r="B1134" s="4"/>
      <c r="C1134" s="5"/>
      <c r="E1134" s="10"/>
      <c r="F1134" s="8">
        <f>SUM(F1132:F1133)</f>
        <v>5500</v>
      </c>
    </row>
    <row r="1135" spans="1:6" s="9" customFormat="1" x14ac:dyDescent="0.25">
      <c r="C1135" s="5"/>
      <c r="E1135" s="10"/>
      <c r="F1135" s="13"/>
    </row>
    <row r="1136" spans="1:6" s="9" customFormat="1" x14ac:dyDescent="0.25">
      <c r="A1136" s="9" t="s">
        <v>427</v>
      </c>
      <c r="B1136" s="4">
        <v>45980</v>
      </c>
      <c r="C1136" s="5">
        <v>20</v>
      </c>
      <c r="D1136" s="9" t="s">
        <v>13</v>
      </c>
      <c r="E1136" s="10">
        <v>180</v>
      </c>
      <c r="F1136" s="13">
        <f t="shared" si="17"/>
        <v>3600</v>
      </c>
    </row>
    <row r="1137" spans="1:6" s="9" customFormat="1" x14ac:dyDescent="0.25">
      <c r="B1137" s="4"/>
      <c r="C1137" s="5"/>
      <c r="E1137" s="10"/>
      <c r="F1137" s="8">
        <f>SUM(F1136)</f>
        <v>3600</v>
      </c>
    </row>
    <row r="1138" spans="1:6" s="9" customFormat="1" x14ac:dyDescent="0.25">
      <c r="C1138" s="5"/>
      <c r="E1138" s="10"/>
      <c r="F1138" s="13"/>
    </row>
    <row r="1139" spans="1:6" s="9" customFormat="1" x14ac:dyDescent="0.25">
      <c r="A1139" s="9" t="s">
        <v>808</v>
      </c>
      <c r="B1139" s="4">
        <v>45980</v>
      </c>
      <c r="C1139" s="5">
        <v>20</v>
      </c>
      <c r="D1139" s="9" t="s">
        <v>13</v>
      </c>
      <c r="E1139" s="10">
        <v>180</v>
      </c>
      <c r="F1139" s="13">
        <f t="shared" si="17"/>
        <v>3600</v>
      </c>
    </row>
    <row r="1140" spans="1:6" s="9" customFormat="1" x14ac:dyDescent="0.25">
      <c r="B1140" s="4"/>
      <c r="C1140" s="5">
        <v>10</v>
      </c>
      <c r="D1140" s="9" t="s">
        <v>14</v>
      </c>
      <c r="E1140" s="10">
        <v>175</v>
      </c>
      <c r="F1140" s="13">
        <f t="shared" si="17"/>
        <v>1750</v>
      </c>
    </row>
    <row r="1141" spans="1:6" s="9" customFormat="1" x14ac:dyDescent="0.25">
      <c r="C1141" s="5">
        <v>30</v>
      </c>
      <c r="D1141" s="9" t="s">
        <v>50</v>
      </c>
      <c r="E1141" s="10">
        <v>155</v>
      </c>
      <c r="F1141" s="13">
        <f t="shared" si="17"/>
        <v>4650</v>
      </c>
    </row>
    <row r="1142" spans="1:6" s="9" customFormat="1" x14ac:dyDescent="0.25">
      <c r="C1142" s="5"/>
      <c r="E1142" s="10"/>
      <c r="F1142" s="8">
        <f>SUM(F1139:F1141)</f>
        <v>10000</v>
      </c>
    </row>
    <row r="1143" spans="1:6" s="9" customFormat="1" x14ac:dyDescent="0.25">
      <c r="B1143" s="4"/>
      <c r="C1143" s="5"/>
      <c r="E1143" s="10"/>
      <c r="F1143" s="13"/>
    </row>
    <row r="1144" spans="1:6" s="9" customFormat="1" x14ac:dyDescent="0.25">
      <c r="A1144" s="9" t="s">
        <v>367</v>
      </c>
      <c r="B1144" s="4">
        <v>45980</v>
      </c>
      <c r="C1144" s="5">
        <v>10</v>
      </c>
      <c r="D1144" s="9" t="s">
        <v>14</v>
      </c>
      <c r="E1144" s="10">
        <v>175</v>
      </c>
      <c r="F1144" s="13">
        <f t="shared" si="17"/>
        <v>1750</v>
      </c>
    </row>
    <row r="1145" spans="1:6" s="9" customFormat="1" x14ac:dyDescent="0.25">
      <c r="C1145" s="5">
        <v>10</v>
      </c>
      <c r="D1145" s="9" t="s">
        <v>13</v>
      </c>
      <c r="E1145" s="10">
        <v>180</v>
      </c>
      <c r="F1145" s="13">
        <f t="shared" si="17"/>
        <v>1800</v>
      </c>
    </row>
    <row r="1146" spans="1:6" s="9" customFormat="1" x14ac:dyDescent="0.25">
      <c r="B1146" s="4"/>
      <c r="C1146" s="5"/>
      <c r="E1146" s="10"/>
      <c r="F1146" s="8">
        <f>SUM(F1144:F1145)</f>
        <v>3550</v>
      </c>
    </row>
    <row r="1147" spans="1:6" s="9" customFormat="1" x14ac:dyDescent="0.25">
      <c r="C1147" s="5"/>
      <c r="E1147" s="10"/>
      <c r="F1147" s="13"/>
    </row>
    <row r="1148" spans="1:6" s="9" customFormat="1" x14ac:dyDescent="0.25">
      <c r="A1148" s="9" t="s">
        <v>923</v>
      </c>
      <c r="B1148" s="4">
        <v>45980</v>
      </c>
      <c r="C1148" s="5">
        <v>10</v>
      </c>
      <c r="D1148" s="9" t="s">
        <v>8</v>
      </c>
      <c r="E1148" s="10">
        <v>185</v>
      </c>
      <c r="F1148" s="13">
        <f t="shared" si="17"/>
        <v>1850</v>
      </c>
    </row>
    <row r="1149" spans="1:6" s="9" customFormat="1" x14ac:dyDescent="0.25">
      <c r="B1149" s="4"/>
      <c r="C1149" s="5">
        <v>10</v>
      </c>
      <c r="D1149" s="9" t="s">
        <v>13</v>
      </c>
      <c r="E1149" s="10">
        <v>180</v>
      </c>
      <c r="F1149" s="13">
        <f t="shared" si="17"/>
        <v>1800</v>
      </c>
    </row>
    <row r="1150" spans="1:6" s="9" customFormat="1" x14ac:dyDescent="0.25">
      <c r="C1150" s="5">
        <v>3</v>
      </c>
      <c r="D1150" s="9" t="s">
        <v>13</v>
      </c>
      <c r="E1150" s="10">
        <v>180</v>
      </c>
      <c r="F1150" s="13">
        <f t="shared" si="17"/>
        <v>540</v>
      </c>
    </row>
    <row r="1151" spans="1:6" s="9" customFormat="1" x14ac:dyDescent="0.25">
      <c r="C1151" s="5"/>
      <c r="E1151" s="10"/>
      <c r="F1151" s="8">
        <f>SUM(F1148:F1150)</f>
        <v>4190</v>
      </c>
    </row>
    <row r="1152" spans="1:6" s="9" customFormat="1" x14ac:dyDescent="0.25">
      <c r="C1152" s="5"/>
      <c r="E1152" s="10"/>
      <c r="F1152" s="13"/>
    </row>
    <row r="1153" spans="1:6" x14ac:dyDescent="0.25">
      <c r="A1153" t="s">
        <v>25</v>
      </c>
      <c r="B1153" s="4">
        <v>45980</v>
      </c>
      <c r="C1153" s="5">
        <v>44</v>
      </c>
      <c r="D1153" s="9" t="s">
        <v>8</v>
      </c>
      <c r="E1153" s="10">
        <v>180</v>
      </c>
      <c r="F1153" s="13">
        <f t="shared" si="17"/>
        <v>7920</v>
      </c>
    </row>
    <row r="1154" spans="1:6" x14ac:dyDescent="0.25">
      <c r="B1154" s="9"/>
      <c r="D1154" s="9"/>
      <c r="F1154" s="8">
        <f>SUM(F1153)</f>
        <v>7920</v>
      </c>
    </row>
    <row r="1155" spans="1:6" s="9" customFormat="1" x14ac:dyDescent="0.25">
      <c r="C1155" s="5"/>
      <c r="E1155" s="10"/>
      <c r="F1155" s="13"/>
    </row>
    <row r="1156" spans="1:6" s="9" customFormat="1" x14ac:dyDescent="0.25">
      <c r="A1156" s="9" t="s">
        <v>40</v>
      </c>
      <c r="B1156" s="4">
        <v>45980</v>
      </c>
      <c r="C1156" s="5">
        <v>20</v>
      </c>
      <c r="D1156" s="9" t="s">
        <v>13</v>
      </c>
      <c r="E1156" s="10">
        <v>180</v>
      </c>
      <c r="F1156" s="13">
        <f t="shared" ref="F1156:F1218" si="18">+C1156*E1156</f>
        <v>3600</v>
      </c>
    </row>
    <row r="1157" spans="1:6" s="9" customFormat="1" x14ac:dyDescent="0.25">
      <c r="C1157" s="5">
        <v>20</v>
      </c>
      <c r="D1157" s="9" t="s">
        <v>14</v>
      </c>
      <c r="E1157" s="10">
        <v>175</v>
      </c>
      <c r="F1157" s="13">
        <f t="shared" si="18"/>
        <v>3500</v>
      </c>
    </row>
    <row r="1158" spans="1:6" s="9" customFormat="1" x14ac:dyDescent="0.25">
      <c r="C1158" s="5"/>
      <c r="E1158" s="10"/>
      <c r="F1158" s="8">
        <f>SUM(F1156:F1157)</f>
        <v>7100</v>
      </c>
    </row>
    <row r="1159" spans="1:6" s="9" customFormat="1" x14ac:dyDescent="0.25">
      <c r="C1159" s="5"/>
      <c r="E1159" s="10"/>
      <c r="F1159" s="13"/>
    </row>
    <row r="1160" spans="1:6" s="9" customFormat="1" x14ac:dyDescent="0.25">
      <c r="A1160" s="9" t="s">
        <v>1122</v>
      </c>
      <c r="B1160" s="4">
        <v>45980</v>
      </c>
      <c r="C1160" s="5">
        <v>5</v>
      </c>
      <c r="D1160" s="9" t="s">
        <v>13</v>
      </c>
      <c r="E1160" s="10">
        <v>180</v>
      </c>
      <c r="F1160" s="13">
        <f t="shared" si="18"/>
        <v>900</v>
      </c>
    </row>
    <row r="1161" spans="1:6" s="9" customFormat="1" x14ac:dyDescent="0.25">
      <c r="B1161" s="4"/>
      <c r="C1161" s="5"/>
      <c r="E1161" s="10"/>
      <c r="F1161" s="8">
        <f>SUM(F1160)</f>
        <v>900</v>
      </c>
    </row>
    <row r="1162" spans="1:6" s="9" customFormat="1" x14ac:dyDescent="0.25">
      <c r="C1162" s="5"/>
      <c r="E1162" s="10"/>
      <c r="F1162" s="13"/>
    </row>
    <row r="1163" spans="1:6" s="9" customFormat="1" x14ac:dyDescent="0.25">
      <c r="A1163" s="9" t="s">
        <v>107</v>
      </c>
      <c r="B1163" s="4">
        <v>45980</v>
      </c>
      <c r="C1163" s="5">
        <v>64</v>
      </c>
      <c r="D1163" s="9" t="s">
        <v>11</v>
      </c>
      <c r="E1163" s="10">
        <v>170</v>
      </c>
      <c r="F1163" s="13">
        <f t="shared" si="18"/>
        <v>10880</v>
      </c>
    </row>
    <row r="1164" spans="1:6" s="9" customFormat="1" x14ac:dyDescent="0.25">
      <c r="B1164" s="4"/>
      <c r="C1164" s="5"/>
      <c r="E1164" s="10"/>
      <c r="F1164" s="8">
        <f>SUM(F1163)</f>
        <v>10880</v>
      </c>
    </row>
    <row r="1165" spans="1:6" s="9" customFormat="1" x14ac:dyDescent="0.25">
      <c r="C1165" s="5"/>
      <c r="E1165" s="10"/>
      <c r="F1165" s="13"/>
    </row>
    <row r="1166" spans="1:6" s="9" customFormat="1" x14ac:dyDescent="0.25">
      <c r="A1166" s="9" t="s">
        <v>455</v>
      </c>
      <c r="B1166" s="4">
        <v>45980</v>
      </c>
      <c r="C1166" s="5">
        <v>80</v>
      </c>
      <c r="D1166" s="9" t="s">
        <v>14</v>
      </c>
      <c r="E1166" s="10">
        <v>175</v>
      </c>
      <c r="F1166" s="13">
        <f t="shared" si="18"/>
        <v>14000</v>
      </c>
    </row>
    <row r="1167" spans="1:6" s="9" customFormat="1" x14ac:dyDescent="0.25">
      <c r="B1167" s="4"/>
      <c r="C1167" s="5"/>
      <c r="E1167" s="10"/>
      <c r="F1167" s="8">
        <f>SUM(F1166)</f>
        <v>14000</v>
      </c>
    </row>
    <row r="1168" spans="1:6" s="9" customFormat="1" x14ac:dyDescent="0.25">
      <c r="C1168" s="5"/>
      <c r="E1168" s="10"/>
      <c r="F1168" s="13"/>
    </row>
    <row r="1169" spans="1:6" s="9" customFormat="1" x14ac:dyDescent="0.25">
      <c r="A1169" s="9" t="s">
        <v>41</v>
      </c>
      <c r="B1169" s="4">
        <v>45980</v>
      </c>
      <c r="C1169" s="5">
        <v>45</v>
      </c>
      <c r="D1169" s="9" t="s">
        <v>14</v>
      </c>
      <c r="E1169" s="10">
        <v>165</v>
      </c>
      <c r="F1169" s="13">
        <f t="shared" si="18"/>
        <v>7425</v>
      </c>
    </row>
    <row r="1170" spans="1:6" s="9" customFormat="1" x14ac:dyDescent="0.25">
      <c r="B1170" s="4"/>
      <c r="C1170" s="5"/>
      <c r="E1170" s="10"/>
      <c r="F1170" s="8">
        <f>SUM(F1169)</f>
        <v>7425</v>
      </c>
    </row>
    <row r="1171" spans="1:6" s="9" customFormat="1" x14ac:dyDescent="0.25">
      <c r="C1171" s="5"/>
      <c r="E1171" s="10"/>
      <c r="F1171" s="13"/>
    </row>
    <row r="1172" spans="1:6" s="9" customFormat="1" x14ac:dyDescent="0.25">
      <c r="A1172" s="9" t="s">
        <v>43</v>
      </c>
      <c r="B1172" s="4">
        <v>45980</v>
      </c>
      <c r="C1172" s="5">
        <v>40</v>
      </c>
      <c r="D1172" s="9" t="s">
        <v>14</v>
      </c>
      <c r="E1172" s="10">
        <v>175</v>
      </c>
      <c r="F1172" s="13">
        <f t="shared" si="18"/>
        <v>7000</v>
      </c>
    </row>
    <row r="1173" spans="1:6" s="9" customFormat="1" x14ac:dyDescent="0.25">
      <c r="B1173" s="4"/>
      <c r="C1173" s="5"/>
      <c r="E1173" s="10"/>
      <c r="F1173" s="8">
        <f>SUM(F1172)</f>
        <v>7000</v>
      </c>
    </row>
    <row r="1174" spans="1:6" s="9" customFormat="1" x14ac:dyDescent="0.25">
      <c r="C1174" s="5"/>
      <c r="E1174" s="10"/>
      <c r="F1174" s="13"/>
    </row>
    <row r="1175" spans="1:6" s="9" customFormat="1" x14ac:dyDescent="0.25">
      <c r="A1175" s="9" t="s">
        <v>85</v>
      </c>
      <c r="B1175" s="4">
        <v>45980</v>
      </c>
      <c r="C1175" s="5">
        <v>100</v>
      </c>
      <c r="D1175" s="9" t="s">
        <v>14</v>
      </c>
      <c r="E1175" s="10">
        <v>175</v>
      </c>
      <c r="F1175" s="13">
        <f t="shared" si="18"/>
        <v>17500</v>
      </c>
    </row>
    <row r="1176" spans="1:6" s="9" customFormat="1" x14ac:dyDescent="0.25">
      <c r="B1176" s="4"/>
      <c r="C1176" s="5"/>
      <c r="E1176" s="10"/>
      <c r="F1176" s="8">
        <f>SUM(F1175)</f>
        <v>17500</v>
      </c>
    </row>
    <row r="1177" spans="1:6" s="9" customFormat="1" x14ac:dyDescent="0.25">
      <c r="C1177" s="5"/>
      <c r="E1177" s="10"/>
      <c r="F1177" s="13"/>
    </row>
    <row r="1178" spans="1:6" s="9" customFormat="1" x14ac:dyDescent="0.25">
      <c r="A1178" s="9" t="s">
        <v>18</v>
      </c>
      <c r="B1178" s="4">
        <v>45980</v>
      </c>
      <c r="C1178" s="5">
        <v>30</v>
      </c>
      <c r="D1178" s="9" t="s">
        <v>14</v>
      </c>
      <c r="E1178" s="10">
        <v>175</v>
      </c>
      <c r="F1178" s="13">
        <f t="shared" si="18"/>
        <v>5250</v>
      </c>
    </row>
    <row r="1179" spans="1:6" s="9" customFormat="1" x14ac:dyDescent="0.25">
      <c r="B1179" s="4"/>
      <c r="C1179" s="5">
        <v>10</v>
      </c>
      <c r="D1179" s="9" t="s">
        <v>12</v>
      </c>
      <c r="E1179" s="10">
        <v>170</v>
      </c>
      <c r="F1179" s="13">
        <f t="shared" si="18"/>
        <v>1700</v>
      </c>
    </row>
    <row r="1180" spans="1:6" s="9" customFormat="1" x14ac:dyDescent="0.25">
      <c r="C1180" s="5"/>
      <c r="E1180" s="10"/>
      <c r="F1180" s="8">
        <f>SUM(F1178:F1179)</f>
        <v>6950</v>
      </c>
    </row>
    <row r="1181" spans="1:6" s="9" customFormat="1" x14ac:dyDescent="0.25">
      <c r="C1181" s="5"/>
      <c r="E1181" s="10"/>
      <c r="F1181" s="13"/>
    </row>
    <row r="1182" spans="1:6" s="9" customFormat="1" x14ac:dyDescent="0.25">
      <c r="A1182" s="9" t="s">
        <v>46</v>
      </c>
      <c r="B1182" s="4">
        <v>45980</v>
      </c>
      <c r="C1182" s="5">
        <v>12</v>
      </c>
      <c r="D1182" s="9" t="s">
        <v>14</v>
      </c>
      <c r="E1182" s="10">
        <v>175</v>
      </c>
      <c r="F1182" s="13">
        <f t="shared" si="18"/>
        <v>2100</v>
      </c>
    </row>
    <row r="1183" spans="1:6" s="9" customFormat="1" x14ac:dyDescent="0.25">
      <c r="C1183" s="5">
        <v>5</v>
      </c>
      <c r="D1183" s="9" t="s">
        <v>11</v>
      </c>
      <c r="E1183" s="10">
        <v>170</v>
      </c>
      <c r="F1183" s="13">
        <f t="shared" si="18"/>
        <v>850</v>
      </c>
    </row>
    <row r="1184" spans="1:6" s="9" customFormat="1" x14ac:dyDescent="0.25">
      <c r="C1184" s="5"/>
      <c r="E1184" s="10"/>
      <c r="F1184" s="8">
        <f>SUM(F1182:F1183)</f>
        <v>2950</v>
      </c>
    </row>
    <row r="1185" spans="1:6" s="9" customFormat="1" x14ac:dyDescent="0.25">
      <c r="C1185" s="5"/>
      <c r="E1185" s="10"/>
      <c r="F1185" s="13"/>
    </row>
    <row r="1186" spans="1:6" s="9" customFormat="1" x14ac:dyDescent="0.25">
      <c r="A1186" s="9" t="s">
        <v>47</v>
      </c>
      <c r="B1186" s="4">
        <v>45980</v>
      </c>
      <c r="C1186" s="5">
        <v>16</v>
      </c>
      <c r="D1186" s="9" t="s">
        <v>11</v>
      </c>
      <c r="E1186" s="10">
        <v>175</v>
      </c>
      <c r="F1186" s="13">
        <f t="shared" si="18"/>
        <v>2800</v>
      </c>
    </row>
    <row r="1187" spans="1:6" s="9" customFormat="1" x14ac:dyDescent="0.25">
      <c r="C1187" s="5"/>
      <c r="E1187" s="10"/>
      <c r="F1187" s="8">
        <f>SUM(F1186)</f>
        <v>2800</v>
      </c>
    </row>
    <row r="1188" spans="1:6" s="9" customFormat="1" x14ac:dyDescent="0.25">
      <c r="B1188" s="4"/>
      <c r="C1188" s="5"/>
      <c r="E1188" s="10"/>
      <c r="F1188" s="13"/>
    </row>
    <row r="1189" spans="1:6" s="9" customFormat="1" x14ac:dyDescent="0.25">
      <c r="A1189" s="9" t="s">
        <v>292</v>
      </c>
      <c r="B1189" s="4">
        <v>45980</v>
      </c>
      <c r="C1189" s="5">
        <v>10</v>
      </c>
      <c r="D1189" s="9" t="s">
        <v>14</v>
      </c>
      <c r="E1189" s="10">
        <v>165</v>
      </c>
      <c r="F1189" s="13">
        <f t="shared" si="18"/>
        <v>1650</v>
      </c>
    </row>
    <row r="1190" spans="1:6" s="9" customFormat="1" x14ac:dyDescent="0.25">
      <c r="C1190" s="5">
        <v>10</v>
      </c>
      <c r="D1190" s="9" t="s">
        <v>1149</v>
      </c>
      <c r="E1190" s="10">
        <v>160</v>
      </c>
      <c r="F1190" s="13">
        <f t="shared" si="18"/>
        <v>1600</v>
      </c>
    </row>
    <row r="1191" spans="1:6" s="9" customFormat="1" x14ac:dyDescent="0.25">
      <c r="B1191" s="4"/>
      <c r="C1191" s="5">
        <v>3</v>
      </c>
      <c r="D1191" s="9" t="s">
        <v>49</v>
      </c>
      <c r="E1191" s="10">
        <v>175</v>
      </c>
      <c r="F1191" s="13">
        <f t="shared" si="18"/>
        <v>525</v>
      </c>
    </row>
    <row r="1192" spans="1:6" s="9" customFormat="1" x14ac:dyDescent="0.25">
      <c r="C1192" s="5"/>
      <c r="E1192" s="10"/>
      <c r="F1192" s="8">
        <f>SUM(F1189:F1191)</f>
        <v>3775</v>
      </c>
    </row>
    <row r="1193" spans="1:6" s="9" customFormat="1" x14ac:dyDescent="0.25">
      <c r="C1193" s="5"/>
      <c r="E1193" s="10"/>
      <c r="F1193" s="13"/>
    </row>
    <row r="1194" spans="1:6" s="9" customFormat="1" x14ac:dyDescent="0.25">
      <c r="A1194" s="9" t="s">
        <v>72</v>
      </c>
      <c r="B1194" s="4">
        <v>45980</v>
      </c>
      <c r="C1194" s="5">
        <v>140</v>
      </c>
      <c r="D1194" s="9" t="s">
        <v>13</v>
      </c>
      <c r="E1194" s="10">
        <v>175</v>
      </c>
      <c r="F1194" s="13">
        <f t="shared" si="18"/>
        <v>24500</v>
      </c>
    </row>
    <row r="1195" spans="1:6" s="9" customFormat="1" x14ac:dyDescent="0.25">
      <c r="B1195" s="4"/>
      <c r="C1195" s="5">
        <v>100</v>
      </c>
      <c r="D1195" s="9" t="s">
        <v>738</v>
      </c>
      <c r="E1195" s="10">
        <v>170</v>
      </c>
      <c r="F1195" s="13">
        <f t="shared" si="18"/>
        <v>17000</v>
      </c>
    </row>
    <row r="1196" spans="1:6" s="9" customFormat="1" x14ac:dyDescent="0.25">
      <c r="C1196" s="5">
        <v>60</v>
      </c>
      <c r="D1196" s="9" t="s">
        <v>12</v>
      </c>
      <c r="E1196" s="10">
        <v>165</v>
      </c>
      <c r="F1196" s="13">
        <f t="shared" si="18"/>
        <v>9900</v>
      </c>
    </row>
    <row r="1197" spans="1:6" s="9" customFormat="1" x14ac:dyDescent="0.25">
      <c r="C1197" s="5">
        <v>80</v>
      </c>
      <c r="D1197" s="9" t="s">
        <v>14</v>
      </c>
      <c r="E1197" s="10">
        <v>170</v>
      </c>
      <c r="F1197" s="13">
        <f t="shared" si="18"/>
        <v>13600</v>
      </c>
    </row>
    <row r="1198" spans="1:6" s="9" customFormat="1" x14ac:dyDescent="0.25">
      <c r="C1198" s="5">
        <v>70</v>
      </c>
      <c r="D1198" s="9" t="s">
        <v>96</v>
      </c>
      <c r="E1198" s="10">
        <v>165</v>
      </c>
      <c r="F1198" s="13">
        <f t="shared" si="18"/>
        <v>11550</v>
      </c>
    </row>
    <row r="1199" spans="1:6" s="9" customFormat="1" x14ac:dyDescent="0.25">
      <c r="B1199" s="4"/>
      <c r="C1199" s="5"/>
      <c r="E1199" s="10"/>
      <c r="F1199" s="8">
        <f>SUM(F1194:F1198)</f>
        <v>76550</v>
      </c>
    </row>
    <row r="1200" spans="1:6" s="9" customFormat="1" x14ac:dyDescent="0.25">
      <c r="C1200" s="5"/>
      <c r="E1200" s="10"/>
      <c r="F1200" s="13"/>
    </row>
    <row r="1201" spans="1:6" s="9" customFormat="1" x14ac:dyDescent="0.25">
      <c r="A1201" s="9" t="s">
        <v>1150</v>
      </c>
      <c r="B1201" s="4">
        <v>45980</v>
      </c>
      <c r="C1201" s="5">
        <v>400</v>
      </c>
      <c r="D1201" s="9" t="s">
        <v>14</v>
      </c>
      <c r="E1201" s="10">
        <v>177</v>
      </c>
      <c r="F1201" s="13">
        <f t="shared" si="18"/>
        <v>70800</v>
      </c>
    </row>
    <row r="1202" spans="1:6" s="9" customFormat="1" x14ac:dyDescent="0.25">
      <c r="C1202" s="5"/>
      <c r="E1202" s="10"/>
      <c r="F1202" s="8">
        <f>SUM(F1201)</f>
        <v>70800</v>
      </c>
    </row>
    <row r="1203" spans="1:6" s="9" customFormat="1" x14ac:dyDescent="0.25">
      <c r="C1203" s="5"/>
      <c r="E1203" s="10"/>
      <c r="F1203" s="13"/>
    </row>
    <row r="1204" spans="1:6" s="9" customFormat="1" x14ac:dyDescent="0.25">
      <c r="A1204" s="9" t="s">
        <v>29</v>
      </c>
      <c r="B1204" s="4">
        <v>45980</v>
      </c>
      <c r="C1204" s="5">
        <v>2</v>
      </c>
      <c r="D1204" s="9" t="s">
        <v>13</v>
      </c>
      <c r="E1204" s="10">
        <v>180</v>
      </c>
      <c r="F1204" s="13">
        <f t="shared" si="18"/>
        <v>360</v>
      </c>
    </row>
    <row r="1205" spans="1:6" s="9" customFormat="1" x14ac:dyDescent="0.25">
      <c r="C1205" s="5">
        <v>3</v>
      </c>
      <c r="D1205" s="9" t="s">
        <v>12</v>
      </c>
      <c r="E1205" s="10">
        <v>170</v>
      </c>
      <c r="F1205" s="13">
        <f t="shared" si="18"/>
        <v>510</v>
      </c>
    </row>
    <row r="1206" spans="1:6" s="9" customFormat="1" x14ac:dyDescent="0.25">
      <c r="B1206" s="4"/>
      <c r="C1206" s="5">
        <v>1</v>
      </c>
      <c r="D1206" s="9" t="s">
        <v>8</v>
      </c>
      <c r="E1206" s="10">
        <v>180</v>
      </c>
      <c r="F1206" s="13">
        <f t="shared" si="18"/>
        <v>180</v>
      </c>
    </row>
    <row r="1207" spans="1:6" s="9" customFormat="1" x14ac:dyDescent="0.25">
      <c r="C1207" s="5"/>
      <c r="E1207" s="10"/>
      <c r="F1207" s="8">
        <f>SUM(F1204:F1206)</f>
        <v>1050</v>
      </c>
    </row>
    <row r="1208" spans="1:6" s="9" customFormat="1" x14ac:dyDescent="0.25">
      <c r="C1208" s="5"/>
      <c r="E1208" s="10"/>
      <c r="F1208" s="13"/>
    </row>
    <row r="1209" spans="1:6" s="9" customFormat="1" x14ac:dyDescent="0.25">
      <c r="A1209" s="9" t="s">
        <v>7</v>
      </c>
      <c r="B1209" s="4">
        <v>45980</v>
      </c>
      <c r="C1209" s="5">
        <v>1</v>
      </c>
      <c r="D1209" s="9" t="s">
        <v>8</v>
      </c>
      <c r="E1209" s="10">
        <v>190</v>
      </c>
      <c r="F1209" s="13">
        <f t="shared" si="18"/>
        <v>190</v>
      </c>
    </row>
    <row r="1210" spans="1:6" s="9" customFormat="1" x14ac:dyDescent="0.25">
      <c r="C1210" s="5">
        <v>4</v>
      </c>
      <c r="D1210" s="9" t="s">
        <v>12</v>
      </c>
      <c r="E1210" s="10">
        <v>170</v>
      </c>
      <c r="F1210" s="13">
        <f t="shared" si="18"/>
        <v>680</v>
      </c>
    </row>
    <row r="1211" spans="1:6" s="9" customFormat="1" x14ac:dyDescent="0.25">
      <c r="C1211" s="5">
        <v>2</v>
      </c>
      <c r="D1211" s="9" t="s">
        <v>1151</v>
      </c>
      <c r="E1211" s="10">
        <v>150</v>
      </c>
      <c r="F1211" s="13">
        <f t="shared" si="18"/>
        <v>300</v>
      </c>
    </row>
    <row r="1212" spans="1:6" s="9" customFormat="1" x14ac:dyDescent="0.25">
      <c r="B1212" s="4"/>
      <c r="C1212" s="5">
        <v>3</v>
      </c>
      <c r="D1212" s="9" t="s">
        <v>1152</v>
      </c>
      <c r="E1212" s="10">
        <v>0</v>
      </c>
      <c r="F1212" s="13">
        <f t="shared" si="18"/>
        <v>0</v>
      </c>
    </row>
    <row r="1213" spans="1:6" s="9" customFormat="1" x14ac:dyDescent="0.25">
      <c r="C1213" s="5">
        <v>2</v>
      </c>
      <c r="D1213" s="9" t="s">
        <v>1153</v>
      </c>
      <c r="E1213" s="10">
        <v>180</v>
      </c>
      <c r="F1213" s="13">
        <f t="shared" si="18"/>
        <v>360</v>
      </c>
    </row>
    <row r="1214" spans="1:6" s="9" customFormat="1" x14ac:dyDescent="0.25">
      <c r="C1214" s="5"/>
      <c r="E1214" s="10"/>
      <c r="F1214" s="8">
        <f>SUM(F1209:F1213)</f>
        <v>1530</v>
      </c>
    </row>
    <row r="1215" spans="1:6" s="9" customFormat="1" x14ac:dyDescent="0.25">
      <c r="C1215" s="5"/>
      <c r="E1215" s="10"/>
      <c r="F1215" s="13"/>
    </row>
    <row r="1216" spans="1:6" s="9" customFormat="1" x14ac:dyDescent="0.25">
      <c r="A1216" s="9" t="s">
        <v>140</v>
      </c>
      <c r="B1216" s="4">
        <v>45981</v>
      </c>
      <c r="C1216" s="5">
        <v>100</v>
      </c>
      <c r="D1216" s="9" t="s">
        <v>8</v>
      </c>
      <c r="E1216" s="10">
        <v>185</v>
      </c>
      <c r="F1216" s="13">
        <f t="shared" si="18"/>
        <v>18500</v>
      </c>
    </row>
    <row r="1217" spans="1:6" s="9" customFormat="1" x14ac:dyDescent="0.25">
      <c r="C1217" s="5">
        <v>35</v>
      </c>
      <c r="D1217" s="9" t="s">
        <v>49</v>
      </c>
      <c r="E1217" s="10">
        <v>180</v>
      </c>
      <c r="F1217" s="13">
        <f t="shared" si="18"/>
        <v>6300</v>
      </c>
    </row>
    <row r="1218" spans="1:6" s="9" customFormat="1" x14ac:dyDescent="0.25">
      <c r="C1218" s="5">
        <v>150</v>
      </c>
      <c r="D1218" s="9" t="s">
        <v>13</v>
      </c>
      <c r="E1218" s="10">
        <v>180</v>
      </c>
      <c r="F1218" s="13">
        <f t="shared" si="18"/>
        <v>27000</v>
      </c>
    </row>
    <row r="1219" spans="1:6" s="9" customFormat="1" x14ac:dyDescent="0.25">
      <c r="C1219" s="5">
        <v>100</v>
      </c>
      <c r="D1219" s="9" t="s">
        <v>14</v>
      </c>
      <c r="E1219" s="10">
        <v>175</v>
      </c>
      <c r="F1219" s="13">
        <f t="shared" ref="F1219:F1280" si="19">+C1219*E1219</f>
        <v>17500</v>
      </c>
    </row>
    <row r="1220" spans="1:6" s="9" customFormat="1" x14ac:dyDescent="0.25">
      <c r="B1220" s="4"/>
      <c r="C1220" s="5"/>
      <c r="E1220" s="10"/>
      <c r="F1220" s="8">
        <f>SUM(F1216:F1219)</f>
        <v>69300</v>
      </c>
    </row>
    <row r="1221" spans="1:6" s="9" customFormat="1" x14ac:dyDescent="0.25">
      <c r="C1221" s="5"/>
      <c r="E1221" s="10"/>
      <c r="F1221" s="13"/>
    </row>
    <row r="1222" spans="1:6" s="9" customFormat="1" x14ac:dyDescent="0.25">
      <c r="A1222" s="9" t="s">
        <v>89</v>
      </c>
      <c r="B1222" s="4">
        <v>45981</v>
      </c>
      <c r="C1222" s="5">
        <v>10</v>
      </c>
      <c r="D1222" s="9" t="s">
        <v>13</v>
      </c>
      <c r="E1222" s="10">
        <v>170</v>
      </c>
      <c r="F1222" s="13">
        <f t="shared" si="19"/>
        <v>1700</v>
      </c>
    </row>
    <row r="1223" spans="1:6" s="9" customFormat="1" x14ac:dyDescent="0.25">
      <c r="B1223" s="4"/>
      <c r="C1223" s="5">
        <v>40</v>
      </c>
      <c r="D1223" s="9" t="s">
        <v>704</v>
      </c>
      <c r="E1223" s="10">
        <v>165</v>
      </c>
      <c r="F1223" s="13">
        <f t="shared" si="19"/>
        <v>6600</v>
      </c>
    </row>
    <row r="1224" spans="1:6" s="9" customFormat="1" x14ac:dyDescent="0.25">
      <c r="C1224" s="5"/>
      <c r="E1224" s="10"/>
      <c r="F1224" s="8">
        <f>SUM(F1222:F1223)</f>
        <v>8300</v>
      </c>
    </row>
    <row r="1225" spans="1:6" s="9" customFormat="1" x14ac:dyDescent="0.25">
      <c r="C1225" s="5"/>
      <c r="E1225" s="10"/>
      <c r="F1225" s="13"/>
    </row>
    <row r="1226" spans="1:6" s="9" customFormat="1" x14ac:dyDescent="0.25">
      <c r="A1226" s="9" t="s">
        <v>151</v>
      </c>
      <c r="B1226" s="4">
        <v>45981</v>
      </c>
      <c r="C1226" s="5">
        <v>30</v>
      </c>
      <c r="D1226" s="9" t="s">
        <v>12</v>
      </c>
      <c r="E1226" s="10">
        <v>170</v>
      </c>
      <c r="F1226" s="13">
        <f t="shared" si="19"/>
        <v>5100</v>
      </c>
    </row>
    <row r="1227" spans="1:6" s="9" customFormat="1" x14ac:dyDescent="0.25">
      <c r="B1227" s="4"/>
      <c r="C1227" s="5">
        <v>50</v>
      </c>
      <c r="D1227" s="9" t="s">
        <v>11</v>
      </c>
      <c r="E1227" s="10">
        <v>170</v>
      </c>
      <c r="F1227" s="13">
        <f t="shared" si="19"/>
        <v>8500</v>
      </c>
    </row>
    <row r="1228" spans="1:6" s="9" customFormat="1" x14ac:dyDescent="0.25">
      <c r="C1228" s="5">
        <v>50</v>
      </c>
      <c r="D1228" s="9" t="s">
        <v>14</v>
      </c>
      <c r="E1228" s="10">
        <v>175</v>
      </c>
      <c r="F1228" s="13">
        <f t="shared" si="19"/>
        <v>8750</v>
      </c>
    </row>
    <row r="1229" spans="1:6" s="9" customFormat="1" x14ac:dyDescent="0.25">
      <c r="C1229" s="5">
        <v>30</v>
      </c>
      <c r="D1229" s="9" t="s">
        <v>13</v>
      </c>
      <c r="E1229" s="10">
        <v>175</v>
      </c>
      <c r="F1229" s="13">
        <f t="shared" si="19"/>
        <v>5250</v>
      </c>
    </row>
    <row r="1230" spans="1:6" s="9" customFormat="1" x14ac:dyDescent="0.25">
      <c r="B1230" s="4"/>
      <c r="C1230" s="5"/>
      <c r="E1230" s="10"/>
      <c r="F1230" s="8">
        <f>SUM(F1226:F1229)</f>
        <v>27600</v>
      </c>
    </row>
    <row r="1231" spans="1:6" s="9" customFormat="1" x14ac:dyDescent="0.25">
      <c r="C1231" s="5"/>
      <c r="E1231" s="10"/>
      <c r="F1231" s="13"/>
    </row>
    <row r="1232" spans="1:6" s="9" customFormat="1" x14ac:dyDescent="0.25">
      <c r="A1232" s="9" t="s">
        <v>26</v>
      </c>
      <c r="B1232" s="4">
        <v>45981</v>
      </c>
      <c r="C1232" s="5">
        <v>10</v>
      </c>
      <c r="D1232" s="9" t="s">
        <v>14</v>
      </c>
      <c r="E1232" s="10">
        <v>165</v>
      </c>
      <c r="F1232" s="13">
        <f t="shared" si="19"/>
        <v>1650</v>
      </c>
    </row>
    <row r="1233" spans="1:6" s="9" customFormat="1" x14ac:dyDescent="0.25">
      <c r="B1233" s="4"/>
      <c r="C1233" s="5"/>
      <c r="E1233" s="10"/>
      <c r="F1233" s="8">
        <f>SUM(F1232)</f>
        <v>1650</v>
      </c>
    </row>
    <row r="1234" spans="1:6" s="9" customFormat="1" x14ac:dyDescent="0.25">
      <c r="C1234" s="5"/>
      <c r="E1234" s="10"/>
      <c r="F1234" s="13"/>
    </row>
    <row r="1235" spans="1:6" s="9" customFormat="1" x14ac:dyDescent="0.25">
      <c r="A1235" s="9" t="s">
        <v>29</v>
      </c>
      <c r="B1235" s="4">
        <v>45981</v>
      </c>
      <c r="C1235" s="5">
        <v>1</v>
      </c>
      <c r="D1235" s="9" t="s">
        <v>11</v>
      </c>
      <c r="E1235" s="10">
        <v>160</v>
      </c>
      <c r="F1235" s="13">
        <f t="shared" si="19"/>
        <v>160</v>
      </c>
    </row>
    <row r="1236" spans="1:6" s="9" customFormat="1" x14ac:dyDescent="0.25">
      <c r="B1236" s="4"/>
      <c r="C1236" s="5">
        <v>10</v>
      </c>
      <c r="D1236" s="9" t="s">
        <v>14</v>
      </c>
      <c r="E1236" s="10">
        <v>175</v>
      </c>
      <c r="F1236" s="13">
        <f t="shared" si="19"/>
        <v>1750</v>
      </c>
    </row>
    <row r="1237" spans="1:6" s="9" customFormat="1" x14ac:dyDescent="0.25">
      <c r="C1237" s="5">
        <v>1</v>
      </c>
      <c r="D1237" s="9" t="s">
        <v>1154</v>
      </c>
      <c r="E1237" s="10">
        <v>190</v>
      </c>
      <c r="F1237" s="13">
        <f t="shared" si="19"/>
        <v>190</v>
      </c>
    </row>
    <row r="1238" spans="1:6" s="9" customFormat="1" x14ac:dyDescent="0.25">
      <c r="C1238" s="5">
        <v>1</v>
      </c>
      <c r="D1238" s="9" t="s">
        <v>1155</v>
      </c>
      <c r="E1238" s="10">
        <v>160</v>
      </c>
      <c r="F1238" s="13">
        <f t="shared" si="19"/>
        <v>160</v>
      </c>
    </row>
    <row r="1239" spans="1:6" s="9" customFormat="1" x14ac:dyDescent="0.25">
      <c r="B1239" s="4"/>
      <c r="C1239" s="5">
        <v>1</v>
      </c>
      <c r="D1239" s="9" t="s">
        <v>91</v>
      </c>
      <c r="E1239" s="10">
        <v>130</v>
      </c>
      <c r="F1239" s="13">
        <f t="shared" si="19"/>
        <v>130</v>
      </c>
    </row>
    <row r="1240" spans="1:6" s="9" customFormat="1" x14ac:dyDescent="0.25">
      <c r="C1240" s="5">
        <v>1</v>
      </c>
      <c r="D1240" s="9" t="s">
        <v>91</v>
      </c>
      <c r="E1240" s="10">
        <v>130</v>
      </c>
      <c r="F1240" s="13">
        <f t="shared" si="19"/>
        <v>130</v>
      </c>
    </row>
    <row r="1241" spans="1:6" s="9" customFormat="1" x14ac:dyDescent="0.25">
      <c r="C1241" s="5"/>
      <c r="E1241" s="10"/>
      <c r="F1241" s="8">
        <f>SUM(F1235:F1240)</f>
        <v>2520</v>
      </c>
    </row>
    <row r="1242" spans="1:6" s="9" customFormat="1" x14ac:dyDescent="0.25">
      <c r="B1242" s="4"/>
      <c r="C1242" s="5"/>
      <c r="E1242" s="10"/>
      <c r="F1242" s="13"/>
    </row>
    <row r="1243" spans="1:6" s="9" customFormat="1" x14ac:dyDescent="0.25">
      <c r="A1243" s="9" t="s">
        <v>7</v>
      </c>
      <c r="B1243" s="4">
        <v>45981</v>
      </c>
      <c r="C1243" s="5">
        <v>10</v>
      </c>
      <c r="D1243" s="9" t="s">
        <v>1007</v>
      </c>
      <c r="E1243" s="10">
        <v>175</v>
      </c>
      <c r="F1243" s="13">
        <f t="shared" si="19"/>
        <v>1750</v>
      </c>
    </row>
    <row r="1244" spans="1:6" s="9" customFormat="1" x14ac:dyDescent="0.25">
      <c r="C1244" s="5">
        <v>1</v>
      </c>
      <c r="D1244" s="9" t="s">
        <v>13</v>
      </c>
      <c r="E1244" s="10">
        <v>180</v>
      </c>
      <c r="F1244" s="13">
        <f t="shared" si="19"/>
        <v>180</v>
      </c>
    </row>
    <row r="1245" spans="1:6" s="9" customFormat="1" x14ac:dyDescent="0.25">
      <c r="B1245" s="4"/>
      <c r="C1245" s="11">
        <v>1.5</v>
      </c>
      <c r="D1245" s="9" t="s">
        <v>1156</v>
      </c>
      <c r="E1245" s="10">
        <v>150</v>
      </c>
      <c r="F1245" s="13">
        <f t="shared" si="19"/>
        <v>225</v>
      </c>
    </row>
    <row r="1246" spans="1:6" s="9" customFormat="1" x14ac:dyDescent="0.25">
      <c r="C1246" s="5">
        <v>1</v>
      </c>
      <c r="D1246" s="9" t="s">
        <v>75</v>
      </c>
      <c r="E1246" s="10">
        <v>150</v>
      </c>
      <c r="F1246" s="13">
        <f t="shared" si="19"/>
        <v>150</v>
      </c>
    </row>
    <row r="1247" spans="1:6" s="9" customFormat="1" x14ac:dyDescent="0.25">
      <c r="C1247" s="5">
        <v>1</v>
      </c>
      <c r="D1247" s="9" t="s">
        <v>1157</v>
      </c>
      <c r="E1247" s="10">
        <v>120</v>
      </c>
      <c r="F1247" s="13">
        <f t="shared" si="19"/>
        <v>120</v>
      </c>
    </row>
    <row r="1248" spans="1:6" s="9" customFormat="1" x14ac:dyDescent="0.25">
      <c r="C1248" s="5">
        <v>1</v>
      </c>
      <c r="D1248" s="9" t="s">
        <v>91</v>
      </c>
      <c r="E1248" s="10">
        <v>130</v>
      </c>
      <c r="F1248" s="13">
        <f t="shared" si="19"/>
        <v>130</v>
      </c>
    </row>
    <row r="1249" spans="1:6" s="9" customFormat="1" x14ac:dyDescent="0.25">
      <c r="B1249" s="4"/>
      <c r="C1249" s="5"/>
      <c r="E1249" s="10"/>
      <c r="F1249" s="8">
        <f>SUM(F1243:F1248)</f>
        <v>2555</v>
      </c>
    </row>
    <row r="1250" spans="1:6" s="9" customFormat="1" x14ac:dyDescent="0.25">
      <c r="C1250" s="5"/>
      <c r="E1250" s="10"/>
      <c r="F1250" s="13"/>
    </row>
    <row r="1251" spans="1:6" s="9" customFormat="1" x14ac:dyDescent="0.25">
      <c r="A1251" s="9" t="s">
        <v>41</v>
      </c>
      <c r="B1251" s="4">
        <v>45982</v>
      </c>
      <c r="C1251" s="5">
        <v>35</v>
      </c>
      <c r="D1251" s="9" t="s">
        <v>14</v>
      </c>
      <c r="E1251" s="10">
        <v>165</v>
      </c>
      <c r="F1251" s="13">
        <f t="shared" si="19"/>
        <v>5775</v>
      </c>
    </row>
    <row r="1252" spans="1:6" s="9" customFormat="1" x14ac:dyDescent="0.25">
      <c r="C1252" s="5"/>
      <c r="E1252" s="10"/>
      <c r="F1252" s="8">
        <f>SUM(F1251)</f>
        <v>5775</v>
      </c>
    </row>
    <row r="1253" spans="1:6" s="9" customFormat="1" x14ac:dyDescent="0.25">
      <c r="C1253" s="5"/>
      <c r="E1253" s="10"/>
      <c r="F1253" s="13"/>
    </row>
    <row r="1254" spans="1:6" s="9" customFormat="1" x14ac:dyDescent="0.25">
      <c r="A1254" s="9" t="s">
        <v>106</v>
      </c>
      <c r="B1254" s="4">
        <v>45982</v>
      </c>
      <c r="C1254" s="5">
        <v>170</v>
      </c>
      <c r="D1254" s="9" t="s">
        <v>12</v>
      </c>
      <c r="E1254" s="10">
        <v>170</v>
      </c>
      <c r="F1254" s="13">
        <f t="shared" si="19"/>
        <v>28900</v>
      </c>
    </row>
    <row r="1255" spans="1:6" s="9" customFormat="1" x14ac:dyDescent="0.25">
      <c r="C1255" s="5"/>
      <c r="E1255" s="10"/>
      <c r="F1255" s="8">
        <f>SUM(F1254)</f>
        <v>28900</v>
      </c>
    </row>
    <row r="1256" spans="1:6" s="9" customFormat="1" x14ac:dyDescent="0.25">
      <c r="C1256" s="5"/>
      <c r="E1256" s="10"/>
      <c r="F1256" s="13"/>
    </row>
    <row r="1257" spans="1:6" s="9" customFormat="1" x14ac:dyDescent="0.25">
      <c r="A1257" s="9" t="s">
        <v>253</v>
      </c>
      <c r="B1257" s="4">
        <v>45982</v>
      </c>
      <c r="C1257" s="5">
        <v>25</v>
      </c>
      <c r="D1257" s="9" t="s">
        <v>14</v>
      </c>
      <c r="E1257" s="10">
        <v>180</v>
      </c>
      <c r="F1257" s="13">
        <f t="shared" si="19"/>
        <v>4500</v>
      </c>
    </row>
    <row r="1258" spans="1:6" s="9" customFormat="1" x14ac:dyDescent="0.25">
      <c r="C1258" s="5"/>
      <c r="E1258" s="10"/>
      <c r="F1258" s="8">
        <f>SUM(F1257)</f>
        <v>4500</v>
      </c>
    </row>
    <row r="1259" spans="1:6" s="9" customFormat="1" x14ac:dyDescent="0.25">
      <c r="C1259" s="5"/>
      <c r="E1259" s="10"/>
      <c r="F1259" s="13"/>
    </row>
    <row r="1260" spans="1:6" s="9" customFormat="1" x14ac:dyDescent="0.25">
      <c r="A1260" s="9" t="s">
        <v>1063</v>
      </c>
      <c r="B1260" s="4">
        <v>45982</v>
      </c>
      <c r="C1260" s="5">
        <v>5</v>
      </c>
      <c r="D1260" s="9" t="s">
        <v>14</v>
      </c>
      <c r="E1260" s="10">
        <v>180</v>
      </c>
      <c r="F1260" s="13">
        <f t="shared" si="19"/>
        <v>900</v>
      </c>
    </row>
    <row r="1261" spans="1:6" s="9" customFormat="1" x14ac:dyDescent="0.25">
      <c r="C1261" s="5"/>
      <c r="E1261" s="10"/>
      <c r="F1261" s="8">
        <f>SUM(F1260)</f>
        <v>900</v>
      </c>
    </row>
    <row r="1262" spans="1:6" s="9" customFormat="1" x14ac:dyDescent="0.25">
      <c r="C1262" s="5"/>
      <c r="E1262" s="10"/>
      <c r="F1262" s="13"/>
    </row>
    <row r="1263" spans="1:6" s="9" customFormat="1" x14ac:dyDescent="0.25">
      <c r="A1263" s="9" t="s">
        <v>46</v>
      </c>
      <c r="B1263" s="4">
        <v>45982</v>
      </c>
      <c r="C1263" s="5">
        <v>10</v>
      </c>
      <c r="D1263" s="9" t="s">
        <v>14</v>
      </c>
      <c r="E1263" s="10">
        <v>180</v>
      </c>
      <c r="F1263" s="13">
        <f t="shared" si="19"/>
        <v>1800</v>
      </c>
    </row>
    <row r="1264" spans="1:6" s="9" customFormat="1" x14ac:dyDescent="0.25">
      <c r="B1264" s="4"/>
      <c r="C1264" s="5">
        <v>10</v>
      </c>
      <c r="D1264" s="9" t="s">
        <v>11</v>
      </c>
      <c r="E1264" s="10">
        <v>175</v>
      </c>
      <c r="F1264" s="13">
        <f t="shared" si="19"/>
        <v>1750</v>
      </c>
    </row>
    <row r="1265" spans="1:6" s="9" customFormat="1" x14ac:dyDescent="0.25">
      <c r="C1265" s="5"/>
      <c r="E1265" s="10"/>
      <c r="F1265" s="8">
        <f>SUM(F1263:F1264)</f>
        <v>3550</v>
      </c>
    </row>
    <row r="1266" spans="1:6" s="9" customFormat="1" x14ac:dyDescent="0.25">
      <c r="C1266" s="5"/>
      <c r="E1266" s="10"/>
      <c r="F1266" s="13"/>
    </row>
    <row r="1267" spans="1:6" s="9" customFormat="1" x14ac:dyDescent="0.25">
      <c r="A1267" s="9" t="s">
        <v>145</v>
      </c>
      <c r="B1267" s="4">
        <v>45982</v>
      </c>
      <c r="C1267" s="5">
        <v>70</v>
      </c>
      <c r="D1267" s="9" t="s">
        <v>14</v>
      </c>
      <c r="E1267" s="10">
        <v>180</v>
      </c>
      <c r="F1267" s="13">
        <f t="shared" si="19"/>
        <v>12600</v>
      </c>
    </row>
    <row r="1268" spans="1:6" s="9" customFormat="1" x14ac:dyDescent="0.25">
      <c r="C1268" s="5"/>
      <c r="E1268" s="10"/>
      <c r="F1268" s="8">
        <f>SUM(F1267)</f>
        <v>12600</v>
      </c>
    </row>
    <row r="1269" spans="1:6" s="9" customFormat="1" x14ac:dyDescent="0.25">
      <c r="C1269" s="5"/>
      <c r="E1269" s="10"/>
      <c r="F1269" s="13"/>
    </row>
    <row r="1270" spans="1:6" s="9" customFormat="1" x14ac:dyDescent="0.25">
      <c r="A1270" s="9" t="s">
        <v>47</v>
      </c>
      <c r="B1270" s="4">
        <v>45982</v>
      </c>
      <c r="C1270" s="5">
        <v>19</v>
      </c>
      <c r="D1270" s="9" t="s">
        <v>1158</v>
      </c>
      <c r="E1270" s="10">
        <v>175</v>
      </c>
      <c r="F1270" s="13">
        <f t="shared" si="19"/>
        <v>3325</v>
      </c>
    </row>
    <row r="1271" spans="1:6" s="9" customFormat="1" x14ac:dyDescent="0.25">
      <c r="C1271" s="5"/>
      <c r="E1271" s="10"/>
      <c r="F1271" s="8">
        <f>SUM(F1270)</f>
        <v>3325</v>
      </c>
    </row>
    <row r="1272" spans="1:6" s="9" customFormat="1" x14ac:dyDescent="0.25">
      <c r="B1272" s="4"/>
      <c r="C1272" s="5"/>
      <c r="E1272" s="10"/>
      <c r="F1272" s="13"/>
    </row>
    <row r="1273" spans="1:6" s="9" customFormat="1" x14ac:dyDescent="0.25">
      <c r="A1273" s="9" t="s">
        <v>44</v>
      </c>
      <c r="B1273" s="4">
        <v>45982</v>
      </c>
      <c r="C1273" s="5">
        <v>50</v>
      </c>
      <c r="D1273" s="9" t="s">
        <v>14</v>
      </c>
      <c r="E1273" s="10">
        <v>180</v>
      </c>
      <c r="F1273" s="13">
        <f t="shared" si="19"/>
        <v>9000</v>
      </c>
    </row>
    <row r="1274" spans="1:6" s="9" customFormat="1" x14ac:dyDescent="0.25">
      <c r="C1274" s="5">
        <v>10</v>
      </c>
      <c r="D1274" s="9" t="s">
        <v>11</v>
      </c>
      <c r="E1274" s="10">
        <v>170</v>
      </c>
      <c r="F1274" s="13">
        <f t="shared" si="19"/>
        <v>1700</v>
      </c>
    </row>
    <row r="1275" spans="1:6" s="9" customFormat="1" x14ac:dyDescent="0.25">
      <c r="C1275" s="5"/>
      <c r="E1275" s="10"/>
      <c r="F1275" s="8">
        <f>SUM(F1273:F1274)</f>
        <v>10700</v>
      </c>
    </row>
    <row r="1276" spans="1:6" s="9" customFormat="1" x14ac:dyDescent="0.25">
      <c r="C1276" s="5"/>
      <c r="E1276" s="10"/>
      <c r="F1276" s="13"/>
    </row>
    <row r="1277" spans="1:6" s="9" customFormat="1" x14ac:dyDescent="0.25">
      <c r="A1277" s="9" t="s">
        <v>43</v>
      </c>
      <c r="B1277" s="4">
        <v>45982</v>
      </c>
      <c r="C1277" s="5">
        <v>20</v>
      </c>
      <c r="D1277" s="9" t="s">
        <v>121</v>
      </c>
      <c r="E1277" s="10">
        <v>180</v>
      </c>
      <c r="F1277" s="13">
        <f t="shared" si="19"/>
        <v>3600</v>
      </c>
    </row>
    <row r="1278" spans="1:6" s="9" customFormat="1" x14ac:dyDescent="0.25">
      <c r="B1278" s="4"/>
      <c r="C1278" s="5"/>
      <c r="E1278" s="10"/>
      <c r="F1278" s="8">
        <f>SUM(F1277)</f>
        <v>3600</v>
      </c>
    </row>
    <row r="1279" spans="1:6" s="9" customFormat="1" x14ac:dyDescent="0.25">
      <c r="C1279" s="5"/>
      <c r="E1279" s="10"/>
      <c r="F1279" s="13"/>
    </row>
    <row r="1280" spans="1:6" s="9" customFormat="1" x14ac:dyDescent="0.25">
      <c r="A1280" s="9" t="s">
        <v>292</v>
      </c>
      <c r="B1280" s="4">
        <v>45982</v>
      </c>
      <c r="C1280" s="5">
        <v>15</v>
      </c>
      <c r="D1280" s="9" t="s">
        <v>11</v>
      </c>
      <c r="E1280" s="10">
        <v>160</v>
      </c>
      <c r="F1280" s="13">
        <f t="shared" si="19"/>
        <v>2400</v>
      </c>
    </row>
    <row r="1281" spans="1:6" s="9" customFormat="1" x14ac:dyDescent="0.25">
      <c r="B1281" s="4"/>
      <c r="C1281" s="5"/>
      <c r="E1281" s="10"/>
      <c r="F1281" s="8">
        <f>SUM(F1280)</f>
        <v>2400</v>
      </c>
    </row>
    <row r="1282" spans="1:6" s="9" customFormat="1" x14ac:dyDescent="0.25">
      <c r="C1282" s="5"/>
      <c r="E1282" s="10"/>
      <c r="F1282" s="13"/>
    </row>
    <row r="1283" spans="1:6" s="9" customFormat="1" x14ac:dyDescent="0.25">
      <c r="A1283" s="9" t="s">
        <v>487</v>
      </c>
      <c r="B1283" s="4">
        <v>45982</v>
      </c>
      <c r="C1283" s="5">
        <v>5</v>
      </c>
      <c r="D1283" s="9" t="s">
        <v>12</v>
      </c>
      <c r="E1283" s="10">
        <v>175</v>
      </c>
      <c r="F1283" s="13">
        <f t="shared" ref="F1283:F1346" si="20">+C1283*E1283</f>
        <v>875</v>
      </c>
    </row>
    <row r="1284" spans="1:6" s="9" customFormat="1" x14ac:dyDescent="0.25">
      <c r="B1284" s="4"/>
      <c r="C1284" s="5"/>
      <c r="E1284" s="10"/>
      <c r="F1284" s="8">
        <f>SUM(F1283)</f>
        <v>875</v>
      </c>
    </row>
    <row r="1285" spans="1:6" s="9" customFormat="1" x14ac:dyDescent="0.25">
      <c r="C1285" s="5"/>
      <c r="E1285" s="10"/>
      <c r="F1285" s="13"/>
    </row>
    <row r="1286" spans="1:6" s="9" customFormat="1" x14ac:dyDescent="0.25">
      <c r="A1286" s="9" t="s">
        <v>201</v>
      </c>
      <c r="B1286" s="4">
        <v>45982</v>
      </c>
      <c r="C1286" s="5">
        <v>10</v>
      </c>
      <c r="D1286" s="9" t="s">
        <v>13</v>
      </c>
      <c r="E1286" s="10">
        <v>180</v>
      </c>
      <c r="F1286" s="13">
        <f t="shared" si="20"/>
        <v>1800</v>
      </c>
    </row>
    <row r="1287" spans="1:6" s="9" customFormat="1" x14ac:dyDescent="0.25">
      <c r="B1287" s="4"/>
      <c r="C1287" s="5"/>
      <c r="E1287" s="10"/>
      <c r="F1287" s="8">
        <f>SUM(F1286)</f>
        <v>1800</v>
      </c>
    </row>
    <row r="1288" spans="1:6" s="9" customFormat="1" x14ac:dyDescent="0.25">
      <c r="C1288" s="5"/>
      <c r="E1288" s="10"/>
      <c r="F1288" s="13"/>
    </row>
    <row r="1289" spans="1:6" s="9" customFormat="1" x14ac:dyDescent="0.25">
      <c r="A1289" s="9" t="s">
        <v>181</v>
      </c>
      <c r="B1289" s="4">
        <v>45982</v>
      </c>
      <c r="C1289" s="5">
        <v>4</v>
      </c>
      <c r="D1289" s="9" t="s">
        <v>12</v>
      </c>
      <c r="E1289" s="10">
        <v>170</v>
      </c>
      <c r="F1289" s="13">
        <f t="shared" si="20"/>
        <v>680</v>
      </c>
    </row>
    <row r="1290" spans="1:6" s="9" customFormat="1" x14ac:dyDescent="0.25">
      <c r="C1290" s="5"/>
      <c r="E1290" s="10"/>
      <c r="F1290" s="8">
        <f>SUM(F1289)</f>
        <v>680</v>
      </c>
    </row>
    <row r="1291" spans="1:6" s="9" customFormat="1" x14ac:dyDescent="0.25">
      <c r="B1291" s="4"/>
      <c r="C1291" s="5"/>
      <c r="E1291" s="10"/>
      <c r="F1291" s="13"/>
    </row>
    <row r="1292" spans="1:6" s="9" customFormat="1" x14ac:dyDescent="0.25">
      <c r="A1292" s="9" t="s">
        <v>184</v>
      </c>
      <c r="B1292" s="4">
        <v>45982</v>
      </c>
      <c r="C1292" s="5">
        <v>7</v>
      </c>
      <c r="D1292" s="9" t="s">
        <v>13</v>
      </c>
      <c r="E1292" s="10">
        <v>180</v>
      </c>
      <c r="F1292" s="13">
        <f t="shared" si="20"/>
        <v>1260</v>
      </c>
    </row>
    <row r="1293" spans="1:6" s="9" customFormat="1" x14ac:dyDescent="0.25">
      <c r="C1293" s="5"/>
      <c r="E1293" s="10"/>
      <c r="F1293" s="8">
        <f>SUM(F1292)</f>
        <v>1260</v>
      </c>
    </row>
    <row r="1294" spans="1:6" s="9" customFormat="1" x14ac:dyDescent="0.25">
      <c r="B1294" s="4"/>
      <c r="C1294" s="5"/>
      <c r="E1294" s="10"/>
      <c r="F1294" s="13"/>
    </row>
    <row r="1295" spans="1:6" s="9" customFormat="1" x14ac:dyDescent="0.25">
      <c r="A1295" s="9" t="s">
        <v>88</v>
      </c>
      <c r="B1295" s="4">
        <v>45982</v>
      </c>
      <c r="C1295" s="5">
        <v>10</v>
      </c>
      <c r="D1295" s="9" t="s">
        <v>14</v>
      </c>
      <c r="E1295" s="10">
        <v>175</v>
      </c>
      <c r="F1295" s="13">
        <f t="shared" si="20"/>
        <v>1750</v>
      </c>
    </row>
    <row r="1296" spans="1:6" s="9" customFormat="1" x14ac:dyDescent="0.25">
      <c r="C1296" s="5"/>
      <c r="E1296" s="10"/>
      <c r="F1296" s="8">
        <f>SUM(F1295)</f>
        <v>1750</v>
      </c>
    </row>
    <row r="1297" spans="1:6" s="9" customFormat="1" x14ac:dyDescent="0.25">
      <c r="B1297" s="4"/>
      <c r="C1297" s="5"/>
      <c r="E1297" s="10"/>
      <c r="F1297" s="13"/>
    </row>
    <row r="1298" spans="1:6" s="9" customFormat="1" x14ac:dyDescent="0.25">
      <c r="A1298" s="9" t="s">
        <v>112</v>
      </c>
      <c r="B1298" s="4">
        <v>45982</v>
      </c>
      <c r="C1298" s="5">
        <v>30</v>
      </c>
      <c r="D1298" s="9" t="s">
        <v>11</v>
      </c>
      <c r="E1298" s="10">
        <v>170</v>
      </c>
      <c r="F1298" s="13">
        <f t="shared" si="20"/>
        <v>5100</v>
      </c>
    </row>
    <row r="1299" spans="1:6" s="9" customFormat="1" x14ac:dyDescent="0.25">
      <c r="C1299" s="5">
        <v>20</v>
      </c>
      <c r="D1299" s="9" t="s">
        <v>12</v>
      </c>
      <c r="E1299" s="10">
        <v>170</v>
      </c>
      <c r="F1299" s="13">
        <f t="shared" si="20"/>
        <v>3400</v>
      </c>
    </row>
    <row r="1300" spans="1:6" s="9" customFormat="1" x14ac:dyDescent="0.25">
      <c r="B1300" s="4"/>
      <c r="C1300" s="5"/>
      <c r="E1300" s="10"/>
      <c r="F1300" s="8">
        <f>SUM(F1298:F1299)</f>
        <v>8500</v>
      </c>
    </row>
    <row r="1301" spans="1:6" s="9" customFormat="1" x14ac:dyDescent="0.25">
      <c r="C1301" s="5"/>
      <c r="E1301" s="10"/>
      <c r="F1301" s="13"/>
    </row>
    <row r="1302" spans="1:6" s="9" customFormat="1" x14ac:dyDescent="0.25">
      <c r="A1302" s="9" t="s">
        <v>101</v>
      </c>
      <c r="B1302" s="4">
        <v>45982</v>
      </c>
      <c r="C1302" s="5">
        <v>5</v>
      </c>
      <c r="D1302" s="9" t="s">
        <v>13</v>
      </c>
      <c r="E1302" s="10">
        <v>180</v>
      </c>
      <c r="F1302" s="13">
        <f t="shared" si="20"/>
        <v>900</v>
      </c>
    </row>
    <row r="1303" spans="1:6" s="9" customFormat="1" x14ac:dyDescent="0.25">
      <c r="C1303" s="5"/>
      <c r="E1303" s="10"/>
      <c r="F1303" s="8">
        <f>SUM(F1302)</f>
        <v>900</v>
      </c>
    </row>
    <row r="1304" spans="1:6" s="9" customFormat="1" x14ac:dyDescent="0.25">
      <c r="C1304" s="5"/>
      <c r="E1304" s="10"/>
      <c r="F1304" s="13"/>
    </row>
    <row r="1305" spans="1:6" s="9" customFormat="1" x14ac:dyDescent="0.25">
      <c r="A1305" s="9" t="s">
        <v>1159</v>
      </c>
      <c r="B1305" s="4">
        <v>45982</v>
      </c>
      <c r="C1305" s="5">
        <v>1</v>
      </c>
      <c r="D1305" s="9" t="s">
        <v>49</v>
      </c>
      <c r="E1305" s="10">
        <v>190</v>
      </c>
      <c r="F1305" s="13">
        <f t="shared" si="20"/>
        <v>190</v>
      </c>
    </row>
    <row r="1306" spans="1:6" s="9" customFormat="1" x14ac:dyDescent="0.25">
      <c r="C1306" s="5">
        <v>1.1399999999999999</v>
      </c>
      <c r="D1306" s="9" t="s">
        <v>8</v>
      </c>
      <c r="E1306" s="10">
        <v>190</v>
      </c>
      <c r="F1306" s="13">
        <f t="shared" si="20"/>
        <v>216.6</v>
      </c>
    </row>
    <row r="1307" spans="1:6" s="9" customFormat="1" x14ac:dyDescent="0.25">
      <c r="C1307" s="5">
        <v>1</v>
      </c>
      <c r="D1307" s="9" t="s">
        <v>8</v>
      </c>
      <c r="E1307" s="10">
        <v>190</v>
      </c>
      <c r="F1307" s="13">
        <f t="shared" si="20"/>
        <v>190</v>
      </c>
    </row>
    <row r="1308" spans="1:6" s="9" customFormat="1" x14ac:dyDescent="0.25">
      <c r="C1308" s="5"/>
      <c r="E1308" s="10"/>
      <c r="F1308" s="8">
        <f>SUM(F1305:F1307)</f>
        <v>596.6</v>
      </c>
    </row>
    <row r="1309" spans="1:6" s="9" customFormat="1" x14ac:dyDescent="0.25">
      <c r="C1309" s="5"/>
      <c r="E1309" s="10"/>
      <c r="F1309" s="13"/>
    </row>
    <row r="1310" spans="1:6" s="9" customFormat="1" x14ac:dyDescent="0.25">
      <c r="A1310" s="9" t="s">
        <v>514</v>
      </c>
      <c r="B1310" s="4">
        <v>45983</v>
      </c>
      <c r="C1310" s="5">
        <v>6</v>
      </c>
      <c r="D1310" s="9" t="s">
        <v>98</v>
      </c>
      <c r="E1310" s="10">
        <v>135</v>
      </c>
      <c r="F1310" s="13">
        <f t="shared" si="20"/>
        <v>810</v>
      </c>
    </row>
    <row r="1311" spans="1:6" s="9" customFormat="1" x14ac:dyDescent="0.25">
      <c r="B1311" s="4"/>
      <c r="C1311" s="5"/>
      <c r="E1311" s="10"/>
      <c r="F1311" s="8">
        <f>SUM(F1310)</f>
        <v>810</v>
      </c>
    </row>
    <row r="1312" spans="1:6" s="9" customFormat="1" x14ac:dyDescent="0.25">
      <c r="C1312" s="5"/>
      <c r="E1312" s="10"/>
      <c r="F1312" s="13"/>
    </row>
    <row r="1313" spans="1:6" s="9" customFormat="1" x14ac:dyDescent="0.25">
      <c r="A1313" s="9" t="s">
        <v>15</v>
      </c>
      <c r="B1313" s="4">
        <v>45983</v>
      </c>
      <c r="C1313" s="5">
        <v>60</v>
      </c>
      <c r="D1313" s="9" t="s">
        <v>98</v>
      </c>
      <c r="E1313" s="10">
        <v>135</v>
      </c>
      <c r="F1313" s="13">
        <f t="shared" si="20"/>
        <v>8100</v>
      </c>
    </row>
    <row r="1314" spans="1:6" s="9" customFormat="1" x14ac:dyDescent="0.25">
      <c r="C1314" s="5"/>
      <c r="E1314" s="10"/>
      <c r="F1314" s="8">
        <f>SUM(F1313)</f>
        <v>8100</v>
      </c>
    </row>
    <row r="1315" spans="1:6" s="9" customFormat="1" x14ac:dyDescent="0.25">
      <c r="C1315" s="5"/>
      <c r="E1315" s="10"/>
      <c r="F1315" s="13"/>
    </row>
    <row r="1316" spans="1:6" s="9" customFormat="1" x14ac:dyDescent="0.25">
      <c r="A1316" s="9" t="s">
        <v>58</v>
      </c>
      <c r="B1316" s="4">
        <v>45983</v>
      </c>
      <c r="C1316" s="5">
        <v>10</v>
      </c>
      <c r="D1316" s="9" t="s">
        <v>13</v>
      </c>
      <c r="E1316" s="10">
        <v>175</v>
      </c>
      <c r="F1316" s="13">
        <f t="shared" si="20"/>
        <v>1750</v>
      </c>
    </row>
    <row r="1317" spans="1:6" s="9" customFormat="1" x14ac:dyDescent="0.25">
      <c r="C1317" s="5"/>
      <c r="E1317" s="10"/>
      <c r="F1317" s="8">
        <f>SUM(F1316)</f>
        <v>1750</v>
      </c>
    </row>
    <row r="1318" spans="1:6" s="9" customFormat="1" x14ac:dyDescent="0.25">
      <c r="C1318" s="5"/>
      <c r="E1318" s="10"/>
      <c r="F1318" s="13"/>
    </row>
    <row r="1319" spans="1:6" s="9" customFormat="1" x14ac:dyDescent="0.25">
      <c r="A1319" s="9" t="s">
        <v>17</v>
      </c>
      <c r="B1319" s="4">
        <v>45983</v>
      </c>
      <c r="C1319" s="5">
        <v>10</v>
      </c>
      <c r="D1319" s="9" t="s">
        <v>13</v>
      </c>
      <c r="E1319" s="10">
        <v>180</v>
      </c>
      <c r="F1319" s="13">
        <f t="shared" si="20"/>
        <v>1800</v>
      </c>
    </row>
    <row r="1320" spans="1:6" s="9" customFormat="1" x14ac:dyDescent="0.25">
      <c r="C1320" s="5"/>
      <c r="E1320" s="10"/>
      <c r="F1320" s="8">
        <f>SUM(F1319)</f>
        <v>1800</v>
      </c>
    </row>
    <row r="1321" spans="1:6" s="9" customFormat="1" x14ac:dyDescent="0.25">
      <c r="C1321" s="5"/>
      <c r="E1321" s="10"/>
      <c r="F1321" s="13"/>
    </row>
    <row r="1322" spans="1:6" s="9" customFormat="1" x14ac:dyDescent="0.25">
      <c r="A1322" s="9" t="s">
        <v>427</v>
      </c>
      <c r="B1322" s="4">
        <v>45983</v>
      </c>
      <c r="C1322" s="5">
        <v>20</v>
      </c>
      <c r="D1322" s="9" t="s">
        <v>13</v>
      </c>
      <c r="E1322" s="10">
        <v>180</v>
      </c>
      <c r="F1322" s="13">
        <f t="shared" si="20"/>
        <v>3600</v>
      </c>
    </row>
    <row r="1323" spans="1:6" s="9" customFormat="1" x14ac:dyDescent="0.25">
      <c r="C1323" s="5"/>
      <c r="E1323" s="10"/>
      <c r="F1323" s="8">
        <f>SUM(F1322)</f>
        <v>3600</v>
      </c>
    </row>
    <row r="1324" spans="1:6" s="9" customFormat="1" x14ac:dyDescent="0.25">
      <c r="C1324" s="5"/>
      <c r="E1324" s="10"/>
      <c r="F1324" s="13"/>
    </row>
    <row r="1325" spans="1:6" s="9" customFormat="1" x14ac:dyDescent="0.25">
      <c r="A1325" s="9" t="s">
        <v>21</v>
      </c>
      <c r="B1325" s="4">
        <v>45983</v>
      </c>
      <c r="C1325" s="5">
        <v>20</v>
      </c>
      <c r="D1325" s="9" t="s">
        <v>778</v>
      </c>
      <c r="E1325" s="10">
        <v>165</v>
      </c>
      <c r="F1325" s="13">
        <f t="shared" si="20"/>
        <v>3300</v>
      </c>
    </row>
    <row r="1326" spans="1:6" s="9" customFormat="1" x14ac:dyDescent="0.25">
      <c r="C1326" s="5">
        <v>30</v>
      </c>
      <c r="D1326" s="9" t="s">
        <v>13</v>
      </c>
      <c r="E1326" s="10">
        <v>180</v>
      </c>
      <c r="F1326" s="13">
        <f t="shared" si="20"/>
        <v>5400</v>
      </c>
    </row>
    <row r="1327" spans="1:6" s="9" customFormat="1" x14ac:dyDescent="0.25">
      <c r="C1327" s="5">
        <v>20</v>
      </c>
      <c r="D1327" s="9" t="s">
        <v>909</v>
      </c>
      <c r="E1327" s="10">
        <v>175</v>
      </c>
      <c r="F1327" s="13">
        <f t="shared" si="20"/>
        <v>3500</v>
      </c>
    </row>
    <row r="1328" spans="1:6" s="9" customFormat="1" x14ac:dyDescent="0.25">
      <c r="B1328" s="4"/>
      <c r="C1328" s="5">
        <v>10</v>
      </c>
      <c r="D1328" s="9" t="s">
        <v>22</v>
      </c>
      <c r="E1328" s="10">
        <v>160</v>
      </c>
      <c r="F1328" s="13">
        <f t="shared" si="20"/>
        <v>1600</v>
      </c>
    </row>
    <row r="1329" spans="1:6" s="9" customFormat="1" x14ac:dyDescent="0.25">
      <c r="C1329" s="5"/>
      <c r="E1329" s="10"/>
      <c r="F1329" s="8">
        <f>SUM(F1325:F1328)</f>
        <v>13800</v>
      </c>
    </row>
    <row r="1330" spans="1:6" s="9" customFormat="1" x14ac:dyDescent="0.25">
      <c r="C1330" s="5"/>
      <c r="E1330" s="10"/>
      <c r="F1330" s="13"/>
    </row>
    <row r="1331" spans="1:6" s="9" customFormat="1" x14ac:dyDescent="0.25">
      <c r="A1331" s="9" t="s">
        <v>367</v>
      </c>
      <c r="B1331" s="4">
        <v>45983</v>
      </c>
      <c r="C1331" s="5">
        <v>10</v>
      </c>
      <c r="D1331" s="9" t="s">
        <v>13</v>
      </c>
      <c r="E1331" s="10">
        <v>180</v>
      </c>
      <c r="F1331" s="13">
        <f t="shared" si="20"/>
        <v>1800</v>
      </c>
    </row>
    <row r="1332" spans="1:6" s="9" customFormat="1" x14ac:dyDescent="0.25">
      <c r="C1332" s="5">
        <v>10</v>
      </c>
      <c r="D1332" s="9" t="s">
        <v>14</v>
      </c>
      <c r="E1332" s="10">
        <v>175</v>
      </c>
      <c r="F1332" s="13">
        <f t="shared" si="20"/>
        <v>1750</v>
      </c>
    </row>
    <row r="1333" spans="1:6" s="9" customFormat="1" x14ac:dyDescent="0.25">
      <c r="C1333" s="5"/>
      <c r="E1333" s="10"/>
      <c r="F1333" s="8">
        <f>SUM(F1331:F1332)</f>
        <v>3550</v>
      </c>
    </row>
    <row r="1334" spans="1:6" s="9" customFormat="1" x14ac:dyDescent="0.25">
      <c r="B1334" s="4"/>
      <c r="C1334" s="5"/>
      <c r="E1334" s="10"/>
      <c r="F1334" s="13"/>
    </row>
    <row r="1335" spans="1:6" s="9" customFormat="1" x14ac:dyDescent="0.25">
      <c r="A1335" s="9" t="s">
        <v>37</v>
      </c>
      <c r="B1335" s="4">
        <v>45983</v>
      </c>
      <c r="C1335" s="5">
        <v>20</v>
      </c>
      <c r="D1335" s="9" t="s">
        <v>12</v>
      </c>
      <c r="E1335" s="10">
        <v>175</v>
      </c>
      <c r="F1335" s="13">
        <f t="shared" si="20"/>
        <v>3500</v>
      </c>
    </row>
    <row r="1336" spans="1:6" s="9" customFormat="1" x14ac:dyDescent="0.25">
      <c r="C1336" s="5"/>
      <c r="E1336" s="10"/>
      <c r="F1336" s="8">
        <f>SUM(F1335)</f>
        <v>3500</v>
      </c>
    </row>
    <row r="1337" spans="1:6" s="9" customFormat="1" x14ac:dyDescent="0.25">
      <c r="B1337" s="4"/>
      <c r="C1337" s="5"/>
      <c r="E1337" s="10"/>
      <c r="F1337" s="13"/>
    </row>
    <row r="1338" spans="1:6" s="9" customFormat="1" x14ac:dyDescent="0.25">
      <c r="A1338" s="9" t="s">
        <v>1160</v>
      </c>
      <c r="B1338" s="4">
        <v>45983</v>
      </c>
      <c r="C1338" s="5">
        <v>10</v>
      </c>
      <c r="D1338" s="9" t="s">
        <v>1161</v>
      </c>
      <c r="E1338" s="10">
        <v>180</v>
      </c>
      <c r="F1338" s="13">
        <f t="shared" si="20"/>
        <v>1800</v>
      </c>
    </row>
    <row r="1339" spans="1:6" s="9" customFormat="1" x14ac:dyDescent="0.25">
      <c r="C1339" s="5"/>
      <c r="E1339" s="10"/>
      <c r="F1339" s="8">
        <f>SUM(F1338)</f>
        <v>1800</v>
      </c>
    </row>
    <row r="1340" spans="1:6" s="9" customFormat="1" x14ac:dyDescent="0.25">
      <c r="B1340" s="4"/>
      <c r="C1340" s="5"/>
      <c r="E1340" s="10"/>
      <c r="F1340" s="13"/>
    </row>
    <row r="1341" spans="1:6" s="9" customFormat="1" x14ac:dyDescent="0.25">
      <c r="A1341" s="9" t="s">
        <v>21</v>
      </c>
      <c r="B1341" s="4">
        <v>45983</v>
      </c>
      <c r="C1341" s="5">
        <v>20</v>
      </c>
      <c r="D1341" s="9" t="s">
        <v>50</v>
      </c>
      <c r="E1341" s="10">
        <v>165</v>
      </c>
      <c r="F1341" s="13">
        <f t="shared" si="20"/>
        <v>3300</v>
      </c>
    </row>
    <row r="1342" spans="1:6" s="9" customFormat="1" x14ac:dyDescent="0.25">
      <c r="C1342" s="5"/>
      <c r="E1342" s="10"/>
      <c r="F1342" s="8">
        <f>SUM(F1341)</f>
        <v>3300</v>
      </c>
    </row>
    <row r="1343" spans="1:6" s="9" customFormat="1" x14ac:dyDescent="0.25">
      <c r="C1343" s="5"/>
      <c r="E1343" s="10"/>
      <c r="F1343" s="13"/>
    </row>
    <row r="1344" spans="1:6" s="9" customFormat="1" x14ac:dyDescent="0.25">
      <c r="A1344" s="9" t="s">
        <v>923</v>
      </c>
      <c r="B1344" s="4">
        <v>45983</v>
      </c>
      <c r="C1344" s="5">
        <v>30</v>
      </c>
      <c r="D1344" s="9" t="s">
        <v>13</v>
      </c>
      <c r="E1344" s="10">
        <v>180</v>
      </c>
      <c r="F1344" s="13">
        <f t="shared" si="20"/>
        <v>5400</v>
      </c>
    </row>
    <row r="1345" spans="1:6" s="9" customFormat="1" x14ac:dyDescent="0.25">
      <c r="C1345" s="5">
        <v>20</v>
      </c>
      <c r="D1345" s="9" t="s">
        <v>12</v>
      </c>
      <c r="E1345" s="10">
        <v>175</v>
      </c>
      <c r="F1345" s="13">
        <f t="shared" si="20"/>
        <v>3500</v>
      </c>
    </row>
    <row r="1346" spans="1:6" s="9" customFormat="1" x14ac:dyDescent="0.25">
      <c r="C1346" s="5">
        <v>10</v>
      </c>
      <c r="D1346" s="9" t="s">
        <v>22</v>
      </c>
      <c r="E1346" s="10">
        <v>160</v>
      </c>
      <c r="F1346" s="13">
        <f t="shared" si="20"/>
        <v>1600</v>
      </c>
    </row>
    <row r="1347" spans="1:6" s="9" customFormat="1" x14ac:dyDescent="0.25">
      <c r="B1347" s="4"/>
      <c r="C1347" s="5"/>
      <c r="E1347" s="10"/>
      <c r="F1347" s="8">
        <f>SUM(F1344:F1346)</f>
        <v>10500</v>
      </c>
    </row>
    <row r="1348" spans="1:6" s="9" customFormat="1" x14ac:dyDescent="0.25">
      <c r="C1348" s="5"/>
      <c r="E1348" s="10"/>
      <c r="F1348" s="13"/>
    </row>
    <row r="1349" spans="1:6" s="9" customFormat="1" x14ac:dyDescent="0.25">
      <c r="A1349" s="9" t="s">
        <v>40</v>
      </c>
      <c r="B1349" s="4">
        <v>45983</v>
      </c>
      <c r="C1349" s="5">
        <v>20</v>
      </c>
      <c r="D1349" s="9" t="s">
        <v>12</v>
      </c>
      <c r="E1349" s="10">
        <v>170</v>
      </c>
      <c r="F1349" s="13">
        <f t="shared" ref="F1349:F1409" si="21">+C1349*E1349</f>
        <v>3400</v>
      </c>
    </row>
    <row r="1350" spans="1:6" s="9" customFormat="1" x14ac:dyDescent="0.25">
      <c r="B1350" s="4"/>
      <c r="C1350" s="5">
        <v>20</v>
      </c>
      <c r="D1350" s="9" t="s">
        <v>14</v>
      </c>
      <c r="E1350" s="10">
        <v>175</v>
      </c>
      <c r="F1350" s="13">
        <f t="shared" si="21"/>
        <v>3500</v>
      </c>
    </row>
    <row r="1351" spans="1:6" s="9" customFormat="1" x14ac:dyDescent="0.25">
      <c r="C1351" s="5"/>
      <c r="E1351" s="10"/>
      <c r="F1351" s="8">
        <f>SUM(F1349:F1350)</f>
        <v>6900</v>
      </c>
    </row>
    <row r="1352" spans="1:6" s="9" customFormat="1" x14ac:dyDescent="0.25">
      <c r="C1352" s="5"/>
      <c r="E1352" s="10"/>
      <c r="F1352" s="13"/>
    </row>
    <row r="1353" spans="1:6" s="9" customFormat="1" x14ac:dyDescent="0.25">
      <c r="A1353" s="9" t="s">
        <v>1122</v>
      </c>
      <c r="B1353" s="4">
        <v>45983</v>
      </c>
      <c r="C1353" s="5">
        <v>5</v>
      </c>
      <c r="D1353" s="9" t="s">
        <v>13</v>
      </c>
      <c r="E1353" s="10">
        <v>180</v>
      </c>
      <c r="F1353" s="13">
        <f t="shared" si="21"/>
        <v>900</v>
      </c>
    </row>
    <row r="1354" spans="1:6" s="9" customFormat="1" x14ac:dyDescent="0.25">
      <c r="B1354" s="4"/>
      <c r="C1354" s="5">
        <v>5</v>
      </c>
      <c r="D1354" s="9" t="s">
        <v>22</v>
      </c>
      <c r="E1354" s="10">
        <v>160</v>
      </c>
      <c r="F1354" s="13">
        <f t="shared" si="21"/>
        <v>800</v>
      </c>
    </row>
    <row r="1355" spans="1:6" s="9" customFormat="1" x14ac:dyDescent="0.25">
      <c r="C1355" s="5"/>
      <c r="E1355" s="10"/>
      <c r="F1355" s="8">
        <f>SUM(F1353:F1354)</f>
        <v>1700</v>
      </c>
    </row>
    <row r="1356" spans="1:6" s="9" customFormat="1" x14ac:dyDescent="0.25">
      <c r="C1356" s="5"/>
      <c r="E1356" s="10"/>
      <c r="F1356" s="13"/>
    </row>
    <row r="1357" spans="1:6" s="9" customFormat="1" x14ac:dyDescent="0.25">
      <c r="A1357" s="9" t="s">
        <v>18</v>
      </c>
      <c r="B1357" s="4">
        <v>45983</v>
      </c>
      <c r="C1357" s="5">
        <v>12</v>
      </c>
      <c r="D1357" s="9" t="s">
        <v>13</v>
      </c>
      <c r="E1357" s="10">
        <v>180</v>
      </c>
      <c r="F1357" s="13">
        <f t="shared" si="21"/>
        <v>2160</v>
      </c>
    </row>
    <row r="1358" spans="1:6" s="9" customFormat="1" x14ac:dyDescent="0.25">
      <c r="B1358" s="4"/>
      <c r="C1358" s="5"/>
      <c r="E1358" s="10"/>
      <c r="F1358" s="8">
        <f>SUM(F1357)</f>
        <v>2160</v>
      </c>
    </row>
    <row r="1359" spans="1:6" s="9" customFormat="1" x14ac:dyDescent="0.25">
      <c r="C1359" s="5"/>
      <c r="E1359" s="10"/>
      <c r="F1359" s="13"/>
    </row>
    <row r="1360" spans="1:6" s="9" customFormat="1" x14ac:dyDescent="0.25">
      <c r="A1360" s="9" t="s">
        <v>501</v>
      </c>
      <c r="B1360" s="4">
        <v>45983</v>
      </c>
      <c r="C1360" s="5">
        <v>10</v>
      </c>
      <c r="D1360" s="9" t="s">
        <v>13</v>
      </c>
      <c r="E1360" s="10">
        <v>180</v>
      </c>
      <c r="F1360" s="13">
        <f t="shared" si="21"/>
        <v>1800</v>
      </c>
    </row>
    <row r="1361" spans="1:6" s="9" customFormat="1" x14ac:dyDescent="0.25">
      <c r="B1361" s="4"/>
      <c r="C1361" s="5"/>
      <c r="E1361" s="10"/>
      <c r="F1361" s="8">
        <f>SUM(F1360)</f>
        <v>1800</v>
      </c>
    </row>
    <row r="1362" spans="1:6" s="9" customFormat="1" x14ac:dyDescent="0.25">
      <c r="C1362" s="5"/>
      <c r="E1362" s="10"/>
      <c r="F1362" s="13"/>
    </row>
    <row r="1363" spans="1:6" s="9" customFormat="1" x14ac:dyDescent="0.25">
      <c r="A1363" s="9" t="s">
        <v>141</v>
      </c>
      <c r="B1363" s="4">
        <v>45983</v>
      </c>
      <c r="C1363" s="5">
        <v>10</v>
      </c>
      <c r="D1363" s="9" t="s">
        <v>8</v>
      </c>
      <c r="E1363" s="10">
        <v>190</v>
      </c>
      <c r="F1363" s="13">
        <f t="shared" si="21"/>
        <v>1900</v>
      </c>
    </row>
    <row r="1364" spans="1:6" s="9" customFormat="1" x14ac:dyDescent="0.25">
      <c r="B1364" s="4"/>
      <c r="C1364" s="5"/>
      <c r="E1364" s="10"/>
      <c r="F1364" s="8">
        <f>SUM(F1363)</f>
        <v>1900</v>
      </c>
    </row>
    <row r="1365" spans="1:6" s="9" customFormat="1" x14ac:dyDescent="0.25">
      <c r="C1365" s="5"/>
      <c r="E1365" s="10"/>
      <c r="F1365" s="13"/>
    </row>
    <row r="1366" spans="1:6" s="9" customFormat="1" x14ac:dyDescent="0.25">
      <c r="A1366" s="9" t="s">
        <v>66</v>
      </c>
      <c r="B1366" s="4">
        <v>45983</v>
      </c>
      <c r="C1366" s="5">
        <v>25</v>
      </c>
      <c r="D1366" s="9" t="s">
        <v>8</v>
      </c>
      <c r="E1366" s="10">
        <v>190</v>
      </c>
      <c r="F1366" s="13">
        <f t="shared" si="21"/>
        <v>4750</v>
      </c>
    </row>
    <row r="1367" spans="1:6" s="9" customFormat="1" x14ac:dyDescent="0.25">
      <c r="B1367" s="4"/>
      <c r="C1367" s="5"/>
      <c r="E1367" s="10"/>
      <c r="F1367" s="8">
        <f>SUM(F1366)</f>
        <v>4750</v>
      </c>
    </row>
    <row r="1368" spans="1:6" s="9" customFormat="1" x14ac:dyDescent="0.25">
      <c r="C1368" s="5"/>
      <c r="E1368" s="10"/>
      <c r="F1368" s="13"/>
    </row>
    <row r="1369" spans="1:6" s="9" customFormat="1" x14ac:dyDescent="0.25">
      <c r="A1369" s="9" t="s">
        <v>113</v>
      </c>
      <c r="B1369" s="4">
        <v>45983</v>
      </c>
      <c r="C1369" s="5">
        <v>20</v>
      </c>
      <c r="D1369" s="9" t="s">
        <v>8</v>
      </c>
      <c r="E1369" s="9">
        <v>190</v>
      </c>
      <c r="F1369" s="13">
        <f t="shared" si="21"/>
        <v>3800</v>
      </c>
    </row>
    <row r="1370" spans="1:6" s="9" customFormat="1" x14ac:dyDescent="0.25">
      <c r="F1370" s="8">
        <f>SUM(F1369)</f>
        <v>3800</v>
      </c>
    </row>
    <row r="1371" spans="1:6" s="9" customFormat="1" x14ac:dyDescent="0.25">
      <c r="B1371" s="4"/>
      <c r="C1371" s="5"/>
      <c r="E1371" s="10"/>
      <c r="F1371" s="13"/>
    </row>
    <row r="1372" spans="1:6" s="9" customFormat="1" x14ac:dyDescent="0.25">
      <c r="A1372" s="9" t="s">
        <v>62</v>
      </c>
      <c r="B1372" s="4">
        <v>45983</v>
      </c>
      <c r="C1372" s="5">
        <v>60</v>
      </c>
      <c r="D1372" s="9" t="s">
        <v>8</v>
      </c>
      <c r="E1372" s="9">
        <v>185</v>
      </c>
      <c r="F1372" s="13">
        <f t="shared" si="21"/>
        <v>11100</v>
      </c>
    </row>
    <row r="1373" spans="1:6" s="9" customFormat="1" x14ac:dyDescent="0.25">
      <c r="C1373" s="5"/>
      <c r="E1373" s="10"/>
      <c r="F1373" s="8">
        <f>SUM(F1372)</f>
        <v>11100</v>
      </c>
    </row>
    <row r="1374" spans="1:6" s="9" customFormat="1" x14ac:dyDescent="0.25">
      <c r="B1374" s="4"/>
      <c r="C1374" s="5"/>
      <c r="E1374" s="10"/>
      <c r="F1374" s="13"/>
    </row>
    <row r="1375" spans="1:6" s="9" customFormat="1" x14ac:dyDescent="0.25">
      <c r="A1375" s="9" t="s">
        <v>117</v>
      </c>
      <c r="B1375" s="4">
        <v>45983</v>
      </c>
      <c r="C1375" s="5">
        <v>5</v>
      </c>
      <c r="D1375" s="9" t="s">
        <v>13</v>
      </c>
      <c r="E1375" s="10">
        <v>185</v>
      </c>
      <c r="F1375" s="13">
        <f t="shared" si="21"/>
        <v>925</v>
      </c>
    </row>
    <row r="1376" spans="1:6" s="9" customFormat="1" x14ac:dyDescent="0.25">
      <c r="C1376" s="5"/>
      <c r="E1376" s="10"/>
      <c r="F1376" s="8">
        <f>SUM(F1375)</f>
        <v>925</v>
      </c>
    </row>
    <row r="1377" spans="1:6" s="9" customFormat="1" x14ac:dyDescent="0.25">
      <c r="B1377" s="4"/>
      <c r="C1377" s="5"/>
      <c r="E1377" s="10"/>
      <c r="F1377" s="13"/>
    </row>
    <row r="1378" spans="1:6" s="9" customFormat="1" x14ac:dyDescent="0.25">
      <c r="A1378" s="9" t="s">
        <v>26</v>
      </c>
      <c r="B1378" s="4">
        <v>45983</v>
      </c>
      <c r="C1378" s="5">
        <v>30</v>
      </c>
      <c r="D1378" s="9" t="s">
        <v>14</v>
      </c>
      <c r="E1378" s="10">
        <v>165</v>
      </c>
      <c r="F1378" s="13">
        <f t="shared" si="21"/>
        <v>4950</v>
      </c>
    </row>
    <row r="1379" spans="1:6" s="9" customFormat="1" x14ac:dyDescent="0.25">
      <c r="C1379" s="5"/>
      <c r="E1379" s="10"/>
      <c r="F1379" s="8">
        <f>SUM(F1378)</f>
        <v>4950</v>
      </c>
    </row>
    <row r="1380" spans="1:6" s="9" customFormat="1" x14ac:dyDescent="0.25">
      <c r="C1380" s="5"/>
      <c r="E1380" s="10"/>
      <c r="F1380" s="13"/>
    </row>
    <row r="1381" spans="1:6" s="9" customFormat="1" x14ac:dyDescent="0.25">
      <c r="A1381" s="9" t="s">
        <v>174</v>
      </c>
      <c r="B1381" s="4">
        <v>45983</v>
      </c>
      <c r="C1381" s="5">
        <v>43</v>
      </c>
      <c r="D1381" s="9" t="s">
        <v>22</v>
      </c>
      <c r="E1381" s="10">
        <v>145</v>
      </c>
      <c r="F1381" s="13">
        <f t="shared" si="21"/>
        <v>6235</v>
      </c>
    </row>
    <row r="1382" spans="1:6" s="9" customFormat="1" x14ac:dyDescent="0.25">
      <c r="C1382" s="5">
        <v>47</v>
      </c>
      <c r="D1382" s="9" t="s">
        <v>12</v>
      </c>
      <c r="E1382" s="10">
        <v>155</v>
      </c>
      <c r="F1382" s="13">
        <f t="shared" si="21"/>
        <v>7285</v>
      </c>
    </row>
    <row r="1383" spans="1:6" s="9" customFormat="1" x14ac:dyDescent="0.25">
      <c r="C1383" s="5">
        <v>30</v>
      </c>
      <c r="D1383" s="9" t="s">
        <v>11</v>
      </c>
      <c r="E1383" s="10">
        <v>155</v>
      </c>
      <c r="F1383" s="13">
        <f t="shared" si="21"/>
        <v>4650</v>
      </c>
    </row>
    <row r="1384" spans="1:6" s="9" customFormat="1" x14ac:dyDescent="0.25">
      <c r="C1384" s="5"/>
      <c r="E1384" s="10"/>
      <c r="F1384" s="8">
        <f>SUM(F1381:F1383)</f>
        <v>18170</v>
      </c>
    </row>
    <row r="1385" spans="1:6" s="9" customFormat="1" x14ac:dyDescent="0.25">
      <c r="B1385" s="4"/>
      <c r="C1385" s="5"/>
      <c r="E1385" s="10"/>
      <c r="F1385" s="13"/>
    </row>
    <row r="1386" spans="1:6" s="9" customFormat="1" x14ac:dyDescent="0.25">
      <c r="A1386" s="9" t="s">
        <v>101</v>
      </c>
      <c r="B1386" s="4">
        <v>45983</v>
      </c>
      <c r="C1386" s="5">
        <v>2</v>
      </c>
      <c r="D1386" s="9" t="s">
        <v>12</v>
      </c>
      <c r="E1386" s="10">
        <v>170</v>
      </c>
      <c r="F1386" s="13">
        <f t="shared" si="21"/>
        <v>340</v>
      </c>
    </row>
    <row r="1387" spans="1:6" s="9" customFormat="1" x14ac:dyDescent="0.25">
      <c r="C1387" s="5">
        <v>2</v>
      </c>
      <c r="D1387" s="9" t="s">
        <v>12</v>
      </c>
      <c r="E1387" s="10">
        <v>170</v>
      </c>
      <c r="F1387" s="13">
        <f t="shared" si="21"/>
        <v>340</v>
      </c>
    </row>
    <row r="1388" spans="1:6" s="9" customFormat="1" x14ac:dyDescent="0.25">
      <c r="B1388" s="4"/>
      <c r="C1388" s="5">
        <v>3</v>
      </c>
      <c r="D1388" s="9" t="s">
        <v>12</v>
      </c>
      <c r="E1388" s="10">
        <v>170</v>
      </c>
      <c r="F1388" s="13">
        <f t="shared" si="21"/>
        <v>510</v>
      </c>
    </row>
    <row r="1389" spans="1:6" s="9" customFormat="1" x14ac:dyDescent="0.25">
      <c r="C1389" s="5">
        <v>2</v>
      </c>
      <c r="D1389" s="9" t="s">
        <v>12</v>
      </c>
      <c r="E1389" s="10">
        <v>170</v>
      </c>
      <c r="F1389" s="13">
        <f t="shared" si="21"/>
        <v>340</v>
      </c>
    </row>
    <row r="1390" spans="1:6" s="9" customFormat="1" x14ac:dyDescent="0.25">
      <c r="C1390" s="5">
        <v>6</v>
      </c>
      <c r="D1390" s="9" t="s">
        <v>12</v>
      </c>
      <c r="E1390" s="10">
        <v>170</v>
      </c>
      <c r="F1390" s="13">
        <f t="shared" si="21"/>
        <v>1020</v>
      </c>
    </row>
    <row r="1391" spans="1:6" s="9" customFormat="1" x14ac:dyDescent="0.25">
      <c r="B1391" s="4"/>
      <c r="C1391" s="5"/>
      <c r="E1391" s="10"/>
      <c r="F1391" s="8">
        <f>SUM(F1386:F1390)</f>
        <v>2550</v>
      </c>
    </row>
    <row r="1392" spans="1:6" s="9" customFormat="1" x14ac:dyDescent="0.25">
      <c r="C1392" s="5"/>
      <c r="E1392" s="10"/>
      <c r="F1392" s="13"/>
    </row>
    <row r="1393" spans="1:6" s="9" customFormat="1" x14ac:dyDescent="0.25">
      <c r="A1393" s="9" t="s">
        <v>7</v>
      </c>
      <c r="B1393" s="4">
        <v>45983</v>
      </c>
      <c r="C1393" s="5">
        <v>1</v>
      </c>
      <c r="D1393" s="9" t="s">
        <v>13</v>
      </c>
      <c r="E1393" s="10">
        <v>180</v>
      </c>
      <c r="F1393" s="13">
        <f t="shared" si="21"/>
        <v>180</v>
      </c>
    </row>
    <row r="1394" spans="1:6" s="9" customFormat="1" x14ac:dyDescent="0.25">
      <c r="B1394" s="4"/>
      <c r="C1394" s="5">
        <v>4</v>
      </c>
      <c r="D1394" s="9" t="s">
        <v>8</v>
      </c>
      <c r="E1394" s="10">
        <v>190</v>
      </c>
      <c r="F1394" s="13">
        <f t="shared" si="21"/>
        <v>760</v>
      </c>
    </row>
    <row r="1395" spans="1:6" s="9" customFormat="1" x14ac:dyDescent="0.25">
      <c r="C1395" s="5">
        <v>1</v>
      </c>
      <c r="D1395" s="9" t="s">
        <v>1162</v>
      </c>
      <c r="E1395" s="10">
        <v>190</v>
      </c>
      <c r="F1395" s="13">
        <f t="shared" si="21"/>
        <v>190</v>
      </c>
    </row>
    <row r="1396" spans="1:6" s="9" customFormat="1" x14ac:dyDescent="0.25">
      <c r="C1396" s="5">
        <v>1</v>
      </c>
      <c r="D1396" s="9" t="s">
        <v>13</v>
      </c>
      <c r="E1396" s="10">
        <v>180</v>
      </c>
      <c r="F1396" s="13">
        <f t="shared" si="21"/>
        <v>180</v>
      </c>
    </row>
    <row r="1397" spans="1:6" s="9" customFormat="1" x14ac:dyDescent="0.25">
      <c r="B1397" s="4"/>
      <c r="C1397" s="5">
        <v>2</v>
      </c>
      <c r="D1397" s="9" t="s">
        <v>1163</v>
      </c>
      <c r="E1397" s="10">
        <v>135</v>
      </c>
      <c r="F1397" s="13">
        <f t="shared" si="21"/>
        <v>270</v>
      </c>
    </row>
    <row r="1398" spans="1:6" s="9" customFormat="1" x14ac:dyDescent="0.25">
      <c r="C1398" s="5"/>
      <c r="E1398" s="10"/>
      <c r="F1398" s="8">
        <f>SUM(F1393:F1397)</f>
        <v>1580</v>
      </c>
    </row>
    <row r="1399" spans="1:6" s="9" customFormat="1" x14ac:dyDescent="0.25">
      <c r="C1399" s="5"/>
      <c r="E1399" s="10"/>
      <c r="F1399" s="13"/>
    </row>
    <row r="1400" spans="1:6" s="9" customFormat="1" x14ac:dyDescent="0.25">
      <c r="A1400" s="9" t="s">
        <v>65</v>
      </c>
      <c r="B1400" s="4">
        <v>45984</v>
      </c>
      <c r="C1400" s="5">
        <v>47</v>
      </c>
      <c r="D1400" s="9" t="s">
        <v>13</v>
      </c>
      <c r="E1400" s="10">
        <v>180</v>
      </c>
      <c r="F1400" s="13">
        <f t="shared" si="21"/>
        <v>8460</v>
      </c>
    </row>
    <row r="1401" spans="1:6" s="9" customFormat="1" x14ac:dyDescent="0.25">
      <c r="C1401" s="5">
        <v>217</v>
      </c>
      <c r="D1401" s="9" t="s">
        <v>12</v>
      </c>
      <c r="E1401" s="10">
        <v>175</v>
      </c>
      <c r="F1401" s="13">
        <f t="shared" si="21"/>
        <v>37975</v>
      </c>
    </row>
    <row r="1402" spans="1:6" s="9" customFormat="1" x14ac:dyDescent="0.25">
      <c r="C1402" s="5">
        <v>72</v>
      </c>
      <c r="D1402" s="9" t="s">
        <v>22</v>
      </c>
      <c r="E1402" s="10">
        <v>160</v>
      </c>
      <c r="F1402" s="13">
        <f t="shared" si="21"/>
        <v>11520</v>
      </c>
    </row>
    <row r="1403" spans="1:6" s="9" customFormat="1" x14ac:dyDescent="0.25">
      <c r="C1403" s="5">
        <v>87</v>
      </c>
      <c r="D1403" s="9" t="s">
        <v>50</v>
      </c>
      <c r="E1403" s="10">
        <v>160</v>
      </c>
      <c r="F1403" s="13">
        <f t="shared" si="21"/>
        <v>13920</v>
      </c>
    </row>
    <row r="1404" spans="1:6" s="9" customFormat="1" x14ac:dyDescent="0.25">
      <c r="B1404" s="4"/>
      <c r="C1404" s="5">
        <v>60</v>
      </c>
      <c r="D1404" s="9" t="s">
        <v>11</v>
      </c>
      <c r="E1404" s="10">
        <v>175</v>
      </c>
      <c r="F1404" s="13">
        <f t="shared" si="21"/>
        <v>10500</v>
      </c>
    </row>
    <row r="1405" spans="1:6" s="9" customFormat="1" x14ac:dyDescent="0.25">
      <c r="C1405" s="5">
        <v>160</v>
      </c>
      <c r="D1405" s="9" t="s">
        <v>14</v>
      </c>
      <c r="E1405" s="10">
        <v>180</v>
      </c>
      <c r="F1405" s="13">
        <f t="shared" si="21"/>
        <v>28800</v>
      </c>
    </row>
    <row r="1406" spans="1:6" s="9" customFormat="1" x14ac:dyDescent="0.25">
      <c r="C1406" s="5"/>
      <c r="E1406" s="10"/>
      <c r="F1406" s="8">
        <f>SUM(F1400:F1405)</f>
        <v>111175</v>
      </c>
    </row>
    <row r="1407" spans="1:6" s="9" customFormat="1" x14ac:dyDescent="0.25">
      <c r="B1407" s="4"/>
      <c r="C1407" s="5"/>
      <c r="E1407" s="10"/>
      <c r="F1407" s="13"/>
    </row>
    <row r="1408" spans="1:6" s="9" customFormat="1" x14ac:dyDescent="0.25">
      <c r="A1408" s="9" t="s">
        <v>181</v>
      </c>
      <c r="B1408" s="4">
        <v>45984</v>
      </c>
      <c r="C1408" s="5">
        <v>1</v>
      </c>
      <c r="D1408" s="9" t="s">
        <v>13</v>
      </c>
      <c r="E1408" s="10">
        <v>180</v>
      </c>
      <c r="F1408" s="13">
        <f t="shared" si="21"/>
        <v>180</v>
      </c>
    </row>
    <row r="1409" spans="1:6" s="9" customFormat="1" x14ac:dyDescent="0.25">
      <c r="C1409" s="5">
        <v>14</v>
      </c>
      <c r="D1409" s="9" t="s">
        <v>1164</v>
      </c>
      <c r="E1409" s="10">
        <v>145</v>
      </c>
      <c r="F1409" s="13">
        <f t="shared" si="21"/>
        <v>2030</v>
      </c>
    </row>
    <row r="1410" spans="1:6" s="9" customFormat="1" x14ac:dyDescent="0.25">
      <c r="B1410" s="4"/>
      <c r="C1410" s="5"/>
      <c r="E1410" s="10"/>
      <c r="F1410" s="8">
        <f>SUM(F1408:F1409)</f>
        <v>2210</v>
      </c>
    </row>
    <row r="1411" spans="1:6" s="9" customFormat="1" x14ac:dyDescent="0.25">
      <c r="C1411" s="5"/>
      <c r="E1411" s="10"/>
      <c r="F1411" s="13"/>
    </row>
    <row r="1412" spans="1:6" s="9" customFormat="1" x14ac:dyDescent="0.25">
      <c r="A1412" s="9" t="s">
        <v>103</v>
      </c>
      <c r="B1412" s="4">
        <v>45985</v>
      </c>
      <c r="C1412" s="5">
        <v>4</v>
      </c>
      <c r="D1412" s="9" t="s">
        <v>13</v>
      </c>
      <c r="E1412" s="10">
        <v>185</v>
      </c>
      <c r="F1412" s="13">
        <f t="shared" ref="F1412:F1473" si="22">+C1412*E1412</f>
        <v>740</v>
      </c>
    </row>
    <row r="1413" spans="1:6" s="9" customFormat="1" x14ac:dyDescent="0.25">
      <c r="C1413" s="5"/>
      <c r="E1413" s="10"/>
      <c r="F1413" s="8">
        <f>SUM(F1412)</f>
        <v>740</v>
      </c>
    </row>
    <row r="1414" spans="1:6" s="9" customFormat="1" x14ac:dyDescent="0.25">
      <c r="B1414" s="4"/>
      <c r="C1414" s="5"/>
      <c r="E1414" s="10"/>
      <c r="F1414" s="13"/>
    </row>
    <row r="1415" spans="1:6" s="9" customFormat="1" x14ac:dyDescent="0.25">
      <c r="A1415" s="9" t="s">
        <v>514</v>
      </c>
      <c r="B1415" s="4">
        <v>45985</v>
      </c>
      <c r="C1415" s="5">
        <v>15</v>
      </c>
      <c r="D1415" s="9" t="s">
        <v>98</v>
      </c>
      <c r="E1415" s="10">
        <v>135</v>
      </c>
      <c r="F1415" s="13">
        <f t="shared" si="22"/>
        <v>2025</v>
      </c>
    </row>
    <row r="1416" spans="1:6" s="9" customFormat="1" x14ac:dyDescent="0.25">
      <c r="C1416" s="5"/>
      <c r="E1416" s="10"/>
      <c r="F1416" s="8">
        <f>SUM(F1415)</f>
        <v>2025</v>
      </c>
    </row>
    <row r="1417" spans="1:6" s="9" customFormat="1" x14ac:dyDescent="0.25">
      <c r="C1417" s="5"/>
      <c r="E1417" s="10"/>
      <c r="F1417" s="13"/>
    </row>
    <row r="1418" spans="1:6" s="9" customFormat="1" x14ac:dyDescent="0.25">
      <c r="A1418" s="9" t="s">
        <v>15</v>
      </c>
      <c r="B1418" s="4">
        <v>45985</v>
      </c>
      <c r="C1418" s="5">
        <v>60</v>
      </c>
      <c r="D1418" s="9" t="s">
        <v>98</v>
      </c>
      <c r="E1418" s="10">
        <v>135</v>
      </c>
      <c r="F1418" s="13">
        <f t="shared" si="22"/>
        <v>8100</v>
      </c>
    </row>
    <row r="1419" spans="1:6" s="9" customFormat="1" x14ac:dyDescent="0.25">
      <c r="C1419" s="5"/>
      <c r="E1419" s="10"/>
      <c r="F1419" s="8">
        <f>SUM(F1418)</f>
        <v>8100</v>
      </c>
    </row>
    <row r="1420" spans="1:6" s="9" customFormat="1" x14ac:dyDescent="0.25">
      <c r="B1420" s="4"/>
      <c r="C1420" s="5"/>
      <c r="E1420" s="10"/>
      <c r="F1420" s="13"/>
    </row>
    <row r="1421" spans="1:6" s="9" customFormat="1" x14ac:dyDescent="0.25">
      <c r="A1421" s="9" t="s">
        <v>317</v>
      </c>
      <c r="B1421" s="4">
        <v>45985</v>
      </c>
      <c r="C1421" s="5">
        <v>5</v>
      </c>
      <c r="D1421" s="9" t="s">
        <v>13</v>
      </c>
      <c r="E1421" s="10">
        <v>180</v>
      </c>
      <c r="F1421" s="13">
        <f t="shared" si="22"/>
        <v>900</v>
      </c>
    </row>
    <row r="1422" spans="1:6" s="9" customFormat="1" x14ac:dyDescent="0.25">
      <c r="C1422" s="5"/>
      <c r="E1422" s="10"/>
      <c r="F1422" s="8">
        <f>SUM(F1421)</f>
        <v>900</v>
      </c>
    </row>
    <row r="1423" spans="1:6" s="9" customFormat="1" x14ac:dyDescent="0.25">
      <c r="B1423" s="4"/>
      <c r="C1423" s="5"/>
      <c r="E1423" s="10"/>
      <c r="F1423" s="13"/>
    </row>
    <row r="1424" spans="1:6" s="9" customFormat="1" x14ac:dyDescent="0.25">
      <c r="A1424" s="9" t="s">
        <v>61</v>
      </c>
      <c r="B1424" s="4">
        <v>45985</v>
      </c>
      <c r="C1424" s="5">
        <v>80</v>
      </c>
      <c r="D1424" s="9" t="s">
        <v>13</v>
      </c>
      <c r="E1424" s="10">
        <v>180</v>
      </c>
      <c r="F1424" s="13">
        <f t="shared" si="22"/>
        <v>14400</v>
      </c>
    </row>
    <row r="1425" spans="1:6" s="9" customFormat="1" x14ac:dyDescent="0.25">
      <c r="C1425" s="5"/>
      <c r="E1425" s="10"/>
      <c r="F1425" s="8">
        <f>SUM(F1424)</f>
        <v>14400</v>
      </c>
    </row>
    <row r="1426" spans="1:6" s="9" customFormat="1" x14ac:dyDescent="0.25">
      <c r="B1426" s="4"/>
      <c r="C1426" s="5"/>
      <c r="E1426" s="10"/>
      <c r="F1426" s="13"/>
    </row>
    <row r="1427" spans="1:6" s="9" customFormat="1" x14ac:dyDescent="0.25">
      <c r="A1427" s="9" t="s">
        <v>151</v>
      </c>
      <c r="B1427" s="4">
        <v>45985</v>
      </c>
      <c r="C1427" s="5">
        <v>40</v>
      </c>
      <c r="D1427" s="9" t="s">
        <v>12</v>
      </c>
      <c r="E1427" s="10">
        <v>170</v>
      </c>
      <c r="F1427" s="13">
        <f t="shared" si="22"/>
        <v>6800</v>
      </c>
    </row>
    <row r="1428" spans="1:6" s="9" customFormat="1" x14ac:dyDescent="0.25">
      <c r="C1428" s="5"/>
      <c r="E1428" s="10"/>
      <c r="F1428" s="8">
        <f>SUM(F1427)</f>
        <v>6800</v>
      </c>
    </row>
    <row r="1429" spans="1:6" s="9" customFormat="1" x14ac:dyDescent="0.25">
      <c r="C1429" s="5"/>
      <c r="E1429" s="10"/>
      <c r="F1429" s="13"/>
    </row>
    <row r="1430" spans="1:6" s="9" customFormat="1" x14ac:dyDescent="0.25">
      <c r="A1430" s="9" t="s">
        <v>1117</v>
      </c>
      <c r="B1430" s="4">
        <v>45985</v>
      </c>
      <c r="C1430" s="5">
        <v>15</v>
      </c>
      <c r="D1430" s="9" t="s">
        <v>14</v>
      </c>
      <c r="E1430" s="10">
        <v>180</v>
      </c>
      <c r="F1430" s="13">
        <f t="shared" si="22"/>
        <v>2700</v>
      </c>
    </row>
    <row r="1431" spans="1:6" s="9" customFormat="1" x14ac:dyDescent="0.25">
      <c r="B1431" s="4"/>
      <c r="C1431" s="5">
        <v>20</v>
      </c>
      <c r="D1431" s="9" t="s">
        <v>11</v>
      </c>
      <c r="E1431" s="10">
        <v>175</v>
      </c>
      <c r="F1431" s="13">
        <f t="shared" si="22"/>
        <v>3500</v>
      </c>
    </row>
    <row r="1432" spans="1:6" s="9" customFormat="1" x14ac:dyDescent="0.25">
      <c r="C1432" s="5"/>
      <c r="E1432" s="10"/>
      <c r="F1432" s="8">
        <f>SUM(F1430:F1431)</f>
        <v>6200</v>
      </c>
    </row>
    <row r="1433" spans="1:6" s="9" customFormat="1" x14ac:dyDescent="0.25">
      <c r="C1433" s="5"/>
      <c r="E1433" s="10"/>
      <c r="F1433" s="13"/>
    </row>
    <row r="1434" spans="1:6" s="9" customFormat="1" x14ac:dyDescent="0.25">
      <c r="A1434" s="9" t="s">
        <v>61</v>
      </c>
      <c r="B1434" s="4">
        <v>45985</v>
      </c>
      <c r="C1434" s="5">
        <v>80</v>
      </c>
      <c r="D1434" s="9" t="s">
        <v>13</v>
      </c>
      <c r="E1434" s="10">
        <v>180</v>
      </c>
      <c r="F1434" s="13">
        <f t="shared" si="22"/>
        <v>14400</v>
      </c>
    </row>
    <row r="1435" spans="1:6" s="9" customFormat="1" x14ac:dyDescent="0.25">
      <c r="C1435" s="5"/>
      <c r="E1435" s="10"/>
      <c r="F1435" s="8">
        <f>SUM(F1434)</f>
        <v>14400</v>
      </c>
    </row>
    <row r="1436" spans="1:6" s="9" customFormat="1" x14ac:dyDescent="0.25">
      <c r="C1436" s="5"/>
      <c r="E1436" s="10"/>
      <c r="F1436" s="13"/>
    </row>
    <row r="1437" spans="1:6" s="9" customFormat="1" x14ac:dyDescent="0.25">
      <c r="A1437" s="9" t="s">
        <v>538</v>
      </c>
      <c r="B1437" s="4">
        <v>45985</v>
      </c>
      <c r="C1437" s="5">
        <v>40</v>
      </c>
      <c r="D1437" s="9" t="s">
        <v>12</v>
      </c>
      <c r="E1437" s="10">
        <v>170</v>
      </c>
      <c r="F1437" s="13">
        <f t="shared" si="22"/>
        <v>6800</v>
      </c>
    </row>
    <row r="1438" spans="1:6" s="9" customFormat="1" x14ac:dyDescent="0.25">
      <c r="C1438" s="5"/>
      <c r="E1438" s="10"/>
      <c r="F1438" s="8">
        <f>SUM(F1437)</f>
        <v>6800</v>
      </c>
    </row>
    <row r="1439" spans="1:6" s="9" customFormat="1" x14ac:dyDescent="0.25">
      <c r="C1439" s="5"/>
      <c r="E1439" s="10"/>
      <c r="F1439" s="13"/>
    </row>
    <row r="1440" spans="1:6" s="9" customFormat="1" x14ac:dyDescent="0.25">
      <c r="A1440" s="9" t="s">
        <v>1165</v>
      </c>
      <c r="B1440" s="4">
        <v>45985</v>
      </c>
      <c r="C1440" s="5">
        <v>10</v>
      </c>
      <c r="D1440" s="9" t="s">
        <v>13</v>
      </c>
      <c r="E1440" s="10">
        <v>170</v>
      </c>
      <c r="F1440" s="13">
        <f t="shared" si="22"/>
        <v>1700</v>
      </c>
    </row>
    <row r="1441" spans="1:6" s="9" customFormat="1" x14ac:dyDescent="0.25">
      <c r="C1441" s="5">
        <v>10</v>
      </c>
      <c r="D1441" s="9" t="s">
        <v>12</v>
      </c>
      <c r="E1441" s="10">
        <v>165</v>
      </c>
      <c r="F1441" s="13">
        <f t="shared" si="22"/>
        <v>1650</v>
      </c>
    </row>
    <row r="1442" spans="1:6" s="9" customFormat="1" x14ac:dyDescent="0.25">
      <c r="C1442" s="5"/>
      <c r="E1442" s="10"/>
      <c r="F1442" s="8">
        <f>SUM(F1440:F1441)</f>
        <v>3350</v>
      </c>
    </row>
    <row r="1443" spans="1:6" s="9" customFormat="1" x14ac:dyDescent="0.25">
      <c r="B1443" s="4"/>
      <c r="C1443" s="5"/>
      <c r="E1443" s="10"/>
      <c r="F1443" s="13"/>
    </row>
    <row r="1444" spans="1:6" s="9" customFormat="1" x14ac:dyDescent="0.25">
      <c r="A1444" s="9" t="s">
        <v>720</v>
      </c>
      <c r="B1444" s="4">
        <v>45985</v>
      </c>
      <c r="C1444" s="5">
        <v>10</v>
      </c>
      <c r="D1444" s="9" t="s">
        <v>8</v>
      </c>
      <c r="E1444" s="10">
        <v>180</v>
      </c>
      <c r="F1444" s="13">
        <f t="shared" si="22"/>
        <v>1800</v>
      </c>
    </row>
    <row r="1445" spans="1:6" s="9" customFormat="1" x14ac:dyDescent="0.25">
      <c r="C1445" s="5"/>
      <c r="E1445" s="10"/>
      <c r="F1445" s="8">
        <f>SUM(F1444)</f>
        <v>1800</v>
      </c>
    </row>
    <row r="1446" spans="1:6" s="9" customFormat="1" x14ac:dyDescent="0.25">
      <c r="C1446" s="5"/>
      <c r="E1446" s="10"/>
      <c r="F1446" s="13"/>
    </row>
    <row r="1447" spans="1:6" s="9" customFormat="1" x14ac:dyDescent="0.25">
      <c r="A1447" s="9" t="s">
        <v>87</v>
      </c>
      <c r="B1447" s="4">
        <v>45985</v>
      </c>
      <c r="C1447" s="5">
        <v>4</v>
      </c>
      <c r="D1447" s="9" t="s">
        <v>13</v>
      </c>
      <c r="E1447" s="10">
        <v>180</v>
      </c>
      <c r="F1447" s="13">
        <f t="shared" si="22"/>
        <v>720</v>
      </c>
    </row>
    <row r="1448" spans="1:6" s="9" customFormat="1" x14ac:dyDescent="0.25">
      <c r="C1448" s="5"/>
      <c r="E1448" s="10"/>
      <c r="F1448" s="8">
        <f>SUM(F1447)</f>
        <v>720</v>
      </c>
    </row>
    <row r="1449" spans="1:6" s="9" customFormat="1" x14ac:dyDescent="0.25">
      <c r="C1449" s="5"/>
      <c r="E1449" s="10"/>
      <c r="F1449" s="13"/>
    </row>
    <row r="1450" spans="1:6" s="9" customFormat="1" x14ac:dyDescent="0.25">
      <c r="A1450" s="9" t="s">
        <v>48</v>
      </c>
      <c r="B1450" s="4">
        <v>45985</v>
      </c>
      <c r="C1450" s="5">
        <v>290</v>
      </c>
      <c r="D1450" s="9" t="s">
        <v>14</v>
      </c>
      <c r="E1450" s="10"/>
      <c r="F1450" s="13">
        <f t="shared" si="22"/>
        <v>0</v>
      </c>
    </row>
    <row r="1451" spans="1:6" s="9" customFormat="1" x14ac:dyDescent="0.25">
      <c r="C1451" s="5">
        <v>130</v>
      </c>
      <c r="D1451" s="9" t="s">
        <v>11</v>
      </c>
      <c r="E1451" s="10"/>
      <c r="F1451" s="13">
        <f t="shared" si="22"/>
        <v>0</v>
      </c>
    </row>
    <row r="1452" spans="1:6" s="9" customFormat="1" x14ac:dyDescent="0.25">
      <c r="C1452" s="5">
        <v>40</v>
      </c>
      <c r="D1452" s="9" t="s">
        <v>12</v>
      </c>
      <c r="E1452" s="10"/>
      <c r="F1452" s="13">
        <f t="shared" si="22"/>
        <v>0</v>
      </c>
    </row>
    <row r="1453" spans="1:6" s="9" customFormat="1" x14ac:dyDescent="0.25">
      <c r="B1453" s="4"/>
      <c r="C1453" s="5">
        <v>60</v>
      </c>
      <c r="D1453" s="9" t="s">
        <v>22</v>
      </c>
      <c r="E1453" s="10"/>
      <c r="F1453" s="13">
        <f t="shared" si="22"/>
        <v>0</v>
      </c>
    </row>
    <row r="1454" spans="1:6" s="9" customFormat="1" x14ac:dyDescent="0.25">
      <c r="C1454" s="5">
        <v>60</v>
      </c>
      <c r="D1454" s="9" t="s">
        <v>50</v>
      </c>
      <c r="E1454" s="10"/>
      <c r="F1454" s="13">
        <f t="shared" si="22"/>
        <v>0</v>
      </c>
    </row>
    <row r="1455" spans="1:6" s="9" customFormat="1" x14ac:dyDescent="0.25">
      <c r="C1455" s="5"/>
      <c r="E1455" s="10"/>
      <c r="F1455" s="8">
        <f>SUM(F1450:F1454)</f>
        <v>0</v>
      </c>
    </row>
    <row r="1456" spans="1:6" s="9" customFormat="1" x14ac:dyDescent="0.25">
      <c r="C1456" s="5"/>
      <c r="E1456" s="10"/>
      <c r="F1456" s="13"/>
    </row>
    <row r="1457" spans="1:6" s="9" customFormat="1" x14ac:dyDescent="0.25">
      <c r="A1457" s="9" t="s">
        <v>7</v>
      </c>
      <c r="B1457" s="4">
        <v>45985</v>
      </c>
      <c r="C1457" s="5">
        <v>2</v>
      </c>
      <c r="D1457" s="9" t="s">
        <v>8</v>
      </c>
      <c r="E1457" s="10">
        <v>195</v>
      </c>
      <c r="F1457" s="13">
        <f t="shared" si="22"/>
        <v>390</v>
      </c>
    </row>
    <row r="1458" spans="1:6" s="9" customFormat="1" x14ac:dyDescent="0.25">
      <c r="C1458" s="5">
        <v>1</v>
      </c>
      <c r="D1458" s="9" t="s">
        <v>8</v>
      </c>
      <c r="E1458" s="10">
        <v>190</v>
      </c>
      <c r="F1458" s="13">
        <f t="shared" si="22"/>
        <v>190</v>
      </c>
    </row>
    <row r="1459" spans="1:6" s="9" customFormat="1" x14ac:dyDescent="0.25">
      <c r="C1459" s="5">
        <v>1</v>
      </c>
      <c r="D1459" s="9" t="s">
        <v>1151</v>
      </c>
      <c r="E1459" s="10">
        <v>150</v>
      </c>
      <c r="F1459" s="13">
        <f t="shared" si="22"/>
        <v>150</v>
      </c>
    </row>
    <row r="1460" spans="1:6" s="9" customFormat="1" x14ac:dyDescent="0.25">
      <c r="C1460" s="5"/>
      <c r="E1460" s="10"/>
      <c r="F1460" s="8">
        <f>SUM(F1457:F1459)</f>
        <v>730</v>
      </c>
    </row>
    <row r="1461" spans="1:6" s="9" customFormat="1" x14ac:dyDescent="0.25">
      <c r="C1461" s="5"/>
      <c r="E1461" s="10"/>
      <c r="F1461" s="13"/>
    </row>
    <row r="1462" spans="1:6" s="9" customFormat="1" x14ac:dyDescent="0.25">
      <c r="A1462" s="9" t="s">
        <v>58</v>
      </c>
      <c r="B1462" s="4">
        <v>45986</v>
      </c>
      <c r="C1462" s="5">
        <v>15</v>
      </c>
      <c r="D1462" s="9" t="s">
        <v>13</v>
      </c>
      <c r="E1462" s="10">
        <v>175</v>
      </c>
      <c r="F1462" s="13">
        <f t="shared" si="22"/>
        <v>2625</v>
      </c>
    </row>
    <row r="1463" spans="1:6" s="9" customFormat="1" x14ac:dyDescent="0.25">
      <c r="C1463" s="5"/>
      <c r="E1463" s="10"/>
      <c r="F1463" s="8">
        <f>SUM(F1462)</f>
        <v>2625</v>
      </c>
    </row>
    <row r="1464" spans="1:6" s="9" customFormat="1" x14ac:dyDescent="0.25">
      <c r="C1464" s="5"/>
      <c r="E1464" s="10"/>
      <c r="F1464" s="13"/>
    </row>
    <row r="1465" spans="1:6" s="9" customFormat="1" x14ac:dyDescent="0.25">
      <c r="A1465" s="9" t="s">
        <v>1122</v>
      </c>
      <c r="B1465" s="4">
        <v>45986</v>
      </c>
      <c r="C1465" s="5">
        <v>5</v>
      </c>
      <c r="D1465" s="9" t="s">
        <v>13</v>
      </c>
      <c r="E1465" s="10">
        <v>180</v>
      </c>
      <c r="F1465" s="13">
        <f t="shared" si="22"/>
        <v>900</v>
      </c>
    </row>
    <row r="1466" spans="1:6" s="9" customFormat="1" x14ac:dyDescent="0.25">
      <c r="B1466" s="4"/>
      <c r="C1466" s="5"/>
      <c r="E1466" s="10"/>
      <c r="F1466" s="8">
        <f>SUM(F1465)</f>
        <v>900</v>
      </c>
    </row>
    <row r="1467" spans="1:6" s="9" customFormat="1" x14ac:dyDescent="0.25">
      <c r="C1467" s="5"/>
      <c r="E1467" s="10"/>
      <c r="F1467" s="13"/>
    </row>
    <row r="1468" spans="1:6" s="9" customFormat="1" x14ac:dyDescent="0.25">
      <c r="A1468" s="9" t="s">
        <v>40</v>
      </c>
      <c r="B1468" s="4">
        <v>45986</v>
      </c>
      <c r="C1468" s="5">
        <v>20</v>
      </c>
      <c r="D1468" s="9" t="s">
        <v>12</v>
      </c>
      <c r="E1468" s="10">
        <v>175</v>
      </c>
      <c r="F1468" s="13">
        <f t="shared" si="22"/>
        <v>3500</v>
      </c>
    </row>
    <row r="1469" spans="1:6" s="9" customFormat="1" x14ac:dyDescent="0.25">
      <c r="C1469" s="5">
        <v>15</v>
      </c>
      <c r="D1469" s="9" t="s">
        <v>14</v>
      </c>
      <c r="E1469" s="10">
        <v>175</v>
      </c>
      <c r="F1469" s="13">
        <f t="shared" si="22"/>
        <v>2625</v>
      </c>
    </row>
    <row r="1470" spans="1:6" s="9" customFormat="1" x14ac:dyDescent="0.25">
      <c r="C1470" s="5"/>
      <c r="E1470" s="10"/>
      <c r="F1470" s="8">
        <f>SUM(F1468:F1469)</f>
        <v>6125</v>
      </c>
    </row>
    <row r="1471" spans="1:6" s="9" customFormat="1" x14ac:dyDescent="0.25">
      <c r="C1471" s="5"/>
      <c r="E1471" s="10"/>
      <c r="F1471" s="13"/>
    </row>
    <row r="1472" spans="1:6" s="9" customFormat="1" x14ac:dyDescent="0.25">
      <c r="A1472" s="9" t="s">
        <v>20</v>
      </c>
      <c r="B1472" s="4">
        <v>45986</v>
      </c>
      <c r="C1472" s="5">
        <v>10</v>
      </c>
      <c r="D1472" s="9" t="s">
        <v>8</v>
      </c>
      <c r="E1472" s="10">
        <v>185</v>
      </c>
      <c r="F1472" s="13">
        <f t="shared" si="22"/>
        <v>1850</v>
      </c>
    </row>
    <row r="1473" spans="1:6" s="9" customFormat="1" x14ac:dyDescent="0.25">
      <c r="C1473" s="5">
        <v>10</v>
      </c>
      <c r="D1473" s="9" t="s">
        <v>14</v>
      </c>
      <c r="E1473" s="10">
        <v>180</v>
      </c>
      <c r="F1473" s="13">
        <f t="shared" si="22"/>
        <v>1800</v>
      </c>
    </row>
    <row r="1474" spans="1:6" s="9" customFormat="1" x14ac:dyDescent="0.25">
      <c r="C1474" s="5"/>
      <c r="E1474" s="10"/>
      <c r="F1474" s="8">
        <f>SUM(F1472:F1473)</f>
        <v>3650</v>
      </c>
    </row>
    <row r="1475" spans="1:6" s="9" customFormat="1" x14ac:dyDescent="0.25">
      <c r="C1475" s="5"/>
      <c r="E1475" s="10"/>
      <c r="F1475" s="13"/>
    </row>
    <row r="1476" spans="1:6" s="9" customFormat="1" x14ac:dyDescent="0.25">
      <c r="A1476" s="9" t="s">
        <v>17</v>
      </c>
      <c r="B1476" s="4">
        <v>45986</v>
      </c>
      <c r="C1476" s="5">
        <v>14</v>
      </c>
      <c r="D1476" s="9" t="s">
        <v>479</v>
      </c>
      <c r="E1476" s="10">
        <v>180</v>
      </c>
      <c r="F1476" s="13">
        <f t="shared" ref="F1476:F1536" si="23">+C1476*E1476</f>
        <v>2520</v>
      </c>
    </row>
    <row r="1477" spans="1:6" s="9" customFormat="1" x14ac:dyDescent="0.25">
      <c r="B1477" s="4"/>
      <c r="C1477" s="5"/>
      <c r="E1477" s="10"/>
      <c r="F1477" s="8">
        <f>SUM(F1476)</f>
        <v>2520</v>
      </c>
    </row>
    <row r="1478" spans="1:6" s="9" customFormat="1" x14ac:dyDescent="0.25">
      <c r="C1478" s="5"/>
      <c r="E1478" s="10"/>
      <c r="F1478" s="13"/>
    </row>
    <row r="1479" spans="1:6" s="9" customFormat="1" x14ac:dyDescent="0.25">
      <c r="A1479" s="9" t="s">
        <v>21</v>
      </c>
      <c r="B1479" s="4">
        <v>45986</v>
      </c>
      <c r="C1479" s="5">
        <v>50</v>
      </c>
      <c r="D1479" s="9" t="s">
        <v>13</v>
      </c>
      <c r="E1479" s="10">
        <v>180</v>
      </c>
      <c r="F1479" s="13">
        <f t="shared" si="23"/>
        <v>9000</v>
      </c>
    </row>
    <row r="1480" spans="1:6" s="9" customFormat="1" x14ac:dyDescent="0.25">
      <c r="C1480" s="5">
        <v>50</v>
      </c>
      <c r="D1480" s="9" t="s">
        <v>12</v>
      </c>
      <c r="E1480" s="10">
        <v>175</v>
      </c>
      <c r="F1480" s="13">
        <f t="shared" si="23"/>
        <v>8750</v>
      </c>
    </row>
    <row r="1481" spans="1:6" s="9" customFormat="1" x14ac:dyDescent="0.25">
      <c r="C1481" s="5"/>
      <c r="E1481" s="10"/>
      <c r="F1481" s="8">
        <f>SUM(F1479:F1480)</f>
        <v>17750</v>
      </c>
    </row>
    <row r="1482" spans="1:6" s="9" customFormat="1" x14ac:dyDescent="0.25">
      <c r="C1482" s="5"/>
      <c r="E1482" s="10"/>
      <c r="F1482" s="13"/>
    </row>
    <row r="1483" spans="1:6" s="9" customFormat="1" x14ac:dyDescent="0.25">
      <c r="A1483" s="9" t="s">
        <v>57</v>
      </c>
      <c r="B1483" s="4">
        <v>45986</v>
      </c>
      <c r="C1483" s="5">
        <v>20</v>
      </c>
      <c r="D1483" s="9" t="s">
        <v>13</v>
      </c>
      <c r="E1483" s="10">
        <v>180</v>
      </c>
      <c r="F1483" s="13">
        <f t="shared" si="23"/>
        <v>3600</v>
      </c>
    </row>
    <row r="1484" spans="1:6" s="9" customFormat="1" x14ac:dyDescent="0.25">
      <c r="C1484" s="5"/>
      <c r="E1484" s="10"/>
      <c r="F1484" s="8">
        <f>SUM(F1483)</f>
        <v>3600</v>
      </c>
    </row>
    <row r="1485" spans="1:6" s="9" customFormat="1" x14ac:dyDescent="0.25">
      <c r="C1485" s="5"/>
      <c r="E1485" s="10"/>
      <c r="F1485" s="13"/>
    </row>
    <row r="1486" spans="1:6" s="9" customFormat="1" x14ac:dyDescent="0.25">
      <c r="A1486" s="9" t="s">
        <v>112</v>
      </c>
      <c r="B1486" s="4">
        <v>45986</v>
      </c>
      <c r="C1486" s="5">
        <v>40</v>
      </c>
      <c r="D1486" s="9" t="s">
        <v>13</v>
      </c>
      <c r="E1486" s="10">
        <v>180</v>
      </c>
      <c r="F1486" s="13">
        <f t="shared" si="23"/>
        <v>7200</v>
      </c>
    </row>
    <row r="1487" spans="1:6" s="9" customFormat="1" x14ac:dyDescent="0.25">
      <c r="C1487" s="5">
        <v>30</v>
      </c>
      <c r="D1487" s="9" t="s">
        <v>12</v>
      </c>
      <c r="E1487" s="10">
        <v>175</v>
      </c>
      <c r="F1487" s="13">
        <f t="shared" si="23"/>
        <v>5250</v>
      </c>
    </row>
    <row r="1488" spans="1:6" s="9" customFormat="1" x14ac:dyDescent="0.25">
      <c r="C1488" s="5">
        <v>10</v>
      </c>
      <c r="D1488" s="9" t="s">
        <v>8</v>
      </c>
      <c r="E1488" s="10">
        <v>190</v>
      </c>
      <c r="F1488" s="13">
        <f t="shared" si="23"/>
        <v>1900</v>
      </c>
    </row>
    <row r="1489" spans="1:6" s="9" customFormat="1" x14ac:dyDescent="0.25">
      <c r="B1489" s="4"/>
      <c r="C1489" s="5"/>
      <c r="E1489" s="10"/>
      <c r="F1489" s="8">
        <f>SUM(F1486:F1488)</f>
        <v>14350</v>
      </c>
    </row>
    <row r="1490" spans="1:6" s="9" customFormat="1" x14ac:dyDescent="0.25">
      <c r="C1490" s="5"/>
      <c r="E1490" s="10"/>
      <c r="F1490" s="13"/>
    </row>
    <row r="1491" spans="1:6" s="9" customFormat="1" x14ac:dyDescent="0.25">
      <c r="A1491" s="9" t="s">
        <v>391</v>
      </c>
      <c r="B1491" s="4">
        <v>45986</v>
      </c>
      <c r="C1491" s="5">
        <v>15</v>
      </c>
      <c r="D1491" s="9" t="s">
        <v>14</v>
      </c>
      <c r="E1491" s="10">
        <v>180</v>
      </c>
      <c r="F1491" s="13">
        <f t="shared" si="23"/>
        <v>2700</v>
      </c>
    </row>
    <row r="1492" spans="1:6" s="9" customFormat="1" x14ac:dyDescent="0.25">
      <c r="B1492" s="4"/>
      <c r="C1492" s="5"/>
      <c r="E1492" s="10"/>
      <c r="F1492" s="8">
        <f>SUM(F1491)</f>
        <v>2700</v>
      </c>
    </row>
    <row r="1493" spans="1:6" s="9" customFormat="1" x14ac:dyDescent="0.25">
      <c r="C1493" s="5"/>
      <c r="E1493" s="10"/>
      <c r="F1493" s="13"/>
    </row>
    <row r="1494" spans="1:6" s="9" customFormat="1" x14ac:dyDescent="0.25">
      <c r="A1494" s="9" t="s">
        <v>65</v>
      </c>
      <c r="B1494" s="4">
        <v>45986</v>
      </c>
      <c r="C1494" s="5">
        <v>250</v>
      </c>
      <c r="D1494" s="9" t="s">
        <v>14</v>
      </c>
      <c r="E1494" s="10">
        <v>180</v>
      </c>
      <c r="F1494" s="13">
        <f t="shared" si="23"/>
        <v>45000</v>
      </c>
    </row>
    <row r="1495" spans="1:6" s="9" customFormat="1" x14ac:dyDescent="0.25">
      <c r="C1495" s="5">
        <v>50</v>
      </c>
      <c r="D1495" s="9" t="s">
        <v>11</v>
      </c>
      <c r="E1495" s="10">
        <v>175</v>
      </c>
      <c r="F1495" s="13">
        <f t="shared" si="23"/>
        <v>8750</v>
      </c>
    </row>
    <row r="1496" spans="1:6" s="9" customFormat="1" x14ac:dyDescent="0.25">
      <c r="B1496" s="4"/>
      <c r="C1496" s="5">
        <v>77</v>
      </c>
      <c r="D1496" s="9" t="s">
        <v>22</v>
      </c>
      <c r="E1496" s="10">
        <v>160</v>
      </c>
      <c r="F1496" s="13">
        <f t="shared" si="23"/>
        <v>12320</v>
      </c>
    </row>
    <row r="1497" spans="1:6" s="9" customFormat="1" x14ac:dyDescent="0.25">
      <c r="C1497" s="5">
        <v>75</v>
      </c>
      <c r="D1497" s="9" t="s">
        <v>50</v>
      </c>
      <c r="E1497" s="10">
        <v>160</v>
      </c>
      <c r="F1497" s="13">
        <f t="shared" si="23"/>
        <v>12000</v>
      </c>
    </row>
    <row r="1498" spans="1:6" s="9" customFormat="1" x14ac:dyDescent="0.25">
      <c r="C1498" s="5">
        <v>53</v>
      </c>
      <c r="D1498" s="9" t="s">
        <v>799</v>
      </c>
      <c r="E1498" s="10">
        <v>175</v>
      </c>
      <c r="F1498" s="13">
        <f t="shared" si="23"/>
        <v>9275</v>
      </c>
    </row>
    <row r="1499" spans="1:6" s="9" customFormat="1" x14ac:dyDescent="0.25">
      <c r="B1499" s="4"/>
      <c r="C1499" s="5">
        <v>57</v>
      </c>
      <c r="D1499" s="9" t="s">
        <v>12</v>
      </c>
      <c r="E1499" s="10">
        <v>175</v>
      </c>
      <c r="F1499" s="13">
        <f t="shared" si="23"/>
        <v>9975</v>
      </c>
    </row>
    <row r="1500" spans="1:6" s="9" customFormat="1" x14ac:dyDescent="0.25">
      <c r="C1500" s="5"/>
      <c r="E1500" s="10"/>
      <c r="F1500" s="8">
        <f>SUM(F1494:F1499)</f>
        <v>97320</v>
      </c>
    </row>
    <row r="1501" spans="1:6" s="9" customFormat="1" x14ac:dyDescent="0.25">
      <c r="C1501" s="5"/>
      <c r="E1501" s="10"/>
      <c r="F1501" s="13"/>
    </row>
    <row r="1502" spans="1:6" s="9" customFormat="1" x14ac:dyDescent="0.25">
      <c r="A1502" s="9" t="s">
        <v>7</v>
      </c>
      <c r="B1502" s="4">
        <v>45986</v>
      </c>
      <c r="C1502" s="5">
        <v>2</v>
      </c>
      <c r="D1502" s="9" t="s">
        <v>8</v>
      </c>
      <c r="E1502" s="10">
        <v>195</v>
      </c>
      <c r="F1502" s="13">
        <f t="shared" si="23"/>
        <v>390</v>
      </c>
    </row>
    <row r="1503" spans="1:6" s="9" customFormat="1" x14ac:dyDescent="0.25">
      <c r="C1503" s="5">
        <v>2</v>
      </c>
      <c r="D1503" s="9" t="s">
        <v>12</v>
      </c>
      <c r="E1503" s="10">
        <v>160</v>
      </c>
      <c r="F1503" s="13">
        <f t="shared" si="23"/>
        <v>320</v>
      </c>
    </row>
    <row r="1504" spans="1:6" s="9" customFormat="1" x14ac:dyDescent="0.25">
      <c r="C1504" s="5">
        <v>1</v>
      </c>
      <c r="D1504" s="9" t="s">
        <v>1166</v>
      </c>
      <c r="E1504" s="10">
        <v>140</v>
      </c>
      <c r="F1504" s="13">
        <f t="shared" si="23"/>
        <v>140</v>
      </c>
    </row>
    <row r="1505" spans="1:6" s="9" customFormat="1" x14ac:dyDescent="0.25">
      <c r="B1505" s="4"/>
      <c r="C1505" s="5">
        <v>3</v>
      </c>
      <c r="D1505" s="9" t="s">
        <v>13</v>
      </c>
      <c r="E1505" s="10">
        <v>185</v>
      </c>
      <c r="F1505" s="13">
        <f t="shared" si="23"/>
        <v>555</v>
      </c>
    </row>
    <row r="1506" spans="1:6" s="9" customFormat="1" x14ac:dyDescent="0.25">
      <c r="C1506" s="5">
        <v>1</v>
      </c>
      <c r="D1506" s="9" t="s">
        <v>8</v>
      </c>
      <c r="E1506" s="10">
        <v>195</v>
      </c>
      <c r="F1506" s="13">
        <f t="shared" si="23"/>
        <v>195</v>
      </c>
    </row>
    <row r="1507" spans="1:6" s="9" customFormat="1" x14ac:dyDescent="0.25">
      <c r="C1507" s="5">
        <v>4</v>
      </c>
      <c r="D1507" s="9" t="s">
        <v>12</v>
      </c>
      <c r="E1507" s="10">
        <v>175</v>
      </c>
      <c r="F1507" s="13">
        <f t="shared" si="23"/>
        <v>700</v>
      </c>
    </row>
    <row r="1508" spans="1:6" s="9" customFormat="1" x14ac:dyDescent="0.25">
      <c r="B1508" s="4"/>
      <c r="C1508" s="11">
        <v>0.5</v>
      </c>
      <c r="D1508" s="9" t="s">
        <v>8</v>
      </c>
      <c r="E1508" s="10">
        <v>195</v>
      </c>
      <c r="F1508" s="13">
        <f t="shared" si="23"/>
        <v>97.5</v>
      </c>
    </row>
    <row r="1509" spans="1:6" s="9" customFormat="1" x14ac:dyDescent="0.25">
      <c r="C1509" s="5">
        <v>2</v>
      </c>
      <c r="D1509" s="9" t="s">
        <v>8</v>
      </c>
      <c r="E1509" s="10">
        <v>195</v>
      </c>
      <c r="F1509" s="13">
        <f t="shared" si="23"/>
        <v>390</v>
      </c>
    </row>
    <row r="1510" spans="1:6" s="9" customFormat="1" x14ac:dyDescent="0.25">
      <c r="C1510" s="5"/>
      <c r="E1510" s="10"/>
      <c r="F1510" s="8">
        <f>SUM(F1502:F1509)</f>
        <v>2787.5</v>
      </c>
    </row>
    <row r="1511" spans="1:6" s="9" customFormat="1" x14ac:dyDescent="0.25">
      <c r="B1511" s="4"/>
      <c r="C1511" s="5"/>
      <c r="E1511" s="10"/>
      <c r="F1511" s="13"/>
    </row>
    <row r="1512" spans="1:6" s="9" customFormat="1" x14ac:dyDescent="0.25">
      <c r="A1512" s="9" t="s">
        <v>181</v>
      </c>
      <c r="B1512" s="4">
        <v>45986</v>
      </c>
      <c r="C1512" s="5">
        <v>1</v>
      </c>
      <c r="D1512" s="9" t="s">
        <v>1167</v>
      </c>
      <c r="E1512" s="10">
        <v>135</v>
      </c>
      <c r="F1512" s="13">
        <f t="shared" si="23"/>
        <v>135</v>
      </c>
    </row>
    <row r="1513" spans="1:6" s="9" customFormat="1" x14ac:dyDescent="0.25">
      <c r="C1513" s="5">
        <v>10</v>
      </c>
      <c r="D1513" s="9" t="s">
        <v>14</v>
      </c>
      <c r="E1513" s="10">
        <v>180</v>
      </c>
      <c r="F1513" s="13">
        <f t="shared" si="23"/>
        <v>1800</v>
      </c>
    </row>
    <row r="1514" spans="1:6" s="9" customFormat="1" x14ac:dyDescent="0.25">
      <c r="C1514" s="5">
        <v>10</v>
      </c>
      <c r="D1514" s="9" t="s">
        <v>8</v>
      </c>
      <c r="E1514" s="10">
        <v>185</v>
      </c>
      <c r="F1514" s="13">
        <f t="shared" si="23"/>
        <v>1850</v>
      </c>
    </row>
    <row r="1515" spans="1:6" s="9" customFormat="1" x14ac:dyDescent="0.25">
      <c r="B1515" s="4"/>
      <c r="C1515" s="5"/>
      <c r="E1515" s="10"/>
      <c r="F1515" s="8">
        <f>SUM(F1512:F1514)</f>
        <v>3785</v>
      </c>
    </row>
    <row r="1516" spans="1:6" s="9" customFormat="1" x14ac:dyDescent="0.25">
      <c r="C1516" s="5"/>
      <c r="E1516" s="10"/>
      <c r="F1516" s="13"/>
    </row>
    <row r="1517" spans="1:6" s="9" customFormat="1" x14ac:dyDescent="0.25">
      <c r="A1517" s="9" t="s">
        <v>1168</v>
      </c>
      <c r="B1517" s="4">
        <v>45987</v>
      </c>
      <c r="C1517" s="5">
        <v>5</v>
      </c>
      <c r="D1517" s="9" t="s">
        <v>98</v>
      </c>
      <c r="E1517" s="10">
        <v>135</v>
      </c>
      <c r="F1517" s="13">
        <f t="shared" si="23"/>
        <v>675</v>
      </c>
    </row>
    <row r="1518" spans="1:6" s="9" customFormat="1" x14ac:dyDescent="0.25">
      <c r="C1518" s="5"/>
      <c r="E1518" s="10"/>
      <c r="F1518" s="8">
        <f>SUM(F1517)</f>
        <v>675</v>
      </c>
    </row>
    <row r="1519" spans="1:6" s="9" customFormat="1" x14ac:dyDescent="0.25">
      <c r="B1519" s="4"/>
      <c r="C1519" s="5"/>
      <c r="E1519" s="10"/>
      <c r="F1519" s="13"/>
    </row>
    <row r="1520" spans="1:6" s="9" customFormat="1" x14ac:dyDescent="0.25">
      <c r="A1520" s="9" t="s">
        <v>67</v>
      </c>
      <c r="B1520" s="4">
        <v>45987</v>
      </c>
      <c r="C1520" s="5">
        <v>10</v>
      </c>
      <c r="D1520" s="9" t="s">
        <v>13</v>
      </c>
      <c r="E1520" s="10">
        <v>185</v>
      </c>
      <c r="F1520" s="13">
        <f t="shared" si="23"/>
        <v>1850</v>
      </c>
    </row>
    <row r="1521" spans="1:6" s="9" customFormat="1" x14ac:dyDescent="0.25">
      <c r="C1521" s="5"/>
      <c r="E1521" s="10"/>
      <c r="F1521" s="8">
        <f>SUM(F1520)</f>
        <v>1850</v>
      </c>
    </row>
    <row r="1522" spans="1:6" s="9" customFormat="1" x14ac:dyDescent="0.25">
      <c r="B1522" s="4"/>
      <c r="C1522" s="5"/>
      <c r="E1522" s="10"/>
      <c r="F1522" s="13"/>
    </row>
    <row r="1523" spans="1:6" s="9" customFormat="1" x14ac:dyDescent="0.25">
      <c r="A1523" s="9" t="s">
        <v>550</v>
      </c>
      <c r="B1523" s="4">
        <v>45987</v>
      </c>
      <c r="C1523" s="5">
        <v>10</v>
      </c>
      <c r="D1523" s="9" t="s">
        <v>98</v>
      </c>
      <c r="E1523" s="10">
        <v>135</v>
      </c>
      <c r="F1523" s="13">
        <f t="shared" si="23"/>
        <v>1350</v>
      </c>
    </row>
    <row r="1524" spans="1:6" s="9" customFormat="1" x14ac:dyDescent="0.25">
      <c r="C1524" s="5"/>
      <c r="E1524" s="10"/>
      <c r="F1524" s="8">
        <f>SUM(F1523)</f>
        <v>1350</v>
      </c>
    </row>
    <row r="1525" spans="1:6" s="9" customFormat="1" x14ac:dyDescent="0.25">
      <c r="C1525" s="5"/>
      <c r="E1525" s="10"/>
      <c r="F1525" s="13"/>
    </row>
    <row r="1526" spans="1:6" s="9" customFormat="1" x14ac:dyDescent="0.25">
      <c r="A1526" s="9" t="s">
        <v>15</v>
      </c>
      <c r="B1526" s="4">
        <v>45987</v>
      </c>
      <c r="C1526" s="5">
        <v>60</v>
      </c>
      <c r="D1526" s="9" t="s">
        <v>98</v>
      </c>
      <c r="E1526" s="10">
        <v>135</v>
      </c>
      <c r="F1526" s="13">
        <f t="shared" si="23"/>
        <v>8100</v>
      </c>
    </row>
    <row r="1527" spans="1:6" s="9" customFormat="1" x14ac:dyDescent="0.25">
      <c r="C1527" s="5"/>
      <c r="E1527" s="10"/>
      <c r="F1527" s="8">
        <f>SUM(F1526)</f>
        <v>8100</v>
      </c>
    </row>
    <row r="1528" spans="1:6" s="9" customFormat="1" x14ac:dyDescent="0.25">
      <c r="B1528" s="4"/>
      <c r="C1528" s="5"/>
      <c r="E1528" s="10"/>
      <c r="F1528" s="13"/>
    </row>
    <row r="1529" spans="1:6" s="9" customFormat="1" x14ac:dyDescent="0.25">
      <c r="A1529" s="9" t="s">
        <v>1169</v>
      </c>
      <c r="B1529" s="4">
        <v>45987</v>
      </c>
      <c r="C1529" s="5">
        <v>10</v>
      </c>
      <c r="D1529" s="9" t="s">
        <v>98</v>
      </c>
      <c r="E1529" s="10">
        <v>135</v>
      </c>
      <c r="F1529" s="13">
        <f t="shared" si="23"/>
        <v>1350</v>
      </c>
    </row>
    <row r="1530" spans="1:6" s="9" customFormat="1" x14ac:dyDescent="0.25">
      <c r="C1530" s="5"/>
      <c r="E1530" s="10"/>
      <c r="F1530" s="8">
        <f>SUM(F1529)</f>
        <v>1350</v>
      </c>
    </row>
    <row r="1531" spans="1:6" s="9" customFormat="1" x14ac:dyDescent="0.25">
      <c r="C1531" s="5"/>
      <c r="E1531" s="10"/>
      <c r="F1531" s="13"/>
    </row>
    <row r="1532" spans="1:6" s="9" customFormat="1" x14ac:dyDescent="0.25">
      <c r="A1532" s="9" t="s">
        <v>41</v>
      </c>
      <c r="B1532" s="4">
        <v>45987</v>
      </c>
      <c r="C1532" s="5">
        <v>40</v>
      </c>
      <c r="D1532" s="9" t="s">
        <v>14</v>
      </c>
      <c r="E1532" s="10">
        <v>165</v>
      </c>
      <c r="F1532" s="13">
        <f t="shared" si="23"/>
        <v>6600</v>
      </c>
    </row>
    <row r="1533" spans="1:6" s="9" customFormat="1" x14ac:dyDescent="0.25">
      <c r="C1533" s="5"/>
      <c r="E1533" s="10"/>
      <c r="F1533" s="8">
        <f>SUM(F1532)</f>
        <v>6600</v>
      </c>
    </row>
    <row r="1534" spans="1:6" s="9" customFormat="1" x14ac:dyDescent="0.25">
      <c r="C1534" s="5"/>
      <c r="E1534" s="10"/>
      <c r="F1534" s="13"/>
    </row>
    <row r="1535" spans="1:6" s="9" customFormat="1" x14ac:dyDescent="0.25">
      <c r="A1535" s="9" t="s">
        <v>1170</v>
      </c>
      <c r="B1535" s="4">
        <v>45987</v>
      </c>
      <c r="C1535" s="5">
        <v>85</v>
      </c>
      <c r="D1535" s="9" t="s">
        <v>11</v>
      </c>
      <c r="E1535" s="10">
        <v>175</v>
      </c>
      <c r="F1535" s="13">
        <f t="shared" si="23"/>
        <v>14875</v>
      </c>
    </row>
    <row r="1536" spans="1:6" s="9" customFormat="1" x14ac:dyDescent="0.25">
      <c r="C1536" s="5">
        <v>11</v>
      </c>
      <c r="D1536" s="9" t="s">
        <v>602</v>
      </c>
      <c r="E1536" s="10">
        <v>175</v>
      </c>
      <c r="F1536" s="13">
        <f t="shared" si="23"/>
        <v>1925</v>
      </c>
    </row>
    <row r="1537" spans="1:6" s="9" customFormat="1" x14ac:dyDescent="0.25">
      <c r="C1537" s="5"/>
      <c r="E1537" s="10"/>
      <c r="F1537" s="8">
        <f>SUM(F1535:F1536)</f>
        <v>16800</v>
      </c>
    </row>
    <row r="1538" spans="1:6" s="9" customFormat="1" x14ac:dyDescent="0.25">
      <c r="B1538" s="4"/>
      <c r="C1538" s="5"/>
      <c r="E1538" s="10"/>
      <c r="F1538" s="13"/>
    </row>
    <row r="1539" spans="1:6" s="9" customFormat="1" x14ac:dyDescent="0.25">
      <c r="A1539" s="9" t="s">
        <v>43</v>
      </c>
      <c r="B1539" s="4">
        <v>45987</v>
      </c>
      <c r="C1539" s="5">
        <v>40</v>
      </c>
      <c r="D1539" s="9" t="s">
        <v>14</v>
      </c>
      <c r="E1539" s="10">
        <v>180</v>
      </c>
      <c r="F1539" s="13">
        <f t="shared" ref="F1539:F1602" si="24">+C1539*E1539</f>
        <v>7200</v>
      </c>
    </row>
    <row r="1540" spans="1:6" s="9" customFormat="1" x14ac:dyDescent="0.25">
      <c r="C1540" s="5"/>
      <c r="E1540" s="10"/>
      <c r="F1540" s="8">
        <f>SUM(F1539)</f>
        <v>7200</v>
      </c>
    </row>
    <row r="1541" spans="1:6" s="9" customFormat="1" x14ac:dyDescent="0.25">
      <c r="B1541" s="4"/>
      <c r="C1541" s="5"/>
      <c r="E1541" s="10"/>
      <c r="F1541" s="13"/>
    </row>
    <row r="1542" spans="1:6" s="9" customFormat="1" x14ac:dyDescent="0.25">
      <c r="A1542" s="9" t="s">
        <v>18</v>
      </c>
      <c r="B1542" s="4">
        <v>45987</v>
      </c>
      <c r="C1542" s="5">
        <v>30</v>
      </c>
      <c r="D1542" s="9" t="s">
        <v>14</v>
      </c>
      <c r="E1542" s="10">
        <v>180</v>
      </c>
      <c r="F1542" s="13">
        <f t="shared" si="24"/>
        <v>5400</v>
      </c>
    </row>
    <row r="1543" spans="1:6" s="9" customFormat="1" x14ac:dyDescent="0.25">
      <c r="C1543" s="5"/>
      <c r="E1543" s="10"/>
      <c r="F1543" s="8">
        <f>SUM(F1542)</f>
        <v>5400</v>
      </c>
    </row>
    <row r="1544" spans="1:6" s="9" customFormat="1" x14ac:dyDescent="0.25">
      <c r="C1544" s="5"/>
      <c r="E1544" s="10"/>
      <c r="F1544" s="13"/>
    </row>
    <row r="1545" spans="1:6" s="9" customFormat="1" x14ac:dyDescent="0.25">
      <c r="A1545" s="9" t="s">
        <v>1171</v>
      </c>
      <c r="B1545" s="4">
        <v>45987</v>
      </c>
      <c r="C1545" s="5">
        <v>40</v>
      </c>
      <c r="D1545" s="9" t="s">
        <v>14</v>
      </c>
      <c r="E1545" s="10">
        <v>180</v>
      </c>
      <c r="F1545" s="13">
        <f t="shared" si="24"/>
        <v>7200</v>
      </c>
    </row>
    <row r="1546" spans="1:6" s="9" customFormat="1" x14ac:dyDescent="0.25">
      <c r="C1546" s="5"/>
      <c r="E1546" s="10"/>
      <c r="F1546" s="8">
        <f>SUM(F1545)</f>
        <v>7200</v>
      </c>
    </row>
    <row r="1547" spans="1:6" s="9" customFormat="1" x14ac:dyDescent="0.25">
      <c r="C1547" s="5"/>
      <c r="E1547" s="10"/>
      <c r="F1547" s="13"/>
    </row>
    <row r="1548" spans="1:6" s="9" customFormat="1" x14ac:dyDescent="0.25">
      <c r="A1548" s="9" t="s">
        <v>1172</v>
      </c>
      <c r="B1548" s="4">
        <v>45987</v>
      </c>
      <c r="C1548" s="5">
        <v>5</v>
      </c>
      <c r="D1548" s="9" t="s">
        <v>14</v>
      </c>
      <c r="E1548" s="10">
        <v>180</v>
      </c>
      <c r="F1548" s="13">
        <f t="shared" si="24"/>
        <v>900</v>
      </c>
    </row>
    <row r="1549" spans="1:6" s="9" customFormat="1" x14ac:dyDescent="0.25">
      <c r="C1549" s="5"/>
      <c r="E1549" s="10"/>
      <c r="F1549" s="8">
        <f>SUM(F1548)</f>
        <v>900</v>
      </c>
    </row>
    <row r="1550" spans="1:6" s="9" customFormat="1" x14ac:dyDescent="0.25">
      <c r="C1550" s="5"/>
      <c r="E1550" s="10"/>
      <c r="F1550" s="13"/>
    </row>
    <row r="1551" spans="1:6" s="9" customFormat="1" x14ac:dyDescent="0.25">
      <c r="A1551" s="9" t="s">
        <v>46</v>
      </c>
      <c r="B1551" s="4">
        <v>45987</v>
      </c>
      <c r="C1551" s="5">
        <v>30</v>
      </c>
      <c r="D1551" s="9" t="s">
        <v>14</v>
      </c>
      <c r="E1551" s="10">
        <v>180</v>
      </c>
      <c r="F1551" s="13">
        <f t="shared" si="24"/>
        <v>5400</v>
      </c>
    </row>
    <row r="1552" spans="1:6" s="9" customFormat="1" x14ac:dyDescent="0.25">
      <c r="C1552" s="5"/>
      <c r="E1552" s="10"/>
      <c r="F1552" s="8">
        <f>SUM(F1551)</f>
        <v>5400</v>
      </c>
    </row>
    <row r="1553" spans="1:6" s="9" customFormat="1" x14ac:dyDescent="0.25">
      <c r="C1553" s="5"/>
      <c r="E1553" s="10"/>
      <c r="F1553" s="13"/>
    </row>
    <row r="1554" spans="1:6" s="9" customFormat="1" x14ac:dyDescent="0.25">
      <c r="A1554" s="9" t="s">
        <v>47</v>
      </c>
      <c r="B1554" s="4">
        <v>45987</v>
      </c>
      <c r="C1554" s="5">
        <v>22</v>
      </c>
      <c r="D1554" s="9" t="s">
        <v>14</v>
      </c>
      <c r="E1554" s="10">
        <v>185</v>
      </c>
      <c r="F1554" s="13">
        <f t="shared" si="24"/>
        <v>4070</v>
      </c>
    </row>
    <row r="1555" spans="1:6" s="9" customFormat="1" x14ac:dyDescent="0.25">
      <c r="C1555" s="5"/>
      <c r="E1555" s="10"/>
      <c r="F1555" s="8">
        <f>SUM(F1554)</f>
        <v>4070</v>
      </c>
    </row>
    <row r="1556" spans="1:6" s="9" customFormat="1" x14ac:dyDescent="0.25">
      <c r="C1556" s="5"/>
      <c r="E1556" s="10"/>
      <c r="F1556" s="13"/>
    </row>
    <row r="1557" spans="1:6" s="9" customFormat="1" x14ac:dyDescent="0.25">
      <c r="A1557" s="9" t="s">
        <v>145</v>
      </c>
      <c r="B1557" s="4">
        <v>45987</v>
      </c>
      <c r="C1557" s="5">
        <v>50</v>
      </c>
      <c r="D1557" s="9" t="s">
        <v>14</v>
      </c>
      <c r="E1557" s="10">
        <v>180</v>
      </c>
      <c r="F1557" s="13">
        <f t="shared" si="24"/>
        <v>9000</v>
      </c>
    </row>
    <row r="1558" spans="1:6" s="9" customFormat="1" x14ac:dyDescent="0.25">
      <c r="B1558" s="4"/>
      <c r="C1558" s="5"/>
      <c r="E1558" s="10"/>
      <c r="F1558" s="8">
        <f>SUM(F1557)</f>
        <v>9000</v>
      </c>
    </row>
    <row r="1559" spans="1:6" s="9" customFormat="1" x14ac:dyDescent="0.25">
      <c r="C1559" s="5"/>
      <c r="E1559" s="10"/>
      <c r="F1559" s="13"/>
    </row>
    <row r="1560" spans="1:6" s="9" customFormat="1" x14ac:dyDescent="0.25">
      <c r="A1560" s="9" t="s">
        <v>146</v>
      </c>
      <c r="B1560" s="4">
        <v>45987</v>
      </c>
      <c r="C1560" s="5">
        <v>15</v>
      </c>
      <c r="D1560" s="9" t="s">
        <v>741</v>
      </c>
      <c r="E1560" s="10">
        <v>160</v>
      </c>
      <c r="F1560" s="13">
        <f t="shared" si="24"/>
        <v>2400</v>
      </c>
    </row>
    <row r="1561" spans="1:6" s="9" customFormat="1" x14ac:dyDescent="0.25">
      <c r="C1561" s="5"/>
      <c r="E1561" s="10"/>
      <c r="F1561" s="8">
        <f>SUM(F1560)</f>
        <v>2400</v>
      </c>
    </row>
    <row r="1562" spans="1:6" s="9" customFormat="1" x14ac:dyDescent="0.25">
      <c r="B1562" s="4"/>
      <c r="C1562" s="5"/>
      <c r="E1562" s="10"/>
      <c r="F1562" s="13"/>
    </row>
    <row r="1563" spans="1:6" s="9" customFormat="1" x14ac:dyDescent="0.25">
      <c r="A1563" s="9" t="s">
        <v>1003</v>
      </c>
      <c r="B1563" s="4">
        <v>45987</v>
      </c>
      <c r="C1563" s="5">
        <v>1</v>
      </c>
      <c r="D1563" s="9" t="s">
        <v>49</v>
      </c>
      <c r="E1563" s="10">
        <v>190</v>
      </c>
      <c r="F1563" s="13">
        <f t="shared" si="24"/>
        <v>190</v>
      </c>
    </row>
    <row r="1564" spans="1:6" s="9" customFormat="1" x14ac:dyDescent="0.25">
      <c r="C1564" s="5">
        <v>2</v>
      </c>
      <c r="D1564" s="9" t="s">
        <v>11</v>
      </c>
      <c r="E1564" s="10">
        <v>175</v>
      </c>
      <c r="F1564" s="13">
        <f t="shared" si="24"/>
        <v>350</v>
      </c>
    </row>
    <row r="1565" spans="1:6" s="9" customFormat="1" x14ac:dyDescent="0.25">
      <c r="C1565" s="5"/>
      <c r="E1565" s="10"/>
      <c r="F1565" s="8">
        <f>SUM(F1563:F1564)</f>
        <v>540</v>
      </c>
    </row>
    <row r="1566" spans="1:6" s="9" customFormat="1" x14ac:dyDescent="0.25">
      <c r="C1566" s="5"/>
      <c r="E1566" s="10"/>
      <c r="F1566" s="13"/>
    </row>
    <row r="1567" spans="1:6" s="9" customFormat="1" x14ac:dyDescent="0.25">
      <c r="A1567" s="9" t="s">
        <v>160</v>
      </c>
      <c r="B1567" s="4">
        <v>45987</v>
      </c>
      <c r="C1567" s="5">
        <v>4</v>
      </c>
      <c r="D1567" s="9" t="s">
        <v>12</v>
      </c>
      <c r="E1567" s="10">
        <v>180</v>
      </c>
      <c r="F1567" s="13">
        <f t="shared" si="24"/>
        <v>720</v>
      </c>
    </row>
    <row r="1568" spans="1:6" s="9" customFormat="1" x14ac:dyDescent="0.25">
      <c r="B1568" s="4"/>
      <c r="C1568" s="5"/>
      <c r="E1568" s="10"/>
      <c r="F1568" s="8">
        <f>SUM(F1567)</f>
        <v>720</v>
      </c>
    </row>
    <row r="1569" spans="1:6" s="9" customFormat="1" x14ac:dyDescent="0.25">
      <c r="C1569" s="5"/>
      <c r="E1569" s="10"/>
      <c r="F1569" s="13"/>
    </row>
    <row r="1570" spans="1:6" s="9" customFormat="1" x14ac:dyDescent="0.25">
      <c r="A1570" s="9" t="s">
        <v>88</v>
      </c>
      <c r="B1570" s="4">
        <v>45987</v>
      </c>
      <c r="C1570" s="5">
        <v>10</v>
      </c>
      <c r="D1570" s="9" t="s">
        <v>14</v>
      </c>
      <c r="E1570" s="10">
        <v>185</v>
      </c>
      <c r="F1570" s="13">
        <f t="shared" si="24"/>
        <v>1850</v>
      </c>
    </row>
    <row r="1571" spans="1:6" s="9" customFormat="1" x14ac:dyDescent="0.25">
      <c r="B1571" s="4"/>
      <c r="C1571" s="5">
        <v>3</v>
      </c>
      <c r="D1571" s="9" t="s">
        <v>13</v>
      </c>
      <c r="E1571" s="10">
        <v>190</v>
      </c>
      <c r="F1571" s="13">
        <f t="shared" si="24"/>
        <v>570</v>
      </c>
    </row>
    <row r="1572" spans="1:6" s="9" customFormat="1" x14ac:dyDescent="0.25">
      <c r="C1572" s="5"/>
      <c r="E1572" s="10"/>
      <c r="F1572" s="8">
        <f>SUM(F1570:F1571)</f>
        <v>2420</v>
      </c>
    </row>
    <row r="1573" spans="1:6" s="9" customFormat="1" x14ac:dyDescent="0.25">
      <c r="C1573" s="5"/>
      <c r="E1573" s="10"/>
      <c r="F1573" s="13"/>
    </row>
    <row r="1574" spans="1:6" s="9" customFormat="1" x14ac:dyDescent="0.25">
      <c r="A1574" s="9" t="s">
        <v>76</v>
      </c>
      <c r="B1574" s="4">
        <v>45987</v>
      </c>
      <c r="C1574" s="5">
        <v>300</v>
      </c>
      <c r="D1574" s="9" t="s">
        <v>615</v>
      </c>
      <c r="E1574" s="10"/>
      <c r="F1574" s="13">
        <f t="shared" si="24"/>
        <v>0</v>
      </c>
    </row>
    <row r="1575" spans="1:6" s="9" customFormat="1" x14ac:dyDescent="0.25">
      <c r="B1575" s="4"/>
      <c r="C1575" s="5">
        <v>20</v>
      </c>
      <c r="D1575" s="9" t="s">
        <v>1125</v>
      </c>
      <c r="E1575" s="10"/>
      <c r="F1575" s="13">
        <f t="shared" si="24"/>
        <v>0</v>
      </c>
    </row>
    <row r="1576" spans="1:6" s="9" customFormat="1" x14ac:dyDescent="0.25">
      <c r="C1576" s="5">
        <v>64</v>
      </c>
      <c r="D1576" s="9" t="s">
        <v>49</v>
      </c>
      <c r="E1576" s="10"/>
      <c r="F1576" s="13">
        <f t="shared" si="24"/>
        <v>0</v>
      </c>
    </row>
    <row r="1577" spans="1:6" s="9" customFormat="1" x14ac:dyDescent="0.25">
      <c r="C1577" s="5">
        <v>50</v>
      </c>
      <c r="D1577" s="9" t="s">
        <v>1173</v>
      </c>
      <c r="E1577" s="10"/>
      <c r="F1577" s="13">
        <f t="shared" si="24"/>
        <v>0</v>
      </c>
    </row>
    <row r="1578" spans="1:6" s="9" customFormat="1" x14ac:dyDescent="0.25">
      <c r="B1578" s="4"/>
      <c r="C1578" s="5">
        <v>108</v>
      </c>
      <c r="D1578" s="9" t="s">
        <v>50</v>
      </c>
      <c r="E1578" s="10"/>
      <c r="F1578" s="13">
        <f t="shared" si="24"/>
        <v>0</v>
      </c>
    </row>
    <row r="1579" spans="1:6" s="9" customFormat="1" x14ac:dyDescent="0.25">
      <c r="C1579" s="5"/>
      <c r="E1579" s="10"/>
      <c r="F1579" s="8">
        <f>SUM(F1574:F1578)</f>
        <v>0</v>
      </c>
    </row>
    <row r="1580" spans="1:6" s="9" customFormat="1" x14ac:dyDescent="0.25">
      <c r="C1580" s="5"/>
      <c r="E1580" s="10"/>
      <c r="F1580" s="13"/>
    </row>
    <row r="1581" spans="1:6" s="9" customFormat="1" x14ac:dyDescent="0.25">
      <c r="A1581" s="9" t="s">
        <v>72</v>
      </c>
      <c r="B1581" s="4">
        <v>45987</v>
      </c>
      <c r="C1581" s="5">
        <v>170</v>
      </c>
      <c r="D1581" s="9" t="s">
        <v>13</v>
      </c>
      <c r="E1581" s="10">
        <v>170</v>
      </c>
      <c r="F1581" s="13">
        <f t="shared" si="24"/>
        <v>28900</v>
      </c>
    </row>
    <row r="1582" spans="1:6" s="9" customFormat="1" x14ac:dyDescent="0.25">
      <c r="C1582" s="5">
        <v>110</v>
      </c>
      <c r="D1582" s="9" t="s">
        <v>12</v>
      </c>
      <c r="E1582" s="10">
        <v>165</v>
      </c>
      <c r="F1582" s="13">
        <f t="shared" si="24"/>
        <v>18150</v>
      </c>
    </row>
    <row r="1583" spans="1:6" s="9" customFormat="1" x14ac:dyDescent="0.25">
      <c r="C1583" s="5">
        <v>120</v>
      </c>
      <c r="D1583" s="9" t="s">
        <v>121</v>
      </c>
      <c r="E1583" s="10">
        <v>170</v>
      </c>
      <c r="F1583" s="13">
        <f t="shared" si="24"/>
        <v>20400</v>
      </c>
    </row>
    <row r="1584" spans="1:6" s="9" customFormat="1" x14ac:dyDescent="0.25">
      <c r="B1584" s="4"/>
      <c r="C1584" s="5">
        <v>40</v>
      </c>
      <c r="D1584" s="9" t="s">
        <v>11</v>
      </c>
      <c r="E1584" s="10">
        <v>165</v>
      </c>
      <c r="F1584" s="13">
        <f t="shared" si="24"/>
        <v>6600</v>
      </c>
    </row>
    <row r="1585" spans="1:6" s="9" customFormat="1" x14ac:dyDescent="0.25">
      <c r="C1585" s="5"/>
      <c r="E1585" s="10"/>
      <c r="F1585" s="8">
        <f>SUM(F1581:F1584)</f>
        <v>74050</v>
      </c>
    </row>
    <row r="1586" spans="1:6" s="9" customFormat="1" x14ac:dyDescent="0.25">
      <c r="C1586" s="5"/>
      <c r="E1586" s="10"/>
      <c r="F1586" s="13"/>
    </row>
    <row r="1587" spans="1:6" s="9" customFormat="1" x14ac:dyDescent="0.25">
      <c r="A1587" s="9" t="s">
        <v>245</v>
      </c>
      <c r="B1587" s="4">
        <v>45987</v>
      </c>
      <c r="C1587" s="5">
        <v>20</v>
      </c>
      <c r="D1587" s="9" t="s">
        <v>14</v>
      </c>
      <c r="E1587" s="10">
        <v>165</v>
      </c>
      <c r="F1587" s="13">
        <f t="shared" si="24"/>
        <v>3300</v>
      </c>
    </row>
    <row r="1588" spans="1:6" s="9" customFormat="1" x14ac:dyDescent="0.25">
      <c r="C1588" s="5"/>
      <c r="E1588" s="10"/>
      <c r="F1588" s="8">
        <f>SUM(F1587)</f>
        <v>3300</v>
      </c>
    </row>
    <row r="1589" spans="1:6" s="9" customFormat="1" x14ac:dyDescent="0.25">
      <c r="C1589" s="5"/>
      <c r="E1589" s="10"/>
      <c r="F1589" s="13"/>
    </row>
    <row r="1590" spans="1:6" s="9" customFormat="1" x14ac:dyDescent="0.25">
      <c r="A1590" s="9" t="s">
        <v>101</v>
      </c>
      <c r="B1590" s="4">
        <v>45987</v>
      </c>
      <c r="C1590" s="5">
        <v>2</v>
      </c>
      <c r="D1590" s="9" t="s">
        <v>98</v>
      </c>
      <c r="E1590" s="10">
        <v>135</v>
      </c>
      <c r="F1590" s="13">
        <f t="shared" si="24"/>
        <v>270</v>
      </c>
    </row>
    <row r="1591" spans="1:6" s="9" customFormat="1" x14ac:dyDescent="0.25">
      <c r="C1591" s="5">
        <v>3</v>
      </c>
      <c r="D1591" s="9" t="s">
        <v>13</v>
      </c>
      <c r="E1591" s="10">
        <v>185</v>
      </c>
      <c r="F1591" s="13">
        <f t="shared" si="24"/>
        <v>555</v>
      </c>
    </row>
    <row r="1592" spans="1:6" s="9" customFormat="1" x14ac:dyDescent="0.25">
      <c r="C1592" s="5">
        <v>12</v>
      </c>
      <c r="D1592" s="9" t="s">
        <v>8</v>
      </c>
      <c r="E1592" s="10">
        <v>185</v>
      </c>
      <c r="F1592" s="13">
        <f t="shared" si="24"/>
        <v>2220</v>
      </c>
    </row>
    <row r="1593" spans="1:6" s="9" customFormat="1" x14ac:dyDescent="0.25">
      <c r="B1593" s="4"/>
      <c r="C1593" s="5"/>
      <c r="E1593" s="10"/>
      <c r="F1593" s="8">
        <f>SUM(F1590:F1592)</f>
        <v>3045</v>
      </c>
    </row>
    <row r="1594" spans="1:6" s="9" customFormat="1" x14ac:dyDescent="0.25">
      <c r="C1594" s="5"/>
      <c r="E1594" s="10"/>
      <c r="F1594" s="13"/>
    </row>
    <row r="1595" spans="1:6" s="9" customFormat="1" x14ac:dyDescent="0.25">
      <c r="A1595" s="9" t="s">
        <v>181</v>
      </c>
      <c r="B1595" s="4">
        <v>45987</v>
      </c>
      <c r="C1595" s="5">
        <v>1</v>
      </c>
      <c r="D1595" s="9" t="s">
        <v>8</v>
      </c>
      <c r="E1595" s="10">
        <v>195</v>
      </c>
      <c r="F1595" s="13">
        <f t="shared" si="24"/>
        <v>195</v>
      </c>
    </row>
    <row r="1596" spans="1:6" s="9" customFormat="1" x14ac:dyDescent="0.25">
      <c r="B1596" s="4"/>
      <c r="C1596" s="5">
        <v>3</v>
      </c>
      <c r="D1596" s="9" t="s">
        <v>13</v>
      </c>
      <c r="E1596" s="10">
        <v>185</v>
      </c>
      <c r="F1596" s="13">
        <f t="shared" si="24"/>
        <v>555</v>
      </c>
    </row>
    <row r="1597" spans="1:6" s="9" customFormat="1" x14ac:dyDescent="0.25">
      <c r="C1597" s="5">
        <v>2</v>
      </c>
      <c r="D1597" s="9" t="s">
        <v>12</v>
      </c>
      <c r="E1597" s="10">
        <v>175</v>
      </c>
      <c r="F1597" s="13">
        <f t="shared" si="24"/>
        <v>350</v>
      </c>
    </row>
    <row r="1598" spans="1:6" s="9" customFormat="1" x14ac:dyDescent="0.25">
      <c r="C1598" s="5">
        <v>1</v>
      </c>
      <c r="D1598" s="9" t="s">
        <v>49</v>
      </c>
      <c r="E1598" s="10">
        <v>195</v>
      </c>
      <c r="F1598" s="13">
        <f t="shared" si="24"/>
        <v>195</v>
      </c>
    </row>
    <row r="1599" spans="1:6" s="9" customFormat="1" x14ac:dyDescent="0.25">
      <c r="B1599" s="4"/>
      <c r="C1599" s="5">
        <v>4</v>
      </c>
      <c r="D1599" s="9" t="s">
        <v>8</v>
      </c>
      <c r="E1599" s="10">
        <v>195</v>
      </c>
      <c r="F1599" s="13">
        <f t="shared" si="24"/>
        <v>780</v>
      </c>
    </row>
    <row r="1600" spans="1:6" s="9" customFormat="1" x14ac:dyDescent="0.25">
      <c r="C1600" s="5">
        <v>1</v>
      </c>
      <c r="D1600" s="9" t="s">
        <v>8</v>
      </c>
      <c r="E1600" s="10">
        <v>195</v>
      </c>
      <c r="F1600" s="13">
        <f t="shared" si="24"/>
        <v>195</v>
      </c>
    </row>
    <row r="1601" spans="1:6" s="9" customFormat="1" x14ac:dyDescent="0.25">
      <c r="C1601" s="5">
        <v>1</v>
      </c>
      <c r="D1601" s="9" t="s">
        <v>8</v>
      </c>
      <c r="E1601" s="10">
        <v>195</v>
      </c>
      <c r="F1601" s="13">
        <f t="shared" si="24"/>
        <v>195</v>
      </c>
    </row>
    <row r="1602" spans="1:6" s="9" customFormat="1" x14ac:dyDescent="0.25">
      <c r="C1602" s="5">
        <v>2</v>
      </c>
      <c r="D1602" s="9" t="s">
        <v>12</v>
      </c>
      <c r="E1602" s="10">
        <v>175</v>
      </c>
      <c r="F1602" s="13">
        <f t="shared" si="24"/>
        <v>350</v>
      </c>
    </row>
    <row r="1603" spans="1:6" s="9" customFormat="1" x14ac:dyDescent="0.25">
      <c r="C1603" s="5">
        <v>1</v>
      </c>
      <c r="D1603" s="9" t="s">
        <v>13</v>
      </c>
      <c r="E1603" s="10">
        <v>0</v>
      </c>
      <c r="F1603" s="13">
        <f t="shared" ref="F1603:F1666" si="25">+C1603*E1603</f>
        <v>0</v>
      </c>
    </row>
    <row r="1604" spans="1:6" s="9" customFormat="1" x14ac:dyDescent="0.25">
      <c r="C1604" s="5">
        <v>1</v>
      </c>
      <c r="D1604" s="9" t="s">
        <v>8</v>
      </c>
      <c r="E1604" s="10">
        <v>195</v>
      </c>
      <c r="F1604" s="13">
        <f t="shared" si="25"/>
        <v>195</v>
      </c>
    </row>
    <row r="1605" spans="1:6" s="9" customFormat="1" x14ac:dyDescent="0.25">
      <c r="B1605" s="4"/>
      <c r="C1605" s="5">
        <v>1</v>
      </c>
      <c r="D1605" s="9" t="s">
        <v>1174</v>
      </c>
      <c r="E1605" s="10">
        <v>135</v>
      </c>
      <c r="F1605" s="13">
        <f t="shared" si="25"/>
        <v>135</v>
      </c>
    </row>
    <row r="1606" spans="1:6" s="9" customFormat="1" x14ac:dyDescent="0.25">
      <c r="C1606" s="5">
        <v>2</v>
      </c>
      <c r="D1606" s="9" t="s">
        <v>264</v>
      </c>
      <c r="E1606" s="10">
        <v>140</v>
      </c>
      <c r="F1606" s="13">
        <f t="shared" si="25"/>
        <v>280</v>
      </c>
    </row>
    <row r="1607" spans="1:6" s="9" customFormat="1" x14ac:dyDescent="0.25">
      <c r="C1607" s="5"/>
      <c r="E1607" s="10"/>
      <c r="F1607" s="8">
        <f>SUM(F1595:F1606)</f>
        <v>3425</v>
      </c>
    </row>
    <row r="1608" spans="1:6" s="9" customFormat="1" x14ac:dyDescent="0.25">
      <c r="C1608" s="5"/>
      <c r="E1608" s="10"/>
      <c r="F1608" s="13"/>
    </row>
    <row r="1609" spans="1:6" s="9" customFormat="1" x14ac:dyDescent="0.25">
      <c r="A1609" s="9" t="s">
        <v>487</v>
      </c>
      <c r="B1609" s="4">
        <v>45988</v>
      </c>
      <c r="C1609" s="5">
        <v>5</v>
      </c>
      <c r="D1609" s="9" t="s">
        <v>12</v>
      </c>
      <c r="E1609" s="10">
        <v>180</v>
      </c>
      <c r="F1609" s="13">
        <f t="shared" si="25"/>
        <v>900</v>
      </c>
    </row>
    <row r="1610" spans="1:6" s="9" customFormat="1" x14ac:dyDescent="0.25">
      <c r="C1610" s="5"/>
      <c r="E1610" s="10"/>
      <c r="F1610" s="8">
        <f>SUM(F1609)</f>
        <v>900</v>
      </c>
    </row>
    <row r="1611" spans="1:6" s="9" customFormat="1" x14ac:dyDescent="0.25">
      <c r="C1611" s="5"/>
      <c r="E1611" s="10"/>
      <c r="F1611" s="13"/>
    </row>
    <row r="1612" spans="1:6" s="9" customFormat="1" x14ac:dyDescent="0.25">
      <c r="A1612" s="9" t="s">
        <v>114</v>
      </c>
      <c r="B1612" s="4">
        <v>45988</v>
      </c>
      <c r="C1612" s="5">
        <v>3</v>
      </c>
      <c r="D1612" s="9" t="s">
        <v>13</v>
      </c>
      <c r="E1612" s="10">
        <v>190</v>
      </c>
      <c r="F1612" s="13">
        <f t="shared" si="25"/>
        <v>570</v>
      </c>
    </row>
    <row r="1613" spans="1:6" s="9" customFormat="1" x14ac:dyDescent="0.25">
      <c r="B1613" s="4"/>
      <c r="C1613" s="5"/>
      <c r="E1613" s="10"/>
      <c r="F1613" s="8">
        <f>SUM(F1612)</f>
        <v>570</v>
      </c>
    </row>
    <row r="1614" spans="1:6" s="9" customFormat="1" x14ac:dyDescent="0.25">
      <c r="C1614" s="5"/>
      <c r="E1614" s="10"/>
      <c r="F1614" s="13"/>
    </row>
    <row r="1615" spans="1:6" s="9" customFormat="1" x14ac:dyDescent="0.25">
      <c r="A1615" s="9" t="s">
        <v>245</v>
      </c>
      <c r="B1615" s="4">
        <v>45988</v>
      </c>
      <c r="C1615" s="5">
        <v>20</v>
      </c>
      <c r="D1615" s="9" t="s">
        <v>14</v>
      </c>
      <c r="E1615" s="10">
        <v>175</v>
      </c>
      <c r="F1615" s="13">
        <f t="shared" si="25"/>
        <v>3500</v>
      </c>
    </row>
    <row r="1616" spans="1:6" s="9" customFormat="1" x14ac:dyDescent="0.25">
      <c r="B1616" s="4"/>
      <c r="C1616" s="5"/>
      <c r="E1616" s="10"/>
      <c r="F1616" s="8">
        <f>SUM(F1615)</f>
        <v>3500</v>
      </c>
    </row>
    <row r="1617" spans="1:6" s="9" customFormat="1" x14ac:dyDescent="0.25">
      <c r="C1617" s="5"/>
      <c r="E1617" s="10"/>
      <c r="F1617" s="13"/>
    </row>
    <row r="1618" spans="1:6" s="9" customFormat="1" x14ac:dyDescent="0.25">
      <c r="A1618" s="9" t="s">
        <v>102</v>
      </c>
      <c r="B1618" s="4">
        <v>45988</v>
      </c>
      <c r="C1618" s="5">
        <v>5</v>
      </c>
      <c r="D1618" s="9" t="s">
        <v>13</v>
      </c>
      <c r="E1618" s="10">
        <v>190</v>
      </c>
      <c r="F1618" s="13">
        <f t="shared" si="25"/>
        <v>950</v>
      </c>
    </row>
    <row r="1619" spans="1:6" s="9" customFormat="1" x14ac:dyDescent="0.25">
      <c r="B1619" s="4"/>
      <c r="C1619" s="5"/>
      <c r="E1619" s="10"/>
      <c r="F1619" s="8">
        <f>SUM(F1618)</f>
        <v>950</v>
      </c>
    </row>
    <row r="1620" spans="1:6" s="9" customFormat="1" x14ac:dyDescent="0.25">
      <c r="C1620" s="5"/>
      <c r="E1620" s="10"/>
      <c r="F1620" s="13"/>
    </row>
    <row r="1621" spans="1:6" s="9" customFormat="1" x14ac:dyDescent="0.25">
      <c r="A1621" s="9" t="s">
        <v>544</v>
      </c>
      <c r="B1621" s="4">
        <v>45988</v>
      </c>
      <c r="C1621" s="5">
        <v>5</v>
      </c>
      <c r="D1621" s="9" t="s">
        <v>12</v>
      </c>
      <c r="E1621" s="10">
        <v>180</v>
      </c>
      <c r="F1621" s="13">
        <f t="shared" si="25"/>
        <v>900</v>
      </c>
    </row>
    <row r="1622" spans="1:6" s="9" customFormat="1" x14ac:dyDescent="0.25">
      <c r="C1622" s="5"/>
      <c r="E1622" s="10"/>
      <c r="F1622" s="8">
        <f>SUM(F1621)</f>
        <v>900</v>
      </c>
    </row>
    <row r="1623" spans="1:6" s="9" customFormat="1" x14ac:dyDescent="0.25">
      <c r="C1623" s="5"/>
      <c r="E1623" s="10"/>
      <c r="F1623" s="13"/>
    </row>
    <row r="1624" spans="1:6" s="9" customFormat="1" x14ac:dyDescent="0.25">
      <c r="A1624" s="9" t="s">
        <v>404</v>
      </c>
      <c r="B1624" s="4">
        <v>45988</v>
      </c>
      <c r="C1624" s="5">
        <v>50</v>
      </c>
      <c r="D1624" s="9" t="s">
        <v>12</v>
      </c>
      <c r="E1624" s="10">
        <v>180</v>
      </c>
      <c r="F1624" s="13">
        <f t="shared" si="25"/>
        <v>9000</v>
      </c>
    </row>
    <row r="1625" spans="1:6" s="9" customFormat="1" x14ac:dyDescent="0.25">
      <c r="C1625" s="5">
        <v>20</v>
      </c>
      <c r="D1625" s="9" t="s">
        <v>1105</v>
      </c>
      <c r="E1625" s="10">
        <v>175</v>
      </c>
      <c r="F1625" s="13">
        <f t="shared" si="25"/>
        <v>3500</v>
      </c>
    </row>
    <row r="1626" spans="1:6" s="9" customFormat="1" x14ac:dyDescent="0.25">
      <c r="C1626" s="5"/>
      <c r="E1626" s="10"/>
      <c r="F1626" s="8">
        <f>SUM(F1624:F1625)</f>
        <v>12500</v>
      </c>
    </row>
    <row r="1627" spans="1:6" s="9" customFormat="1" x14ac:dyDescent="0.25">
      <c r="C1627" s="5"/>
      <c r="E1627" s="10"/>
      <c r="F1627" s="13"/>
    </row>
    <row r="1628" spans="1:6" s="9" customFormat="1" x14ac:dyDescent="0.25">
      <c r="A1628" s="9" t="s">
        <v>29</v>
      </c>
      <c r="B1628" s="4">
        <v>45988</v>
      </c>
      <c r="C1628" s="5">
        <v>2</v>
      </c>
      <c r="D1628" s="9" t="s">
        <v>12</v>
      </c>
      <c r="E1628" s="10">
        <v>175</v>
      </c>
      <c r="F1628" s="13">
        <f t="shared" si="25"/>
        <v>350</v>
      </c>
    </row>
    <row r="1629" spans="1:6" s="9" customFormat="1" x14ac:dyDescent="0.25">
      <c r="C1629" s="5">
        <v>2</v>
      </c>
      <c r="D1629" s="9" t="s">
        <v>8</v>
      </c>
      <c r="E1629" s="10">
        <v>195</v>
      </c>
      <c r="F1629" s="13">
        <f t="shared" si="25"/>
        <v>390</v>
      </c>
    </row>
    <row r="1630" spans="1:6" s="9" customFormat="1" x14ac:dyDescent="0.25">
      <c r="C1630" s="5">
        <v>10</v>
      </c>
      <c r="D1630" s="9" t="s">
        <v>707</v>
      </c>
      <c r="E1630" s="10">
        <v>180</v>
      </c>
      <c r="F1630" s="13">
        <f t="shared" si="25"/>
        <v>1800</v>
      </c>
    </row>
    <row r="1631" spans="1:6" s="9" customFormat="1" x14ac:dyDescent="0.25">
      <c r="C1631" s="5">
        <v>5</v>
      </c>
      <c r="D1631" s="9" t="s">
        <v>12</v>
      </c>
      <c r="E1631" s="10">
        <v>170</v>
      </c>
      <c r="F1631" s="13">
        <f t="shared" si="25"/>
        <v>850</v>
      </c>
    </row>
    <row r="1632" spans="1:6" s="9" customFormat="1" x14ac:dyDescent="0.25">
      <c r="B1632" s="4"/>
      <c r="C1632" s="5">
        <v>1</v>
      </c>
      <c r="D1632" s="9" t="s">
        <v>8</v>
      </c>
      <c r="E1632" s="10">
        <v>180</v>
      </c>
      <c r="F1632" s="13">
        <f t="shared" si="25"/>
        <v>180</v>
      </c>
    </row>
    <row r="1633" spans="1:6" s="9" customFormat="1" x14ac:dyDescent="0.25">
      <c r="C1633" s="5">
        <v>1</v>
      </c>
      <c r="D1633" s="9" t="s">
        <v>1175</v>
      </c>
      <c r="E1633" s="10">
        <v>195</v>
      </c>
      <c r="F1633" s="13">
        <f t="shared" si="25"/>
        <v>195</v>
      </c>
    </row>
    <row r="1634" spans="1:6" s="9" customFormat="1" x14ac:dyDescent="0.25">
      <c r="C1634" s="5">
        <v>4</v>
      </c>
      <c r="D1634" s="9" t="s">
        <v>12</v>
      </c>
      <c r="E1634" s="10">
        <v>175</v>
      </c>
      <c r="F1634" s="13">
        <f t="shared" si="25"/>
        <v>700</v>
      </c>
    </row>
    <row r="1635" spans="1:6" s="9" customFormat="1" x14ac:dyDescent="0.25">
      <c r="C1635" s="5">
        <v>2</v>
      </c>
      <c r="D1635" s="9" t="s">
        <v>8</v>
      </c>
      <c r="E1635" s="10">
        <v>190</v>
      </c>
      <c r="F1635" s="13">
        <f t="shared" si="25"/>
        <v>380</v>
      </c>
    </row>
    <row r="1636" spans="1:6" s="9" customFormat="1" x14ac:dyDescent="0.25">
      <c r="B1636" s="4"/>
      <c r="C1636" s="11">
        <v>0.5</v>
      </c>
      <c r="D1636" s="9" t="s">
        <v>12</v>
      </c>
      <c r="E1636" s="10">
        <v>175</v>
      </c>
      <c r="F1636" s="13">
        <f t="shared" si="25"/>
        <v>87.5</v>
      </c>
    </row>
    <row r="1637" spans="1:6" s="9" customFormat="1" x14ac:dyDescent="0.25">
      <c r="C1637" s="5">
        <v>1</v>
      </c>
      <c r="D1637" s="9" t="s">
        <v>8</v>
      </c>
      <c r="E1637" s="10">
        <v>190</v>
      </c>
      <c r="F1637" s="13">
        <f t="shared" si="25"/>
        <v>190</v>
      </c>
    </row>
    <row r="1638" spans="1:6" s="9" customFormat="1" x14ac:dyDescent="0.25">
      <c r="C1638" s="5">
        <v>1</v>
      </c>
      <c r="D1638" s="9" t="s">
        <v>729</v>
      </c>
      <c r="E1638" s="10">
        <v>140</v>
      </c>
      <c r="F1638" s="13">
        <f t="shared" si="25"/>
        <v>140</v>
      </c>
    </row>
    <row r="1639" spans="1:6" s="9" customFormat="1" x14ac:dyDescent="0.25">
      <c r="C1639" s="5"/>
      <c r="E1639" s="10"/>
      <c r="F1639" s="8">
        <f>SUM(F1628:F1638)</f>
        <v>5262.5</v>
      </c>
    </row>
    <row r="1640" spans="1:6" s="9" customFormat="1" x14ac:dyDescent="0.25">
      <c r="B1640" s="4"/>
      <c r="C1640" s="5"/>
      <c r="E1640" s="10"/>
      <c r="F1640" s="13"/>
    </row>
    <row r="1641" spans="1:6" s="9" customFormat="1" x14ac:dyDescent="0.25">
      <c r="A1641" s="9" t="s">
        <v>7</v>
      </c>
      <c r="B1641" s="4">
        <v>45988</v>
      </c>
      <c r="C1641" s="5">
        <v>3</v>
      </c>
      <c r="D1641" s="9" t="s">
        <v>8</v>
      </c>
      <c r="E1641" s="10">
        <v>195</v>
      </c>
      <c r="F1641" s="13">
        <v>3</v>
      </c>
    </row>
    <row r="1642" spans="1:6" s="9" customFormat="1" x14ac:dyDescent="0.25">
      <c r="C1642" s="5">
        <v>1</v>
      </c>
      <c r="D1642" s="9" t="s">
        <v>787</v>
      </c>
      <c r="E1642" s="10">
        <v>140</v>
      </c>
      <c r="F1642" s="13">
        <f t="shared" si="25"/>
        <v>140</v>
      </c>
    </row>
    <row r="1643" spans="1:6" s="9" customFormat="1" x14ac:dyDescent="0.25">
      <c r="C1643" s="11">
        <v>4.5</v>
      </c>
      <c r="D1643" s="9" t="s">
        <v>8</v>
      </c>
      <c r="E1643" s="10">
        <v>195</v>
      </c>
      <c r="F1643" s="13">
        <f t="shared" si="25"/>
        <v>877.5</v>
      </c>
    </row>
    <row r="1644" spans="1:6" s="9" customFormat="1" x14ac:dyDescent="0.25">
      <c r="C1644" s="5">
        <v>1</v>
      </c>
      <c r="D1644" s="9" t="s">
        <v>1157</v>
      </c>
      <c r="E1644" s="10">
        <v>130</v>
      </c>
      <c r="F1644" s="13">
        <f t="shared" si="25"/>
        <v>130</v>
      </c>
    </row>
    <row r="1645" spans="1:6" s="9" customFormat="1" x14ac:dyDescent="0.25">
      <c r="C1645" s="5"/>
      <c r="E1645" s="10"/>
      <c r="F1645" s="8">
        <f>SUM(F1641:F1644)</f>
        <v>1150.5</v>
      </c>
    </row>
    <row r="1646" spans="1:6" s="9" customFormat="1" x14ac:dyDescent="0.25">
      <c r="C1646" s="5"/>
      <c r="E1646" s="10"/>
      <c r="F1646" s="13"/>
    </row>
    <row r="1647" spans="1:6" s="9" customFormat="1" x14ac:dyDescent="0.25">
      <c r="A1647" s="9" t="s">
        <v>41</v>
      </c>
      <c r="B1647" s="4">
        <v>45989</v>
      </c>
      <c r="C1647" s="5">
        <v>40</v>
      </c>
      <c r="D1647" s="9" t="s">
        <v>14</v>
      </c>
      <c r="E1647" s="10">
        <v>165</v>
      </c>
      <c r="F1647" s="13">
        <f t="shared" si="25"/>
        <v>6600</v>
      </c>
    </row>
    <row r="1648" spans="1:6" s="9" customFormat="1" x14ac:dyDescent="0.25">
      <c r="C1648" s="5"/>
      <c r="E1648" s="10"/>
      <c r="F1648" s="8">
        <f>SUM(F1647)</f>
        <v>6600</v>
      </c>
    </row>
    <row r="1649" spans="1:6" s="9" customFormat="1" x14ac:dyDescent="0.25">
      <c r="C1649" s="5"/>
      <c r="E1649" s="10"/>
      <c r="F1649" s="13"/>
    </row>
    <row r="1650" spans="1:6" s="9" customFormat="1" x14ac:dyDescent="0.25">
      <c r="A1650" s="9" t="s">
        <v>43</v>
      </c>
      <c r="B1650" s="4">
        <v>45989</v>
      </c>
      <c r="C1650" s="5">
        <v>30</v>
      </c>
      <c r="D1650" s="9" t="s">
        <v>14</v>
      </c>
      <c r="E1650" s="10">
        <v>185</v>
      </c>
      <c r="F1650" s="13">
        <f t="shared" si="25"/>
        <v>5550</v>
      </c>
    </row>
    <row r="1651" spans="1:6" s="9" customFormat="1" x14ac:dyDescent="0.25">
      <c r="C1651" s="5"/>
      <c r="E1651" s="10"/>
      <c r="F1651" s="8">
        <f>SUM(F1650)</f>
        <v>5550</v>
      </c>
    </row>
    <row r="1652" spans="1:6" s="9" customFormat="1" x14ac:dyDescent="0.25">
      <c r="C1652" s="5"/>
      <c r="E1652" s="10"/>
      <c r="F1652" s="13"/>
    </row>
    <row r="1653" spans="1:6" s="9" customFormat="1" x14ac:dyDescent="0.25">
      <c r="A1653" s="9" t="s">
        <v>44</v>
      </c>
      <c r="B1653" s="4">
        <v>45989</v>
      </c>
      <c r="C1653" s="5">
        <v>100</v>
      </c>
      <c r="D1653" s="9" t="s">
        <v>14</v>
      </c>
      <c r="E1653" s="10">
        <v>185</v>
      </c>
      <c r="F1653" s="13">
        <f t="shared" si="25"/>
        <v>18500</v>
      </c>
    </row>
    <row r="1654" spans="1:6" s="9" customFormat="1" x14ac:dyDescent="0.25">
      <c r="C1654" s="5"/>
      <c r="E1654" s="10"/>
      <c r="F1654" s="8">
        <f>SUM(F1653)</f>
        <v>18500</v>
      </c>
    </row>
    <row r="1655" spans="1:6" s="9" customFormat="1" x14ac:dyDescent="0.25">
      <c r="C1655" s="5"/>
      <c r="E1655" s="10"/>
      <c r="F1655" s="13"/>
    </row>
    <row r="1656" spans="1:6" s="9" customFormat="1" x14ac:dyDescent="0.25">
      <c r="A1656" s="9" t="s">
        <v>138</v>
      </c>
      <c r="B1656" s="4">
        <v>45989</v>
      </c>
      <c r="C1656" s="5">
        <v>10</v>
      </c>
      <c r="D1656" s="9" t="s">
        <v>14</v>
      </c>
      <c r="E1656" s="10">
        <v>185</v>
      </c>
      <c r="F1656" s="13">
        <f t="shared" si="25"/>
        <v>1850</v>
      </c>
    </row>
    <row r="1657" spans="1:6" s="9" customFormat="1" x14ac:dyDescent="0.25">
      <c r="C1657" s="5"/>
      <c r="E1657" s="10"/>
      <c r="F1657" s="8">
        <f>SUM(F1656)</f>
        <v>1850</v>
      </c>
    </row>
    <row r="1658" spans="1:6" s="9" customFormat="1" x14ac:dyDescent="0.25">
      <c r="C1658" s="5"/>
      <c r="E1658" s="10"/>
      <c r="F1658" s="13"/>
    </row>
    <row r="1659" spans="1:6" s="9" customFormat="1" x14ac:dyDescent="0.25">
      <c r="A1659" s="9" t="s">
        <v>145</v>
      </c>
      <c r="B1659" s="4">
        <v>45989</v>
      </c>
      <c r="C1659" s="5">
        <v>30</v>
      </c>
      <c r="D1659" s="9" t="s">
        <v>14</v>
      </c>
      <c r="E1659" s="10">
        <v>185</v>
      </c>
      <c r="F1659" s="13">
        <f t="shared" si="25"/>
        <v>5550</v>
      </c>
    </row>
    <row r="1660" spans="1:6" s="9" customFormat="1" x14ac:dyDescent="0.25">
      <c r="C1660" s="5"/>
      <c r="E1660" s="10"/>
      <c r="F1660" s="8">
        <f>SUM(F1659)</f>
        <v>5550</v>
      </c>
    </row>
    <row r="1661" spans="1:6" s="9" customFormat="1" x14ac:dyDescent="0.25">
      <c r="C1661" s="5"/>
      <c r="E1661" s="10"/>
      <c r="F1661" s="13"/>
    </row>
    <row r="1662" spans="1:6" s="9" customFormat="1" x14ac:dyDescent="0.25">
      <c r="A1662" s="9" t="s">
        <v>292</v>
      </c>
      <c r="B1662" s="4">
        <v>45989</v>
      </c>
      <c r="C1662" s="5">
        <v>15</v>
      </c>
      <c r="D1662" s="9" t="s">
        <v>12</v>
      </c>
      <c r="E1662" s="10">
        <v>170</v>
      </c>
      <c r="F1662" s="13">
        <f t="shared" si="25"/>
        <v>2550</v>
      </c>
    </row>
    <row r="1663" spans="1:6" s="9" customFormat="1" x14ac:dyDescent="0.25">
      <c r="B1663" s="4"/>
      <c r="C1663" s="5">
        <v>2</v>
      </c>
      <c r="D1663" s="9" t="s">
        <v>8</v>
      </c>
      <c r="E1663" s="10">
        <v>185</v>
      </c>
      <c r="F1663" s="13">
        <f t="shared" si="25"/>
        <v>370</v>
      </c>
    </row>
    <row r="1664" spans="1:6" s="9" customFormat="1" x14ac:dyDescent="0.25">
      <c r="C1664" s="5"/>
      <c r="E1664" s="10"/>
      <c r="F1664" s="8">
        <f>SUM(F1662:F1663)</f>
        <v>2920</v>
      </c>
    </row>
    <row r="1665" spans="1:6" s="9" customFormat="1" x14ac:dyDescent="0.25">
      <c r="C1665" s="5"/>
      <c r="E1665" s="10"/>
      <c r="F1665" s="13"/>
    </row>
    <row r="1666" spans="1:6" s="9" customFormat="1" x14ac:dyDescent="0.25">
      <c r="A1666" s="9" t="s">
        <v>184</v>
      </c>
      <c r="B1666" s="4">
        <v>45989</v>
      </c>
      <c r="C1666" s="5">
        <v>5</v>
      </c>
      <c r="D1666" s="9" t="s">
        <v>13</v>
      </c>
      <c r="E1666" s="10">
        <v>190</v>
      </c>
      <c r="F1666" s="13">
        <f t="shared" si="25"/>
        <v>950</v>
      </c>
    </row>
    <row r="1667" spans="1:6" s="9" customFormat="1" x14ac:dyDescent="0.25">
      <c r="C1667" s="5"/>
      <c r="E1667" s="10"/>
      <c r="F1667" s="8">
        <f>SUM(F1666)</f>
        <v>950</v>
      </c>
    </row>
    <row r="1668" spans="1:6" s="9" customFormat="1" x14ac:dyDescent="0.25">
      <c r="B1668" s="4"/>
      <c r="C1668" s="5"/>
      <c r="E1668" s="10"/>
      <c r="F1668" s="13"/>
    </row>
    <row r="1669" spans="1:6" s="9" customFormat="1" x14ac:dyDescent="0.25">
      <c r="A1669" s="9" t="s">
        <v>317</v>
      </c>
      <c r="B1669" s="4">
        <v>45989</v>
      </c>
      <c r="C1669" s="5">
        <v>3</v>
      </c>
      <c r="D1669" s="9" t="s">
        <v>13</v>
      </c>
      <c r="E1669" s="10">
        <v>190</v>
      </c>
      <c r="F1669" s="13">
        <f t="shared" ref="F1669:F1730" si="26">+C1669*E1669</f>
        <v>570</v>
      </c>
    </row>
    <row r="1670" spans="1:6" s="9" customFormat="1" x14ac:dyDescent="0.25">
      <c r="C1670" s="5"/>
      <c r="E1670" s="10"/>
      <c r="F1670" s="8">
        <f>SUM(F1669)</f>
        <v>570</v>
      </c>
    </row>
    <row r="1671" spans="1:6" s="9" customFormat="1" x14ac:dyDescent="0.25">
      <c r="C1671" s="5"/>
      <c r="E1671" s="10"/>
      <c r="F1671" s="13"/>
    </row>
    <row r="1672" spans="1:6" s="9" customFormat="1" x14ac:dyDescent="0.25">
      <c r="A1672" s="9" t="s">
        <v>1176</v>
      </c>
      <c r="B1672" s="4">
        <v>45989</v>
      </c>
      <c r="C1672" s="5">
        <v>4</v>
      </c>
      <c r="D1672" s="9" t="s">
        <v>13</v>
      </c>
      <c r="E1672" s="10">
        <v>190</v>
      </c>
      <c r="F1672" s="13">
        <f t="shared" si="26"/>
        <v>760</v>
      </c>
    </row>
    <row r="1673" spans="1:6" s="9" customFormat="1" x14ac:dyDescent="0.25">
      <c r="C1673" s="5"/>
      <c r="E1673" s="10"/>
      <c r="F1673" s="8">
        <f>SUM(F1672)</f>
        <v>760</v>
      </c>
    </row>
    <row r="1674" spans="1:6" s="9" customFormat="1" x14ac:dyDescent="0.25">
      <c r="C1674" s="5"/>
      <c r="E1674" s="10"/>
      <c r="F1674" s="13"/>
    </row>
    <row r="1675" spans="1:6" s="9" customFormat="1" x14ac:dyDescent="0.25">
      <c r="A1675" s="9" t="s">
        <v>112</v>
      </c>
      <c r="B1675" s="4">
        <v>45989</v>
      </c>
      <c r="C1675" s="5">
        <v>60</v>
      </c>
      <c r="D1675" s="9" t="s">
        <v>11</v>
      </c>
      <c r="E1675" s="10">
        <v>175</v>
      </c>
      <c r="F1675" s="13">
        <f t="shared" si="26"/>
        <v>10500</v>
      </c>
    </row>
    <row r="1676" spans="1:6" s="9" customFormat="1" x14ac:dyDescent="0.25">
      <c r="B1676" s="4"/>
      <c r="C1676" s="5">
        <v>30</v>
      </c>
      <c r="D1676" s="9" t="s">
        <v>12</v>
      </c>
      <c r="E1676" s="10">
        <v>175</v>
      </c>
      <c r="F1676" s="13">
        <f t="shared" si="26"/>
        <v>5250</v>
      </c>
    </row>
    <row r="1677" spans="1:6" s="9" customFormat="1" x14ac:dyDescent="0.25">
      <c r="C1677" s="5">
        <v>30</v>
      </c>
      <c r="D1677" s="9" t="s">
        <v>14</v>
      </c>
      <c r="E1677" s="10">
        <v>180</v>
      </c>
      <c r="F1677" s="13">
        <f t="shared" si="26"/>
        <v>5400</v>
      </c>
    </row>
    <row r="1678" spans="1:6" s="9" customFormat="1" x14ac:dyDescent="0.25">
      <c r="C1678" s="5">
        <v>15</v>
      </c>
      <c r="D1678" s="9" t="s">
        <v>8</v>
      </c>
      <c r="E1678" s="10">
        <v>190</v>
      </c>
      <c r="F1678" s="13">
        <f t="shared" si="26"/>
        <v>2850</v>
      </c>
    </row>
    <row r="1679" spans="1:6" s="9" customFormat="1" x14ac:dyDescent="0.25">
      <c r="C1679" s="5"/>
      <c r="E1679" s="10"/>
      <c r="F1679" s="8">
        <f>SUM(F1675:F1678)</f>
        <v>24000</v>
      </c>
    </row>
    <row r="1680" spans="1:6" s="9" customFormat="1" x14ac:dyDescent="0.25">
      <c r="B1680" s="4"/>
      <c r="C1680" s="5"/>
      <c r="E1680" s="10"/>
      <c r="F1680" s="13"/>
    </row>
    <row r="1681" spans="1:6" s="9" customFormat="1" x14ac:dyDescent="0.25">
      <c r="A1681" s="9" t="s">
        <v>117</v>
      </c>
      <c r="B1681" s="4">
        <v>45989</v>
      </c>
      <c r="C1681" s="5">
        <v>5</v>
      </c>
      <c r="D1681" s="9" t="s">
        <v>13</v>
      </c>
      <c r="E1681" s="10">
        <v>190</v>
      </c>
      <c r="F1681" s="13">
        <f t="shared" si="26"/>
        <v>950</v>
      </c>
    </row>
    <row r="1682" spans="1:6" s="9" customFormat="1" x14ac:dyDescent="0.25">
      <c r="C1682" s="5"/>
      <c r="E1682" s="10"/>
      <c r="F1682" s="8">
        <f>SUM(F1681)</f>
        <v>950</v>
      </c>
    </row>
    <row r="1683" spans="1:6" s="9" customFormat="1" x14ac:dyDescent="0.25">
      <c r="B1683" s="4"/>
      <c r="C1683" s="5"/>
      <c r="E1683" s="10"/>
      <c r="F1683" s="13"/>
    </row>
    <row r="1684" spans="1:6" s="9" customFormat="1" x14ac:dyDescent="0.25">
      <c r="A1684" s="9" t="s">
        <v>853</v>
      </c>
      <c r="B1684" s="4">
        <v>45989</v>
      </c>
      <c r="C1684" s="5">
        <v>3</v>
      </c>
      <c r="D1684" s="9" t="s">
        <v>13</v>
      </c>
      <c r="E1684" s="10">
        <v>190</v>
      </c>
      <c r="F1684" s="13">
        <f t="shared" si="26"/>
        <v>570</v>
      </c>
    </row>
    <row r="1685" spans="1:6" s="9" customFormat="1" x14ac:dyDescent="0.25">
      <c r="C1685" s="5"/>
      <c r="E1685" s="10"/>
      <c r="F1685" s="8">
        <f>SUM(F1684)</f>
        <v>570</v>
      </c>
    </row>
    <row r="1686" spans="1:6" s="9" customFormat="1" x14ac:dyDescent="0.25">
      <c r="C1686" s="5"/>
      <c r="E1686" s="10"/>
      <c r="F1686" s="13"/>
    </row>
    <row r="1687" spans="1:6" s="9" customFormat="1" x14ac:dyDescent="0.25">
      <c r="A1687" s="9" t="s">
        <v>140</v>
      </c>
      <c r="B1687" s="4">
        <v>45989</v>
      </c>
      <c r="C1687" s="5">
        <v>100</v>
      </c>
      <c r="D1687" s="9" t="s">
        <v>12</v>
      </c>
      <c r="E1687" s="10">
        <v>180</v>
      </c>
      <c r="F1687" s="13">
        <f t="shared" si="26"/>
        <v>18000</v>
      </c>
    </row>
    <row r="1688" spans="1:6" s="9" customFormat="1" x14ac:dyDescent="0.25">
      <c r="C1688" s="5">
        <v>90</v>
      </c>
      <c r="D1688" s="9" t="s">
        <v>13</v>
      </c>
      <c r="E1688" s="10">
        <v>185</v>
      </c>
      <c r="F1688" s="13">
        <f t="shared" si="26"/>
        <v>16650</v>
      </c>
    </row>
    <row r="1689" spans="1:6" s="9" customFormat="1" x14ac:dyDescent="0.25">
      <c r="C1689" s="5">
        <v>100</v>
      </c>
      <c r="D1689" s="9" t="s">
        <v>14</v>
      </c>
      <c r="E1689" s="10">
        <v>180</v>
      </c>
      <c r="F1689" s="13">
        <f t="shared" si="26"/>
        <v>18000</v>
      </c>
    </row>
    <row r="1690" spans="1:6" s="9" customFormat="1" x14ac:dyDescent="0.25">
      <c r="B1690" s="4"/>
      <c r="C1690" s="5">
        <v>74</v>
      </c>
      <c r="D1690" s="9" t="s">
        <v>49</v>
      </c>
      <c r="E1690" s="10">
        <v>190</v>
      </c>
      <c r="F1690" s="13">
        <f t="shared" si="26"/>
        <v>14060</v>
      </c>
    </row>
    <row r="1691" spans="1:6" s="9" customFormat="1" x14ac:dyDescent="0.25">
      <c r="C1691" s="5"/>
      <c r="E1691" s="10"/>
      <c r="F1691" s="8">
        <f>SUM(F1687:F1690)</f>
        <v>66710</v>
      </c>
    </row>
    <row r="1692" spans="1:6" s="9" customFormat="1" x14ac:dyDescent="0.25">
      <c r="C1692" s="5"/>
      <c r="E1692" s="10"/>
      <c r="F1692" s="13"/>
    </row>
    <row r="1693" spans="1:6" s="9" customFormat="1" x14ac:dyDescent="0.25">
      <c r="A1693" s="9" t="s">
        <v>101</v>
      </c>
      <c r="B1693" s="4">
        <v>45989</v>
      </c>
      <c r="C1693" s="5">
        <v>2</v>
      </c>
      <c r="D1693" s="9" t="s">
        <v>264</v>
      </c>
      <c r="E1693" s="10">
        <v>140</v>
      </c>
      <c r="F1693" s="13">
        <f t="shared" si="26"/>
        <v>280</v>
      </c>
    </row>
    <row r="1694" spans="1:6" s="9" customFormat="1" x14ac:dyDescent="0.25">
      <c r="C1694" s="5">
        <v>2</v>
      </c>
      <c r="D1694" s="9" t="s">
        <v>729</v>
      </c>
      <c r="E1694" s="10">
        <v>140</v>
      </c>
      <c r="F1694" s="13">
        <f t="shared" si="26"/>
        <v>280</v>
      </c>
    </row>
    <row r="1695" spans="1:6" s="9" customFormat="1" x14ac:dyDescent="0.25">
      <c r="C1695" s="5">
        <v>1</v>
      </c>
      <c r="D1695" s="9" t="s">
        <v>8</v>
      </c>
      <c r="E1695" s="10">
        <v>150</v>
      </c>
      <c r="F1695" s="13">
        <f t="shared" si="26"/>
        <v>150</v>
      </c>
    </row>
    <row r="1696" spans="1:6" s="9" customFormat="1" x14ac:dyDescent="0.25">
      <c r="B1696" s="4"/>
      <c r="C1696" s="5"/>
      <c r="E1696" s="10"/>
      <c r="F1696" s="8">
        <f>SUM(F1693:F1695)</f>
        <v>710</v>
      </c>
    </row>
    <row r="1697" spans="1:6" s="9" customFormat="1" x14ac:dyDescent="0.25">
      <c r="C1697" s="5"/>
      <c r="E1697" s="10"/>
      <c r="F1697" s="13"/>
    </row>
    <row r="1698" spans="1:6" s="9" customFormat="1" x14ac:dyDescent="0.25">
      <c r="A1698" s="9" t="s">
        <v>181</v>
      </c>
      <c r="B1698" s="4">
        <v>45989</v>
      </c>
      <c r="C1698" s="5">
        <v>3</v>
      </c>
      <c r="D1698" s="9" t="s">
        <v>14</v>
      </c>
      <c r="E1698" s="10">
        <v>140</v>
      </c>
      <c r="F1698" s="13">
        <f t="shared" si="26"/>
        <v>420</v>
      </c>
    </row>
    <row r="1699" spans="1:6" s="9" customFormat="1" x14ac:dyDescent="0.25">
      <c r="B1699" s="4"/>
      <c r="C1699" s="5">
        <v>2</v>
      </c>
      <c r="D1699" s="9" t="s">
        <v>1177</v>
      </c>
      <c r="E1699" s="10">
        <v>150</v>
      </c>
      <c r="F1699" s="13">
        <f t="shared" si="26"/>
        <v>300</v>
      </c>
    </row>
    <row r="1700" spans="1:6" s="9" customFormat="1" x14ac:dyDescent="0.25">
      <c r="C1700" s="5">
        <v>3</v>
      </c>
      <c r="D1700" s="9" t="s">
        <v>8</v>
      </c>
      <c r="E1700" s="10">
        <v>195</v>
      </c>
      <c r="F1700" s="13">
        <f t="shared" si="26"/>
        <v>585</v>
      </c>
    </row>
    <row r="1701" spans="1:6" s="9" customFormat="1" x14ac:dyDescent="0.25">
      <c r="C1701" s="5">
        <v>1</v>
      </c>
      <c r="D1701" s="9" t="s">
        <v>8</v>
      </c>
      <c r="E1701" s="10">
        <v>195</v>
      </c>
      <c r="F1701" s="13">
        <f t="shared" si="26"/>
        <v>195</v>
      </c>
    </row>
    <row r="1702" spans="1:6" s="9" customFormat="1" x14ac:dyDescent="0.25">
      <c r="B1702" s="4"/>
      <c r="C1702" s="11">
        <v>0.5</v>
      </c>
      <c r="D1702" s="9" t="s">
        <v>1178</v>
      </c>
      <c r="E1702" s="10">
        <v>150</v>
      </c>
      <c r="F1702" s="13">
        <f t="shared" si="26"/>
        <v>75</v>
      </c>
    </row>
    <row r="1703" spans="1:6" s="9" customFormat="1" x14ac:dyDescent="0.25">
      <c r="C1703" s="5"/>
      <c r="E1703" s="10"/>
      <c r="F1703" s="8">
        <f>SUM(F1698:F1702)</f>
        <v>1575</v>
      </c>
    </row>
    <row r="1704" spans="1:6" s="9" customFormat="1" x14ac:dyDescent="0.25">
      <c r="C1704" s="5"/>
      <c r="E1704" s="10"/>
      <c r="F1704" s="13"/>
    </row>
    <row r="1705" spans="1:6" s="9" customFormat="1" x14ac:dyDescent="0.25">
      <c r="A1705" s="9" t="s">
        <v>15</v>
      </c>
      <c r="B1705" s="4">
        <v>45990</v>
      </c>
      <c r="C1705" s="5">
        <v>60</v>
      </c>
      <c r="D1705" s="9" t="s">
        <v>98</v>
      </c>
      <c r="E1705" s="10">
        <v>135</v>
      </c>
      <c r="F1705" s="13">
        <f t="shared" si="26"/>
        <v>8100</v>
      </c>
    </row>
    <row r="1706" spans="1:6" s="9" customFormat="1" x14ac:dyDescent="0.25">
      <c r="C1706" s="5"/>
      <c r="E1706" s="10"/>
      <c r="F1706" s="8">
        <f>SUM(F1705)</f>
        <v>8100</v>
      </c>
    </row>
    <row r="1707" spans="1:6" s="9" customFormat="1" x14ac:dyDescent="0.25">
      <c r="C1707" s="5"/>
      <c r="E1707" s="10"/>
      <c r="F1707" s="13"/>
    </row>
    <row r="1708" spans="1:6" s="9" customFormat="1" x14ac:dyDescent="0.25">
      <c r="A1708" s="9" t="s">
        <v>58</v>
      </c>
      <c r="B1708" s="4">
        <v>45990</v>
      </c>
      <c r="C1708" s="5">
        <v>7</v>
      </c>
      <c r="D1708" s="9" t="s">
        <v>13</v>
      </c>
      <c r="E1708" s="10">
        <v>180</v>
      </c>
      <c r="F1708" s="13">
        <f t="shared" si="26"/>
        <v>1260</v>
      </c>
    </row>
    <row r="1709" spans="1:6" s="9" customFormat="1" x14ac:dyDescent="0.25">
      <c r="C1709" s="5"/>
      <c r="E1709" s="10"/>
      <c r="F1709" s="8">
        <f>SUM(F1708)</f>
        <v>1260</v>
      </c>
    </row>
    <row r="1710" spans="1:6" s="9" customFormat="1" x14ac:dyDescent="0.25">
      <c r="C1710" s="5"/>
      <c r="E1710" s="10"/>
      <c r="F1710" s="13"/>
    </row>
    <row r="1711" spans="1:6" s="9" customFormat="1" x14ac:dyDescent="0.25">
      <c r="A1711" s="9" t="s">
        <v>37</v>
      </c>
      <c r="B1711" s="4">
        <v>45990</v>
      </c>
      <c r="C1711" s="5">
        <v>20</v>
      </c>
      <c r="D1711" s="9" t="s">
        <v>1128</v>
      </c>
      <c r="E1711" s="10">
        <v>180</v>
      </c>
      <c r="F1711" s="13">
        <f t="shared" si="26"/>
        <v>3600</v>
      </c>
    </row>
    <row r="1712" spans="1:6" s="9" customFormat="1" x14ac:dyDescent="0.25">
      <c r="C1712" s="5"/>
      <c r="E1712" s="10"/>
      <c r="F1712" s="8">
        <f>SUM(F1711)</f>
        <v>3600</v>
      </c>
    </row>
    <row r="1713" spans="1:6" s="9" customFormat="1" x14ac:dyDescent="0.25">
      <c r="C1713" s="5"/>
      <c r="E1713" s="10"/>
      <c r="F1713" s="13"/>
    </row>
    <row r="1714" spans="1:6" s="9" customFormat="1" x14ac:dyDescent="0.25">
      <c r="A1714" s="9" t="s">
        <v>17</v>
      </c>
      <c r="B1714" s="4">
        <v>45990</v>
      </c>
      <c r="C1714" s="5">
        <v>10</v>
      </c>
      <c r="D1714" s="9" t="s">
        <v>13</v>
      </c>
      <c r="E1714" s="10">
        <v>185</v>
      </c>
      <c r="F1714" s="13">
        <f t="shared" si="26"/>
        <v>1850</v>
      </c>
    </row>
    <row r="1715" spans="1:6" s="9" customFormat="1" x14ac:dyDescent="0.25">
      <c r="C1715" s="5"/>
      <c r="E1715" s="10"/>
      <c r="F1715" s="8">
        <f>SUM(F1714)</f>
        <v>1850</v>
      </c>
    </row>
    <row r="1716" spans="1:6" s="9" customFormat="1" x14ac:dyDescent="0.25">
      <c r="C1716" s="5"/>
      <c r="E1716" s="10"/>
      <c r="F1716" s="13"/>
    </row>
    <row r="1717" spans="1:6" s="9" customFormat="1" x14ac:dyDescent="0.25">
      <c r="A1717" s="9" t="s">
        <v>20</v>
      </c>
      <c r="B1717" s="4">
        <v>45990</v>
      </c>
      <c r="C1717" s="5">
        <v>20</v>
      </c>
      <c r="D1717" s="9" t="s">
        <v>8</v>
      </c>
      <c r="E1717" s="10">
        <v>190</v>
      </c>
      <c r="F1717" s="13">
        <f t="shared" si="26"/>
        <v>3800</v>
      </c>
    </row>
    <row r="1718" spans="1:6" s="9" customFormat="1" x14ac:dyDescent="0.25">
      <c r="B1718" s="4"/>
      <c r="C1718" s="5">
        <v>20</v>
      </c>
      <c r="D1718" s="9" t="s">
        <v>13</v>
      </c>
      <c r="E1718" s="10">
        <v>185</v>
      </c>
      <c r="F1718" s="13">
        <f t="shared" si="26"/>
        <v>3700</v>
      </c>
    </row>
    <row r="1719" spans="1:6" s="9" customFormat="1" x14ac:dyDescent="0.25">
      <c r="C1719" s="5"/>
      <c r="E1719" s="10"/>
      <c r="F1719" s="8">
        <f>SUM(F1717:F1718)</f>
        <v>7500</v>
      </c>
    </row>
    <row r="1720" spans="1:6" s="9" customFormat="1" x14ac:dyDescent="0.25">
      <c r="C1720" s="5"/>
      <c r="E1720" s="10"/>
      <c r="F1720" s="13"/>
    </row>
    <row r="1721" spans="1:6" s="9" customFormat="1" x14ac:dyDescent="0.25">
      <c r="A1721" s="9" t="s">
        <v>427</v>
      </c>
      <c r="B1721" s="4">
        <v>45990</v>
      </c>
      <c r="C1721" s="5">
        <v>10</v>
      </c>
      <c r="D1721" s="9" t="s">
        <v>13</v>
      </c>
      <c r="E1721" s="10">
        <v>185</v>
      </c>
      <c r="F1721" s="13">
        <f t="shared" si="26"/>
        <v>1850</v>
      </c>
    </row>
    <row r="1722" spans="1:6" s="9" customFormat="1" x14ac:dyDescent="0.25">
      <c r="C1722" s="5"/>
      <c r="E1722" s="10"/>
      <c r="F1722" s="8">
        <f>SUM(F1721)</f>
        <v>1850</v>
      </c>
    </row>
    <row r="1723" spans="1:6" s="9" customFormat="1" x14ac:dyDescent="0.25">
      <c r="C1723" s="5"/>
      <c r="E1723" s="10"/>
      <c r="F1723" s="13"/>
    </row>
    <row r="1724" spans="1:6" s="9" customFormat="1" x14ac:dyDescent="0.25">
      <c r="A1724" s="9" t="s">
        <v>21</v>
      </c>
      <c r="B1724" s="4">
        <v>45990</v>
      </c>
      <c r="C1724" s="5">
        <v>40</v>
      </c>
      <c r="D1724" s="9" t="s">
        <v>12</v>
      </c>
      <c r="E1724" s="10">
        <v>180</v>
      </c>
      <c r="F1724" s="13">
        <f t="shared" si="26"/>
        <v>7200</v>
      </c>
    </row>
    <row r="1725" spans="1:6" s="9" customFormat="1" x14ac:dyDescent="0.25">
      <c r="B1725" s="4"/>
      <c r="C1725" s="5">
        <v>20</v>
      </c>
      <c r="D1725" s="9" t="s">
        <v>13</v>
      </c>
      <c r="E1725" s="10">
        <v>185</v>
      </c>
      <c r="F1725" s="13">
        <f t="shared" si="26"/>
        <v>3700</v>
      </c>
    </row>
    <row r="1726" spans="1:6" s="9" customFormat="1" x14ac:dyDescent="0.25">
      <c r="C1726" s="5">
        <v>25</v>
      </c>
      <c r="D1726" s="9" t="s">
        <v>50</v>
      </c>
      <c r="E1726" s="10">
        <v>165</v>
      </c>
      <c r="F1726" s="13">
        <f t="shared" si="26"/>
        <v>4125</v>
      </c>
    </row>
    <row r="1727" spans="1:6" s="9" customFormat="1" x14ac:dyDescent="0.25">
      <c r="C1727" s="5"/>
      <c r="E1727" s="10"/>
      <c r="F1727" s="8">
        <f>SUM(F1724:F1726)</f>
        <v>15025</v>
      </c>
    </row>
    <row r="1728" spans="1:6" s="9" customFormat="1" x14ac:dyDescent="0.25">
      <c r="C1728" s="5"/>
      <c r="E1728" s="10"/>
      <c r="F1728" s="13"/>
    </row>
    <row r="1729" spans="1:6" s="9" customFormat="1" x14ac:dyDescent="0.25">
      <c r="A1729" s="9" t="s">
        <v>710</v>
      </c>
      <c r="B1729" s="4" t="s">
        <v>1179</v>
      </c>
      <c r="C1729" s="5">
        <v>10</v>
      </c>
      <c r="D1729" s="9" t="s">
        <v>449</v>
      </c>
      <c r="E1729" s="10">
        <v>185</v>
      </c>
      <c r="F1729" s="13">
        <f t="shared" si="26"/>
        <v>1850</v>
      </c>
    </row>
    <row r="1730" spans="1:6" s="9" customFormat="1" x14ac:dyDescent="0.25">
      <c r="C1730" s="5">
        <v>5</v>
      </c>
      <c r="D1730" s="9" t="s">
        <v>14</v>
      </c>
      <c r="E1730" s="10">
        <v>180</v>
      </c>
      <c r="F1730" s="13">
        <f t="shared" si="26"/>
        <v>900</v>
      </c>
    </row>
    <row r="1731" spans="1:6" s="9" customFormat="1" x14ac:dyDescent="0.25">
      <c r="C1731" s="5"/>
      <c r="E1731" s="10"/>
      <c r="F1731" s="8">
        <f>SUM(F1729:F1730)</f>
        <v>2750</v>
      </c>
    </row>
    <row r="1732" spans="1:6" s="9" customFormat="1" x14ac:dyDescent="0.25">
      <c r="C1732" s="5"/>
      <c r="E1732" s="10"/>
      <c r="F1732" s="13"/>
    </row>
    <row r="1733" spans="1:6" s="9" customFormat="1" x14ac:dyDescent="0.25">
      <c r="A1733" s="9" t="s">
        <v>21</v>
      </c>
      <c r="B1733" s="4">
        <v>45990</v>
      </c>
      <c r="C1733" s="5">
        <v>10</v>
      </c>
      <c r="D1733" s="9" t="s">
        <v>49</v>
      </c>
      <c r="E1733" s="10">
        <v>185</v>
      </c>
      <c r="F1733" s="13">
        <f t="shared" ref="F1733:F1795" si="27">+C1733*E1733</f>
        <v>1850</v>
      </c>
    </row>
    <row r="1734" spans="1:6" s="9" customFormat="1" x14ac:dyDescent="0.25">
      <c r="B1734" s="4"/>
      <c r="C1734" s="5"/>
      <c r="E1734" s="10"/>
      <c r="F1734" s="8">
        <f>SUM(F1733)</f>
        <v>1850</v>
      </c>
    </row>
    <row r="1735" spans="1:6" s="9" customFormat="1" x14ac:dyDescent="0.25">
      <c r="C1735" s="5"/>
      <c r="E1735" s="10"/>
      <c r="F1735" s="13"/>
    </row>
    <row r="1736" spans="1:6" s="9" customFormat="1" x14ac:dyDescent="0.25">
      <c r="A1736" s="9" t="s">
        <v>1017</v>
      </c>
      <c r="B1736" s="4">
        <v>45990</v>
      </c>
      <c r="C1736" s="5">
        <v>10</v>
      </c>
      <c r="D1736" s="9" t="s">
        <v>8</v>
      </c>
      <c r="E1736" s="10">
        <v>190</v>
      </c>
      <c r="F1736" s="13">
        <f t="shared" si="27"/>
        <v>1900</v>
      </c>
    </row>
    <row r="1737" spans="1:6" s="9" customFormat="1" x14ac:dyDescent="0.25">
      <c r="B1737" s="4"/>
      <c r="C1737" s="5">
        <v>10</v>
      </c>
      <c r="D1737" s="9" t="s">
        <v>12</v>
      </c>
      <c r="E1737" s="10">
        <v>180</v>
      </c>
      <c r="F1737" s="13">
        <f t="shared" si="27"/>
        <v>1800</v>
      </c>
    </row>
    <row r="1738" spans="1:6" s="9" customFormat="1" x14ac:dyDescent="0.25">
      <c r="C1738" s="5">
        <v>10</v>
      </c>
      <c r="D1738" s="9" t="s">
        <v>13</v>
      </c>
      <c r="E1738" s="10">
        <v>185</v>
      </c>
      <c r="F1738" s="13">
        <f t="shared" si="27"/>
        <v>1850</v>
      </c>
    </row>
    <row r="1739" spans="1:6" s="9" customFormat="1" x14ac:dyDescent="0.25">
      <c r="C1739" s="5"/>
      <c r="E1739" s="10"/>
      <c r="F1739" s="8">
        <f>SUM(F1736:F1738)</f>
        <v>5550</v>
      </c>
    </row>
    <row r="1740" spans="1:6" s="9" customFormat="1" x14ac:dyDescent="0.25">
      <c r="C1740" s="5"/>
      <c r="E1740" s="10"/>
      <c r="F1740" s="13"/>
    </row>
    <row r="1741" spans="1:6" s="9" customFormat="1" x14ac:dyDescent="0.25">
      <c r="A1741" s="9" t="s">
        <v>25</v>
      </c>
      <c r="B1741" s="4">
        <v>45990</v>
      </c>
      <c r="C1741" s="5">
        <v>20</v>
      </c>
      <c r="D1741" s="9" t="s">
        <v>49</v>
      </c>
      <c r="E1741" s="10">
        <v>185</v>
      </c>
      <c r="F1741" s="13">
        <f t="shared" si="27"/>
        <v>3700</v>
      </c>
    </row>
    <row r="1742" spans="1:6" s="9" customFormat="1" x14ac:dyDescent="0.25">
      <c r="C1742" s="5"/>
      <c r="E1742" s="10"/>
      <c r="F1742" s="8">
        <f>SUM(F1741)</f>
        <v>3700</v>
      </c>
    </row>
    <row r="1743" spans="1:6" s="9" customFormat="1" x14ac:dyDescent="0.25">
      <c r="C1743" s="5"/>
      <c r="E1743" s="10"/>
      <c r="F1743" s="13"/>
    </row>
    <row r="1744" spans="1:6" s="9" customFormat="1" x14ac:dyDescent="0.25">
      <c r="A1744" s="9" t="s">
        <v>40</v>
      </c>
      <c r="B1744" s="4">
        <v>45990</v>
      </c>
      <c r="C1744" s="5">
        <v>20</v>
      </c>
      <c r="D1744" s="9" t="s">
        <v>14</v>
      </c>
      <c r="E1744" s="10">
        <v>180</v>
      </c>
      <c r="F1744" s="13">
        <f t="shared" si="27"/>
        <v>3600</v>
      </c>
    </row>
    <row r="1745" spans="1:6" s="9" customFormat="1" x14ac:dyDescent="0.25">
      <c r="C1745" s="5">
        <v>10</v>
      </c>
      <c r="D1745" s="9" t="s">
        <v>13</v>
      </c>
      <c r="E1745" s="10">
        <v>185</v>
      </c>
      <c r="F1745" s="13">
        <f t="shared" si="27"/>
        <v>1850</v>
      </c>
    </row>
    <row r="1746" spans="1:6" s="9" customFormat="1" x14ac:dyDescent="0.25">
      <c r="C1746" s="5">
        <v>14</v>
      </c>
      <c r="D1746" s="9" t="s">
        <v>22</v>
      </c>
      <c r="E1746" s="10">
        <v>165</v>
      </c>
      <c r="F1746" s="13">
        <f t="shared" si="27"/>
        <v>2310</v>
      </c>
    </row>
    <row r="1747" spans="1:6" s="9" customFormat="1" x14ac:dyDescent="0.25">
      <c r="B1747" s="4"/>
      <c r="C1747" s="5"/>
      <c r="E1747" s="10"/>
      <c r="F1747" s="8">
        <f>SUM(F1744:F1746)</f>
        <v>7760</v>
      </c>
    </row>
    <row r="1748" spans="1:6" s="9" customFormat="1" x14ac:dyDescent="0.25">
      <c r="C1748" s="5"/>
      <c r="E1748" s="10"/>
      <c r="F1748" s="13"/>
    </row>
    <row r="1749" spans="1:6" s="9" customFormat="1" x14ac:dyDescent="0.25">
      <c r="A1749" s="9" t="s">
        <v>1122</v>
      </c>
      <c r="B1749" s="4">
        <v>45990</v>
      </c>
      <c r="C1749" s="5">
        <v>5</v>
      </c>
      <c r="D1749" s="9" t="s">
        <v>13</v>
      </c>
      <c r="E1749" s="10">
        <v>185</v>
      </c>
      <c r="F1749" s="13">
        <f t="shared" si="27"/>
        <v>925</v>
      </c>
    </row>
    <row r="1750" spans="1:6" s="9" customFormat="1" x14ac:dyDescent="0.25">
      <c r="C1750" s="5"/>
      <c r="E1750" s="10"/>
      <c r="F1750" s="8">
        <f>SUM(F1749)</f>
        <v>925</v>
      </c>
    </row>
    <row r="1751" spans="1:6" s="9" customFormat="1" x14ac:dyDescent="0.25">
      <c r="B1751" s="4"/>
      <c r="C1751" s="5"/>
      <c r="E1751" s="10"/>
      <c r="F1751" s="13"/>
    </row>
    <row r="1752" spans="1:6" s="9" customFormat="1" x14ac:dyDescent="0.25">
      <c r="A1752" s="9" t="s">
        <v>1180</v>
      </c>
      <c r="B1752" s="4">
        <v>45990</v>
      </c>
      <c r="C1752" s="5">
        <v>60</v>
      </c>
      <c r="D1752" s="9" t="s">
        <v>13</v>
      </c>
      <c r="E1752" s="10">
        <v>185</v>
      </c>
      <c r="F1752" s="13">
        <f t="shared" si="27"/>
        <v>11100</v>
      </c>
    </row>
    <row r="1753" spans="1:6" s="9" customFormat="1" x14ac:dyDescent="0.25">
      <c r="C1753" s="5"/>
      <c r="E1753" s="10"/>
      <c r="F1753" s="8">
        <f>SUM(F1752)</f>
        <v>11100</v>
      </c>
    </row>
    <row r="1754" spans="1:6" s="9" customFormat="1" x14ac:dyDescent="0.25">
      <c r="B1754" s="4"/>
      <c r="C1754" s="5"/>
      <c r="E1754" s="10"/>
      <c r="F1754" s="13"/>
    </row>
    <row r="1755" spans="1:6" s="9" customFormat="1" x14ac:dyDescent="0.25">
      <c r="A1755" s="9" t="s">
        <v>18</v>
      </c>
      <c r="B1755" s="4">
        <v>45990</v>
      </c>
      <c r="C1755" s="5">
        <v>22</v>
      </c>
      <c r="D1755" s="9" t="s">
        <v>13</v>
      </c>
      <c r="E1755" s="10">
        <v>185</v>
      </c>
      <c r="F1755" s="13">
        <f t="shared" si="27"/>
        <v>4070</v>
      </c>
    </row>
    <row r="1756" spans="1:6" s="9" customFormat="1" x14ac:dyDescent="0.25">
      <c r="C1756" s="5"/>
      <c r="E1756" s="10"/>
      <c r="F1756" s="8">
        <f>SUM(F1755)</f>
        <v>4070</v>
      </c>
    </row>
    <row r="1757" spans="1:6" s="9" customFormat="1" x14ac:dyDescent="0.25">
      <c r="B1757" s="4"/>
      <c r="C1757" s="5"/>
      <c r="E1757" s="10"/>
      <c r="F1757" s="13"/>
    </row>
    <row r="1758" spans="1:6" s="9" customFormat="1" x14ac:dyDescent="0.25">
      <c r="A1758" s="9" t="s">
        <v>514</v>
      </c>
      <c r="B1758" s="4">
        <v>45990</v>
      </c>
      <c r="C1758" s="5">
        <v>15</v>
      </c>
      <c r="D1758" s="9" t="s">
        <v>98</v>
      </c>
      <c r="E1758" s="10">
        <v>135</v>
      </c>
      <c r="F1758" s="13">
        <f t="shared" si="27"/>
        <v>2025</v>
      </c>
    </row>
    <row r="1759" spans="1:6" s="9" customFormat="1" x14ac:dyDescent="0.25">
      <c r="C1759" s="5"/>
      <c r="E1759" s="10"/>
      <c r="F1759" s="8">
        <f>SUM(F1758)</f>
        <v>2025</v>
      </c>
    </row>
    <row r="1760" spans="1:6" s="9" customFormat="1" x14ac:dyDescent="0.25">
      <c r="B1760" s="4"/>
      <c r="C1760" s="5"/>
      <c r="E1760" s="10"/>
      <c r="F1760" s="13"/>
    </row>
    <row r="1761" spans="1:6" s="9" customFormat="1" x14ac:dyDescent="0.25">
      <c r="A1761" s="9" t="s">
        <v>67</v>
      </c>
      <c r="B1761" s="4">
        <v>45990</v>
      </c>
      <c r="C1761" s="5">
        <v>10</v>
      </c>
      <c r="D1761" s="9" t="s">
        <v>13</v>
      </c>
      <c r="E1761" s="10">
        <v>185</v>
      </c>
      <c r="F1761" s="13">
        <f t="shared" si="27"/>
        <v>1850</v>
      </c>
    </row>
    <row r="1762" spans="1:6" s="9" customFormat="1" x14ac:dyDescent="0.25">
      <c r="C1762" s="5"/>
      <c r="E1762" s="10"/>
      <c r="F1762" s="8">
        <f>SUM(F1761)</f>
        <v>1850</v>
      </c>
    </row>
    <row r="1763" spans="1:6" s="9" customFormat="1" x14ac:dyDescent="0.25">
      <c r="B1763" s="4"/>
      <c r="C1763" s="5"/>
      <c r="E1763" s="10"/>
      <c r="F1763" s="13"/>
    </row>
    <row r="1764" spans="1:6" s="9" customFormat="1" x14ac:dyDescent="0.25">
      <c r="A1764" s="9" t="s">
        <v>245</v>
      </c>
      <c r="B1764" s="4">
        <v>45990</v>
      </c>
      <c r="C1764" s="5">
        <v>40</v>
      </c>
      <c r="D1764" s="9" t="s">
        <v>14</v>
      </c>
      <c r="E1764" s="10">
        <v>165</v>
      </c>
      <c r="F1764" s="13">
        <f t="shared" si="27"/>
        <v>6600</v>
      </c>
    </row>
    <row r="1765" spans="1:6" s="9" customFormat="1" x14ac:dyDescent="0.25">
      <c r="C1765" s="5"/>
      <c r="E1765" s="10"/>
      <c r="F1765" s="8">
        <f>SUM(F1764)</f>
        <v>6600</v>
      </c>
    </row>
    <row r="1766" spans="1:6" s="9" customFormat="1" x14ac:dyDescent="0.25">
      <c r="B1766" s="4"/>
      <c r="C1766" s="5"/>
      <c r="E1766" s="10"/>
      <c r="F1766" s="13"/>
    </row>
    <row r="1767" spans="1:6" s="9" customFormat="1" x14ac:dyDescent="0.25">
      <c r="A1767" s="9" t="s">
        <v>7</v>
      </c>
      <c r="B1767" s="4">
        <v>45990</v>
      </c>
      <c r="C1767" s="5">
        <v>3</v>
      </c>
      <c r="D1767" s="9" t="s">
        <v>12</v>
      </c>
      <c r="E1767" s="10">
        <v>175</v>
      </c>
      <c r="F1767" s="13">
        <f t="shared" si="27"/>
        <v>525</v>
      </c>
    </row>
    <row r="1768" spans="1:6" s="9" customFormat="1" x14ac:dyDescent="0.25">
      <c r="C1768" s="5"/>
      <c r="E1768" s="10"/>
      <c r="F1768" s="8">
        <f>SUM(F1767)</f>
        <v>525</v>
      </c>
    </row>
    <row r="1769" spans="1:6" s="9" customFormat="1" x14ac:dyDescent="0.25">
      <c r="B1769" s="4"/>
      <c r="C1769" s="5"/>
      <c r="E1769" s="10"/>
      <c r="F1769" s="13"/>
    </row>
    <row r="1770" spans="1:6" s="9" customFormat="1" x14ac:dyDescent="0.25">
      <c r="A1770" s="9" t="s">
        <v>72</v>
      </c>
      <c r="B1770" s="4">
        <v>45990</v>
      </c>
      <c r="C1770" s="5">
        <v>50</v>
      </c>
      <c r="D1770" s="9" t="s">
        <v>11</v>
      </c>
      <c r="E1770" s="10">
        <v>170</v>
      </c>
      <c r="F1770" s="13">
        <f t="shared" si="27"/>
        <v>8500</v>
      </c>
    </row>
    <row r="1771" spans="1:6" s="9" customFormat="1" x14ac:dyDescent="0.25">
      <c r="C1771" s="5">
        <v>120</v>
      </c>
      <c r="D1771" s="9" t="s">
        <v>14</v>
      </c>
      <c r="E1771" s="10">
        <v>175</v>
      </c>
      <c r="F1771" s="13">
        <f t="shared" si="27"/>
        <v>21000</v>
      </c>
    </row>
    <row r="1772" spans="1:6" s="9" customFormat="1" x14ac:dyDescent="0.25">
      <c r="B1772" s="4"/>
      <c r="C1772" s="5">
        <v>170</v>
      </c>
      <c r="D1772" s="9" t="s">
        <v>852</v>
      </c>
      <c r="E1772" s="10">
        <v>170</v>
      </c>
      <c r="F1772" s="13">
        <f t="shared" si="27"/>
        <v>28900</v>
      </c>
    </row>
    <row r="1773" spans="1:6" s="9" customFormat="1" x14ac:dyDescent="0.25">
      <c r="C1773" s="5">
        <v>110</v>
      </c>
      <c r="D1773" s="9" t="s">
        <v>13</v>
      </c>
      <c r="E1773" s="10">
        <v>175</v>
      </c>
      <c r="F1773" s="13">
        <f t="shared" si="27"/>
        <v>19250</v>
      </c>
    </row>
    <row r="1774" spans="1:6" s="9" customFormat="1" x14ac:dyDescent="0.25">
      <c r="C1774" s="5"/>
      <c r="E1774" s="10"/>
      <c r="F1774" s="8">
        <f>SUM(F1770:F1773)</f>
        <v>77650</v>
      </c>
    </row>
    <row r="1775" spans="1:6" s="9" customFormat="1" x14ac:dyDescent="0.25">
      <c r="C1775" s="5"/>
      <c r="E1775" s="10"/>
      <c r="F1775" s="13"/>
    </row>
    <row r="1776" spans="1:6" s="9" customFormat="1" x14ac:dyDescent="0.25">
      <c r="A1776" s="9" t="s">
        <v>65</v>
      </c>
      <c r="B1776" s="4">
        <v>45990</v>
      </c>
      <c r="C1776" s="5">
        <v>213</v>
      </c>
      <c r="D1776" s="9" t="s">
        <v>50</v>
      </c>
      <c r="E1776" s="10">
        <v>160</v>
      </c>
      <c r="F1776" s="13">
        <f t="shared" si="27"/>
        <v>34080</v>
      </c>
    </row>
    <row r="1777" spans="1:6" s="9" customFormat="1" x14ac:dyDescent="0.25">
      <c r="C1777" s="5">
        <v>110</v>
      </c>
      <c r="D1777" s="9" t="s">
        <v>22</v>
      </c>
      <c r="E1777" s="10">
        <v>160</v>
      </c>
      <c r="F1777" s="13">
        <f t="shared" si="27"/>
        <v>17600</v>
      </c>
    </row>
    <row r="1778" spans="1:6" s="9" customFormat="1" x14ac:dyDescent="0.25">
      <c r="B1778" s="4"/>
      <c r="C1778" s="5">
        <v>80</v>
      </c>
      <c r="D1778" s="9" t="s">
        <v>12</v>
      </c>
      <c r="E1778" s="10">
        <v>175</v>
      </c>
      <c r="F1778" s="13">
        <f t="shared" si="27"/>
        <v>14000</v>
      </c>
    </row>
    <row r="1779" spans="1:6" s="9" customFormat="1" x14ac:dyDescent="0.25">
      <c r="C1779" s="5">
        <v>50</v>
      </c>
      <c r="D1779" s="9" t="s">
        <v>14</v>
      </c>
      <c r="E1779" s="10">
        <v>180</v>
      </c>
      <c r="F1779" s="13">
        <f t="shared" si="27"/>
        <v>9000</v>
      </c>
    </row>
    <row r="1780" spans="1:6" s="9" customFormat="1" x14ac:dyDescent="0.25">
      <c r="C1780" s="5"/>
      <c r="E1780" s="10"/>
      <c r="F1780" s="8">
        <f>SUM(F1776:F1779)</f>
        <v>74680</v>
      </c>
    </row>
    <row r="1781" spans="1:6" s="9" customFormat="1" x14ac:dyDescent="0.25">
      <c r="C1781" s="5"/>
      <c r="E1781" s="10"/>
      <c r="F1781" s="13"/>
    </row>
    <row r="1782" spans="1:6" s="9" customFormat="1" x14ac:dyDescent="0.25">
      <c r="A1782" s="9" t="s">
        <v>29</v>
      </c>
      <c r="B1782" s="4">
        <v>45990</v>
      </c>
      <c r="C1782" s="5">
        <v>1</v>
      </c>
      <c r="D1782" s="9" t="s">
        <v>98</v>
      </c>
      <c r="E1782" s="10">
        <v>135</v>
      </c>
      <c r="F1782" s="13">
        <f t="shared" si="27"/>
        <v>135</v>
      </c>
    </row>
    <row r="1783" spans="1:6" s="9" customFormat="1" x14ac:dyDescent="0.25">
      <c r="C1783" s="5">
        <v>1</v>
      </c>
      <c r="D1783" s="9" t="s">
        <v>1155</v>
      </c>
      <c r="E1783" s="10">
        <v>130</v>
      </c>
      <c r="F1783" s="13">
        <f t="shared" si="27"/>
        <v>130</v>
      </c>
    </row>
    <row r="1784" spans="1:6" s="9" customFormat="1" x14ac:dyDescent="0.25">
      <c r="B1784" s="4"/>
      <c r="C1784" s="5">
        <v>2</v>
      </c>
      <c r="D1784" s="9" t="s">
        <v>12</v>
      </c>
      <c r="E1784" s="10">
        <v>175</v>
      </c>
      <c r="F1784" s="13">
        <f t="shared" si="27"/>
        <v>350</v>
      </c>
    </row>
    <row r="1785" spans="1:6" s="9" customFormat="1" x14ac:dyDescent="0.25">
      <c r="C1785" s="5">
        <v>1</v>
      </c>
      <c r="D1785" s="9" t="s">
        <v>13</v>
      </c>
      <c r="E1785" s="10">
        <v>185</v>
      </c>
      <c r="F1785" s="13">
        <f t="shared" si="27"/>
        <v>185</v>
      </c>
    </row>
    <row r="1786" spans="1:6" s="9" customFormat="1" x14ac:dyDescent="0.25">
      <c r="C1786" s="5">
        <v>3</v>
      </c>
      <c r="D1786" s="9" t="s">
        <v>8</v>
      </c>
      <c r="E1786" s="10">
        <v>195</v>
      </c>
      <c r="F1786" s="13">
        <f t="shared" si="27"/>
        <v>585</v>
      </c>
    </row>
    <row r="1787" spans="1:6" s="9" customFormat="1" x14ac:dyDescent="0.25">
      <c r="B1787" s="4"/>
      <c r="C1787" s="5">
        <v>3</v>
      </c>
      <c r="D1787" s="9" t="s">
        <v>12</v>
      </c>
      <c r="E1787" s="10">
        <v>175</v>
      </c>
      <c r="F1787" s="13">
        <f t="shared" si="27"/>
        <v>525</v>
      </c>
    </row>
    <row r="1788" spans="1:6" s="9" customFormat="1" x14ac:dyDescent="0.25">
      <c r="C1788" s="5"/>
      <c r="E1788" s="10"/>
      <c r="F1788" s="8">
        <f>SUM(F1782:F1787)</f>
        <v>1910</v>
      </c>
    </row>
    <row r="1789" spans="1:6" s="9" customFormat="1" x14ac:dyDescent="0.25">
      <c r="C1789" s="5"/>
      <c r="E1789" s="10"/>
      <c r="F1789" s="13"/>
    </row>
    <row r="1790" spans="1:6" s="9" customFormat="1" x14ac:dyDescent="0.25">
      <c r="A1790" s="9" t="s">
        <v>181</v>
      </c>
      <c r="B1790" s="4">
        <v>45990</v>
      </c>
      <c r="C1790" s="5">
        <v>1</v>
      </c>
      <c r="D1790" s="9" t="s">
        <v>49</v>
      </c>
      <c r="E1790" s="10">
        <v>195</v>
      </c>
      <c r="F1790" s="13">
        <f t="shared" si="27"/>
        <v>195</v>
      </c>
    </row>
    <row r="1791" spans="1:6" s="9" customFormat="1" x14ac:dyDescent="0.25">
      <c r="C1791" s="5">
        <v>10</v>
      </c>
      <c r="D1791" s="9" t="s">
        <v>1181</v>
      </c>
      <c r="E1791" s="10">
        <v>190</v>
      </c>
      <c r="F1791" s="13">
        <f t="shared" si="27"/>
        <v>1900</v>
      </c>
    </row>
    <row r="1792" spans="1:6" s="9" customFormat="1" x14ac:dyDescent="0.25">
      <c r="C1792" s="5">
        <v>1</v>
      </c>
      <c r="D1792" s="9" t="s">
        <v>13</v>
      </c>
      <c r="E1792" s="10">
        <v>140</v>
      </c>
      <c r="F1792" s="13">
        <f t="shared" si="27"/>
        <v>140</v>
      </c>
    </row>
    <row r="1793" spans="1:7" s="9" customFormat="1" x14ac:dyDescent="0.25">
      <c r="B1793" s="4"/>
      <c r="C1793" s="5"/>
      <c r="E1793" s="10"/>
      <c r="F1793" s="8">
        <f>SUM(F1790:F1792)</f>
        <v>2235</v>
      </c>
    </row>
    <row r="1794" spans="1:7" s="9" customFormat="1" x14ac:dyDescent="0.25">
      <c r="C1794" s="5"/>
      <c r="E1794" s="10"/>
      <c r="F1794" s="13"/>
    </row>
    <row r="1795" spans="1:7" s="9" customFormat="1" x14ac:dyDescent="0.25">
      <c r="A1795" s="9" t="s">
        <v>32</v>
      </c>
      <c r="B1795" s="4">
        <v>45991</v>
      </c>
      <c r="C1795" s="5">
        <v>45</v>
      </c>
      <c r="D1795" s="9" t="s">
        <v>13</v>
      </c>
      <c r="E1795" s="10">
        <v>180</v>
      </c>
      <c r="F1795" s="13">
        <f t="shared" si="27"/>
        <v>8100</v>
      </c>
    </row>
    <row r="1796" spans="1:7" s="9" customFormat="1" x14ac:dyDescent="0.25">
      <c r="B1796" s="4"/>
      <c r="C1796" s="5"/>
      <c r="E1796" s="10"/>
      <c r="F1796" s="8">
        <f>SUM(F1795)</f>
        <v>8100</v>
      </c>
    </row>
    <row r="1797" spans="1:7" s="9" customFormat="1" x14ac:dyDescent="0.25">
      <c r="C1797" s="5"/>
      <c r="E1797" s="10"/>
      <c r="F1797" s="13"/>
    </row>
    <row r="1798" spans="1:7" s="9" customFormat="1" x14ac:dyDescent="0.25">
      <c r="A1798" s="9" t="s">
        <v>29</v>
      </c>
      <c r="B1798" s="4">
        <v>45991</v>
      </c>
      <c r="C1798" s="5">
        <v>15</v>
      </c>
      <c r="D1798" s="9" t="s">
        <v>13</v>
      </c>
      <c r="E1798" s="10">
        <v>180</v>
      </c>
      <c r="F1798" s="13">
        <f t="shared" ref="F1798:F1804" si="28">+C1798*E1798</f>
        <v>2700</v>
      </c>
    </row>
    <row r="1799" spans="1:7" s="9" customFormat="1" x14ac:dyDescent="0.25">
      <c r="B1799" s="4"/>
      <c r="C1799" s="5"/>
      <c r="E1799" s="10"/>
      <c r="F1799" s="8">
        <f>SUM(F1798)</f>
        <v>2700</v>
      </c>
    </row>
    <row r="1800" spans="1:7" s="9" customFormat="1" x14ac:dyDescent="0.25">
      <c r="C1800" s="5"/>
      <c r="E1800" s="10"/>
      <c r="F1800" s="13"/>
    </row>
    <row r="1801" spans="1:7" s="9" customFormat="1" x14ac:dyDescent="0.25">
      <c r="A1801" s="9" t="s">
        <v>181</v>
      </c>
      <c r="B1801" s="4">
        <v>45991</v>
      </c>
      <c r="C1801" s="5">
        <v>2</v>
      </c>
      <c r="D1801" s="9" t="s">
        <v>1182</v>
      </c>
      <c r="E1801" s="10">
        <v>150</v>
      </c>
      <c r="F1801" s="13">
        <f t="shared" si="28"/>
        <v>300</v>
      </c>
    </row>
    <row r="1802" spans="1:7" s="9" customFormat="1" x14ac:dyDescent="0.25">
      <c r="B1802" s="4"/>
      <c r="C1802" s="5">
        <v>2</v>
      </c>
      <c r="D1802" s="9" t="s">
        <v>8</v>
      </c>
      <c r="E1802" s="10">
        <v>190</v>
      </c>
      <c r="F1802" s="13">
        <f t="shared" si="28"/>
        <v>380</v>
      </c>
    </row>
    <row r="1803" spans="1:7" s="9" customFormat="1" x14ac:dyDescent="0.25">
      <c r="C1803" s="5">
        <v>2</v>
      </c>
      <c r="D1803" s="9" t="s">
        <v>12</v>
      </c>
      <c r="E1803" s="10">
        <v>170</v>
      </c>
      <c r="F1803" s="13">
        <f t="shared" si="28"/>
        <v>340</v>
      </c>
    </row>
    <row r="1804" spans="1:7" s="9" customFormat="1" x14ac:dyDescent="0.25">
      <c r="C1804" s="5">
        <v>1</v>
      </c>
      <c r="D1804" s="9" t="s">
        <v>8</v>
      </c>
      <c r="E1804" s="10">
        <v>195</v>
      </c>
      <c r="F1804" s="13">
        <f t="shared" si="28"/>
        <v>195</v>
      </c>
    </row>
    <row r="1805" spans="1:7" s="9" customFormat="1" x14ac:dyDescent="0.25">
      <c r="B1805" s="4"/>
      <c r="C1805" s="5"/>
      <c r="E1805" s="10"/>
      <c r="F1805" s="8">
        <f>SUM(F1801:F1804)</f>
        <v>1215</v>
      </c>
    </row>
    <row r="1806" spans="1:7" s="9" customFormat="1" x14ac:dyDescent="0.25">
      <c r="C1806" s="5"/>
      <c r="E1806" s="10"/>
      <c r="F1806" s="13"/>
    </row>
    <row r="1807" spans="1:7" s="9" customFormat="1" x14ac:dyDescent="0.25">
      <c r="C1807" s="5"/>
      <c r="E1807" s="10"/>
      <c r="F1807" s="10"/>
    </row>
    <row r="1808" spans="1:7" ht="15.75" x14ac:dyDescent="0.25">
      <c r="B1808" s="9"/>
      <c r="D1808" s="9"/>
      <c r="F1808" s="7" t="s">
        <v>294</v>
      </c>
      <c r="G1808" s="7">
        <f>+F4+F7+F10+F13+F16+F19+F23+F26+F30+F33+F39+F43+F49+F57+F60+F66+F69+F72+F75+F78+F81+F87+F90+F93+F99+F103+F106+F109+F112+F115+F118+F121+F125+F128+F131+F135+F139+F143+F146+F149+F152+F160+F165+F176+F181+F184+F189+F192+F195+F198+F203+F207+F210+F216+F222+F227+F230+F233+F236+F241+F246+F249+F253+F256+F259+F266+F270+F274+F277+F280+F284+F287+F291+F294+F297+F303+F306+F310+F316+F319+F322+F326+F329+F332+F335+F338+F341+F344+F347+F350+F353+F357+F363+F371+F375+F378+F381+F384+F387+F391+F395+F398+F401+F404+F407+F410+F413+F416+F419+F422+F425+F429+F432+F435+F439+F442+F446+F450+F453+F456+F459+F464+F467+F470+F476+F481+F487+F490+F495+F504+F507+F510+F513+F516+F519+F523+F526+F529+F533+F539+F542+F545+F548+F551+F554+F557+F560+F563+F566+F576+F579+F583+F589+F595+F600+F604+F607+F610+F613+F616+F621+F624+F632+F635+F638+F641+F644+F647+F650+F653+F660+F664+F669+F673+F679+F683+F686+F689+F692+F695+F698+F701+F705+F708+F714+F717+F720+F723+F727++F733+F736+F741+F747+F750+F753+F756+F760+F763+F768+F771+F776+F782+F785+F789+F792+F795+F798+F801+F805+F809+F813+F816+F819+F822+F825+F828+F832+F835+F838+F841+F844+F847+F851+F854+F862+F865+F868+F871+F874+F877+F880+F883+F886+F892+F897+F904+F912+F915+F920+F923+F926+F930+F933+F937+F941+F945+F948+F953+F956+F959+F962+F965+F968+F971+F974+F977+F980+F983+F986+F989+F992+F995+F1000+F1004+F1007+F1012+F1015+F1021+F1024+F1034+F1042+F1050+F1053+F1056+F1059+F1062+F1065+F1068+F1071+F1074+F1077+F1080+F1083+F1089+F1092+F1097+F1101+F1112+F1115+F1118+F1121+F1124+F1127+F1130+F1134+F1137+F1142+F1146+F1151+F1154+F1158+F1161+F1164+F1167+F1170+F1173+F1176+F1180+F1184+F1187+F1192+F1199+F1202+F1207+F1214+F1220+F1224+F1230+F1233+F1241+F1249+F1252+F1255+F1258+F1261+F1265+F1268+F1271+F1275+F1278+F1281+F1284+F1287+F1290+F1293+F1296+F1300+F1303+F1308+F1311+F1314+F1317+F1320+F1323+F1329+F1333+F1336+F1339+F1342+F1347+F1351+F1355+F1358+F1361+F1364+F1367+F1370+F1373+F1376+F1379+F1384+F1391+F1398+F1406+F1410+F1413+F1416+F1419+F1422+F1425+F1428+F1432+F1435+F1438+F1442+F1445+F1448+F1455+F1460+F1463+F1466+F1470+F1474+F1477+F1481+F1484+F1489+F1492+F1500+F1510+F1515+F1518+F1521+F1524+F1527+F1530+F1533+F1537+F1540+F1543+F1546+F1549+F1552+F1555+F1558+F1561+F1565+F1568+F1572+F1579+F1585+F1588+F1593+F1607+F1610+F1613+F1616+F1619+F1622+F1626+F1639+F1645+F1648+F1651+F1654+F1657+F1660+F1664+F1667+F1670+F1673+F1679+F1682+F1685+F1691+F1696+F1703+F1706+F1709+F1712+F1715+F1719+F1722+F1727+F1731+F1734+F1739+F1742+F1747+F1750+F1753+F1756+F1759+F1762+F1765+F1768+F1774+F1780+F1788+F1793+F1796+F1799+F1805</f>
        <v>4161594.6</v>
      </c>
    </row>
    <row r="1809" spans="2:7" x14ac:dyDescent="0.25">
      <c r="B1809" s="9"/>
      <c r="D1809" s="9"/>
      <c r="G1809" s="10">
        <v>4161594.5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ECB7-990E-4EE7-9D9F-9F549333D6BE}">
  <dimension ref="A1:K2050"/>
  <sheetViews>
    <sheetView tabSelected="1" topLeftCell="A632" workbookViewId="0">
      <selection activeCell="J657" sqref="J657"/>
    </sheetView>
  </sheetViews>
  <sheetFormatPr baseColWidth="10" defaultColWidth="11.42578125" defaultRowHeight="15" x14ac:dyDescent="0.25"/>
  <cols>
    <col min="1" max="1" width="22" bestFit="1" customWidth="1"/>
    <col min="3" max="3" width="11.42578125" style="5"/>
    <col min="4" max="4" width="43.42578125" customWidth="1"/>
    <col min="5" max="5" width="18.140625" style="10" bestFit="1" customWidth="1"/>
    <col min="6" max="6" width="13.7109375" style="10" bestFit="1" customWidth="1"/>
    <col min="7" max="7" width="16.85546875" bestFit="1" customWidth="1"/>
  </cols>
  <sheetData>
    <row r="1" spans="1:6" ht="15.75" x14ac:dyDescent="0.25">
      <c r="A1" s="30" t="s">
        <v>0</v>
      </c>
      <c r="B1" s="30"/>
      <c r="C1" s="30"/>
      <c r="D1" s="30"/>
      <c r="E1" s="30"/>
      <c r="F1" s="30"/>
    </row>
    <row r="2" spans="1:6" x14ac:dyDescent="0.2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3" t="s">
        <v>6</v>
      </c>
    </row>
    <row r="3" spans="1:6" x14ac:dyDescent="0.25">
      <c r="A3" s="9" t="s">
        <v>58</v>
      </c>
      <c r="B3" s="4">
        <v>45992</v>
      </c>
      <c r="C3" s="5">
        <v>10</v>
      </c>
      <c r="D3" s="9" t="s">
        <v>449</v>
      </c>
      <c r="E3" s="10">
        <v>185</v>
      </c>
      <c r="F3" s="10">
        <f>+C3*E3</f>
        <v>1850</v>
      </c>
    </row>
    <row r="4" spans="1:6" x14ac:dyDescent="0.25">
      <c r="A4" s="9"/>
      <c r="B4" s="9"/>
      <c r="D4" s="9"/>
      <c r="F4" s="8">
        <f>SUM(F3)</f>
        <v>1850</v>
      </c>
    </row>
    <row r="5" spans="1:6" x14ac:dyDescent="0.25">
      <c r="A5" s="9"/>
      <c r="B5" s="9"/>
      <c r="D5" s="9"/>
    </row>
    <row r="6" spans="1:6" x14ac:dyDescent="0.25">
      <c r="A6" s="9" t="s">
        <v>514</v>
      </c>
      <c r="B6" s="4">
        <v>45992</v>
      </c>
      <c r="C6" s="5">
        <v>10</v>
      </c>
      <c r="D6" s="9" t="s">
        <v>1183</v>
      </c>
      <c r="E6" s="10">
        <v>140</v>
      </c>
      <c r="F6" s="10">
        <f t="shared" ref="F6:F65" si="0">+C6*E6</f>
        <v>1400</v>
      </c>
    </row>
    <row r="7" spans="1:6" x14ac:dyDescent="0.25">
      <c r="A7" s="9"/>
      <c r="B7" s="9"/>
      <c r="D7" s="9"/>
      <c r="F7" s="8">
        <f>SUM(F6)</f>
        <v>1400</v>
      </c>
    </row>
    <row r="8" spans="1:6" x14ac:dyDescent="0.25">
      <c r="A8" s="9"/>
      <c r="B8" s="9"/>
      <c r="D8" s="9"/>
    </row>
    <row r="9" spans="1:6" x14ac:dyDescent="0.25">
      <c r="A9" s="9" t="s">
        <v>15</v>
      </c>
      <c r="B9" s="4">
        <v>45992</v>
      </c>
      <c r="C9" s="5">
        <v>67</v>
      </c>
      <c r="D9" s="9" t="s">
        <v>561</v>
      </c>
      <c r="E9" s="10">
        <v>135</v>
      </c>
      <c r="F9" s="10">
        <f t="shared" si="0"/>
        <v>9045</v>
      </c>
    </row>
    <row r="10" spans="1:6" x14ac:dyDescent="0.25">
      <c r="A10" s="9"/>
      <c r="B10" s="9"/>
      <c r="D10" s="9"/>
      <c r="F10" s="8">
        <f>SUM(F9)</f>
        <v>9045</v>
      </c>
    </row>
    <row r="11" spans="1:6" x14ac:dyDescent="0.25">
      <c r="A11" s="9"/>
      <c r="B11" s="9"/>
      <c r="D11" s="9"/>
    </row>
    <row r="12" spans="1:6" x14ac:dyDescent="0.25">
      <c r="A12" s="9" t="s">
        <v>17</v>
      </c>
      <c r="B12" s="4">
        <v>45992</v>
      </c>
      <c r="C12" s="5">
        <v>10</v>
      </c>
      <c r="D12" s="9" t="s">
        <v>13</v>
      </c>
      <c r="E12" s="10">
        <v>190</v>
      </c>
      <c r="F12" s="10">
        <f t="shared" si="0"/>
        <v>1900</v>
      </c>
    </row>
    <row r="13" spans="1:6" x14ac:dyDescent="0.25">
      <c r="A13" s="9"/>
      <c r="B13" s="4"/>
      <c r="D13" s="9"/>
      <c r="F13" s="8">
        <f>SUM(F12)</f>
        <v>1900</v>
      </c>
    </row>
    <row r="14" spans="1:6" x14ac:dyDescent="0.25">
      <c r="A14" s="9"/>
      <c r="B14" s="9"/>
      <c r="D14" s="9"/>
    </row>
    <row r="15" spans="1:6" x14ac:dyDescent="0.25">
      <c r="A15" s="9" t="s">
        <v>673</v>
      </c>
      <c r="B15" s="4">
        <v>45992</v>
      </c>
      <c r="C15" s="5">
        <v>30</v>
      </c>
      <c r="D15" s="9" t="s">
        <v>13</v>
      </c>
      <c r="E15" s="10">
        <v>185</v>
      </c>
      <c r="F15" s="10">
        <f t="shared" si="0"/>
        <v>5550</v>
      </c>
    </row>
    <row r="16" spans="1:6" x14ac:dyDescent="0.25">
      <c r="A16" s="9"/>
      <c r="B16" s="9"/>
      <c r="C16" s="5">
        <v>30</v>
      </c>
      <c r="D16" s="9" t="s">
        <v>50</v>
      </c>
      <c r="E16" s="10">
        <v>165</v>
      </c>
      <c r="F16" s="10">
        <f t="shared" si="0"/>
        <v>4950</v>
      </c>
    </row>
    <row r="17" spans="1:6" x14ac:dyDescent="0.25">
      <c r="B17" s="9"/>
      <c r="C17" s="5">
        <v>15</v>
      </c>
      <c r="D17" s="9" t="s">
        <v>12</v>
      </c>
      <c r="E17" s="10">
        <v>180</v>
      </c>
      <c r="F17" s="10">
        <f t="shared" si="0"/>
        <v>2700</v>
      </c>
    </row>
    <row r="18" spans="1:6" x14ac:dyDescent="0.25">
      <c r="B18" s="4"/>
      <c r="D18" s="9"/>
      <c r="F18" s="8">
        <f>SUM(F15:F17)</f>
        <v>13200</v>
      </c>
    </row>
    <row r="19" spans="1:6" x14ac:dyDescent="0.25">
      <c r="B19" s="9"/>
      <c r="D19" s="9"/>
    </row>
    <row r="20" spans="1:6" x14ac:dyDescent="0.25">
      <c r="A20" t="s">
        <v>1184</v>
      </c>
      <c r="B20" s="4">
        <v>45992</v>
      </c>
      <c r="C20" s="5">
        <v>15</v>
      </c>
      <c r="D20" s="9" t="s">
        <v>13</v>
      </c>
      <c r="E20" s="10">
        <v>190</v>
      </c>
      <c r="F20" s="10">
        <f t="shared" si="0"/>
        <v>2850</v>
      </c>
    </row>
    <row r="21" spans="1:6" x14ac:dyDescent="0.25">
      <c r="B21" s="9"/>
      <c r="D21" s="9"/>
      <c r="F21" s="8">
        <f>SUM(F20)</f>
        <v>2850</v>
      </c>
    </row>
    <row r="22" spans="1:6" x14ac:dyDescent="0.25">
      <c r="B22" s="9"/>
      <c r="D22" s="9"/>
    </row>
    <row r="23" spans="1:6" x14ac:dyDescent="0.25">
      <c r="A23" t="s">
        <v>923</v>
      </c>
      <c r="B23" s="4">
        <v>45992</v>
      </c>
      <c r="C23" s="5">
        <v>10</v>
      </c>
      <c r="D23" s="9" t="s">
        <v>13</v>
      </c>
      <c r="E23" s="10">
        <v>190</v>
      </c>
      <c r="F23" s="10">
        <f t="shared" si="0"/>
        <v>1900</v>
      </c>
    </row>
    <row r="24" spans="1:6" x14ac:dyDescent="0.25">
      <c r="B24" s="9"/>
      <c r="C24" s="5">
        <v>10</v>
      </c>
      <c r="D24" s="9" t="s">
        <v>12</v>
      </c>
      <c r="E24" s="10">
        <v>185</v>
      </c>
      <c r="F24" s="10">
        <f t="shared" si="0"/>
        <v>1850</v>
      </c>
    </row>
    <row r="25" spans="1:6" x14ac:dyDescent="0.25">
      <c r="B25" s="4"/>
      <c r="C25" s="5">
        <v>10</v>
      </c>
      <c r="D25" s="9" t="s">
        <v>22</v>
      </c>
      <c r="E25" s="10">
        <v>175</v>
      </c>
      <c r="F25" s="10">
        <f t="shared" si="0"/>
        <v>1750</v>
      </c>
    </row>
    <row r="26" spans="1:6" x14ac:dyDescent="0.25">
      <c r="B26" s="9"/>
      <c r="D26" s="9"/>
      <c r="F26" s="8">
        <f>SUM(F23:F25)</f>
        <v>5500</v>
      </c>
    </row>
    <row r="27" spans="1:6" x14ac:dyDescent="0.25">
      <c r="B27" s="9"/>
      <c r="D27" s="9"/>
    </row>
    <row r="28" spans="1:6" x14ac:dyDescent="0.25">
      <c r="A28" t="s">
        <v>40</v>
      </c>
      <c r="B28" s="4">
        <v>45992</v>
      </c>
      <c r="C28" s="5">
        <v>30</v>
      </c>
      <c r="D28" s="9" t="s">
        <v>13</v>
      </c>
      <c r="E28" s="10">
        <v>185</v>
      </c>
      <c r="F28" s="10">
        <f t="shared" si="0"/>
        <v>5550</v>
      </c>
    </row>
    <row r="29" spans="1:6" x14ac:dyDescent="0.25">
      <c r="B29" s="4"/>
      <c r="C29" s="5">
        <v>30</v>
      </c>
      <c r="D29" s="9" t="s">
        <v>14</v>
      </c>
      <c r="E29" s="10">
        <v>180</v>
      </c>
      <c r="F29" s="10">
        <f t="shared" si="0"/>
        <v>5400</v>
      </c>
    </row>
    <row r="30" spans="1:6" x14ac:dyDescent="0.25">
      <c r="B30" s="9"/>
      <c r="C30" s="5">
        <v>14</v>
      </c>
      <c r="D30" s="9" t="s">
        <v>49</v>
      </c>
      <c r="E30" s="10">
        <v>185</v>
      </c>
      <c r="F30" s="10">
        <f t="shared" si="0"/>
        <v>2590</v>
      </c>
    </row>
    <row r="31" spans="1:6" x14ac:dyDescent="0.25">
      <c r="B31" s="9"/>
      <c r="C31" s="5">
        <v>27</v>
      </c>
      <c r="D31" s="9" t="s">
        <v>8</v>
      </c>
      <c r="E31" s="10">
        <v>190</v>
      </c>
      <c r="F31" s="10">
        <f t="shared" si="0"/>
        <v>5130</v>
      </c>
    </row>
    <row r="32" spans="1:6" x14ac:dyDescent="0.25">
      <c r="B32" s="9"/>
      <c r="C32" s="5">
        <v>30</v>
      </c>
      <c r="D32" s="9" t="s">
        <v>12</v>
      </c>
      <c r="E32" s="10">
        <v>180</v>
      </c>
      <c r="F32" s="10">
        <f t="shared" si="0"/>
        <v>5400</v>
      </c>
    </row>
    <row r="33" spans="1:6" x14ac:dyDescent="0.25">
      <c r="A33" s="9"/>
      <c r="B33" s="4"/>
      <c r="C33" s="5">
        <v>20</v>
      </c>
      <c r="D33" s="9" t="s">
        <v>22</v>
      </c>
      <c r="E33" s="10">
        <v>190</v>
      </c>
      <c r="F33" s="10">
        <f t="shared" si="0"/>
        <v>3800</v>
      </c>
    </row>
    <row r="34" spans="1:6" x14ac:dyDescent="0.25">
      <c r="A34" s="9"/>
      <c r="B34" s="9"/>
      <c r="D34" s="9"/>
      <c r="F34" s="8">
        <f>SUM(F28:F33)</f>
        <v>27870</v>
      </c>
    </row>
    <row r="35" spans="1:6" x14ac:dyDescent="0.25">
      <c r="A35" s="9"/>
      <c r="B35" s="9"/>
      <c r="D35" s="9"/>
    </row>
    <row r="36" spans="1:6" s="9" customFormat="1" x14ac:dyDescent="0.25">
      <c r="A36" s="4" t="s">
        <v>25</v>
      </c>
      <c r="B36" s="4">
        <v>45992</v>
      </c>
      <c r="C36" s="5">
        <v>30</v>
      </c>
      <c r="D36" s="9" t="s">
        <v>22</v>
      </c>
      <c r="E36" s="10">
        <v>175</v>
      </c>
      <c r="F36" s="10">
        <f t="shared" si="0"/>
        <v>5250</v>
      </c>
    </row>
    <row r="37" spans="1:6" s="9" customFormat="1" x14ac:dyDescent="0.25">
      <c r="C37" s="5">
        <v>50</v>
      </c>
      <c r="D37" s="9" t="s">
        <v>727</v>
      </c>
      <c r="E37" s="10">
        <v>170</v>
      </c>
      <c r="F37" s="10">
        <f t="shared" si="0"/>
        <v>8500</v>
      </c>
    </row>
    <row r="38" spans="1:6" s="9" customFormat="1" x14ac:dyDescent="0.25">
      <c r="C38" s="5">
        <v>10</v>
      </c>
      <c r="D38" s="9" t="s">
        <v>449</v>
      </c>
      <c r="E38" s="10">
        <v>190</v>
      </c>
      <c r="F38" s="10">
        <f t="shared" si="0"/>
        <v>1900</v>
      </c>
    </row>
    <row r="39" spans="1:6" x14ac:dyDescent="0.25">
      <c r="A39" s="9"/>
      <c r="B39" s="4"/>
      <c r="C39" s="5">
        <v>10</v>
      </c>
      <c r="D39" s="9" t="s">
        <v>14</v>
      </c>
      <c r="E39" s="10">
        <v>185</v>
      </c>
      <c r="F39" s="10">
        <f t="shared" si="0"/>
        <v>1850</v>
      </c>
    </row>
    <row r="40" spans="1:6" x14ac:dyDescent="0.25">
      <c r="A40" s="9"/>
      <c r="B40" s="9"/>
      <c r="C40" s="5">
        <v>20</v>
      </c>
      <c r="D40" s="9" t="s">
        <v>12</v>
      </c>
      <c r="E40" s="10">
        <v>185</v>
      </c>
      <c r="F40" s="10">
        <f t="shared" si="0"/>
        <v>3700</v>
      </c>
    </row>
    <row r="41" spans="1:6" x14ac:dyDescent="0.25">
      <c r="A41" s="9"/>
      <c r="B41" s="9"/>
      <c r="D41" s="9"/>
      <c r="F41" s="8">
        <f>SUM(F36:F40)</f>
        <v>21200</v>
      </c>
    </row>
    <row r="42" spans="1:6" x14ac:dyDescent="0.25">
      <c r="A42" s="9"/>
      <c r="B42" s="4"/>
      <c r="D42" s="9"/>
    </row>
    <row r="43" spans="1:6" x14ac:dyDescent="0.25">
      <c r="A43" s="9" t="s">
        <v>1122</v>
      </c>
      <c r="B43" s="4">
        <v>45992</v>
      </c>
      <c r="C43" s="5">
        <v>5</v>
      </c>
      <c r="D43" s="9" t="s">
        <v>13</v>
      </c>
      <c r="E43" s="10">
        <v>190</v>
      </c>
      <c r="F43" s="10">
        <f t="shared" si="0"/>
        <v>950</v>
      </c>
    </row>
    <row r="44" spans="1:6" x14ac:dyDescent="0.25">
      <c r="A44" s="9"/>
      <c r="B44" s="9"/>
      <c r="D44" s="9"/>
      <c r="F44" s="8">
        <f>SUM(F43)</f>
        <v>950</v>
      </c>
    </row>
    <row r="45" spans="1:6" x14ac:dyDescent="0.25">
      <c r="A45" s="9"/>
      <c r="B45" s="4"/>
      <c r="D45" s="9"/>
    </row>
    <row r="46" spans="1:6" x14ac:dyDescent="0.25">
      <c r="A46" s="9" t="s">
        <v>18</v>
      </c>
      <c r="B46" s="4">
        <v>45992</v>
      </c>
      <c r="C46" s="5">
        <v>20</v>
      </c>
      <c r="D46" s="9" t="s">
        <v>11</v>
      </c>
      <c r="E46" s="10">
        <v>180</v>
      </c>
      <c r="F46" s="10">
        <f t="shared" si="0"/>
        <v>3600</v>
      </c>
    </row>
    <row r="47" spans="1:6" x14ac:dyDescent="0.25">
      <c r="A47" s="9"/>
      <c r="B47" s="9"/>
      <c r="C47" s="5">
        <v>10</v>
      </c>
      <c r="D47" s="9" t="s">
        <v>14</v>
      </c>
      <c r="E47" s="10">
        <v>185</v>
      </c>
      <c r="F47" s="10">
        <f t="shared" si="0"/>
        <v>1850</v>
      </c>
    </row>
    <row r="48" spans="1:6" x14ac:dyDescent="0.25">
      <c r="A48" s="9"/>
      <c r="B48" s="4"/>
      <c r="D48" s="9"/>
      <c r="F48" s="8">
        <f>SUM(F46:F47)</f>
        <v>5450</v>
      </c>
    </row>
    <row r="49" spans="1:6" x14ac:dyDescent="0.25">
      <c r="B49" s="9"/>
      <c r="D49" s="9"/>
    </row>
    <row r="50" spans="1:6" x14ac:dyDescent="0.25">
      <c r="A50" t="s">
        <v>44</v>
      </c>
      <c r="B50" s="4">
        <v>45992</v>
      </c>
      <c r="C50" s="5">
        <v>50</v>
      </c>
      <c r="D50" s="9" t="s">
        <v>14</v>
      </c>
      <c r="E50" s="10">
        <v>185</v>
      </c>
      <c r="F50" s="10">
        <f t="shared" si="0"/>
        <v>9250</v>
      </c>
    </row>
    <row r="51" spans="1:6" x14ac:dyDescent="0.25">
      <c r="B51" s="4"/>
      <c r="D51" s="9"/>
      <c r="F51" s="8">
        <f>SUM(F50)</f>
        <v>9250</v>
      </c>
    </row>
    <row r="52" spans="1:6" x14ac:dyDescent="0.25">
      <c r="B52" s="9"/>
      <c r="D52" s="9"/>
    </row>
    <row r="53" spans="1:6" x14ac:dyDescent="0.25">
      <c r="A53" t="s">
        <v>41</v>
      </c>
      <c r="B53" s="4">
        <v>45992</v>
      </c>
      <c r="C53" s="5">
        <v>30</v>
      </c>
      <c r="D53" s="9" t="s">
        <v>14</v>
      </c>
      <c r="E53" s="10">
        <v>165</v>
      </c>
      <c r="F53" s="10">
        <f t="shared" si="0"/>
        <v>4950</v>
      </c>
    </row>
    <row r="54" spans="1:6" x14ac:dyDescent="0.25">
      <c r="B54" s="4"/>
      <c r="D54" s="9"/>
      <c r="F54" s="8">
        <f>SUM(F53)</f>
        <v>4950</v>
      </c>
    </row>
    <row r="55" spans="1:6" x14ac:dyDescent="0.25">
      <c r="B55" s="9"/>
      <c r="D55" s="9"/>
    </row>
    <row r="56" spans="1:6" x14ac:dyDescent="0.25">
      <c r="A56" t="s">
        <v>1095</v>
      </c>
      <c r="B56" s="4">
        <v>45992</v>
      </c>
      <c r="C56" s="5">
        <v>5</v>
      </c>
      <c r="D56" s="9" t="s">
        <v>14</v>
      </c>
      <c r="E56" s="10">
        <v>185</v>
      </c>
      <c r="F56" s="10">
        <f t="shared" si="0"/>
        <v>925</v>
      </c>
    </row>
    <row r="57" spans="1:6" x14ac:dyDescent="0.25">
      <c r="B57" s="4"/>
      <c r="D57" s="9"/>
      <c r="F57" s="8">
        <f>SUM(F56)</f>
        <v>925</v>
      </c>
    </row>
    <row r="58" spans="1:6" x14ac:dyDescent="0.25">
      <c r="B58" s="9"/>
      <c r="D58" s="9"/>
    </row>
    <row r="59" spans="1:6" x14ac:dyDescent="0.25">
      <c r="A59" t="s">
        <v>43</v>
      </c>
      <c r="B59" s="4">
        <v>45992</v>
      </c>
      <c r="C59" s="5">
        <v>40</v>
      </c>
      <c r="D59" s="9" t="s">
        <v>14</v>
      </c>
      <c r="E59" s="10">
        <v>185</v>
      </c>
      <c r="F59" s="10">
        <f t="shared" si="0"/>
        <v>7400</v>
      </c>
    </row>
    <row r="60" spans="1:6" x14ac:dyDescent="0.25">
      <c r="B60" s="9"/>
      <c r="D60" s="9"/>
      <c r="F60" s="8">
        <f>SUM(F59)</f>
        <v>7400</v>
      </c>
    </row>
    <row r="61" spans="1:6" x14ac:dyDescent="0.25">
      <c r="B61" s="4"/>
      <c r="D61" s="9"/>
    </row>
    <row r="62" spans="1:6" x14ac:dyDescent="0.25">
      <c r="A62" t="s">
        <v>1003</v>
      </c>
      <c r="B62" s="4">
        <v>45992</v>
      </c>
      <c r="C62" s="5">
        <v>20</v>
      </c>
      <c r="D62" s="9" t="s">
        <v>14</v>
      </c>
      <c r="E62" s="10">
        <v>185</v>
      </c>
      <c r="F62" s="10">
        <f t="shared" si="0"/>
        <v>3700</v>
      </c>
    </row>
    <row r="63" spans="1:6" x14ac:dyDescent="0.25">
      <c r="B63" s="9"/>
      <c r="D63" s="9"/>
      <c r="F63" s="8">
        <f>SUM(F62)</f>
        <v>3700</v>
      </c>
    </row>
    <row r="64" spans="1:6" x14ac:dyDescent="0.25">
      <c r="B64" s="4"/>
      <c r="D64" s="9"/>
    </row>
    <row r="65" spans="1:6" x14ac:dyDescent="0.25">
      <c r="A65" t="s">
        <v>1186</v>
      </c>
      <c r="B65" s="4">
        <v>45992</v>
      </c>
      <c r="C65" s="5">
        <v>2</v>
      </c>
      <c r="D65" s="9" t="s">
        <v>121</v>
      </c>
      <c r="E65" s="10">
        <v>185</v>
      </c>
      <c r="F65" s="10">
        <f t="shared" si="0"/>
        <v>370</v>
      </c>
    </row>
    <row r="66" spans="1:6" x14ac:dyDescent="0.25">
      <c r="B66" s="9"/>
      <c r="D66" s="9"/>
      <c r="F66" s="8">
        <f>SUM(F65)</f>
        <v>370</v>
      </c>
    </row>
    <row r="67" spans="1:6" x14ac:dyDescent="0.25">
      <c r="B67" s="4"/>
      <c r="D67" s="9"/>
    </row>
    <row r="68" spans="1:6" x14ac:dyDescent="0.25">
      <c r="A68" t="s">
        <v>1187</v>
      </c>
      <c r="B68" s="4">
        <v>45992</v>
      </c>
      <c r="C68" s="5">
        <v>5</v>
      </c>
      <c r="D68" s="9" t="s">
        <v>98</v>
      </c>
      <c r="E68" s="10">
        <v>135</v>
      </c>
      <c r="F68" s="10">
        <f t="shared" ref="F68:F131" si="1">+C68*E68</f>
        <v>675</v>
      </c>
    </row>
    <row r="69" spans="1:6" x14ac:dyDescent="0.25">
      <c r="B69" s="9"/>
      <c r="D69" s="9"/>
      <c r="F69" s="8">
        <f>SUM(F68)</f>
        <v>675</v>
      </c>
    </row>
    <row r="70" spans="1:6" x14ac:dyDescent="0.25">
      <c r="B70" s="9"/>
      <c r="D70" s="9"/>
    </row>
    <row r="71" spans="1:6" x14ac:dyDescent="0.25">
      <c r="A71" t="s">
        <v>102</v>
      </c>
      <c r="B71" s="4">
        <v>45992</v>
      </c>
      <c r="C71" s="5">
        <v>5</v>
      </c>
      <c r="D71" s="9" t="s">
        <v>13</v>
      </c>
      <c r="E71" s="10">
        <v>190</v>
      </c>
      <c r="F71" s="10">
        <f t="shared" si="1"/>
        <v>950</v>
      </c>
    </row>
    <row r="72" spans="1:6" x14ac:dyDescent="0.25">
      <c r="B72" s="9"/>
      <c r="D72" s="9"/>
      <c r="F72" s="8">
        <f>SUM(F71)</f>
        <v>950</v>
      </c>
    </row>
    <row r="73" spans="1:6" x14ac:dyDescent="0.25">
      <c r="B73" s="4"/>
      <c r="D73" s="9"/>
    </row>
    <row r="74" spans="1:6" x14ac:dyDescent="0.25">
      <c r="A74" t="s">
        <v>26</v>
      </c>
      <c r="B74" s="4">
        <v>45992</v>
      </c>
      <c r="C74" s="5">
        <v>1000</v>
      </c>
      <c r="D74" s="9" t="s">
        <v>246</v>
      </c>
      <c r="E74" s="10">
        <v>177</v>
      </c>
      <c r="F74" s="10">
        <f t="shared" si="1"/>
        <v>177000</v>
      </c>
    </row>
    <row r="75" spans="1:6" x14ac:dyDescent="0.25">
      <c r="B75" s="9"/>
      <c r="D75" s="9"/>
      <c r="F75" s="8">
        <f>SUM(F74)</f>
        <v>177000</v>
      </c>
    </row>
    <row r="76" spans="1:6" x14ac:dyDescent="0.25">
      <c r="B76" s="4"/>
      <c r="D76" s="9"/>
    </row>
    <row r="77" spans="1:6" x14ac:dyDescent="0.25">
      <c r="A77" t="s">
        <v>1188</v>
      </c>
      <c r="B77" s="4">
        <v>45992</v>
      </c>
      <c r="C77" s="5">
        <v>14</v>
      </c>
      <c r="D77" s="9" t="s">
        <v>13</v>
      </c>
      <c r="E77" s="10">
        <v>150</v>
      </c>
      <c r="F77" s="10">
        <f t="shared" si="1"/>
        <v>2100</v>
      </c>
    </row>
    <row r="78" spans="1:6" x14ac:dyDescent="0.25">
      <c r="B78" s="9"/>
      <c r="D78" s="9"/>
      <c r="F78" s="8">
        <f>SUM(F77)</f>
        <v>2100</v>
      </c>
    </row>
    <row r="79" spans="1:6" x14ac:dyDescent="0.25">
      <c r="B79" s="9"/>
      <c r="D79" s="9"/>
    </row>
    <row r="80" spans="1:6" x14ac:dyDescent="0.25">
      <c r="A80" t="s">
        <v>175</v>
      </c>
      <c r="B80" s="4">
        <v>45992</v>
      </c>
      <c r="C80" s="5">
        <v>10</v>
      </c>
      <c r="D80" s="9" t="s">
        <v>13</v>
      </c>
      <c r="E80" s="10">
        <v>185</v>
      </c>
      <c r="F80" s="10">
        <f t="shared" si="1"/>
        <v>1850</v>
      </c>
    </row>
    <row r="81" spans="1:6" x14ac:dyDescent="0.25">
      <c r="B81" s="9"/>
      <c r="D81" s="9"/>
      <c r="F81" s="8">
        <f>SUM(F80)</f>
        <v>1850</v>
      </c>
    </row>
    <row r="82" spans="1:6" x14ac:dyDescent="0.25">
      <c r="B82" s="9"/>
      <c r="D82" s="9"/>
    </row>
    <row r="83" spans="1:6" x14ac:dyDescent="0.25">
      <c r="A83" t="s">
        <v>88</v>
      </c>
      <c r="B83" s="4">
        <v>45992</v>
      </c>
      <c r="C83" s="5">
        <v>10</v>
      </c>
      <c r="D83" s="9" t="s">
        <v>14</v>
      </c>
      <c r="E83" s="10">
        <v>185</v>
      </c>
      <c r="F83" s="10">
        <f t="shared" si="1"/>
        <v>1850</v>
      </c>
    </row>
    <row r="84" spans="1:6" x14ac:dyDescent="0.25">
      <c r="B84" s="4"/>
      <c r="C84" s="5">
        <v>3</v>
      </c>
      <c r="D84" s="9" t="s">
        <v>1189</v>
      </c>
      <c r="E84" s="10">
        <v>190</v>
      </c>
      <c r="F84" s="10">
        <f t="shared" si="1"/>
        <v>570</v>
      </c>
    </row>
    <row r="85" spans="1:6" x14ac:dyDescent="0.25">
      <c r="B85" s="9"/>
      <c r="D85" s="9"/>
      <c r="F85" s="8">
        <f>SUM(F83:F84)</f>
        <v>2420</v>
      </c>
    </row>
    <row r="86" spans="1:6" x14ac:dyDescent="0.25">
      <c r="B86" s="9"/>
      <c r="D86" s="9"/>
    </row>
    <row r="87" spans="1:6" x14ac:dyDescent="0.25">
      <c r="A87" t="s">
        <v>1190</v>
      </c>
      <c r="B87" s="4">
        <v>45992</v>
      </c>
      <c r="C87" s="5">
        <v>10</v>
      </c>
      <c r="D87" s="9" t="s">
        <v>13</v>
      </c>
      <c r="E87" s="10">
        <v>190</v>
      </c>
      <c r="F87" s="10">
        <f t="shared" si="1"/>
        <v>1900</v>
      </c>
    </row>
    <row r="88" spans="1:6" x14ac:dyDescent="0.25">
      <c r="B88" s="9"/>
      <c r="D88" s="9"/>
      <c r="F88" s="8">
        <f>SUM(F87)</f>
        <v>1900</v>
      </c>
    </row>
    <row r="89" spans="1:6" x14ac:dyDescent="0.25">
      <c r="B89" s="9"/>
      <c r="D89" s="9"/>
    </row>
    <row r="90" spans="1:6" x14ac:dyDescent="0.25">
      <c r="A90" t="s">
        <v>113</v>
      </c>
      <c r="B90" s="4">
        <v>45992</v>
      </c>
      <c r="C90" s="5">
        <v>20</v>
      </c>
      <c r="D90" s="9" t="s">
        <v>8</v>
      </c>
      <c r="E90" s="10">
        <v>180</v>
      </c>
      <c r="F90" s="10">
        <f t="shared" si="1"/>
        <v>3600</v>
      </c>
    </row>
    <row r="91" spans="1:6" x14ac:dyDescent="0.25">
      <c r="B91" s="9"/>
      <c r="D91" s="9"/>
      <c r="F91" s="8">
        <f>SUM(F90)</f>
        <v>3600</v>
      </c>
    </row>
    <row r="92" spans="1:6" x14ac:dyDescent="0.25">
      <c r="B92" s="9"/>
      <c r="D92" s="9"/>
      <c r="F92" s="13"/>
    </row>
    <row r="93" spans="1:6" x14ac:dyDescent="0.25">
      <c r="A93" t="s">
        <v>66</v>
      </c>
      <c r="B93" s="4">
        <v>45992</v>
      </c>
      <c r="C93" s="5">
        <v>20</v>
      </c>
      <c r="D93" s="9" t="s">
        <v>8</v>
      </c>
      <c r="E93" s="10">
        <v>190</v>
      </c>
      <c r="F93" s="10">
        <f t="shared" si="1"/>
        <v>3800</v>
      </c>
    </row>
    <row r="94" spans="1:6" x14ac:dyDescent="0.25">
      <c r="B94" s="9"/>
      <c r="D94" s="9"/>
      <c r="F94" s="8">
        <f>SUM(F93)</f>
        <v>3800</v>
      </c>
    </row>
    <row r="95" spans="1:6" x14ac:dyDescent="0.25">
      <c r="B95" s="9"/>
      <c r="D95" s="9"/>
    </row>
    <row r="96" spans="1:6" x14ac:dyDescent="0.25">
      <c r="A96" t="s">
        <v>1057</v>
      </c>
      <c r="B96" s="4">
        <v>45992</v>
      </c>
      <c r="C96" s="5">
        <v>10</v>
      </c>
      <c r="D96" s="9" t="s">
        <v>13</v>
      </c>
      <c r="E96" s="10">
        <v>190</v>
      </c>
      <c r="F96" s="10">
        <f t="shared" si="1"/>
        <v>1900</v>
      </c>
    </row>
    <row r="97" spans="1:6" x14ac:dyDescent="0.25">
      <c r="B97" s="9"/>
      <c r="D97" s="9"/>
      <c r="F97" s="8">
        <f>SUM(F96)</f>
        <v>1900</v>
      </c>
    </row>
    <row r="98" spans="1:6" x14ac:dyDescent="0.25">
      <c r="B98" s="9"/>
      <c r="D98" s="9"/>
    </row>
    <row r="99" spans="1:6" x14ac:dyDescent="0.25">
      <c r="A99" t="s">
        <v>245</v>
      </c>
      <c r="B99" s="4">
        <v>45992</v>
      </c>
      <c r="C99" s="5">
        <v>10</v>
      </c>
      <c r="D99" s="9" t="s">
        <v>14</v>
      </c>
      <c r="E99" s="10">
        <v>175</v>
      </c>
      <c r="F99" s="10">
        <f t="shared" si="1"/>
        <v>1750</v>
      </c>
    </row>
    <row r="100" spans="1:6" x14ac:dyDescent="0.25">
      <c r="B100" s="9"/>
      <c r="D100" s="9"/>
      <c r="F100" s="8">
        <f>SUM(F99)</f>
        <v>1750</v>
      </c>
    </row>
    <row r="101" spans="1:6" x14ac:dyDescent="0.25">
      <c r="B101" s="9"/>
      <c r="D101" s="9"/>
    </row>
    <row r="102" spans="1:6" x14ac:dyDescent="0.25">
      <c r="A102" t="s">
        <v>89</v>
      </c>
      <c r="B102" s="4">
        <v>45992</v>
      </c>
      <c r="C102" s="5">
        <v>50</v>
      </c>
      <c r="D102" s="9" t="s">
        <v>12</v>
      </c>
      <c r="E102" s="10">
        <v>170</v>
      </c>
      <c r="F102" s="10">
        <f t="shared" si="1"/>
        <v>8500</v>
      </c>
    </row>
    <row r="103" spans="1:6" x14ac:dyDescent="0.25">
      <c r="B103" s="9"/>
      <c r="C103" s="5">
        <v>10</v>
      </c>
      <c r="D103" s="9" t="s">
        <v>13</v>
      </c>
      <c r="E103" s="10">
        <v>180</v>
      </c>
      <c r="F103" s="10">
        <f t="shared" si="1"/>
        <v>1800</v>
      </c>
    </row>
    <row r="104" spans="1:6" x14ac:dyDescent="0.25">
      <c r="B104" s="9"/>
      <c r="D104" s="9"/>
      <c r="F104" s="8">
        <f>SUM(F102:F103)</f>
        <v>10300</v>
      </c>
    </row>
    <row r="105" spans="1:6" x14ac:dyDescent="0.25">
      <c r="B105" s="9"/>
      <c r="D105" s="9"/>
    </row>
    <row r="106" spans="1:6" x14ac:dyDescent="0.25">
      <c r="A106" t="s">
        <v>181</v>
      </c>
      <c r="B106" s="4">
        <v>45992</v>
      </c>
      <c r="C106" s="5">
        <v>2</v>
      </c>
      <c r="D106" s="9" t="s">
        <v>12</v>
      </c>
      <c r="E106" s="10">
        <v>175</v>
      </c>
      <c r="F106" s="10">
        <f t="shared" si="1"/>
        <v>350</v>
      </c>
    </row>
    <row r="107" spans="1:6" x14ac:dyDescent="0.25">
      <c r="B107" s="9"/>
      <c r="C107" s="5">
        <v>1</v>
      </c>
      <c r="D107" s="9" t="s">
        <v>8</v>
      </c>
      <c r="E107" s="10">
        <v>195</v>
      </c>
      <c r="F107" s="10">
        <f t="shared" si="1"/>
        <v>195</v>
      </c>
    </row>
    <row r="108" spans="1:6" x14ac:dyDescent="0.25">
      <c r="B108" s="9"/>
      <c r="C108" s="5">
        <v>5</v>
      </c>
      <c r="D108" s="9" t="s">
        <v>13</v>
      </c>
      <c r="E108" s="10">
        <v>185</v>
      </c>
      <c r="F108" s="10">
        <f t="shared" si="1"/>
        <v>925</v>
      </c>
    </row>
    <row r="109" spans="1:6" x14ac:dyDescent="0.25">
      <c r="B109" s="4"/>
      <c r="C109" s="5">
        <v>2</v>
      </c>
      <c r="D109" s="9" t="s">
        <v>8</v>
      </c>
      <c r="E109" s="10">
        <v>195</v>
      </c>
      <c r="F109" s="10">
        <f t="shared" si="1"/>
        <v>390</v>
      </c>
    </row>
    <row r="110" spans="1:6" x14ac:dyDescent="0.25">
      <c r="B110" s="9"/>
      <c r="C110" s="5">
        <v>1</v>
      </c>
      <c r="D110" s="9" t="s">
        <v>1191</v>
      </c>
      <c r="E110" s="10">
        <v>150</v>
      </c>
      <c r="F110" s="10">
        <f t="shared" si="1"/>
        <v>150</v>
      </c>
    </row>
    <row r="111" spans="1:6" x14ac:dyDescent="0.25">
      <c r="B111" s="9"/>
      <c r="D111" s="9"/>
      <c r="F111" s="8">
        <f>SUM(F106:F110)</f>
        <v>2010</v>
      </c>
    </row>
    <row r="112" spans="1:6" x14ac:dyDescent="0.25">
      <c r="B112" s="9"/>
      <c r="D112" s="9"/>
    </row>
    <row r="113" spans="1:6" x14ac:dyDescent="0.25">
      <c r="A113" t="s">
        <v>292</v>
      </c>
      <c r="B113" s="4">
        <v>45993</v>
      </c>
      <c r="C113" s="5">
        <v>5</v>
      </c>
      <c r="D113" s="9" t="s">
        <v>11</v>
      </c>
      <c r="E113" s="10">
        <v>170</v>
      </c>
      <c r="F113" s="10">
        <f t="shared" si="1"/>
        <v>850</v>
      </c>
    </row>
    <row r="114" spans="1:6" x14ac:dyDescent="0.25">
      <c r="B114" s="9"/>
      <c r="C114" s="5">
        <v>5</v>
      </c>
      <c r="D114" s="9" t="s">
        <v>8</v>
      </c>
      <c r="E114" s="10">
        <v>185</v>
      </c>
      <c r="F114" s="10">
        <f t="shared" si="1"/>
        <v>925</v>
      </c>
    </row>
    <row r="115" spans="1:6" x14ac:dyDescent="0.25">
      <c r="B115" s="9"/>
      <c r="D115" s="9"/>
      <c r="F115" s="8">
        <f>SUM(F113:F114)</f>
        <v>1775</v>
      </c>
    </row>
    <row r="116" spans="1:6" x14ac:dyDescent="0.25">
      <c r="B116" s="4"/>
      <c r="D116" s="9"/>
    </row>
    <row r="117" spans="1:6" x14ac:dyDescent="0.25">
      <c r="A117" t="s">
        <v>59</v>
      </c>
      <c r="B117" s="4">
        <v>45993</v>
      </c>
      <c r="C117" s="5">
        <v>20</v>
      </c>
      <c r="D117" s="9" t="s">
        <v>13</v>
      </c>
      <c r="E117" s="10">
        <v>185</v>
      </c>
      <c r="F117" s="10">
        <f t="shared" si="1"/>
        <v>3700</v>
      </c>
    </row>
    <row r="118" spans="1:6" x14ac:dyDescent="0.25">
      <c r="B118" s="9"/>
      <c r="D118" s="9"/>
      <c r="F118" s="8">
        <f>SUM(F117)</f>
        <v>3700</v>
      </c>
    </row>
    <row r="119" spans="1:6" x14ac:dyDescent="0.25">
      <c r="B119" s="9"/>
      <c r="D119" s="9"/>
    </row>
    <row r="120" spans="1:6" x14ac:dyDescent="0.25">
      <c r="A120" t="s">
        <v>61</v>
      </c>
      <c r="B120" s="4">
        <v>45993</v>
      </c>
      <c r="C120" s="5">
        <v>40</v>
      </c>
      <c r="D120" s="9" t="s">
        <v>13</v>
      </c>
      <c r="E120" s="10">
        <v>185</v>
      </c>
      <c r="F120" s="10">
        <f t="shared" si="1"/>
        <v>7400</v>
      </c>
    </row>
    <row r="121" spans="1:6" x14ac:dyDescent="0.25">
      <c r="B121" s="9"/>
      <c r="D121" s="9"/>
      <c r="F121" s="8">
        <f>SUM(F120)</f>
        <v>7400</v>
      </c>
    </row>
    <row r="122" spans="1:6" x14ac:dyDescent="0.25">
      <c r="B122" s="9"/>
      <c r="D122" s="9"/>
    </row>
    <row r="123" spans="1:6" x14ac:dyDescent="0.25">
      <c r="A123" t="s">
        <v>487</v>
      </c>
      <c r="B123" s="4">
        <v>45993</v>
      </c>
      <c r="C123" s="5">
        <v>5</v>
      </c>
      <c r="D123" s="9" t="s">
        <v>12</v>
      </c>
      <c r="E123" s="10">
        <v>180</v>
      </c>
      <c r="F123" s="10">
        <f t="shared" si="1"/>
        <v>900</v>
      </c>
    </row>
    <row r="124" spans="1:6" x14ac:dyDescent="0.25">
      <c r="B124" s="4"/>
      <c r="D124" s="9"/>
      <c r="F124" s="8">
        <f>SUM(F123)</f>
        <v>900</v>
      </c>
    </row>
    <row r="125" spans="1:6" x14ac:dyDescent="0.25">
      <c r="B125" s="9"/>
      <c r="D125" s="9"/>
    </row>
    <row r="126" spans="1:6" x14ac:dyDescent="0.25">
      <c r="A126" t="s">
        <v>62</v>
      </c>
      <c r="B126" s="4">
        <v>45993</v>
      </c>
      <c r="C126" s="5">
        <v>50</v>
      </c>
      <c r="D126" s="9" t="s">
        <v>8</v>
      </c>
      <c r="E126" s="10">
        <v>190</v>
      </c>
      <c r="F126" s="10">
        <f t="shared" si="1"/>
        <v>9500</v>
      </c>
    </row>
    <row r="127" spans="1:6" x14ac:dyDescent="0.25">
      <c r="B127" s="9"/>
      <c r="D127" s="9"/>
      <c r="F127" s="8">
        <f>SUM(F126)</f>
        <v>9500</v>
      </c>
    </row>
    <row r="128" spans="1:6" x14ac:dyDescent="0.25">
      <c r="B128" s="9"/>
      <c r="D128" s="9"/>
    </row>
    <row r="129" spans="1:6" x14ac:dyDescent="0.25">
      <c r="A129" t="s">
        <v>76</v>
      </c>
      <c r="B129" s="4">
        <v>45993</v>
      </c>
      <c r="C129" s="5">
        <v>30</v>
      </c>
      <c r="D129" s="9" t="s">
        <v>12</v>
      </c>
      <c r="F129" s="10">
        <f t="shared" si="1"/>
        <v>0</v>
      </c>
    </row>
    <row r="130" spans="1:6" x14ac:dyDescent="0.25">
      <c r="B130" s="4"/>
      <c r="C130" s="5">
        <v>250</v>
      </c>
      <c r="D130" s="9" t="s">
        <v>14</v>
      </c>
      <c r="F130" s="10">
        <f t="shared" si="1"/>
        <v>0</v>
      </c>
    </row>
    <row r="131" spans="1:6" x14ac:dyDescent="0.25">
      <c r="B131" s="9"/>
      <c r="C131" s="5">
        <v>200</v>
      </c>
      <c r="D131" s="9" t="s">
        <v>49</v>
      </c>
      <c r="F131" s="10">
        <f t="shared" si="1"/>
        <v>0</v>
      </c>
    </row>
    <row r="132" spans="1:6" x14ac:dyDescent="0.25">
      <c r="B132" s="9"/>
      <c r="C132" s="5">
        <v>120</v>
      </c>
      <c r="D132" s="9" t="s">
        <v>50</v>
      </c>
      <c r="F132" s="10">
        <f t="shared" ref="F132:F202" si="2">+C132*E132</f>
        <v>0</v>
      </c>
    </row>
    <row r="133" spans="1:6" x14ac:dyDescent="0.25">
      <c r="B133" s="4"/>
      <c r="C133" s="5">
        <v>11</v>
      </c>
      <c r="D133" s="9" t="s">
        <v>11</v>
      </c>
      <c r="F133" s="10">
        <f t="shared" si="2"/>
        <v>0</v>
      </c>
    </row>
    <row r="134" spans="1:6" x14ac:dyDescent="0.25">
      <c r="B134" s="9"/>
      <c r="D134" s="9"/>
      <c r="F134" s="8">
        <f>SUM(F129:F133)</f>
        <v>0</v>
      </c>
    </row>
    <row r="135" spans="1:6" x14ac:dyDescent="0.25">
      <c r="B135" s="9"/>
      <c r="D135" s="9"/>
    </row>
    <row r="136" spans="1:6" s="9" customFormat="1" x14ac:dyDescent="0.25">
      <c r="A136" s="9" t="s">
        <v>65</v>
      </c>
      <c r="B136" s="4">
        <v>45993</v>
      </c>
      <c r="C136" s="5">
        <v>240</v>
      </c>
      <c r="D136" s="9" t="s">
        <v>704</v>
      </c>
      <c r="E136" s="10">
        <v>175</v>
      </c>
      <c r="F136" s="10">
        <f t="shared" si="2"/>
        <v>42000</v>
      </c>
    </row>
    <row r="137" spans="1:6" s="9" customFormat="1" x14ac:dyDescent="0.25">
      <c r="C137" s="5">
        <v>60</v>
      </c>
      <c r="D137" s="9" t="s">
        <v>22</v>
      </c>
      <c r="E137" s="10">
        <v>160</v>
      </c>
      <c r="F137" s="10">
        <f t="shared" si="2"/>
        <v>9600</v>
      </c>
    </row>
    <row r="138" spans="1:6" s="9" customFormat="1" x14ac:dyDescent="0.25">
      <c r="C138" s="5">
        <v>160</v>
      </c>
      <c r="D138" s="9" t="s">
        <v>11</v>
      </c>
      <c r="E138" s="10">
        <v>175</v>
      </c>
      <c r="F138" s="10">
        <f t="shared" si="2"/>
        <v>28000</v>
      </c>
    </row>
    <row r="139" spans="1:6" s="9" customFormat="1" x14ac:dyDescent="0.25">
      <c r="C139" s="5">
        <v>100</v>
      </c>
      <c r="D139" s="9" t="s">
        <v>50</v>
      </c>
      <c r="E139" s="10">
        <v>160</v>
      </c>
      <c r="F139" s="10">
        <f t="shared" si="2"/>
        <v>16000</v>
      </c>
    </row>
    <row r="140" spans="1:6" s="9" customFormat="1" x14ac:dyDescent="0.25">
      <c r="C140" s="5">
        <v>100</v>
      </c>
      <c r="D140" s="9" t="s">
        <v>121</v>
      </c>
      <c r="E140" s="10">
        <v>180</v>
      </c>
      <c r="F140" s="10">
        <f t="shared" si="2"/>
        <v>18000</v>
      </c>
    </row>
    <row r="141" spans="1:6" s="9" customFormat="1" x14ac:dyDescent="0.25">
      <c r="C141" s="5"/>
      <c r="E141" s="10"/>
      <c r="F141" s="8">
        <f>SUM(F136:F140)</f>
        <v>113600</v>
      </c>
    </row>
    <row r="142" spans="1:6" s="9" customFormat="1" x14ac:dyDescent="0.25">
      <c r="C142" s="5"/>
      <c r="E142" s="10"/>
      <c r="F142" s="10"/>
    </row>
    <row r="143" spans="1:6" s="9" customFormat="1" x14ac:dyDescent="0.25">
      <c r="C143" s="5"/>
      <c r="E143" s="10"/>
      <c r="F143" s="10">
        <f t="shared" si="2"/>
        <v>0</v>
      </c>
    </row>
    <row r="144" spans="1:6" x14ac:dyDescent="0.25">
      <c r="A144" t="s">
        <v>29</v>
      </c>
      <c r="B144" s="4">
        <v>45993</v>
      </c>
      <c r="C144" s="5">
        <v>6</v>
      </c>
      <c r="D144" s="9" t="s">
        <v>13</v>
      </c>
      <c r="E144" s="10">
        <v>150</v>
      </c>
      <c r="F144" s="10">
        <f t="shared" si="2"/>
        <v>900</v>
      </c>
    </row>
    <row r="145" spans="1:6" x14ac:dyDescent="0.25">
      <c r="B145" s="9"/>
      <c r="C145" s="5">
        <v>3</v>
      </c>
      <c r="D145" s="9" t="s">
        <v>8</v>
      </c>
      <c r="E145" s="10">
        <v>195</v>
      </c>
      <c r="F145" s="10">
        <f t="shared" si="2"/>
        <v>585</v>
      </c>
    </row>
    <row r="146" spans="1:6" x14ac:dyDescent="0.25">
      <c r="B146" s="9"/>
      <c r="C146" s="5">
        <v>1</v>
      </c>
      <c r="D146" s="9" t="s">
        <v>8</v>
      </c>
      <c r="E146" s="10">
        <v>195</v>
      </c>
      <c r="F146" s="10">
        <f t="shared" si="2"/>
        <v>195</v>
      </c>
    </row>
    <row r="147" spans="1:6" x14ac:dyDescent="0.25">
      <c r="B147" s="4"/>
      <c r="D147" s="9"/>
      <c r="F147" s="8">
        <f>SUM(F144:F146)</f>
        <v>1680</v>
      </c>
    </row>
    <row r="148" spans="1:6" x14ac:dyDescent="0.25">
      <c r="B148" s="9"/>
      <c r="D148" s="9"/>
    </row>
    <row r="149" spans="1:6" x14ac:dyDescent="0.25">
      <c r="A149" t="s">
        <v>181</v>
      </c>
      <c r="B149" s="4">
        <v>45993</v>
      </c>
      <c r="C149" s="5">
        <v>1</v>
      </c>
      <c r="D149" s="9" t="s">
        <v>1192</v>
      </c>
      <c r="E149" s="10">
        <v>195</v>
      </c>
      <c r="F149" s="10">
        <f t="shared" si="2"/>
        <v>195</v>
      </c>
    </row>
    <row r="150" spans="1:6" x14ac:dyDescent="0.25">
      <c r="B150" s="4"/>
      <c r="C150" s="11">
        <v>0.5</v>
      </c>
      <c r="D150" s="9" t="s">
        <v>8</v>
      </c>
      <c r="E150" s="10">
        <v>195</v>
      </c>
      <c r="F150" s="10">
        <f t="shared" si="2"/>
        <v>97.5</v>
      </c>
    </row>
    <row r="151" spans="1:6" x14ac:dyDescent="0.25">
      <c r="B151" s="9"/>
      <c r="C151" s="11">
        <v>0.5</v>
      </c>
      <c r="D151" s="9" t="s">
        <v>511</v>
      </c>
      <c r="E151" s="10">
        <v>140</v>
      </c>
      <c r="F151" s="10">
        <f t="shared" si="2"/>
        <v>70</v>
      </c>
    </row>
    <row r="152" spans="1:6" x14ac:dyDescent="0.25">
      <c r="B152" s="9"/>
      <c r="D152" s="9"/>
      <c r="F152" s="8">
        <f>SUM(F149:F151)</f>
        <v>362.5</v>
      </c>
    </row>
    <row r="153" spans="1:6" x14ac:dyDescent="0.25">
      <c r="B153" s="4"/>
      <c r="D153" s="9"/>
    </row>
    <row r="154" spans="1:6" x14ac:dyDescent="0.25">
      <c r="A154" t="s">
        <v>317</v>
      </c>
      <c r="B154" s="4">
        <v>45994</v>
      </c>
      <c r="C154" s="5">
        <v>5</v>
      </c>
      <c r="D154" s="9" t="s">
        <v>13</v>
      </c>
      <c r="E154" s="10">
        <v>190</v>
      </c>
      <c r="F154" s="10">
        <f t="shared" si="2"/>
        <v>950</v>
      </c>
    </row>
    <row r="155" spans="1:6" x14ac:dyDescent="0.25">
      <c r="B155" s="9"/>
      <c r="D155" s="9"/>
      <c r="F155" s="8">
        <f>SUM(F154)</f>
        <v>950</v>
      </c>
    </row>
    <row r="156" spans="1:6" x14ac:dyDescent="0.25">
      <c r="B156" s="4"/>
      <c r="D156" s="9"/>
    </row>
    <row r="157" spans="1:6" x14ac:dyDescent="0.25">
      <c r="A157" t="s">
        <v>68</v>
      </c>
      <c r="B157" s="4">
        <v>45994</v>
      </c>
      <c r="C157" s="5">
        <v>15</v>
      </c>
      <c r="D157" s="9" t="s">
        <v>98</v>
      </c>
      <c r="E157" s="10">
        <v>140</v>
      </c>
      <c r="F157" s="10">
        <f t="shared" si="2"/>
        <v>2100</v>
      </c>
    </row>
    <row r="158" spans="1:6" x14ac:dyDescent="0.25">
      <c r="B158" s="9"/>
      <c r="D158" s="9"/>
      <c r="F158" s="8">
        <f>SUM(F157)</f>
        <v>2100</v>
      </c>
    </row>
    <row r="159" spans="1:6" x14ac:dyDescent="0.25">
      <c r="B159" s="4"/>
      <c r="D159" s="9"/>
    </row>
    <row r="160" spans="1:6" x14ac:dyDescent="0.25">
      <c r="A160" t="s">
        <v>15</v>
      </c>
      <c r="B160" s="4">
        <v>45994</v>
      </c>
      <c r="C160" s="5">
        <v>60</v>
      </c>
      <c r="D160" s="9" t="s">
        <v>98</v>
      </c>
      <c r="E160" s="10">
        <v>135</v>
      </c>
      <c r="F160" s="10">
        <f t="shared" si="2"/>
        <v>8100</v>
      </c>
    </row>
    <row r="161" spans="1:6" x14ac:dyDescent="0.25">
      <c r="B161" s="9"/>
      <c r="D161" s="9"/>
      <c r="F161" s="8">
        <f>SUM(F160)</f>
        <v>8100</v>
      </c>
    </row>
    <row r="162" spans="1:6" x14ac:dyDescent="0.25">
      <c r="B162" s="9"/>
      <c r="D162" s="9"/>
    </row>
    <row r="163" spans="1:6" x14ac:dyDescent="0.25">
      <c r="A163" t="s">
        <v>76</v>
      </c>
      <c r="B163" s="4">
        <v>45994</v>
      </c>
      <c r="C163" s="5">
        <v>50</v>
      </c>
      <c r="D163" s="9" t="s">
        <v>14</v>
      </c>
      <c r="E163" s="10">
        <v>185</v>
      </c>
      <c r="F163" s="10">
        <f t="shared" si="2"/>
        <v>9250</v>
      </c>
    </row>
    <row r="164" spans="1:6" x14ac:dyDescent="0.25">
      <c r="B164" s="9"/>
      <c r="D164" s="9"/>
      <c r="F164" s="8">
        <f>SUM(F163)</f>
        <v>9250</v>
      </c>
    </row>
    <row r="165" spans="1:6" x14ac:dyDescent="0.25">
      <c r="B165" s="9"/>
      <c r="D165" s="9"/>
    </row>
    <row r="166" spans="1:6" x14ac:dyDescent="0.25">
      <c r="A166" t="s">
        <v>107</v>
      </c>
      <c r="B166" s="4">
        <v>45994</v>
      </c>
      <c r="C166" s="5">
        <v>64</v>
      </c>
      <c r="D166" s="9" t="s">
        <v>11</v>
      </c>
      <c r="E166" s="10">
        <v>180</v>
      </c>
      <c r="F166" s="10">
        <f t="shared" si="2"/>
        <v>11520</v>
      </c>
    </row>
    <row r="167" spans="1:6" x14ac:dyDescent="0.25">
      <c r="B167" s="9"/>
      <c r="D167" s="9"/>
      <c r="F167" s="8">
        <f>SUM(F166)</f>
        <v>11520</v>
      </c>
    </row>
    <row r="168" spans="1:6" x14ac:dyDescent="0.25">
      <c r="B168" s="9"/>
      <c r="D168" s="9"/>
    </row>
    <row r="169" spans="1:6" x14ac:dyDescent="0.25">
      <c r="A169" t="s">
        <v>507</v>
      </c>
      <c r="B169" s="4">
        <v>45994</v>
      </c>
      <c r="C169" s="5">
        <v>50</v>
      </c>
      <c r="D169" s="9" t="s">
        <v>14</v>
      </c>
      <c r="E169" s="10">
        <v>180</v>
      </c>
      <c r="F169" s="10">
        <f t="shared" si="2"/>
        <v>9000</v>
      </c>
    </row>
    <row r="170" spans="1:6" x14ac:dyDescent="0.25">
      <c r="B170" s="9"/>
      <c r="D170" s="9"/>
      <c r="F170" s="8">
        <f>SUM(F169)</f>
        <v>9000</v>
      </c>
    </row>
    <row r="171" spans="1:6" x14ac:dyDescent="0.25">
      <c r="B171" s="9"/>
      <c r="D171" s="9"/>
    </row>
    <row r="172" spans="1:6" x14ac:dyDescent="0.25">
      <c r="A172" t="s">
        <v>41</v>
      </c>
      <c r="B172" s="4">
        <v>45994</v>
      </c>
      <c r="C172" s="5">
        <v>30</v>
      </c>
      <c r="D172" s="9" t="s">
        <v>14</v>
      </c>
      <c r="E172" s="10">
        <v>165</v>
      </c>
      <c r="F172" s="10">
        <f t="shared" si="2"/>
        <v>4950</v>
      </c>
    </row>
    <row r="173" spans="1:6" x14ac:dyDescent="0.25">
      <c r="B173" s="9"/>
      <c r="C173" s="5">
        <v>5</v>
      </c>
      <c r="D173" s="9" t="s">
        <v>14</v>
      </c>
      <c r="E173" s="10">
        <v>165</v>
      </c>
      <c r="F173" s="10">
        <f t="shared" si="2"/>
        <v>825</v>
      </c>
    </row>
    <row r="174" spans="1:6" x14ac:dyDescent="0.25">
      <c r="B174" s="4"/>
      <c r="D174" s="9"/>
      <c r="F174" s="8">
        <f>SUM(F172:F173)</f>
        <v>5775</v>
      </c>
    </row>
    <row r="175" spans="1:6" x14ac:dyDescent="0.25">
      <c r="B175" s="9"/>
      <c r="D175" s="9"/>
    </row>
    <row r="176" spans="1:6" x14ac:dyDescent="0.25">
      <c r="A176" t="s">
        <v>18</v>
      </c>
      <c r="B176" s="4">
        <v>45994</v>
      </c>
      <c r="C176" s="5">
        <v>20</v>
      </c>
      <c r="D176" s="9" t="s">
        <v>14</v>
      </c>
      <c r="E176" s="10">
        <v>185</v>
      </c>
      <c r="F176" s="10">
        <f t="shared" si="2"/>
        <v>3700</v>
      </c>
    </row>
    <row r="177" spans="1:6" x14ac:dyDescent="0.25">
      <c r="B177" s="9"/>
      <c r="C177" s="5">
        <v>30</v>
      </c>
      <c r="D177" s="9" t="s">
        <v>11</v>
      </c>
      <c r="E177" s="10">
        <v>180</v>
      </c>
      <c r="F177" s="10">
        <f t="shared" si="2"/>
        <v>5400</v>
      </c>
    </row>
    <row r="178" spans="1:6" x14ac:dyDescent="0.25">
      <c r="B178" s="9"/>
      <c r="D178" s="9"/>
      <c r="F178" s="8">
        <f>SUM(F176:F177)</f>
        <v>9100</v>
      </c>
    </row>
    <row r="179" spans="1:6" x14ac:dyDescent="0.25">
      <c r="B179" s="9"/>
      <c r="D179" s="9"/>
    </row>
    <row r="180" spans="1:6" x14ac:dyDescent="0.25">
      <c r="A180" t="s">
        <v>612</v>
      </c>
      <c r="B180" s="4">
        <v>45994</v>
      </c>
      <c r="C180" s="5">
        <v>20</v>
      </c>
      <c r="D180" s="9" t="s">
        <v>121</v>
      </c>
      <c r="E180" s="10">
        <v>185</v>
      </c>
      <c r="F180" s="10">
        <f t="shared" si="2"/>
        <v>3700</v>
      </c>
    </row>
    <row r="181" spans="1:6" x14ac:dyDescent="0.25">
      <c r="B181" s="4"/>
      <c r="D181" s="9"/>
      <c r="F181" s="8">
        <f>SUM(F180)</f>
        <v>3700</v>
      </c>
    </row>
    <row r="182" spans="1:6" x14ac:dyDescent="0.25">
      <c r="B182" s="9"/>
      <c r="D182" s="9"/>
    </row>
    <row r="183" spans="1:6" x14ac:dyDescent="0.25">
      <c r="A183" t="s">
        <v>183</v>
      </c>
      <c r="B183" s="4">
        <v>45994</v>
      </c>
      <c r="C183" s="5">
        <v>5</v>
      </c>
      <c r="D183" s="9" t="s">
        <v>14</v>
      </c>
      <c r="E183" s="10">
        <v>185</v>
      </c>
      <c r="F183" s="10">
        <f t="shared" si="2"/>
        <v>925</v>
      </c>
    </row>
    <row r="184" spans="1:6" x14ac:dyDescent="0.25">
      <c r="B184" s="4"/>
      <c r="D184" s="9"/>
      <c r="F184" s="8">
        <f>SUM(F183)</f>
        <v>925</v>
      </c>
    </row>
    <row r="185" spans="1:6" x14ac:dyDescent="0.25">
      <c r="B185" s="9"/>
      <c r="D185" s="9"/>
    </row>
    <row r="186" spans="1:6" x14ac:dyDescent="0.25">
      <c r="A186" t="s">
        <v>749</v>
      </c>
      <c r="B186" s="4">
        <v>45994</v>
      </c>
      <c r="C186" s="5">
        <v>4</v>
      </c>
      <c r="D186" s="9" t="s">
        <v>13</v>
      </c>
      <c r="E186" s="10">
        <v>190</v>
      </c>
      <c r="F186" s="10">
        <f t="shared" si="2"/>
        <v>760</v>
      </c>
    </row>
    <row r="187" spans="1:6" x14ac:dyDescent="0.25">
      <c r="B187" s="9"/>
      <c r="D187" s="9"/>
      <c r="F187" s="8">
        <f>SUM(F186)</f>
        <v>760</v>
      </c>
    </row>
    <row r="188" spans="1:6" x14ac:dyDescent="0.25">
      <c r="B188" s="4"/>
      <c r="D188" s="9"/>
    </row>
    <row r="189" spans="1:6" x14ac:dyDescent="0.25">
      <c r="A189" t="s">
        <v>67</v>
      </c>
      <c r="B189" s="4">
        <v>45994</v>
      </c>
      <c r="C189" s="5">
        <v>10</v>
      </c>
      <c r="D189" s="9" t="s">
        <v>13</v>
      </c>
      <c r="E189" s="10">
        <v>190</v>
      </c>
      <c r="F189" s="10">
        <f t="shared" si="2"/>
        <v>1900</v>
      </c>
    </row>
    <row r="190" spans="1:6" x14ac:dyDescent="0.25">
      <c r="B190" s="9"/>
      <c r="D190" s="9"/>
      <c r="F190" s="8">
        <f>SUM(F189)</f>
        <v>1900</v>
      </c>
    </row>
    <row r="191" spans="1:6" x14ac:dyDescent="0.25">
      <c r="B191" s="9"/>
      <c r="D191" s="9"/>
    </row>
    <row r="192" spans="1:6" x14ac:dyDescent="0.25">
      <c r="A192" t="s">
        <v>112</v>
      </c>
      <c r="B192" s="4">
        <v>45994</v>
      </c>
      <c r="C192" s="5">
        <v>30</v>
      </c>
      <c r="D192" s="9" t="s">
        <v>12</v>
      </c>
      <c r="E192" s="10">
        <v>175</v>
      </c>
      <c r="F192" s="10">
        <f t="shared" si="2"/>
        <v>5250</v>
      </c>
    </row>
    <row r="193" spans="1:6" x14ac:dyDescent="0.25">
      <c r="B193" s="9"/>
      <c r="C193" s="5">
        <v>20</v>
      </c>
      <c r="D193" s="9" t="s">
        <v>13</v>
      </c>
      <c r="E193" s="10">
        <v>180</v>
      </c>
      <c r="F193" s="10">
        <f t="shared" si="2"/>
        <v>3600</v>
      </c>
    </row>
    <row r="194" spans="1:6" x14ac:dyDescent="0.25">
      <c r="B194" s="4"/>
      <c r="D194" s="9"/>
      <c r="F194" s="8">
        <f>SUM(F192:F193)</f>
        <v>8850</v>
      </c>
    </row>
    <row r="195" spans="1:6" x14ac:dyDescent="0.25">
      <c r="B195" s="9"/>
      <c r="D195" s="9"/>
    </row>
    <row r="196" spans="1:6" x14ac:dyDescent="0.25">
      <c r="A196" t="s">
        <v>1193</v>
      </c>
      <c r="B196" s="4">
        <v>45994</v>
      </c>
      <c r="C196" s="5">
        <v>5</v>
      </c>
      <c r="D196" s="9" t="s">
        <v>13</v>
      </c>
      <c r="E196" s="10">
        <v>190</v>
      </c>
      <c r="F196" s="10">
        <f t="shared" si="2"/>
        <v>950</v>
      </c>
    </row>
    <row r="197" spans="1:6" x14ac:dyDescent="0.25">
      <c r="B197" s="4"/>
      <c r="D197" s="9"/>
      <c r="F197" s="8">
        <f>SUM(F196)</f>
        <v>950</v>
      </c>
    </row>
    <row r="198" spans="1:6" x14ac:dyDescent="0.25">
      <c r="B198" s="9"/>
      <c r="D198" s="9"/>
    </row>
    <row r="199" spans="1:6" x14ac:dyDescent="0.25">
      <c r="A199" t="s">
        <v>184</v>
      </c>
      <c r="B199" s="4">
        <v>45994</v>
      </c>
      <c r="C199" s="5">
        <v>5</v>
      </c>
      <c r="D199" s="9" t="s">
        <v>13</v>
      </c>
      <c r="E199" s="10">
        <v>190</v>
      </c>
      <c r="F199" s="10">
        <f t="shared" si="2"/>
        <v>950</v>
      </c>
    </row>
    <row r="200" spans="1:6" x14ac:dyDescent="0.25">
      <c r="B200" s="9"/>
      <c r="D200" s="9"/>
      <c r="F200" s="8">
        <f>SUM(F199)</f>
        <v>950</v>
      </c>
    </row>
    <row r="201" spans="1:6" x14ac:dyDescent="0.25">
      <c r="B201" s="9"/>
      <c r="D201" s="9"/>
    </row>
    <row r="202" spans="1:6" x14ac:dyDescent="0.25">
      <c r="A202" t="s">
        <v>904</v>
      </c>
      <c r="B202" s="4">
        <v>45994</v>
      </c>
      <c r="C202" s="5">
        <v>3</v>
      </c>
      <c r="D202" s="9" t="s">
        <v>13</v>
      </c>
      <c r="E202" s="10">
        <v>190</v>
      </c>
      <c r="F202" s="10">
        <f t="shared" si="2"/>
        <v>570</v>
      </c>
    </row>
    <row r="203" spans="1:6" x14ac:dyDescent="0.25">
      <c r="B203" s="4"/>
      <c r="D203" s="9"/>
      <c r="F203" s="8">
        <f>SUM(F202)</f>
        <v>570</v>
      </c>
    </row>
    <row r="204" spans="1:6" x14ac:dyDescent="0.25">
      <c r="B204" s="9"/>
      <c r="D204" s="9"/>
    </row>
    <row r="205" spans="1:6" x14ac:dyDescent="0.25">
      <c r="A205" t="s">
        <v>72</v>
      </c>
      <c r="B205" s="4">
        <v>45994</v>
      </c>
      <c r="C205" s="5">
        <v>230</v>
      </c>
      <c r="D205" s="9" t="s">
        <v>13</v>
      </c>
      <c r="E205" s="10">
        <v>180</v>
      </c>
      <c r="F205" s="10">
        <f t="shared" ref="F205:F266" si="3">+C205*E205</f>
        <v>41400</v>
      </c>
    </row>
    <row r="206" spans="1:6" x14ac:dyDescent="0.25">
      <c r="B206" s="4"/>
      <c r="C206" s="5">
        <v>50</v>
      </c>
      <c r="D206" s="9" t="s">
        <v>12</v>
      </c>
      <c r="E206" s="10">
        <v>175</v>
      </c>
      <c r="F206" s="10">
        <f t="shared" si="3"/>
        <v>8750</v>
      </c>
    </row>
    <row r="207" spans="1:6" x14ac:dyDescent="0.25">
      <c r="B207" s="9"/>
      <c r="C207" s="5">
        <v>130</v>
      </c>
      <c r="D207" s="9" t="s">
        <v>1194</v>
      </c>
      <c r="E207" s="10">
        <v>180</v>
      </c>
      <c r="F207" s="10">
        <f t="shared" si="3"/>
        <v>23400</v>
      </c>
    </row>
    <row r="208" spans="1:6" x14ac:dyDescent="0.25">
      <c r="B208" s="9"/>
      <c r="C208" s="5">
        <v>40</v>
      </c>
      <c r="D208" s="9" t="s">
        <v>11</v>
      </c>
      <c r="E208" s="10">
        <v>175</v>
      </c>
      <c r="F208" s="10">
        <f t="shared" si="3"/>
        <v>7000</v>
      </c>
    </row>
    <row r="209" spans="1:6" x14ac:dyDescent="0.25">
      <c r="B209" s="4"/>
      <c r="D209" s="9"/>
      <c r="F209" s="8">
        <f>SUM(F205:F208)</f>
        <v>80550</v>
      </c>
    </row>
    <row r="210" spans="1:6" x14ac:dyDescent="0.25">
      <c r="B210" s="9"/>
      <c r="D210" s="9"/>
    </row>
    <row r="211" spans="1:6" x14ac:dyDescent="0.25">
      <c r="A211" t="s">
        <v>26</v>
      </c>
      <c r="B211" s="4">
        <v>45994</v>
      </c>
      <c r="C211" s="5">
        <v>10</v>
      </c>
      <c r="D211" s="9" t="s">
        <v>14</v>
      </c>
      <c r="E211" s="10">
        <v>175</v>
      </c>
      <c r="F211" s="10">
        <f t="shared" si="3"/>
        <v>1750</v>
      </c>
    </row>
    <row r="212" spans="1:6" x14ac:dyDescent="0.25">
      <c r="B212" s="4"/>
      <c r="D212" s="9"/>
      <c r="F212" s="8">
        <f>SUM(F211)</f>
        <v>1750</v>
      </c>
    </row>
    <row r="213" spans="1:6" x14ac:dyDescent="0.25">
      <c r="B213" s="9"/>
      <c r="D213" s="9"/>
    </row>
    <row r="214" spans="1:6" x14ac:dyDescent="0.25">
      <c r="A214" t="s">
        <v>29</v>
      </c>
      <c r="B214" s="4">
        <v>45994</v>
      </c>
      <c r="C214" s="5">
        <v>1</v>
      </c>
      <c r="D214" s="9" t="s">
        <v>13</v>
      </c>
      <c r="E214" s="10">
        <v>185</v>
      </c>
      <c r="F214" s="10">
        <f t="shared" si="3"/>
        <v>185</v>
      </c>
    </row>
    <row r="215" spans="1:6" x14ac:dyDescent="0.25">
      <c r="B215" s="4"/>
      <c r="C215" s="5">
        <v>2</v>
      </c>
      <c r="D215" s="9" t="s">
        <v>12</v>
      </c>
      <c r="E215" s="10">
        <v>175</v>
      </c>
      <c r="F215" s="10">
        <f t="shared" si="3"/>
        <v>350</v>
      </c>
    </row>
    <row r="216" spans="1:6" x14ac:dyDescent="0.25">
      <c r="B216" s="4"/>
      <c r="C216" s="5">
        <v>1</v>
      </c>
      <c r="D216" s="9" t="s">
        <v>13</v>
      </c>
      <c r="E216" s="10">
        <v>185</v>
      </c>
      <c r="F216" s="10">
        <f t="shared" si="3"/>
        <v>185</v>
      </c>
    </row>
    <row r="217" spans="1:6" x14ac:dyDescent="0.25">
      <c r="B217" s="4"/>
      <c r="C217" s="5">
        <v>5</v>
      </c>
      <c r="D217" s="9" t="s">
        <v>639</v>
      </c>
      <c r="E217" s="10">
        <v>175</v>
      </c>
      <c r="F217" s="10">
        <f t="shared" si="3"/>
        <v>875</v>
      </c>
    </row>
    <row r="218" spans="1:6" x14ac:dyDescent="0.25">
      <c r="B218" s="9"/>
      <c r="D218" s="9"/>
      <c r="F218" s="8">
        <f>SUM(F214:F217)</f>
        <v>1595</v>
      </c>
    </row>
    <row r="219" spans="1:6" x14ac:dyDescent="0.25">
      <c r="B219" s="9"/>
      <c r="D219" s="9"/>
    </row>
    <row r="220" spans="1:6" x14ac:dyDescent="0.25">
      <c r="A220" t="s">
        <v>7</v>
      </c>
      <c r="B220" s="4">
        <v>45994</v>
      </c>
      <c r="C220" s="5">
        <v>6</v>
      </c>
      <c r="D220" s="9" t="s">
        <v>8</v>
      </c>
      <c r="E220" s="10">
        <v>195</v>
      </c>
      <c r="F220" s="10">
        <f t="shared" si="3"/>
        <v>1170</v>
      </c>
    </row>
    <row r="221" spans="1:6" x14ac:dyDescent="0.25">
      <c r="B221" s="9"/>
      <c r="C221" s="11">
        <v>0.5</v>
      </c>
      <c r="D221" s="9" t="s">
        <v>12</v>
      </c>
      <c r="E221" s="10">
        <v>130</v>
      </c>
      <c r="F221" s="10">
        <f t="shared" si="3"/>
        <v>65</v>
      </c>
    </row>
    <row r="222" spans="1:6" x14ac:dyDescent="0.25">
      <c r="B222" s="9"/>
      <c r="C222" s="5">
        <v>2</v>
      </c>
      <c r="D222" s="9" t="s">
        <v>13</v>
      </c>
      <c r="E222" s="10">
        <v>185</v>
      </c>
      <c r="F222" s="10">
        <f t="shared" si="3"/>
        <v>370</v>
      </c>
    </row>
    <row r="223" spans="1:6" x14ac:dyDescent="0.25">
      <c r="B223" s="9"/>
      <c r="C223" s="5">
        <v>1</v>
      </c>
      <c r="D223" s="9" t="s">
        <v>154</v>
      </c>
      <c r="E223" s="10">
        <v>150</v>
      </c>
      <c r="F223" s="10">
        <f t="shared" si="3"/>
        <v>150</v>
      </c>
    </row>
    <row r="224" spans="1:6" x14ac:dyDescent="0.25">
      <c r="B224" s="9"/>
      <c r="D224" s="9"/>
      <c r="F224" s="8">
        <f>SUM(F220:F223)</f>
        <v>1755</v>
      </c>
    </row>
    <row r="225" spans="1:6" x14ac:dyDescent="0.25">
      <c r="B225" s="9"/>
      <c r="D225" s="9"/>
    </row>
    <row r="226" spans="1:6" x14ac:dyDescent="0.25">
      <c r="A226" t="s">
        <v>106</v>
      </c>
      <c r="B226" s="4">
        <v>45995</v>
      </c>
      <c r="C226" s="5">
        <v>60</v>
      </c>
      <c r="D226" s="9" t="s">
        <v>12</v>
      </c>
      <c r="E226" s="10">
        <v>185</v>
      </c>
      <c r="F226" s="10">
        <f t="shared" si="3"/>
        <v>11100</v>
      </c>
    </row>
    <row r="227" spans="1:6" x14ac:dyDescent="0.25">
      <c r="B227" s="9"/>
      <c r="C227" s="5">
        <v>10</v>
      </c>
      <c r="D227" s="9" t="s">
        <v>1195</v>
      </c>
      <c r="E227" s="10">
        <v>180</v>
      </c>
      <c r="F227" s="10">
        <f t="shared" si="3"/>
        <v>1800</v>
      </c>
    </row>
    <row r="228" spans="1:6" x14ac:dyDescent="0.25">
      <c r="B228" s="9"/>
      <c r="D228" s="9"/>
      <c r="F228" s="8">
        <f>SUM(F226:F227)</f>
        <v>12900</v>
      </c>
    </row>
    <row r="229" spans="1:6" x14ac:dyDescent="0.25">
      <c r="B229" s="4"/>
      <c r="D229" s="9"/>
    </row>
    <row r="230" spans="1:6" x14ac:dyDescent="0.25">
      <c r="A230" t="s">
        <v>20</v>
      </c>
      <c r="B230" s="4">
        <v>45995</v>
      </c>
      <c r="C230" s="5">
        <v>20</v>
      </c>
      <c r="D230" s="9" t="s">
        <v>8</v>
      </c>
      <c r="E230" s="10">
        <v>195</v>
      </c>
      <c r="F230" s="10">
        <f t="shared" si="3"/>
        <v>3900</v>
      </c>
    </row>
    <row r="231" spans="1:6" x14ac:dyDescent="0.25">
      <c r="B231" s="9"/>
      <c r="D231" s="9"/>
      <c r="F231" s="8">
        <f>SUM(F230)</f>
        <v>3900</v>
      </c>
    </row>
    <row r="232" spans="1:6" x14ac:dyDescent="0.25">
      <c r="B232" s="4"/>
      <c r="D232" s="9"/>
    </row>
    <row r="233" spans="1:6" x14ac:dyDescent="0.25">
      <c r="A233" t="s">
        <v>21</v>
      </c>
      <c r="B233" s="4">
        <v>45995</v>
      </c>
      <c r="C233" s="5">
        <v>30</v>
      </c>
      <c r="D233" s="9" t="s">
        <v>50</v>
      </c>
      <c r="E233" s="10">
        <v>170</v>
      </c>
      <c r="F233" s="10">
        <f t="shared" si="3"/>
        <v>5100</v>
      </c>
    </row>
    <row r="234" spans="1:6" x14ac:dyDescent="0.25">
      <c r="B234" s="9"/>
      <c r="C234" s="5">
        <v>17</v>
      </c>
      <c r="D234" s="9" t="s">
        <v>22</v>
      </c>
      <c r="E234" s="10">
        <v>175</v>
      </c>
      <c r="F234" s="10">
        <f t="shared" si="3"/>
        <v>2975</v>
      </c>
    </row>
    <row r="235" spans="1:6" x14ac:dyDescent="0.25">
      <c r="B235" s="4"/>
      <c r="C235" s="5">
        <v>20</v>
      </c>
      <c r="D235" s="9" t="s">
        <v>12</v>
      </c>
      <c r="E235" s="10">
        <v>185</v>
      </c>
      <c r="F235" s="10">
        <f t="shared" si="3"/>
        <v>3700</v>
      </c>
    </row>
    <row r="236" spans="1:6" x14ac:dyDescent="0.25">
      <c r="B236" s="9"/>
      <c r="D236" s="9"/>
      <c r="F236" s="8">
        <f>SUM(F233:F235)</f>
        <v>11775</v>
      </c>
    </row>
    <row r="237" spans="1:6" x14ac:dyDescent="0.25">
      <c r="B237" s="9"/>
      <c r="D237" s="9"/>
    </row>
    <row r="238" spans="1:6" x14ac:dyDescent="0.25">
      <c r="A238" t="s">
        <v>367</v>
      </c>
      <c r="B238" s="4">
        <v>45995</v>
      </c>
      <c r="C238" s="5">
        <v>10</v>
      </c>
      <c r="D238" s="9" t="s">
        <v>483</v>
      </c>
      <c r="E238" s="10">
        <v>190</v>
      </c>
      <c r="F238" s="10">
        <f t="shared" si="3"/>
        <v>1900</v>
      </c>
    </row>
    <row r="239" spans="1:6" x14ac:dyDescent="0.25">
      <c r="B239" s="9"/>
      <c r="C239" s="5">
        <v>10</v>
      </c>
      <c r="D239" s="9" t="s">
        <v>14</v>
      </c>
      <c r="E239" s="10">
        <v>185</v>
      </c>
      <c r="F239" s="10">
        <f t="shared" si="3"/>
        <v>1850</v>
      </c>
    </row>
    <row r="240" spans="1:6" x14ac:dyDescent="0.25">
      <c r="B240" s="9"/>
      <c r="D240" s="9"/>
      <c r="F240" s="8">
        <f>SUM(F238:F239)</f>
        <v>3750</v>
      </c>
    </row>
    <row r="241" spans="1:6" x14ac:dyDescent="0.25">
      <c r="B241" s="9"/>
      <c r="D241" s="9"/>
    </row>
    <row r="242" spans="1:6" x14ac:dyDescent="0.25">
      <c r="A242" t="s">
        <v>37</v>
      </c>
      <c r="B242" s="4">
        <v>45995</v>
      </c>
      <c r="C242" s="5">
        <v>20</v>
      </c>
      <c r="D242" s="9" t="s">
        <v>12</v>
      </c>
      <c r="E242" s="10">
        <v>185</v>
      </c>
      <c r="F242" s="10">
        <f t="shared" si="3"/>
        <v>3700</v>
      </c>
    </row>
    <row r="243" spans="1:6" x14ac:dyDescent="0.25">
      <c r="B243" s="9"/>
      <c r="D243" s="9"/>
      <c r="F243" s="8">
        <f>SUM(F242)</f>
        <v>3700</v>
      </c>
    </row>
    <row r="244" spans="1:6" x14ac:dyDescent="0.25">
      <c r="B244" s="9"/>
      <c r="D244" s="9"/>
    </row>
    <row r="245" spans="1:6" x14ac:dyDescent="0.25">
      <c r="A245" t="s">
        <v>1017</v>
      </c>
      <c r="B245" s="4">
        <v>45995</v>
      </c>
      <c r="C245" s="5">
        <v>10</v>
      </c>
      <c r="D245" s="9" t="s">
        <v>704</v>
      </c>
      <c r="E245" s="10">
        <v>185</v>
      </c>
      <c r="F245" s="10">
        <f t="shared" si="3"/>
        <v>1850</v>
      </c>
    </row>
    <row r="246" spans="1:6" x14ac:dyDescent="0.25">
      <c r="B246" s="9"/>
      <c r="C246" s="5">
        <v>10</v>
      </c>
      <c r="D246" s="9" t="s">
        <v>22</v>
      </c>
      <c r="E246" s="10">
        <v>175</v>
      </c>
      <c r="F246" s="10">
        <f t="shared" si="3"/>
        <v>1750</v>
      </c>
    </row>
    <row r="247" spans="1:6" x14ac:dyDescent="0.25">
      <c r="B247" s="9"/>
      <c r="C247" s="5">
        <v>10</v>
      </c>
      <c r="D247" s="9" t="s">
        <v>519</v>
      </c>
      <c r="E247" s="10">
        <v>195</v>
      </c>
      <c r="F247" s="10">
        <f t="shared" si="3"/>
        <v>1950</v>
      </c>
    </row>
    <row r="248" spans="1:6" x14ac:dyDescent="0.25">
      <c r="B248" s="9"/>
      <c r="D248" s="9"/>
      <c r="F248" s="8">
        <f>SUM(F245:F247)</f>
        <v>5550</v>
      </c>
    </row>
    <row r="249" spans="1:6" x14ac:dyDescent="0.25">
      <c r="B249" s="4"/>
      <c r="D249" s="9"/>
    </row>
    <row r="250" spans="1:6" x14ac:dyDescent="0.25">
      <c r="A250" t="s">
        <v>40</v>
      </c>
      <c r="B250" s="4">
        <v>45995</v>
      </c>
      <c r="C250" s="5">
        <v>20</v>
      </c>
      <c r="D250" s="9" t="s">
        <v>14</v>
      </c>
      <c r="E250" s="10">
        <v>185</v>
      </c>
      <c r="F250" s="10">
        <f t="shared" si="3"/>
        <v>3700</v>
      </c>
    </row>
    <row r="251" spans="1:6" x14ac:dyDescent="0.25">
      <c r="B251" s="9"/>
      <c r="C251" s="5">
        <v>10</v>
      </c>
      <c r="D251" s="9" t="s">
        <v>12</v>
      </c>
      <c r="E251" s="10">
        <v>185</v>
      </c>
      <c r="F251" s="10">
        <f t="shared" si="3"/>
        <v>1850</v>
      </c>
    </row>
    <row r="252" spans="1:6" x14ac:dyDescent="0.25">
      <c r="B252" s="4"/>
      <c r="C252" s="5">
        <v>10</v>
      </c>
      <c r="D252" s="9" t="s">
        <v>13</v>
      </c>
      <c r="E252" s="10">
        <v>190</v>
      </c>
      <c r="F252" s="10">
        <f t="shared" si="3"/>
        <v>1900</v>
      </c>
    </row>
    <row r="253" spans="1:6" x14ac:dyDescent="0.25">
      <c r="B253" s="9"/>
      <c r="C253" s="5">
        <v>10</v>
      </c>
      <c r="D253" s="9" t="s">
        <v>1196</v>
      </c>
      <c r="E253" s="10">
        <v>190</v>
      </c>
      <c r="F253" s="10">
        <f t="shared" si="3"/>
        <v>1900</v>
      </c>
    </row>
    <row r="254" spans="1:6" x14ac:dyDescent="0.25">
      <c r="B254" s="9"/>
      <c r="C254" s="5">
        <v>10</v>
      </c>
      <c r="D254" s="9" t="s">
        <v>8</v>
      </c>
      <c r="E254" s="10">
        <v>195</v>
      </c>
      <c r="F254" s="10">
        <f t="shared" si="3"/>
        <v>1950</v>
      </c>
    </row>
    <row r="255" spans="1:6" x14ac:dyDescent="0.25">
      <c r="B255" s="4"/>
      <c r="C255" s="5">
        <v>20</v>
      </c>
      <c r="D255" s="9" t="s">
        <v>22</v>
      </c>
      <c r="E255" s="10">
        <v>175</v>
      </c>
      <c r="F255" s="10">
        <f t="shared" si="3"/>
        <v>3500</v>
      </c>
    </row>
    <row r="256" spans="1:6" x14ac:dyDescent="0.25">
      <c r="B256" s="9"/>
      <c r="D256" s="9"/>
      <c r="F256" s="8">
        <f>SUM(F250:F255)</f>
        <v>14800</v>
      </c>
    </row>
    <row r="257" spans="1:6" x14ac:dyDescent="0.25">
      <c r="B257" s="9"/>
      <c r="D257" s="9"/>
    </row>
    <row r="258" spans="1:6" x14ac:dyDescent="0.25">
      <c r="A258" t="s">
        <v>25</v>
      </c>
      <c r="B258" s="4">
        <v>45995</v>
      </c>
      <c r="C258" s="5">
        <v>20</v>
      </c>
      <c r="D258" s="9" t="s">
        <v>615</v>
      </c>
      <c r="E258" s="10">
        <v>185</v>
      </c>
      <c r="F258" s="10">
        <f t="shared" si="3"/>
        <v>3700</v>
      </c>
    </row>
    <row r="259" spans="1:6" x14ac:dyDescent="0.25">
      <c r="B259" s="9"/>
      <c r="C259" s="5">
        <v>20</v>
      </c>
      <c r="D259" s="9" t="s">
        <v>49</v>
      </c>
      <c r="E259" s="10">
        <v>190</v>
      </c>
      <c r="F259" s="10">
        <f t="shared" si="3"/>
        <v>3800</v>
      </c>
    </row>
    <row r="260" spans="1:6" x14ac:dyDescent="0.25">
      <c r="B260" s="9"/>
      <c r="C260" s="5">
        <v>20</v>
      </c>
      <c r="D260" s="9" t="s">
        <v>22</v>
      </c>
      <c r="E260" s="10">
        <v>175</v>
      </c>
      <c r="F260" s="10">
        <f t="shared" si="3"/>
        <v>3500</v>
      </c>
    </row>
    <row r="261" spans="1:6" x14ac:dyDescent="0.25">
      <c r="B261" s="4"/>
      <c r="D261" s="9"/>
      <c r="F261" s="8">
        <f>SUM(F258:F260)</f>
        <v>11000</v>
      </c>
    </row>
    <row r="262" spans="1:6" x14ac:dyDescent="0.25">
      <c r="B262" s="9"/>
      <c r="D262" s="9"/>
    </row>
    <row r="263" spans="1:6" x14ac:dyDescent="0.25">
      <c r="A263" t="s">
        <v>1122</v>
      </c>
      <c r="B263" s="4">
        <v>45995</v>
      </c>
      <c r="C263" s="5">
        <v>8</v>
      </c>
      <c r="D263" s="9" t="s">
        <v>13</v>
      </c>
      <c r="E263" s="10">
        <v>190</v>
      </c>
      <c r="F263" s="10">
        <f t="shared" si="3"/>
        <v>1520</v>
      </c>
    </row>
    <row r="264" spans="1:6" x14ac:dyDescent="0.25">
      <c r="B264" s="4"/>
      <c r="D264" s="9"/>
      <c r="F264" s="8">
        <f>SUM(F263)</f>
        <v>1520</v>
      </c>
    </row>
    <row r="265" spans="1:6" x14ac:dyDescent="0.25">
      <c r="B265" s="9"/>
      <c r="D265" s="9"/>
    </row>
    <row r="266" spans="1:6" x14ac:dyDescent="0.25">
      <c r="A266" t="s">
        <v>487</v>
      </c>
      <c r="B266" s="4">
        <v>45995</v>
      </c>
      <c r="C266" s="5">
        <v>5</v>
      </c>
      <c r="D266" s="9" t="s">
        <v>12</v>
      </c>
      <c r="E266" s="10">
        <v>180</v>
      </c>
      <c r="F266" s="10">
        <f t="shared" si="3"/>
        <v>900</v>
      </c>
    </row>
    <row r="267" spans="1:6" x14ac:dyDescent="0.25">
      <c r="B267" s="4"/>
      <c r="D267" s="9"/>
      <c r="F267" s="8">
        <f>SUM(F266)</f>
        <v>900</v>
      </c>
    </row>
    <row r="268" spans="1:6" x14ac:dyDescent="0.25">
      <c r="B268" s="9"/>
      <c r="D268" s="9"/>
    </row>
    <row r="269" spans="1:6" x14ac:dyDescent="0.25">
      <c r="A269" t="s">
        <v>160</v>
      </c>
      <c r="B269" s="4">
        <v>45995</v>
      </c>
      <c r="C269" s="5">
        <v>4</v>
      </c>
      <c r="D269" s="9" t="s">
        <v>1148</v>
      </c>
      <c r="E269" s="10">
        <v>180</v>
      </c>
      <c r="F269" s="10">
        <f t="shared" ref="F269:F330" si="4">+C269*E269</f>
        <v>720</v>
      </c>
    </row>
    <row r="270" spans="1:6" x14ac:dyDescent="0.25">
      <c r="B270" s="4"/>
      <c r="D270" s="9"/>
      <c r="F270" s="8">
        <f>SUM(F269)</f>
        <v>720</v>
      </c>
    </row>
    <row r="271" spans="1:6" x14ac:dyDescent="0.25">
      <c r="B271" s="9"/>
      <c r="D271" s="9"/>
    </row>
    <row r="272" spans="1:6" x14ac:dyDescent="0.25">
      <c r="A272" t="s">
        <v>114</v>
      </c>
      <c r="B272" s="4">
        <v>45995</v>
      </c>
      <c r="C272" s="5">
        <v>4</v>
      </c>
      <c r="D272" s="9" t="s">
        <v>13</v>
      </c>
      <c r="E272" s="10">
        <v>190</v>
      </c>
      <c r="F272" s="10">
        <f t="shared" si="4"/>
        <v>760</v>
      </c>
    </row>
    <row r="273" spans="1:6" x14ac:dyDescent="0.25">
      <c r="B273" s="9"/>
      <c r="D273" s="9"/>
      <c r="F273" s="8">
        <f>SUM(F272)</f>
        <v>760</v>
      </c>
    </row>
    <row r="274" spans="1:6" x14ac:dyDescent="0.25">
      <c r="B274" s="9"/>
      <c r="D274" s="9"/>
    </row>
    <row r="275" spans="1:6" x14ac:dyDescent="0.25">
      <c r="A275" t="s">
        <v>245</v>
      </c>
      <c r="B275" s="4">
        <v>45995</v>
      </c>
      <c r="C275" s="5">
        <v>10</v>
      </c>
      <c r="D275" s="9" t="s">
        <v>14</v>
      </c>
      <c r="E275" s="10">
        <v>175</v>
      </c>
      <c r="F275" s="10">
        <f t="shared" si="4"/>
        <v>1750</v>
      </c>
    </row>
    <row r="276" spans="1:6" x14ac:dyDescent="0.25">
      <c r="B276" s="4"/>
      <c r="D276" s="9"/>
      <c r="F276" s="8">
        <f>SUM(F275)</f>
        <v>1750</v>
      </c>
    </row>
    <row r="277" spans="1:6" x14ac:dyDescent="0.25">
      <c r="B277" s="9"/>
      <c r="D277" s="9"/>
    </row>
    <row r="278" spans="1:6" x14ac:dyDescent="0.25">
      <c r="A278" t="s">
        <v>151</v>
      </c>
      <c r="B278" s="4">
        <v>45995</v>
      </c>
      <c r="C278" s="5">
        <v>40</v>
      </c>
      <c r="D278" s="9" t="s">
        <v>11</v>
      </c>
      <c r="E278" s="10">
        <v>175</v>
      </c>
      <c r="F278" s="10">
        <f t="shared" si="4"/>
        <v>7000</v>
      </c>
    </row>
    <row r="279" spans="1:6" x14ac:dyDescent="0.25">
      <c r="B279" s="9"/>
      <c r="C279" s="5">
        <v>20</v>
      </c>
      <c r="D279" s="9" t="s">
        <v>12</v>
      </c>
      <c r="E279" s="10">
        <v>175</v>
      </c>
      <c r="F279" s="10">
        <f t="shared" si="4"/>
        <v>3500</v>
      </c>
    </row>
    <row r="280" spans="1:6" x14ac:dyDescent="0.25">
      <c r="B280" s="4"/>
      <c r="C280" s="5">
        <v>30</v>
      </c>
      <c r="D280" s="9" t="s">
        <v>50</v>
      </c>
      <c r="E280" s="10">
        <v>165</v>
      </c>
      <c r="F280" s="10">
        <f t="shared" si="4"/>
        <v>4950</v>
      </c>
    </row>
    <row r="281" spans="1:6" x14ac:dyDescent="0.25">
      <c r="B281" s="9"/>
      <c r="D281" s="9"/>
      <c r="F281" s="8">
        <f>SUM(F278:F280)</f>
        <v>15450</v>
      </c>
    </row>
    <row r="282" spans="1:6" x14ac:dyDescent="0.25">
      <c r="B282" s="9"/>
      <c r="D282" s="9"/>
    </row>
    <row r="283" spans="1:6" x14ac:dyDescent="0.25">
      <c r="A283" t="s">
        <v>76</v>
      </c>
      <c r="B283" s="4">
        <v>45995</v>
      </c>
      <c r="C283" s="5">
        <v>50</v>
      </c>
      <c r="D283" s="9" t="s">
        <v>49</v>
      </c>
      <c r="E283" s="10">
        <v>180</v>
      </c>
      <c r="F283" s="10">
        <f t="shared" si="4"/>
        <v>9000</v>
      </c>
    </row>
    <row r="284" spans="1:6" x14ac:dyDescent="0.25">
      <c r="B284" s="9"/>
      <c r="C284" s="5">
        <v>150</v>
      </c>
      <c r="D284" s="9" t="s">
        <v>50</v>
      </c>
      <c r="E284" s="10">
        <v>165</v>
      </c>
      <c r="F284" s="10">
        <f t="shared" si="4"/>
        <v>24750</v>
      </c>
    </row>
    <row r="285" spans="1:6" x14ac:dyDescent="0.25">
      <c r="B285" s="4"/>
      <c r="C285" s="5">
        <v>47</v>
      </c>
      <c r="D285" s="9" t="s">
        <v>1173</v>
      </c>
      <c r="E285" s="10">
        <v>165</v>
      </c>
      <c r="F285" s="10">
        <f t="shared" si="4"/>
        <v>7755</v>
      </c>
    </row>
    <row r="286" spans="1:6" x14ac:dyDescent="0.25">
      <c r="B286" s="9"/>
      <c r="C286" s="5">
        <v>60</v>
      </c>
      <c r="D286" s="9" t="s">
        <v>14</v>
      </c>
      <c r="E286" s="10">
        <v>175</v>
      </c>
      <c r="F286" s="10">
        <f t="shared" si="4"/>
        <v>10500</v>
      </c>
    </row>
    <row r="287" spans="1:6" x14ac:dyDescent="0.25">
      <c r="B287" s="9"/>
      <c r="D287" s="9"/>
      <c r="F287" s="8">
        <f>SUM(F283:F286)</f>
        <v>52005</v>
      </c>
    </row>
    <row r="288" spans="1:6" x14ac:dyDescent="0.25">
      <c r="B288" s="9"/>
      <c r="D288" s="9"/>
    </row>
    <row r="289" spans="1:6" x14ac:dyDescent="0.25">
      <c r="A289" t="s">
        <v>181</v>
      </c>
      <c r="B289" s="4">
        <v>45995</v>
      </c>
      <c r="C289" s="11">
        <v>1</v>
      </c>
      <c r="D289" s="9" t="s">
        <v>8</v>
      </c>
      <c r="E289" s="10">
        <v>195</v>
      </c>
      <c r="F289" s="10">
        <f t="shared" si="4"/>
        <v>195</v>
      </c>
    </row>
    <row r="290" spans="1:6" x14ac:dyDescent="0.25">
      <c r="B290" s="9"/>
      <c r="C290" s="11"/>
      <c r="D290" s="9"/>
      <c r="F290" s="8">
        <f>SUM(F289)</f>
        <v>195</v>
      </c>
    </row>
    <row r="291" spans="1:6" x14ac:dyDescent="0.25">
      <c r="B291" s="9"/>
      <c r="D291" s="9"/>
    </row>
    <row r="292" spans="1:6" x14ac:dyDescent="0.25">
      <c r="A292" t="s">
        <v>181</v>
      </c>
      <c r="B292" s="4">
        <v>45995</v>
      </c>
      <c r="C292" s="5">
        <v>1</v>
      </c>
      <c r="D292" s="9" t="s">
        <v>13</v>
      </c>
      <c r="E292" s="10">
        <v>185</v>
      </c>
      <c r="F292" s="10">
        <f t="shared" si="4"/>
        <v>185</v>
      </c>
    </row>
    <row r="293" spans="1:6" x14ac:dyDescent="0.25">
      <c r="B293" s="9"/>
      <c r="C293" s="5">
        <v>2</v>
      </c>
      <c r="D293" s="9" t="s">
        <v>12</v>
      </c>
      <c r="E293" s="10">
        <v>175</v>
      </c>
      <c r="F293" s="10">
        <f t="shared" si="4"/>
        <v>350</v>
      </c>
    </row>
    <row r="294" spans="1:6" x14ac:dyDescent="0.25">
      <c r="B294" s="9"/>
      <c r="C294" s="5">
        <v>7</v>
      </c>
      <c r="D294" s="9" t="s">
        <v>13</v>
      </c>
      <c r="E294" s="10">
        <v>185</v>
      </c>
      <c r="F294" s="10">
        <f t="shared" si="4"/>
        <v>1295</v>
      </c>
    </row>
    <row r="295" spans="1:6" x14ac:dyDescent="0.25">
      <c r="B295" s="9"/>
      <c r="D295" s="9"/>
      <c r="F295" s="8">
        <f>SUM(F292:F294)</f>
        <v>1830</v>
      </c>
    </row>
    <row r="296" spans="1:6" x14ac:dyDescent="0.25">
      <c r="B296" s="9"/>
      <c r="D296" s="9"/>
    </row>
    <row r="297" spans="1:6" x14ac:dyDescent="0.25">
      <c r="A297" t="s">
        <v>44</v>
      </c>
      <c r="B297" s="4">
        <v>45996</v>
      </c>
      <c r="C297" s="5">
        <v>50</v>
      </c>
      <c r="D297" s="9" t="s">
        <v>14</v>
      </c>
      <c r="E297" s="10">
        <v>185</v>
      </c>
      <c r="F297" s="10">
        <f t="shared" si="4"/>
        <v>9250</v>
      </c>
    </row>
    <row r="298" spans="1:6" x14ac:dyDescent="0.25">
      <c r="B298" s="4"/>
      <c r="D298" s="9"/>
      <c r="F298" s="8">
        <f>SUM(F297)</f>
        <v>9250</v>
      </c>
    </row>
    <row r="299" spans="1:6" x14ac:dyDescent="0.25">
      <c r="B299" s="9"/>
      <c r="D299" s="9"/>
    </row>
    <row r="300" spans="1:6" x14ac:dyDescent="0.25">
      <c r="A300" t="s">
        <v>1003</v>
      </c>
      <c r="B300" s="4">
        <v>45996</v>
      </c>
      <c r="C300" s="5">
        <v>20</v>
      </c>
      <c r="D300" s="9" t="s">
        <v>14</v>
      </c>
      <c r="E300" s="10">
        <v>185</v>
      </c>
      <c r="F300" s="10">
        <f t="shared" si="4"/>
        <v>3700</v>
      </c>
    </row>
    <row r="301" spans="1:6" x14ac:dyDescent="0.25">
      <c r="B301" s="9"/>
      <c r="D301" s="9"/>
      <c r="F301" s="8">
        <f>SUM(F300)</f>
        <v>3700</v>
      </c>
    </row>
    <row r="302" spans="1:6" x14ac:dyDescent="0.25">
      <c r="B302" s="9"/>
      <c r="D302" s="9"/>
    </row>
    <row r="303" spans="1:6" x14ac:dyDescent="0.25">
      <c r="A303" t="s">
        <v>18</v>
      </c>
      <c r="B303" s="4">
        <v>45996</v>
      </c>
      <c r="C303" s="5">
        <v>20</v>
      </c>
      <c r="D303" s="9" t="s">
        <v>14</v>
      </c>
      <c r="E303" s="10">
        <v>185</v>
      </c>
      <c r="F303" s="10">
        <f t="shared" si="4"/>
        <v>3700</v>
      </c>
    </row>
    <row r="304" spans="1:6" x14ac:dyDescent="0.25">
      <c r="B304" s="9"/>
      <c r="C304" s="5">
        <v>10</v>
      </c>
      <c r="D304" s="9" t="s">
        <v>12</v>
      </c>
      <c r="E304" s="10">
        <v>180</v>
      </c>
      <c r="F304" s="10">
        <f t="shared" si="4"/>
        <v>1800</v>
      </c>
    </row>
    <row r="305" spans="1:6" x14ac:dyDescent="0.25">
      <c r="B305" s="4"/>
      <c r="C305" s="5">
        <v>30</v>
      </c>
      <c r="D305" s="9" t="s">
        <v>11</v>
      </c>
      <c r="E305" s="10">
        <v>180</v>
      </c>
      <c r="F305" s="10">
        <f t="shared" si="4"/>
        <v>5400</v>
      </c>
    </row>
    <row r="306" spans="1:6" x14ac:dyDescent="0.25">
      <c r="B306" s="9"/>
      <c r="D306" s="9"/>
      <c r="F306" s="8">
        <f>SUM(F303:F305)</f>
        <v>10900</v>
      </c>
    </row>
    <row r="307" spans="1:6" x14ac:dyDescent="0.25">
      <c r="B307" s="9"/>
      <c r="D307" s="9"/>
    </row>
    <row r="308" spans="1:6" x14ac:dyDescent="0.25">
      <c r="A308" t="s">
        <v>292</v>
      </c>
      <c r="B308" s="4">
        <v>45996</v>
      </c>
      <c r="C308" s="5">
        <v>10</v>
      </c>
      <c r="D308" s="9" t="s">
        <v>14</v>
      </c>
      <c r="E308" s="10">
        <v>175</v>
      </c>
      <c r="F308" s="10">
        <f t="shared" si="4"/>
        <v>1750</v>
      </c>
    </row>
    <row r="309" spans="1:6" x14ac:dyDescent="0.25">
      <c r="B309" s="9"/>
      <c r="C309" s="5">
        <v>2</v>
      </c>
      <c r="D309" s="9" t="s">
        <v>8</v>
      </c>
      <c r="E309" s="10">
        <v>190</v>
      </c>
      <c r="F309" s="10">
        <f t="shared" si="4"/>
        <v>380</v>
      </c>
    </row>
    <row r="310" spans="1:6" x14ac:dyDescent="0.25">
      <c r="B310" s="4"/>
      <c r="D310" s="9"/>
      <c r="F310" s="8">
        <f>SUM(F308:F309)</f>
        <v>2130</v>
      </c>
    </row>
    <row r="311" spans="1:6" x14ac:dyDescent="0.25">
      <c r="B311" s="9"/>
      <c r="D311" s="9"/>
    </row>
    <row r="312" spans="1:6" x14ac:dyDescent="0.25">
      <c r="A312" t="s">
        <v>130</v>
      </c>
      <c r="B312" s="4">
        <v>45996</v>
      </c>
      <c r="C312" s="5">
        <v>30</v>
      </c>
      <c r="D312" s="9" t="s">
        <v>14</v>
      </c>
      <c r="E312" s="10">
        <v>165</v>
      </c>
      <c r="F312" s="10">
        <f t="shared" si="4"/>
        <v>4950</v>
      </c>
    </row>
    <row r="313" spans="1:6" x14ac:dyDescent="0.25">
      <c r="B313" s="9"/>
      <c r="D313" s="9"/>
      <c r="F313" s="8">
        <f>SUM(F312)</f>
        <v>4950</v>
      </c>
    </row>
    <row r="314" spans="1:6" x14ac:dyDescent="0.25">
      <c r="B314" s="9"/>
      <c r="D314" s="9"/>
    </row>
    <row r="315" spans="1:6" x14ac:dyDescent="0.25">
      <c r="A315" t="s">
        <v>1197</v>
      </c>
      <c r="B315" s="4">
        <v>45996</v>
      </c>
      <c r="C315" s="5">
        <v>60</v>
      </c>
      <c r="D315" s="9" t="s">
        <v>14</v>
      </c>
      <c r="E315" s="10">
        <v>185</v>
      </c>
      <c r="F315" s="10">
        <f t="shared" si="4"/>
        <v>11100</v>
      </c>
    </row>
    <row r="316" spans="1:6" x14ac:dyDescent="0.25">
      <c r="B316" s="9"/>
      <c r="D316" s="9"/>
      <c r="F316" s="8">
        <f>SUM(F315)</f>
        <v>11100</v>
      </c>
    </row>
    <row r="317" spans="1:6" x14ac:dyDescent="0.25">
      <c r="B317" s="9"/>
      <c r="D317" s="9"/>
    </row>
    <row r="318" spans="1:6" x14ac:dyDescent="0.25">
      <c r="A318" t="s">
        <v>455</v>
      </c>
      <c r="B318" s="4">
        <v>45996</v>
      </c>
      <c r="C318" s="5">
        <v>60</v>
      </c>
      <c r="D318" s="9" t="s">
        <v>14</v>
      </c>
      <c r="E318" s="10">
        <v>180</v>
      </c>
      <c r="F318" s="10">
        <f t="shared" si="4"/>
        <v>10800</v>
      </c>
    </row>
    <row r="319" spans="1:6" x14ac:dyDescent="0.25">
      <c r="B319" s="9"/>
      <c r="D319" s="9"/>
      <c r="F319" s="8">
        <f>SUM(F318)</f>
        <v>10800</v>
      </c>
    </row>
    <row r="320" spans="1:6" x14ac:dyDescent="0.25">
      <c r="B320" s="4"/>
      <c r="D320" s="9"/>
    </row>
    <row r="321" spans="1:6" x14ac:dyDescent="0.25">
      <c r="A321" t="s">
        <v>306</v>
      </c>
      <c r="B321" s="4">
        <v>45996</v>
      </c>
      <c r="C321" s="5">
        <v>15</v>
      </c>
      <c r="D321" s="9" t="s">
        <v>13</v>
      </c>
      <c r="E321" s="10">
        <v>190</v>
      </c>
      <c r="F321" s="10">
        <f t="shared" si="4"/>
        <v>2850</v>
      </c>
    </row>
    <row r="322" spans="1:6" x14ac:dyDescent="0.25">
      <c r="B322" s="9"/>
      <c r="D322" s="9"/>
      <c r="F322" s="8">
        <f>SUM(F321)</f>
        <v>2850</v>
      </c>
    </row>
    <row r="323" spans="1:6" x14ac:dyDescent="0.25">
      <c r="B323" s="4"/>
      <c r="D323" s="9"/>
    </row>
    <row r="324" spans="1:6" x14ac:dyDescent="0.25">
      <c r="A324" t="s">
        <v>102</v>
      </c>
      <c r="B324" s="4">
        <v>45996</v>
      </c>
      <c r="C324" s="5">
        <v>6</v>
      </c>
      <c r="D324" s="9" t="s">
        <v>13</v>
      </c>
      <c r="E324" s="10">
        <v>190</v>
      </c>
      <c r="F324" s="10">
        <f t="shared" si="4"/>
        <v>1140</v>
      </c>
    </row>
    <row r="325" spans="1:6" x14ac:dyDescent="0.25">
      <c r="B325" s="9"/>
      <c r="D325" s="9"/>
      <c r="F325" s="8">
        <f>SUM(F324)</f>
        <v>1140</v>
      </c>
    </row>
    <row r="326" spans="1:6" x14ac:dyDescent="0.25">
      <c r="B326" s="4"/>
      <c r="D326" s="9"/>
    </row>
    <row r="327" spans="1:6" x14ac:dyDescent="0.25">
      <c r="A327" t="s">
        <v>1198</v>
      </c>
      <c r="B327" s="4">
        <v>45996</v>
      </c>
      <c r="C327" s="5">
        <v>2</v>
      </c>
      <c r="D327" s="9" t="s">
        <v>1199</v>
      </c>
      <c r="E327" s="10">
        <v>200</v>
      </c>
      <c r="F327" s="10">
        <f t="shared" si="4"/>
        <v>400</v>
      </c>
    </row>
    <row r="328" spans="1:6" x14ac:dyDescent="0.25">
      <c r="B328" s="9"/>
      <c r="D328" s="9"/>
      <c r="F328" s="8">
        <f>SUM(F327)</f>
        <v>400</v>
      </c>
    </row>
    <row r="329" spans="1:6" x14ac:dyDescent="0.25">
      <c r="B329" s="4"/>
      <c r="D329" s="9"/>
    </row>
    <row r="330" spans="1:6" x14ac:dyDescent="0.25">
      <c r="A330" t="s">
        <v>141</v>
      </c>
      <c r="B330" s="4">
        <v>45996</v>
      </c>
      <c r="C330" s="5">
        <v>10</v>
      </c>
      <c r="D330" s="9" t="s">
        <v>1162</v>
      </c>
      <c r="E330" s="10">
        <v>195</v>
      </c>
      <c r="F330" s="10">
        <f t="shared" si="4"/>
        <v>1950</v>
      </c>
    </row>
    <row r="331" spans="1:6" x14ac:dyDescent="0.25">
      <c r="B331" s="9"/>
      <c r="D331" s="9"/>
      <c r="F331" s="8">
        <f>SUM(F330)</f>
        <v>1950</v>
      </c>
    </row>
    <row r="332" spans="1:6" x14ac:dyDescent="0.25">
      <c r="B332" s="4"/>
      <c r="D332" s="9"/>
    </row>
    <row r="333" spans="1:6" x14ac:dyDescent="0.25">
      <c r="A333" t="s">
        <v>201</v>
      </c>
      <c r="B333" s="4">
        <v>45996</v>
      </c>
      <c r="C333" s="5">
        <v>10</v>
      </c>
      <c r="D333" s="9" t="s">
        <v>13</v>
      </c>
      <c r="E333" s="10">
        <v>190</v>
      </c>
      <c r="F333" s="10">
        <f t="shared" ref="F333:F393" si="5">+C333*E333</f>
        <v>1900</v>
      </c>
    </row>
    <row r="334" spans="1:6" x14ac:dyDescent="0.25">
      <c r="B334" s="9"/>
      <c r="D334" s="9"/>
      <c r="F334" s="8">
        <f>SUM(F333)</f>
        <v>1900</v>
      </c>
    </row>
    <row r="335" spans="1:6" x14ac:dyDescent="0.25">
      <c r="B335" s="4"/>
      <c r="D335" s="9"/>
    </row>
    <row r="336" spans="1:6" x14ac:dyDescent="0.25">
      <c r="A336" t="s">
        <v>112</v>
      </c>
      <c r="B336" s="4">
        <v>45996</v>
      </c>
      <c r="C336" s="5">
        <v>20</v>
      </c>
      <c r="D336" s="9" t="s">
        <v>878</v>
      </c>
      <c r="E336" s="10">
        <v>180</v>
      </c>
      <c r="F336" s="10">
        <f t="shared" si="5"/>
        <v>3600</v>
      </c>
    </row>
    <row r="337" spans="1:6" x14ac:dyDescent="0.25">
      <c r="B337" s="9"/>
      <c r="C337" s="5">
        <v>30</v>
      </c>
      <c r="D337" s="9" t="s">
        <v>13</v>
      </c>
      <c r="E337" s="10">
        <v>185</v>
      </c>
      <c r="F337" s="10">
        <f t="shared" si="5"/>
        <v>5550</v>
      </c>
    </row>
    <row r="338" spans="1:6" x14ac:dyDescent="0.25">
      <c r="B338" s="4"/>
      <c r="C338" s="5">
        <v>10</v>
      </c>
      <c r="D338" s="9" t="s">
        <v>12</v>
      </c>
      <c r="E338" s="10">
        <v>180</v>
      </c>
      <c r="F338" s="10">
        <f t="shared" si="5"/>
        <v>1800</v>
      </c>
    </row>
    <row r="339" spans="1:6" x14ac:dyDescent="0.25">
      <c r="B339" s="9"/>
      <c r="D339" s="9"/>
      <c r="F339" s="8">
        <f>SUM(F336:F338)</f>
        <v>10950</v>
      </c>
    </row>
    <row r="340" spans="1:6" x14ac:dyDescent="0.25">
      <c r="B340" s="9"/>
      <c r="D340" s="9"/>
    </row>
    <row r="341" spans="1:6" x14ac:dyDescent="0.25">
      <c r="A341" t="s">
        <v>61</v>
      </c>
      <c r="B341" s="4">
        <v>45996</v>
      </c>
      <c r="C341" s="5">
        <v>70</v>
      </c>
      <c r="D341" s="9" t="s">
        <v>13</v>
      </c>
      <c r="E341" s="10">
        <v>188</v>
      </c>
      <c r="F341" s="10">
        <f t="shared" si="5"/>
        <v>13160</v>
      </c>
    </row>
    <row r="342" spans="1:6" x14ac:dyDescent="0.25">
      <c r="B342" s="4"/>
      <c r="D342" s="9"/>
      <c r="F342" s="8">
        <f>SUM(F341)</f>
        <v>13160</v>
      </c>
    </row>
    <row r="343" spans="1:6" x14ac:dyDescent="0.25">
      <c r="B343" s="9"/>
      <c r="D343" s="9"/>
    </row>
    <row r="344" spans="1:6" x14ac:dyDescent="0.25">
      <c r="A344" t="s">
        <v>610</v>
      </c>
      <c r="B344" s="4">
        <v>45996</v>
      </c>
      <c r="C344" s="5">
        <v>6</v>
      </c>
      <c r="D344" s="9" t="s">
        <v>14</v>
      </c>
      <c r="E344" s="10">
        <v>185</v>
      </c>
      <c r="F344" s="10">
        <f t="shared" si="5"/>
        <v>1110</v>
      </c>
    </row>
    <row r="345" spans="1:6" x14ac:dyDescent="0.25">
      <c r="B345" s="4"/>
      <c r="D345" s="9"/>
      <c r="F345" s="8">
        <f>SUM(F344)</f>
        <v>1110</v>
      </c>
    </row>
    <row r="346" spans="1:6" x14ac:dyDescent="0.25">
      <c r="B346" s="9"/>
      <c r="D346" s="9"/>
    </row>
    <row r="347" spans="1:6" x14ac:dyDescent="0.25">
      <c r="A347" t="s">
        <v>113</v>
      </c>
      <c r="B347" s="4">
        <v>45996</v>
      </c>
      <c r="C347" s="11">
        <v>20</v>
      </c>
      <c r="D347" s="9" t="s">
        <v>1200</v>
      </c>
      <c r="E347" s="10">
        <v>195</v>
      </c>
      <c r="F347" s="10">
        <f t="shared" si="5"/>
        <v>3900</v>
      </c>
    </row>
    <row r="348" spans="1:6" x14ac:dyDescent="0.25">
      <c r="B348" s="9"/>
      <c r="D348" s="9"/>
      <c r="F348" s="8">
        <f>SUM(F347)</f>
        <v>3900</v>
      </c>
    </row>
    <row r="349" spans="1:6" x14ac:dyDescent="0.25">
      <c r="B349" s="9"/>
      <c r="D349" s="9"/>
    </row>
    <row r="350" spans="1:6" x14ac:dyDescent="0.25">
      <c r="A350" t="s">
        <v>29</v>
      </c>
      <c r="B350" s="4">
        <v>45996</v>
      </c>
      <c r="C350" s="5">
        <v>2</v>
      </c>
      <c r="D350" s="9" t="s">
        <v>12</v>
      </c>
      <c r="E350" s="10">
        <v>175</v>
      </c>
      <c r="F350" s="10">
        <f t="shared" si="5"/>
        <v>350</v>
      </c>
    </row>
    <row r="351" spans="1:6" x14ac:dyDescent="0.25">
      <c r="B351" s="9"/>
      <c r="C351" s="5">
        <v>2</v>
      </c>
      <c r="D351" s="9" t="s">
        <v>729</v>
      </c>
      <c r="E351" s="10">
        <v>140</v>
      </c>
      <c r="F351" s="10">
        <f t="shared" si="5"/>
        <v>280</v>
      </c>
    </row>
    <row r="352" spans="1:6" x14ac:dyDescent="0.25">
      <c r="B352" s="9"/>
      <c r="C352" s="5">
        <v>2</v>
      </c>
      <c r="D352" s="9" t="s">
        <v>13</v>
      </c>
      <c r="E352" s="10">
        <v>180</v>
      </c>
      <c r="F352" s="10">
        <f t="shared" si="5"/>
        <v>360</v>
      </c>
    </row>
    <row r="353" spans="1:6" x14ac:dyDescent="0.25">
      <c r="B353" s="9"/>
      <c r="C353" s="11">
        <v>4</v>
      </c>
      <c r="D353" s="9" t="s">
        <v>12</v>
      </c>
      <c r="E353" s="10">
        <v>175</v>
      </c>
      <c r="F353" s="10">
        <f t="shared" si="5"/>
        <v>700</v>
      </c>
    </row>
    <row r="354" spans="1:6" x14ac:dyDescent="0.25">
      <c r="B354" s="9"/>
      <c r="C354" s="5">
        <v>2</v>
      </c>
      <c r="D354" s="9" t="s">
        <v>98</v>
      </c>
      <c r="E354" s="10">
        <v>135</v>
      </c>
      <c r="F354" s="10">
        <f t="shared" si="5"/>
        <v>270</v>
      </c>
    </row>
    <row r="355" spans="1:6" x14ac:dyDescent="0.25">
      <c r="B355" s="9"/>
      <c r="C355" s="5">
        <v>1</v>
      </c>
      <c r="D355" s="9" t="s">
        <v>8</v>
      </c>
      <c r="E355" s="10">
        <v>195</v>
      </c>
      <c r="F355" s="10">
        <f t="shared" si="5"/>
        <v>195</v>
      </c>
    </row>
    <row r="356" spans="1:6" x14ac:dyDescent="0.25">
      <c r="B356" s="9"/>
      <c r="C356" s="5">
        <v>3</v>
      </c>
      <c r="D356" s="9" t="s">
        <v>1201</v>
      </c>
      <c r="E356" s="10">
        <v>130</v>
      </c>
      <c r="F356" s="10">
        <f t="shared" si="5"/>
        <v>390</v>
      </c>
    </row>
    <row r="357" spans="1:6" s="9" customFormat="1" x14ac:dyDescent="0.25">
      <c r="B357" s="4"/>
      <c r="C357" s="5"/>
      <c r="E357" s="10"/>
      <c r="F357" s="8">
        <f>SUM(F350:F356)</f>
        <v>2545</v>
      </c>
    </row>
    <row r="358" spans="1:6" s="9" customFormat="1" x14ac:dyDescent="0.25">
      <c r="C358" s="5"/>
      <c r="E358" s="10"/>
      <c r="F358" s="10"/>
    </row>
    <row r="359" spans="1:6" s="9" customFormat="1" x14ac:dyDescent="0.25">
      <c r="A359" s="9" t="s">
        <v>7</v>
      </c>
      <c r="B359" s="4">
        <v>45996</v>
      </c>
      <c r="C359" s="5">
        <v>1</v>
      </c>
      <c r="D359" s="9" t="s">
        <v>8</v>
      </c>
      <c r="E359" s="10">
        <v>195</v>
      </c>
      <c r="F359" s="10">
        <f t="shared" si="5"/>
        <v>195</v>
      </c>
    </row>
    <row r="360" spans="1:6" x14ac:dyDescent="0.25">
      <c r="B360" s="4"/>
      <c r="C360" s="5">
        <v>1</v>
      </c>
      <c r="D360" s="9" t="s">
        <v>8</v>
      </c>
      <c r="E360" s="10">
        <v>195</v>
      </c>
      <c r="F360" s="10">
        <f t="shared" si="5"/>
        <v>195</v>
      </c>
    </row>
    <row r="361" spans="1:6" x14ac:dyDescent="0.25">
      <c r="B361" s="9"/>
      <c r="C361" s="5">
        <v>1</v>
      </c>
      <c r="D361" s="9" t="s">
        <v>98</v>
      </c>
      <c r="E361" s="10">
        <v>140</v>
      </c>
      <c r="F361" s="10">
        <f t="shared" si="5"/>
        <v>140</v>
      </c>
    </row>
    <row r="362" spans="1:6" x14ac:dyDescent="0.25">
      <c r="B362" s="9"/>
      <c r="C362" s="5">
        <v>1</v>
      </c>
      <c r="D362" s="9" t="s">
        <v>1202</v>
      </c>
      <c r="E362" s="10">
        <v>140</v>
      </c>
      <c r="F362" s="10">
        <f t="shared" si="5"/>
        <v>140</v>
      </c>
    </row>
    <row r="363" spans="1:6" x14ac:dyDescent="0.25">
      <c r="B363" s="9"/>
      <c r="D363" s="9"/>
      <c r="F363" s="8">
        <f>SUM(F359:F362)</f>
        <v>670</v>
      </c>
    </row>
    <row r="364" spans="1:6" x14ac:dyDescent="0.25">
      <c r="B364" s="4"/>
      <c r="D364" s="9"/>
    </row>
    <row r="365" spans="1:6" x14ac:dyDescent="0.25">
      <c r="A365" t="s">
        <v>15</v>
      </c>
      <c r="B365" s="4">
        <v>45997</v>
      </c>
      <c r="C365" s="5">
        <v>60</v>
      </c>
      <c r="D365" s="9" t="s">
        <v>98</v>
      </c>
      <c r="E365" s="10">
        <v>135</v>
      </c>
      <c r="F365" s="10">
        <f t="shared" si="5"/>
        <v>8100</v>
      </c>
    </row>
    <row r="366" spans="1:6" x14ac:dyDescent="0.25">
      <c r="B366" s="9"/>
      <c r="D366" s="9"/>
      <c r="F366" s="8">
        <f>SUM(F365)</f>
        <v>8100</v>
      </c>
    </row>
    <row r="367" spans="1:6" x14ac:dyDescent="0.25">
      <c r="B367" s="9"/>
      <c r="D367" s="9"/>
    </row>
    <row r="368" spans="1:6" x14ac:dyDescent="0.25">
      <c r="A368" t="s">
        <v>58</v>
      </c>
      <c r="B368" s="4">
        <v>45997</v>
      </c>
      <c r="C368" s="5">
        <v>10</v>
      </c>
      <c r="D368" s="9" t="s">
        <v>13</v>
      </c>
      <c r="E368" s="10">
        <v>185</v>
      </c>
      <c r="F368" s="10">
        <f t="shared" si="5"/>
        <v>1850</v>
      </c>
    </row>
    <row r="369" spans="1:6" x14ac:dyDescent="0.25">
      <c r="B369" s="4"/>
      <c r="D369" s="9"/>
      <c r="F369" s="8">
        <f>SUM(F368)</f>
        <v>1850</v>
      </c>
    </row>
    <row r="370" spans="1:6" x14ac:dyDescent="0.25">
      <c r="B370" s="9"/>
      <c r="D370" s="9"/>
    </row>
    <row r="371" spans="1:6" x14ac:dyDescent="0.25">
      <c r="A371" t="s">
        <v>427</v>
      </c>
      <c r="B371" s="4">
        <v>45997</v>
      </c>
      <c r="C371" s="5">
        <v>20</v>
      </c>
      <c r="D371" s="9" t="s">
        <v>13</v>
      </c>
      <c r="E371" s="10">
        <v>190</v>
      </c>
      <c r="F371" s="10">
        <f t="shared" si="5"/>
        <v>3800</v>
      </c>
    </row>
    <row r="372" spans="1:6" x14ac:dyDescent="0.25">
      <c r="B372" s="4"/>
      <c r="D372" s="9"/>
      <c r="F372" s="8">
        <f>SUM(F371)</f>
        <v>3800</v>
      </c>
    </row>
    <row r="373" spans="1:6" x14ac:dyDescent="0.25">
      <c r="B373" s="9"/>
      <c r="D373" s="9"/>
    </row>
    <row r="374" spans="1:6" x14ac:dyDescent="0.25">
      <c r="A374" t="s">
        <v>20</v>
      </c>
      <c r="B374" s="4">
        <v>45997</v>
      </c>
      <c r="C374" s="5">
        <v>20</v>
      </c>
      <c r="D374" s="9" t="s">
        <v>858</v>
      </c>
      <c r="E374" s="10">
        <v>195</v>
      </c>
      <c r="F374" s="10">
        <f t="shared" si="5"/>
        <v>3900</v>
      </c>
    </row>
    <row r="375" spans="1:6" x14ac:dyDescent="0.25">
      <c r="B375" s="4"/>
      <c r="C375" s="5">
        <v>10</v>
      </c>
      <c r="D375" s="9" t="s">
        <v>13</v>
      </c>
      <c r="E375" s="10">
        <v>190</v>
      </c>
      <c r="F375" s="10">
        <f t="shared" si="5"/>
        <v>1900</v>
      </c>
    </row>
    <row r="376" spans="1:6" x14ac:dyDescent="0.25">
      <c r="B376" s="9"/>
      <c r="D376" s="9"/>
      <c r="F376" s="8">
        <f>SUM(F374:F375)</f>
        <v>5800</v>
      </c>
    </row>
    <row r="377" spans="1:6" x14ac:dyDescent="0.25">
      <c r="B377" s="9"/>
      <c r="D377" s="9"/>
    </row>
    <row r="378" spans="1:6" x14ac:dyDescent="0.25">
      <c r="A378" t="s">
        <v>21</v>
      </c>
      <c r="B378" s="4">
        <v>45997</v>
      </c>
      <c r="C378" s="5">
        <v>20</v>
      </c>
      <c r="D378" s="9" t="s">
        <v>973</v>
      </c>
      <c r="E378" s="10">
        <v>185</v>
      </c>
      <c r="F378" s="10">
        <f t="shared" si="5"/>
        <v>3700</v>
      </c>
    </row>
    <row r="379" spans="1:6" x14ac:dyDescent="0.25">
      <c r="B379" s="9"/>
      <c r="C379" s="5">
        <v>20</v>
      </c>
      <c r="D379" s="9" t="s">
        <v>50</v>
      </c>
      <c r="E379" s="10">
        <v>170</v>
      </c>
      <c r="F379" s="10">
        <f t="shared" si="5"/>
        <v>3400</v>
      </c>
    </row>
    <row r="380" spans="1:6" x14ac:dyDescent="0.25">
      <c r="B380" s="9"/>
      <c r="C380" s="5">
        <v>20</v>
      </c>
      <c r="D380" s="9" t="s">
        <v>22</v>
      </c>
      <c r="E380" s="10">
        <v>175</v>
      </c>
      <c r="F380" s="10">
        <f t="shared" si="5"/>
        <v>3500</v>
      </c>
    </row>
    <row r="381" spans="1:6" x14ac:dyDescent="0.25">
      <c r="B381" s="4"/>
      <c r="C381" s="5">
        <v>35</v>
      </c>
      <c r="D381" s="9" t="s">
        <v>13</v>
      </c>
      <c r="E381" s="10">
        <v>190</v>
      </c>
      <c r="F381" s="10">
        <f t="shared" si="5"/>
        <v>6650</v>
      </c>
    </row>
    <row r="382" spans="1:6" x14ac:dyDescent="0.25">
      <c r="B382" s="9"/>
      <c r="D382" s="9"/>
      <c r="F382" s="8">
        <f>SUM(F378:F381)</f>
        <v>17250</v>
      </c>
    </row>
    <row r="383" spans="1:6" x14ac:dyDescent="0.25">
      <c r="B383" s="9"/>
      <c r="D383" s="9"/>
    </row>
    <row r="384" spans="1:6" x14ac:dyDescent="0.25">
      <c r="A384" t="s">
        <v>367</v>
      </c>
      <c r="B384" s="4">
        <v>45997</v>
      </c>
      <c r="C384" s="5">
        <v>10</v>
      </c>
      <c r="D384" s="9" t="s">
        <v>13</v>
      </c>
      <c r="E384" s="10">
        <v>190</v>
      </c>
      <c r="F384" s="10">
        <f t="shared" si="5"/>
        <v>1900</v>
      </c>
    </row>
    <row r="385" spans="1:6" x14ac:dyDescent="0.25">
      <c r="B385" s="9"/>
      <c r="D385" s="9"/>
      <c r="F385" s="8">
        <f>SUM(F384)</f>
        <v>1900</v>
      </c>
    </row>
    <row r="386" spans="1:6" x14ac:dyDescent="0.25">
      <c r="B386" s="9"/>
      <c r="D386" s="9"/>
    </row>
    <row r="387" spans="1:6" x14ac:dyDescent="0.25">
      <c r="A387" t="s">
        <v>21</v>
      </c>
      <c r="B387" s="4">
        <v>45997</v>
      </c>
      <c r="C387" s="5">
        <v>10</v>
      </c>
      <c r="D387" s="9" t="s">
        <v>1203</v>
      </c>
      <c r="E387" s="10">
        <v>170</v>
      </c>
      <c r="F387" s="10">
        <f t="shared" si="5"/>
        <v>1700</v>
      </c>
    </row>
    <row r="388" spans="1:6" x14ac:dyDescent="0.25">
      <c r="B388" s="9"/>
      <c r="C388" s="5">
        <v>10</v>
      </c>
      <c r="D388" s="9" t="s">
        <v>12</v>
      </c>
      <c r="E388" s="10">
        <v>185</v>
      </c>
      <c r="F388" s="10">
        <f t="shared" si="5"/>
        <v>1850</v>
      </c>
    </row>
    <row r="389" spans="1:6" x14ac:dyDescent="0.25">
      <c r="B389" s="9"/>
      <c r="D389" s="9"/>
      <c r="F389" s="8">
        <f>SUM(F387:F388)</f>
        <v>3550</v>
      </c>
    </row>
    <row r="390" spans="1:6" x14ac:dyDescent="0.25">
      <c r="B390" s="4"/>
      <c r="D390" s="9"/>
    </row>
    <row r="391" spans="1:6" x14ac:dyDescent="0.25">
      <c r="A391" t="s">
        <v>923</v>
      </c>
      <c r="B391" s="4">
        <v>45997</v>
      </c>
      <c r="C391" s="5">
        <v>10</v>
      </c>
      <c r="D391" s="9" t="s">
        <v>12</v>
      </c>
      <c r="E391" s="10">
        <v>185</v>
      </c>
      <c r="F391" s="10">
        <f t="shared" si="5"/>
        <v>1850</v>
      </c>
    </row>
    <row r="392" spans="1:6" x14ac:dyDescent="0.25">
      <c r="B392" s="9"/>
      <c r="C392" s="5">
        <v>10</v>
      </c>
      <c r="D392" s="9" t="s">
        <v>22</v>
      </c>
      <c r="E392" s="10">
        <v>175</v>
      </c>
      <c r="F392" s="10">
        <f t="shared" si="5"/>
        <v>1750</v>
      </c>
    </row>
    <row r="393" spans="1:6" x14ac:dyDescent="0.25">
      <c r="B393" s="4"/>
      <c r="C393" s="5">
        <v>8</v>
      </c>
      <c r="D393" s="9" t="s">
        <v>8</v>
      </c>
      <c r="E393" s="10">
        <v>195</v>
      </c>
      <c r="F393" s="10">
        <f t="shared" si="5"/>
        <v>1560</v>
      </c>
    </row>
    <row r="394" spans="1:6" x14ac:dyDescent="0.25">
      <c r="B394" s="9"/>
      <c r="D394" s="9"/>
      <c r="F394" s="8">
        <f>SUM(F391:F393)</f>
        <v>5160</v>
      </c>
    </row>
    <row r="395" spans="1:6" x14ac:dyDescent="0.25">
      <c r="B395" s="9"/>
      <c r="D395" s="9"/>
    </row>
    <row r="396" spans="1:6" x14ac:dyDescent="0.25">
      <c r="A396" t="s">
        <v>25</v>
      </c>
      <c r="B396" s="4">
        <v>45997</v>
      </c>
      <c r="C396" s="5">
        <v>30</v>
      </c>
      <c r="D396" s="9" t="s">
        <v>12</v>
      </c>
      <c r="E396" s="10">
        <v>185</v>
      </c>
      <c r="F396" s="10">
        <f t="shared" ref="F396:F458" si="6">+C396*E396</f>
        <v>5550</v>
      </c>
    </row>
    <row r="397" spans="1:6" x14ac:dyDescent="0.25">
      <c r="B397" s="9"/>
      <c r="D397" s="9"/>
      <c r="F397" s="8">
        <f>SUM(F396)</f>
        <v>5550</v>
      </c>
    </row>
    <row r="398" spans="1:6" x14ac:dyDescent="0.25">
      <c r="B398" s="9"/>
      <c r="D398" s="9"/>
    </row>
    <row r="399" spans="1:6" x14ac:dyDescent="0.25">
      <c r="A399" t="s">
        <v>40</v>
      </c>
      <c r="B399" s="4">
        <v>45997</v>
      </c>
      <c r="C399" s="5">
        <v>10</v>
      </c>
      <c r="D399" s="9" t="s">
        <v>22</v>
      </c>
      <c r="E399" s="10">
        <v>175</v>
      </c>
      <c r="F399" s="10">
        <f t="shared" si="6"/>
        <v>1750</v>
      </c>
    </row>
    <row r="400" spans="1:6" x14ac:dyDescent="0.25">
      <c r="B400" s="9"/>
      <c r="C400" s="5">
        <v>10</v>
      </c>
      <c r="D400" s="9" t="s">
        <v>1204</v>
      </c>
      <c r="E400" s="10">
        <v>170</v>
      </c>
      <c r="F400" s="10">
        <f t="shared" si="6"/>
        <v>1700</v>
      </c>
    </row>
    <row r="401" spans="1:6" x14ac:dyDescent="0.25">
      <c r="B401" s="9"/>
      <c r="C401" s="5">
        <v>20</v>
      </c>
      <c r="D401" s="9" t="s">
        <v>13</v>
      </c>
      <c r="E401" s="10">
        <v>190</v>
      </c>
      <c r="F401" s="10">
        <f t="shared" si="6"/>
        <v>3800</v>
      </c>
    </row>
    <row r="402" spans="1:6" x14ac:dyDescent="0.25">
      <c r="B402" s="4"/>
      <c r="C402" s="5">
        <v>10</v>
      </c>
      <c r="D402" s="9" t="s">
        <v>14</v>
      </c>
      <c r="E402" s="10">
        <v>185</v>
      </c>
      <c r="F402" s="10">
        <f t="shared" si="6"/>
        <v>1850</v>
      </c>
    </row>
    <row r="403" spans="1:6" x14ac:dyDescent="0.25">
      <c r="B403" s="9"/>
      <c r="C403" s="5">
        <v>10</v>
      </c>
      <c r="D403" s="9" t="s">
        <v>8</v>
      </c>
      <c r="E403" s="10">
        <v>195</v>
      </c>
      <c r="F403" s="10">
        <f t="shared" si="6"/>
        <v>1950</v>
      </c>
    </row>
    <row r="404" spans="1:6" x14ac:dyDescent="0.25">
      <c r="B404" s="9"/>
      <c r="D404" s="9"/>
      <c r="F404" s="8">
        <f>SUM(F399:F403)</f>
        <v>11050</v>
      </c>
    </row>
    <row r="405" spans="1:6" x14ac:dyDescent="0.25">
      <c r="B405" s="4"/>
      <c r="D405" s="9"/>
    </row>
    <row r="406" spans="1:6" x14ac:dyDescent="0.25">
      <c r="A406" t="s">
        <v>81</v>
      </c>
      <c r="B406" s="4">
        <v>45997</v>
      </c>
      <c r="C406" s="5">
        <v>15</v>
      </c>
      <c r="D406" s="9" t="s">
        <v>13</v>
      </c>
      <c r="E406" s="10">
        <v>190</v>
      </c>
      <c r="F406" s="10">
        <f t="shared" si="6"/>
        <v>2850</v>
      </c>
    </row>
    <row r="407" spans="1:6" x14ac:dyDescent="0.25">
      <c r="B407" s="9"/>
      <c r="C407" s="5">
        <v>2</v>
      </c>
      <c r="D407" s="9" t="s">
        <v>8</v>
      </c>
      <c r="E407" s="10">
        <v>195</v>
      </c>
      <c r="F407" s="10">
        <f t="shared" si="6"/>
        <v>390</v>
      </c>
    </row>
    <row r="408" spans="1:6" x14ac:dyDescent="0.25">
      <c r="B408" s="9"/>
      <c r="D408" s="9"/>
      <c r="F408" s="8">
        <f>SUM(F406:F407)</f>
        <v>3240</v>
      </c>
    </row>
    <row r="409" spans="1:6" x14ac:dyDescent="0.25">
      <c r="B409" s="9"/>
      <c r="D409" s="9"/>
    </row>
    <row r="410" spans="1:6" x14ac:dyDescent="0.25">
      <c r="A410" t="s">
        <v>245</v>
      </c>
      <c r="B410" s="4">
        <v>45997</v>
      </c>
      <c r="C410" s="5">
        <v>20</v>
      </c>
      <c r="D410" s="9" t="s">
        <v>14</v>
      </c>
      <c r="E410" s="10">
        <v>175</v>
      </c>
      <c r="F410" s="10">
        <f t="shared" si="6"/>
        <v>3500</v>
      </c>
    </row>
    <row r="411" spans="1:6" x14ac:dyDescent="0.25">
      <c r="B411" s="9"/>
      <c r="D411" s="9"/>
      <c r="F411" s="8">
        <f>SUM(F410)</f>
        <v>3500</v>
      </c>
    </row>
    <row r="412" spans="1:6" x14ac:dyDescent="0.25">
      <c r="B412" s="9"/>
      <c r="D412" s="9"/>
    </row>
    <row r="413" spans="1:6" x14ac:dyDescent="0.25">
      <c r="A413" t="s">
        <v>1205</v>
      </c>
      <c r="B413" s="4">
        <v>45997</v>
      </c>
      <c r="C413" s="5">
        <v>5</v>
      </c>
      <c r="D413" s="9" t="s">
        <v>13</v>
      </c>
      <c r="E413" s="10">
        <v>160</v>
      </c>
      <c r="F413" s="10">
        <f t="shared" si="6"/>
        <v>800</v>
      </c>
    </row>
    <row r="414" spans="1:6" x14ac:dyDescent="0.25">
      <c r="B414" s="9"/>
      <c r="D414" s="9"/>
      <c r="F414" s="8">
        <f>SUM(F413)</f>
        <v>800</v>
      </c>
    </row>
    <row r="415" spans="1:6" x14ac:dyDescent="0.25">
      <c r="B415" s="9"/>
      <c r="D415" s="9"/>
    </row>
    <row r="416" spans="1:6" x14ac:dyDescent="0.25">
      <c r="A416" t="s">
        <v>72</v>
      </c>
      <c r="B416" s="4">
        <v>45997</v>
      </c>
      <c r="C416" s="5">
        <v>90</v>
      </c>
      <c r="D416" s="9" t="s">
        <v>13</v>
      </c>
      <c r="E416" s="10">
        <v>180</v>
      </c>
      <c r="F416" s="10">
        <f t="shared" si="6"/>
        <v>16200</v>
      </c>
    </row>
    <row r="417" spans="1:6" x14ac:dyDescent="0.25">
      <c r="B417" s="4"/>
      <c r="C417" s="5">
        <v>190</v>
      </c>
      <c r="D417" s="9" t="s">
        <v>12</v>
      </c>
      <c r="E417" s="10">
        <v>175</v>
      </c>
      <c r="F417" s="10">
        <f t="shared" si="6"/>
        <v>33250</v>
      </c>
    </row>
    <row r="418" spans="1:6" x14ac:dyDescent="0.25">
      <c r="B418" s="9"/>
      <c r="C418" s="5">
        <v>120</v>
      </c>
      <c r="D418" s="9" t="s">
        <v>1206</v>
      </c>
      <c r="E418" s="10">
        <v>180</v>
      </c>
      <c r="F418" s="10">
        <f t="shared" si="6"/>
        <v>21600</v>
      </c>
    </row>
    <row r="419" spans="1:6" x14ac:dyDescent="0.25">
      <c r="B419" s="9"/>
      <c r="C419" s="5">
        <v>50</v>
      </c>
      <c r="D419" s="9" t="s">
        <v>11</v>
      </c>
      <c r="E419" s="10">
        <v>175</v>
      </c>
      <c r="F419" s="10">
        <f t="shared" si="6"/>
        <v>8750</v>
      </c>
    </row>
    <row r="420" spans="1:6" x14ac:dyDescent="0.25">
      <c r="B420" s="4"/>
      <c r="D420" s="9"/>
      <c r="F420" s="8">
        <f>SUM(F416:F419)</f>
        <v>79800</v>
      </c>
    </row>
    <row r="421" spans="1:6" x14ac:dyDescent="0.25">
      <c r="B421" s="9"/>
      <c r="D421" s="9"/>
    </row>
    <row r="422" spans="1:6" x14ac:dyDescent="0.25">
      <c r="A422" t="s">
        <v>65</v>
      </c>
      <c r="B422" s="4">
        <v>45997</v>
      </c>
      <c r="C422" s="5">
        <v>200</v>
      </c>
      <c r="D422" s="9" t="s">
        <v>12</v>
      </c>
      <c r="E422" s="10">
        <v>180</v>
      </c>
      <c r="F422" s="10">
        <f t="shared" si="6"/>
        <v>36000</v>
      </c>
    </row>
    <row r="423" spans="1:6" x14ac:dyDescent="0.25">
      <c r="B423" s="9"/>
      <c r="C423" s="5">
        <v>22</v>
      </c>
      <c r="D423" s="9" t="s">
        <v>22</v>
      </c>
      <c r="E423" s="10">
        <v>175</v>
      </c>
      <c r="F423" s="10">
        <f t="shared" si="6"/>
        <v>3850</v>
      </c>
    </row>
    <row r="424" spans="1:6" x14ac:dyDescent="0.25">
      <c r="B424" s="9"/>
      <c r="C424" s="5">
        <v>50</v>
      </c>
      <c r="D424" s="9" t="s">
        <v>328</v>
      </c>
      <c r="E424" s="10">
        <v>175</v>
      </c>
      <c r="F424" s="10">
        <f t="shared" si="6"/>
        <v>8750</v>
      </c>
    </row>
    <row r="425" spans="1:6" x14ac:dyDescent="0.25">
      <c r="B425" s="4"/>
      <c r="C425" s="5">
        <v>258</v>
      </c>
      <c r="D425" s="9" t="s">
        <v>1207</v>
      </c>
      <c r="E425" s="10">
        <v>185</v>
      </c>
      <c r="F425" s="10">
        <f t="shared" si="6"/>
        <v>47730</v>
      </c>
    </row>
    <row r="426" spans="1:6" x14ac:dyDescent="0.25">
      <c r="B426" s="9"/>
      <c r="C426" s="5">
        <v>30</v>
      </c>
      <c r="D426" s="9" t="s">
        <v>13</v>
      </c>
      <c r="E426" s="10">
        <v>185</v>
      </c>
      <c r="F426" s="10">
        <f t="shared" si="6"/>
        <v>5550</v>
      </c>
    </row>
    <row r="427" spans="1:6" x14ac:dyDescent="0.25">
      <c r="B427" s="9"/>
      <c r="D427" s="9"/>
      <c r="F427" s="8">
        <f>SUM(F422:F426)</f>
        <v>101880</v>
      </c>
    </row>
    <row r="428" spans="1:6" x14ac:dyDescent="0.25">
      <c r="B428" s="9"/>
      <c r="D428" s="9"/>
    </row>
    <row r="429" spans="1:6" x14ac:dyDescent="0.25">
      <c r="A429" t="s">
        <v>544</v>
      </c>
      <c r="B429" s="4">
        <v>45997</v>
      </c>
      <c r="C429" s="5">
        <v>5</v>
      </c>
      <c r="D429" s="9" t="s">
        <v>12</v>
      </c>
      <c r="E429" s="10">
        <v>180</v>
      </c>
      <c r="F429" s="10">
        <f t="shared" si="6"/>
        <v>900</v>
      </c>
    </row>
    <row r="430" spans="1:6" x14ac:dyDescent="0.25">
      <c r="B430" s="9"/>
      <c r="D430" s="9"/>
      <c r="F430" s="8">
        <f>SUM(F429)</f>
        <v>900</v>
      </c>
    </row>
    <row r="431" spans="1:6" x14ac:dyDescent="0.25">
      <c r="B431" s="4"/>
      <c r="D431" s="9"/>
    </row>
    <row r="432" spans="1:6" x14ac:dyDescent="0.25">
      <c r="A432" t="s">
        <v>904</v>
      </c>
      <c r="B432" s="4">
        <v>45997</v>
      </c>
      <c r="C432" s="5">
        <v>3</v>
      </c>
      <c r="D432" s="9" t="s">
        <v>13</v>
      </c>
      <c r="E432" s="10">
        <v>190</v>
      </c>
      <c r="F432" s="10">
        <f t="shared" si="6"/>
        <v>570</v>
      </c>
    </row>
    <row r="433" spans="1:6" x14ac:dyDescent="0.25">
      <c r="B433" s="9"/>
      <c r="D433" s="9"/>
      <c r="F433" s="8">
        <f>SUM(F432)</f>
        <v>570</v>
      </c>
    </row>
    <row r="434" spans="1:6" x14ac:dyDescent="0.25">
      <c r="B434" s="4"/>
      <c r="D434" s="9"/>
    </row>
    <row r="435" spans="1:6" x14ac:dyDescent="0.25">
      <c r="A435" t="s">
        <v>29</v>
      </c>
      <c r="B435" s="4">
        <v>45997</v>
      </c>
      <c r="C435" s="5">
        <v>30</v>
      </c>
      <c r="D435" s="9" t="s">
        <v>8</v>
      </c>
      <c r="E435" s="10">
        <v>190</v>
      </c>
      <c r="F435" s="10">
        <f t="shared" si="6"/>
        <v>5700</v>
      </c>
    </row>
    <row r="436" spans="1:6" x14ac:dyDescent="0.25">
      <c r="B436" s="9"/>
      <c r="C436" s="5">
        <v>8</v>
      </c>
      <c r="D436" s="9" t="s">
        <v>8</v>
      </c>
      <c r="E436" s="10">
        <v>195</v>
      </c>
      <c r="F436" s="10">
        <f t="shared" si="6"/>
        <v>1560</v>
      </c>
    </row>
    <row r="437" spans="1:6" x14ac:dyDescent="0.25">
      <c r="B437" s="4"/>
      <c r="C437" s="5">
        <v>1</v>
      </c>
      <c r="D437" s="9" t="s">
        <v>12</v>
      </c>
      <c r="E437" s="10">
        <v>185</v>
      </c>
      <c r="F437" s="10">
        <f t="shared" si="6"/>
        <v>185</v>
      </c>
    </row>
    <row r="438" spans="1:6" x14ac:dyDescent="0.25">
      <c r="B438" s="9"/>
      <c r="C438" s="5">
        <v>5</v>
      </c>
      <c r="D438" s="9" t="s">
        <v>1208</v>
      </c>
      <c r="E438" s="10">
        <v>160</v>
      </c>
      <c r="F438" s="10">
        <f t="shared" si="6"/>
        <v>800</v>
      </c>
    </row>
    <row r="439" spans="1:6" x14ac:dyDescent="0.25">
      <c r="B439" s="9"/>
      <c r="C439" s="5">
        <v>10</v>
      </c>
      <c r="D439" s="9" t="s">
        <v>12</v>
      </c>
      <c r="E439" s="10">
        <v>185</v>
      </c>
      <c r="F439" s="10">
        <f t="shared" si="6"/>
        <v>1850</v>
      </c>
    </row>
    <row r="440" spans="1:6" x14ac:dyDescent="0.25">
      <c r="B440" s="4"/>
      <c r="C440" s="5">
        <v>1</v>
      </c>
      <c r="D440" s="9" t="s">
        <v>12</v>
      </c>
      <c r="E440" s="10">
        <v>185</v>
      </c>
      <c r="F440" s="10">
        <f t="shared" si="6"/>
        <v>185</v>
      </c>
    </row>
    <row r="441" spans="1:6" x14ac:dyDescent="0.25">
      <c r="B441" s="9"/>
      <c r="C441" s="5">
        <v>3</v>
      </c>
      <c r="D441" s="9" t="s">
        <v>8</v>
      </c>
      <c r="E441" s="10">
        <v>195</v>
      </c>
      <c r="F441" s="10">
        <f t="shared" si="6"/>
        <v>585</v>
      </c>
    </row>
    <row r="442" spans="1:6" x14ac:dyDescent="0.25">
      <c r="B442" s="9"/>
      <c r="C442" s="5">
        <v>5</v>
      </c>
      <c r="D442" s="9" t="s">
        <v>12</v>
      </c>
      <c r="E442" s="10">
        <v>185</v>
      </c>
      <c r="F442" s="10">
        <f t="shared" si="6"/>
        <v>925</v>
      </c>
    </row>
    <row r="443" spans="1:6" x14ac:dyDescent="0.25">
      <c r="B443" s="4"/>
      <c r="D443" s="9"/>
      <c r="F443" s="8">
        <f>SUM(F435:F442)</f>
        <v>11790</v>
      </c>
    </row>
    <row r="444" spans="1:6" x14ac:dyDescent="0.25">
      <c r="B444" s="9"/>
      <c r="D444" s="9"/>
    </row>
    <row r="445" spans="1:6" x14ac:dyDescent="0.25">
      <c r="A445" t="s">
        <v>7</v>
      </c>
      <c r="B445" s="4">
        <v>45997</v>
      </c>
      <c r="C445" s="5">
        <v>3</v>
      </c>
      <c r="D445" s="9" t="s">
        <v>13</v>
      </c>
      <c r="E445" s="10">
        <v>190</v>
      </c>
      <c r="F445" s="10">
        <f t="shared" si="6"/>
        <v>570</v>
      </c>
    </row>
    <row r="446" spans="1:6" x14ac:dyDescent="0.25">
      <c r="B446" s="4"/>
      <c r="C446" s="5">
        <v>3</v>
      </c>
      <c r="D446" s="9" t="s">
        <v>220</v>
      </c>
      <c r="E446" s="10">
        <v>150</v>
      </c>
      <c r="F446" s="10">
        <f t="shared" si="6"/>
        <v>450</v>
      </c>
    </row>
    <row r="447" spans="1:6" x14ac:dyDescent="0.25">
      <c r="B447" s="9"/>
      <c r="C447" s="5">
        <v>3</v>
      </c>
      <c r="D447" s="9" t="s">
        <v>13</v>
      </c>
      <c r="E447" s="10">
        <v>190</v>
      </c>
      <c r="F447" s="10">
        <f t="shared" si="6"/>
        <v>570</v>
      </c>
    </row>
    <row r="448" spans="1:6" x14ac:dyDescent="0.25">
      <c r="B448" s="9"/>
      <c r="C448" s="5">
        <v>2</v>
      </c>
      <c r="D448" s="9" t="s">
        <v>49</v>
      </c>
      <c r="E448" s="10">
        <v>195</v>
      </c>
      <c r="F448" s="10">
        <f t="shared" si="6"/>
        <v>390</v>
      </c>
    </row>
    <row r="449" spans="1:6" x14ac:dyDescent="0.25">
      <c r="B449" s="4"/>
      <c r="C449" s="5">
        <v>2</v>
      </c>
      <c r="D449" s="9" t="s">
        <v>1157</v>
      </c>
      <c r="E449" s="10">
        <v>120</v>
      </c>
      <c r="F449" s="10">
        <f t="shared" si="6"/>
        <v>240</v>
      </c>
    </row>
    <row r="450" spans="1:6" x14ac:dyDescent="0.25">
      <c r="B450" s="9"/>
      <c r="C450" s="5">
        <v>1</v>
      </c>
      <c r="D450" s="9" t="s">
        <v>1209</v>
      </c>
      <c r="E450" s="10">
        <v>150</v>
      </c>
      <c r="F450" s="10">
        <f t="shared" si="6"/>
        <v>150</v>
      </c>
    </row>
    <row r="451" spans="1:6" x14ac:dyDescent="0.25">
      <c r="B451" s="9"/>
      <c r="C451" s="5">
        <v>1</v>
      </c>
      <c r="D451" s="9" t="s">
        <v>640</v>
      </c>
      <c r="E451" s="10">
        <v>150</v>
      </c>
      <c r="F451" s="10">
        <f t="shared" si="6"/>
        <v>150</v>
      </c>
    </row>
    <row r="452" spans="1:6" x14ac:dyDescent="0.25">
      <c r="B452" s="4"/>
      <c r="C452" s="5">
        <v>1</v>
      </c>
      <c r="D452" s="9" t="s">
        <v>8</v>
      </c>
      <c r="E452" s="10">
        <v>195</v>
      </c>
      <c r="F452" s="10">
        <f t="shared" si="6"/>
        <v>195</v>
      </c>
    </row>
    <row r="453" spans="1:6" x14ac:dyDescent="0.25">
      <c r="B453" s="9"/>
      <c r="C453" s="5">
        <v>2</v>
      </c>
      <c r="D453" s="9" t="s">
        <v>1210</v>
      </c>
      <c r="E453" s="10">
        <v>140</v>
      </c>
      <c r="F453" s="10">
        <f t="shared" si="6"/>
        <v>280</v>
      </c>
    </row>
    <row r="454" spans="1:6" x14ac:dyDescent="0.25">
      <c r="B454" s="9"/>
      <c r="D454" s="9"/>
      <c r="F454" s="8">
        <f>SUM(F445:F453)</f>
        <v>2995</v>
      </c>
    </row>
    <row r="455" spans="1:6" x14ac:dyDescent="0.25">
      <c r="B455" s="4"/>
      <c r="D455" s="9"/>
    </row>
    <row r="456" spans="1:6" x14ac:dyDescent="0.25">
      <c r="A456" t="s">
        <v>7</v>
      </c>
      <c r="B456" s="4">
        <v>45998</v>
      </c>
      <c r="C456" s="5">
        <v>1</v>
      </c>
      <c r="D456" s="9" t="s">
        <v>560</v>
      </c>
      <c r="E456" s="10">
        <v>195</v>
      </c>
      <c r="F456" s="10">
        <f t="shared" si="6"/>
        <v>195</v>
      </c>
    </row>
    <row r="457" spans="1:6" x14ac:dyDescent="0.25">
      <c r="B457" s="9"/>
      <c r="C457" s="5">
        <v>1</v>
      </c>
      <c r="D457" s="9" t="s">
        <v>12</v>
      </c>
      <c r="E457" s="10">
        <v>180</v>
      </c>
      <c r="F457" s="10">
        <f t="shared" si="6"/>
        <v>180</v>
      </c>
    </row>
    <row r="458" spans="1:6" x14ac:dyDescent="0.25">
      <c r="B458" s="9"/>
      <c r="C458" s="5">
        <v>1</v>
      </c>
      <c r="D458" s="9" t="s">
        <v>12</v>
      </c>
      <c r="E458" s="10">
        <v>180</v>
      </c>
      <c r="F458" s="10">
        <f t="shared" si="6"/>
        <v>180</v>
      </c>
    </row>
    <row r="459" spans="1:6" x14ac:dyDescent="0.25">
      <c r="B459" s="9"/>
      <c r="D459" s="9"/>
      <c r="F459" s="8">
        <f>SUM(F456:F458)</f>
        <v>555</v>
      </c>
    </row>
    <row r="460" spans="1:6" x14ac:dyDescent="0.25">
      <c r="B460" s="4"/>
      <c r="D460" s="9"/>
    </row>
    <row r="461" spans="1:6" x14ac:dyDescent="0.25">
      <c r="A461" t="s">
        <v>32</v>
      </c>
      <c r="B461" s="4">
        <v>45998</v>
      </c>
      <c r="C461" s="5">
        <v>30</v>
      </c>
      <c r="D461" s="9" t="s">
        <v>626</v>
      </c>
      <c r="E461" s="10">
        <v>185</v>
      </c>
      <c r="F461" s="10">
        <f t="shared" ref="F461:F521" si="7">+C461*E461</f>
        <v>5550</v>
      </c>
    </row>
    <row r="462" spans="1:6" x14ac:dyDescent="0.25">
      <c r="B462" s="9"/>
      <c r="D462" s="9"/>
      <c r="F462" s="8">
        <f>SUM(F461)</f>
        <v>5550</v>
      </c>
    </row>
    <row r="463" spans="1:6" x14ac:dyDescent="0.25">
      <c r="B463" s="9"/>
      <c r="D463" s="9"/>
    </row>
    <row r="464" spans="1:6" x14ac:dyDescent="0.25">
      <c r="A464" t="s">
        <v>44</v>
      </c>
      <c r="B464" s="4">
        <v>45999</v>
      </c>
      <c r="C464" s="5">
        <v>90</v>
      </c>
      <c r="D464" s="9" t="s">
        <v>14</v>
      </c>
      <c r="E464" s="10">
        <v>190</v>
      </c>
      <c r="F464" s="10">
        <f t="shared" si="7"/>
        <v>17100</v>
      </c>
    </row>
    <row r="465" spans="1:6" x14ac:dyDescent="0.25">
      <c r="B465" s="9"/>
      <c r="D465" s="9"/>
      <c r="F465" s="8">
        <f>SUM(F464)</f>
        <v>17100</v>
      </c>
    </row>
    <row r="466" spans="1:6" x14ac:dyDescent="0.25">
      <c r="B466" s="9"/>
      <c r="D466" s="9"/>
    </row>
    <row r="467" spans="1:6" x14ac:dyDescent="0.25">
      <c r="A467" t="s">
        <v>41</v>
      </c>
      <c r="B467" s="4">
        <v>45999</v>
      </c>
      <c r="C467" s="5">
        <v>40</v>
      </c>
      <c r="D467" s="9" t="s">
        <v>14</v>
      </c>
      <c r="E467" s="10">
        <v>165</v>
      </c>
      <c r="F467" s="10">
        <f t="shared" si="7"/>
        <v>6600</v>
      </c>
    </row>
    <row r="468" spans="1:6" x14ac:dyDescent="0.25">
      <c r="B468" s="9"/>
      <c r="D468" s="9"/>
      <c r="F468" s="8">
        <f>SUM(F467)</f>
        <v>6600</v>
      </c>
    </row>
    <row r="469" spans="1:6" x14ac:dyDescent="0.25">
      <c r="B469" s="9"/>
      <c r="D469" s="9"/>
    </row>
    <row r="470" spans="1:6" x14ac:dyDescent="0.25">
      <c r="A470" t="s">
        <v>43</v>
      </c>
      <c r="B470" s="4">
        <v>45999</v>
      </c>
      <c r="C470" s="5">
        <v>30</v>
      </c>
      <c r="D470" s="9" t="s">
        <v>14</v>
      </c>
      <c r="E470" s="10">
        <v>190</v>
      </c>
      <c r="F470" s="10">
        <f t="shared" si="7"/>
        <v>5700</v>
      </c>
    </row>
    <row r="471" spans="1:6" x14ac:dyDescent="0.25">
      <c r="B471" s="4"/>
      <c r="D471" s="9"/>
      <c r="F471" s="8">
        <f>SUM(F470)</f>
        <v>5700</v>
      </c>
    </row>
    <row r="472" spans="1:6" x14ac:dyDescent="0.25">
      <c r="B472" s="9"/>
      <c r="D472" s="9"/>
    </row>
    <row r="473" spans="1:6" x14ac:dyDescent="0.25">
      <c r="A473" t="s">
        <v>46</v>
      </c>
      <c r="B473" s="4">
        <v>45999</v>
      </c>
      <c r="C473" s="5">
        <v>10</v>
      </c>
      <c r="D473" s="9" t="s">
        <v>14</v>
      </c>
      <c r="E473" s="10">
        <v>190</v>
      </c>
      <c r="F473" s="10">
        <f t="shared" si="7"/>
        <v>1900</v>
      </c>
    </row>
    <row r="474" spans="1:6" x14ac:dyDescent="0.25">
      <c r="B474" s="9"/>
      <c r="C474" s="5">
        <v>10</v>
      </c>
      <c r="D474" s="9" t="s">
        <v>565</v>
      </c>
      <c r="E474" s="10">
        <v>185</v>
      </c>
      <c r="F474" s="10">
        <f t="shared" si="7"/>
        <v>1850</v>
      </c>
    </row>
    <row r="475" spans="1:6" x14ac:dyDescent="0.25">
      <c r="B475" s="4"/>
      <c r="D475" s="9"/>
      <c r="F475" s="8">
        <f>SUM(F473:F474)</f>
        <v>3750</v>
      </c>
    </row>
    <row r="476" spans="1:6" x14ac:dyDescent="0.25">
      <c r="B476" s="9"/>
      <c r="D476" s="9"/>
    </row>
    <row r="477" spans="1:6" x14ac:dyDescent="0.25">
      <c r="A477" t="s">
        <v>145</v>
      </c>
      <c r="B477" s="4">
        <v>45999</v>
      </c>
      <c r="C477" s="5">
        <v>10</v>
      </c>
      <c r="D477" s="9" t="s">
        <v>14</v>
      </c>
      <c r="E477" s="10">
        <v>190</v>
      </c>
      <c r="F477" s="10">
        <f t="shared" si="7"/>
        <v>1900</v>
      </c>
    </row>
    <row r="478" spans="1:6" x14ac:dyDescent="0.25">
      <c r="B478" s="4"/>
      <c r="C478" s="5">
        <v>20</v>
      </c>
      <c r="D478" s="9" t="s">
        <v>1185</v>
      </c>
      <c r="E478" s="10">
        <v>185</v>
      </c>
      <c r="F478" s="10">
        <f t="shared" si="7"/>
        <v>3700</v>
      </c>
    </row>
    <row r="479" spans="1:6" x14ac:dyDescent="0.25">
      <c r="B479" s="9"/>
      <c r="D479" s="9"/>
      <c r="F479" s="8">
        <f>SUM(F477:F478)</f>
        <v>5600</v>
      </c>
    </row>
    <row r="480" spans="1:6" x14ac:dyDescent="0.25">
      <c r="B480" s="9"/>
      <c r="D480" s="9"/>
    </row>
    <row r="481" spans="1:6" x14ac:dyDescent="0.25">
      <c r="A481" t="s">
        <v>184</v>
      </c>
      <c r="B481" s="4">
        <v>45999</v>
      </c>
      <c r="C481" s="5">
        <v>7</v>
      </c>
      <c r="D481" s="9" t="s">
        <v>14</v>
      </c>
      <c r="E481" s="10">
        <v>190</v>
      </c>
      <c r="F481" s="10">
        <f t="shared" si="7"/>
        <v>1330</v>
      </c>
    </row>
    <row r="482" spans="1:6" x14ac:dyDescent="0.25">
      <c r="B482" s="9"/>
      <c r="D482" s="9"/>
      <c r="F482" s="8">
        <f>SUM(F481)</f>
        <v>1330</v>
      </c>
    </row>
    <row r="483" spans="1:6" x14ac:dyDescent="0.25">
      <c r="B483" s="9"/>
      <c r="D483" s="9"/>
    </row>
    <row r="484" spans="1:6" x14ac:dyDescent="0.25">
      <c r="A484" t="s">
        <v>127</v>
      </c>
      <c r="B484" s="4">
        <v>45999</v>
      </c>
      <c r="C484" s="5">
        <v>140</v>
      </c>
      <c r="D484" s="9" t="s">
        <v>14</v>
      </c>
      <c r="E484" s="10">
        <v>185</v>
      </c>
      <c r="F484" s="10">
        <f t="shared" si="7"/>
        <v>25900</v>
      </c>
    </row>
    <row r="485" spans="1:6" x14ac:dyDescent="0.25">
      <c r="B485" s="9"/>
      <c r="D485" s="9"/>
      <c r="F485" s="8">
        <f>SUM(F484)</f>
        <v>25900</v>
      </c>
    </row>
    <row r="486" spans="1:6" x14ac:dyDescent="0.25">
      <c r="B486" s="9"/>
      <c r="D486" s="9"/>
    </row>
    <row r="487" spans="1:6" x14ac:dyDescent="0.25">
      <c r="A487" t="s">
        <v>117</v>
      </c>
      <c r="B487" s="4">
        <v>45999</v>
      </c>
      <c r="C487" s="5">
        <v>5</v>
      </c>
      <c r="D487" s="9" t="s">
        <v>13</v>
      </c>
      <c r="E487" s="10">
        <v>190</v>
      </c>
      <c r="F487" s="10">
        <f t="shared" si="7"/>
        <v>950</v>
      </c>
    </row>
    <row r="488" spans="1:6" x14ac:dyDescent="0.25">
      <c r="B488" s="9"/>
      <c r="D488" s="9"/>
      <c r="F488" s="8">
        <f>SUM(F487)</f>
        <v>950</v>
      </c>
    </row>
    <row r="489" spans="1:6" x14ac:dyDescent="0.25">
      <c r="B489" s="9"/>
      <c r="D489" s="9"/>
    </row>
    <row r="490" spans="1:6" x14ac:dyDescent="0.25">
      <c r="A490" t="s">
        <v>7</v>
      </c>
      <c r="B490" s="4">
        <v>45999</v>
      </c>
      <c r="C490" s="5">
        <v>10</v>
      </c>
      <c r="D490" s="9" t="s">
        <v>8</v>
      </c>
      <c r="E490" s="10">
        <v>185</v>
      </c>
      <c r="F490" s="10">
        <f t="shared" si="7"/>
        <v>1850</v>
      </c>
    </row>
    <row r="491" spans="1:6" x14ac:dyDescent="0.25">
      <c r="B491" s="9"/>
      <c r="D491" s="9"/>
      <c r="F491" s="8">
        <f>SUM(F490)</f>
        <v>1850</v>
      </c>
    </row>
    <row r="492" spans="1:6" x14ac:dyDescent="0.25">
      <c r="B492" s="9"/>
      <c r="D492" s="9"/>
    </row>
    <row r="493" spans="1:6" x14ac:dyDescent="0.25">
      <c r="A493" t="s">
        <v>514</v>
      </c>
      <c r="B493" s="4">
        <v>46000</v>
      </c>
      <c r="C493" s="5">
        <v>10</v>
      </c>
      <c r="D493" s="9" t="s">
        <v>98</v>
      </c>
      <c r="E493" s="10">
        <v>140</v>
      </c>
      <c r="F493" s="10">
        <f t="shared" si="7"/>
        <v>1400</v>
      </c>
    </row>
    <row r="494" spans="1:6" x14ac:dyDescent="0.25">
      <c r="B494" s="9"/>
      <c r="D494" s="9"/>
      <c r="F494" s="8">
        <f>SUM(F493)</f>
        <v>1400</v>
      </c>
    </row>
    <row r="495" spans="1:6" x14ac:dyDescent="0.25">
      <c r="B495" s="9"/>
      <c r="D495" s="9"/>
    </row>
    <row r="496" spans="1:6" x14ac:dyDescent="0.25">
      <c r="A496" t="s">
        <v>15</v>
      </c>
      <c r="B496" s="4">
        <v>46000</v>
      </c>
      <c r="C496" s="5">
        <v>44</v>
      </c>
      <c r="D496" s="9" t="s">
        <v>98</v>
      </c>
      <c r="E496" s="10">
        <v>135</v>
      </c>
      <c r="F496" s="10">
        <f t="shared" si="7"/>
        <v>5940</v>
      </c>
    </row>
    <row r="497" spans="1:6" x14ac:dyDescent="0.25">
      <c r="B497" s="4"/>
      <c r="D497" s="9"/>
      <c r="F497" s="8">
        <f>SUM(F496)</f>
        <v>5940</v>
      </c>
    </row>
    <row r="498" spans="1:6" x14ac:dyDescent="0.25">
      <c r="B498" s="9"/>
      <c r="D498" s="9"/>
    </row>
    <row r="499" spans="1:6" x14ac:dyDescent="0.25">
      <c r="A499" t="s">
        <v>58</v>
      </c>
      <c r="B499" s="4">
        <v>46000</v>
      </c>
      <c r="C499" s="5">
        <v>10</v>
      </c>
      <c r="D499" s="9" t="s">
        <v>13</v>
      </c>
      <c r="E499" s="10">
        <v>185</v>
      </c>
      <c r="F499" s="10">
        <f t="shared" si="7"/>
        <v>1850</v>
      </c>
    </row>
    <row r="500" spans="1:6" x14ac:dyDescent="0.25">
      <c r="B500" s="4"/>
      <c r="D500" s="9"/>
      <c r="F500" s="8">
        <f>SUM(F499)</f>
        <v>1850</v>
      </c>
    </row>
    <row r="501" spans="1:6" x14ac:dyDescent="0.25">
      <c r="B501" s="9"/>
      <c r="D501" s="9"/>
    </row>
    <row r="502" spans="1:6" x14ac:dyDescent="0.25">
      <c r="A502" t="s">
        <v>20</v>
      </c>
      <c r="B502" s="4">
        <v>46000</v>
      </c>
      <c r="C502" s="5">
        <v>20</v>
      </c>
      <c r="D502" s="9" t="s">
        <v>13</v>
      </c>
      <c r="E502" s="10">
        <v>190</v>
      </c>
      <c r="F502" s="10">
        <f t="shared" si="7"/>
        <v>3800</v>
      </c>
    </row>
    <row r="503" spans="1:6" x14ac:dyDescent="0.25">
      <c r="B503" s="4"/>
      <c r="D503" s="9"/>
      <c r="F503" s="8">
        <f>SUM(F502)</f>
        <v>3800</v>
      </c>
    </row>
    <row r="504" spans="1:6" x14ac:dyDescent="0.25">
      <c r="B504" s="9"/>
      <c r="D504" s="9"/>
    </row>
    <row r="505" spans="1:6" x14ac:dyDescent="0.25">
      <c r="A505" t="s">
        <v>17</v>
      </c>
      <c r="B505" s="4">
        <v>46000</v>
      </c>
      <c r="C505" s="5">
        <v>10</v>
      </c>
      <c r="D505" s="9" t="s">
        <v>13</v>
      </c>
      <c r="E505" s="10">
        <v>190</v>
      </c>
      <c r="F505" s="10">
        <f t="shared" si="7"/>
        <v>1900</v>
      </c>
    </row>
    <row r="506" spans="1:6" x14ac:dyDescent="0.25">
      <c r="B506" s="4"/>
      <c r="D506" s="9"/>
      <c r="F506" s="8">
        <f>SUM(F505)</f>
        <v>1900</v>
      </c>
    </row>
    <row r="507" spans="1:6" x14ac:dyDescent="0.25">
      <c r="B507" s="9"/>
      <c r="D507" s="9"/>
    </row>
    <row r="508" spans="1:6" x14ac:dyDescent="0.25">
      <c r="A508" t="s">
        <v>21</v>
      </c>
      <c r="B508" s="4">
        <v>46000</v>
      </c>
      <c r="C508" s="5">
        <v>40</v>
      </c>
      <c r="D508" s="9" t="s">
        <v>13</v>
      </c>
      <c r="E508" s="10">
        <v>190</v>
      </c>
      <c r="F508" s="10">
        <f t="shared" si="7"/>
        <v>7600</v>
      </c>
    </row>
    <row r="509" spans="1:6" x14ac:dyDescent="0.25">
      <c r="B509" s="4"/>
      <c r="C509" s="5">
        <v>20</v>
      </c>
      <c r="D509" s="9" t="s">
        <v>22</v>
      </c>
      <c r="E509" s="10">
        <v>180</v>
      </c>
      <c r="F509" s="10">
        <f t="shared" si="7"/>
        <v>3600</v>
      </c>
    </row>
    <row r="510" spans="1:6" x14ac:dyDescent="0.25">
      <c r="B510" s="9"/>
      <c r="D510" s="9"/>
      <c r="F510" s="8">
        <f>SUM(F508:F509)</f>
        <v>11200</v>
      </c>
    </row>
    <row r="511" spans="1:6" x14ac:dyDescent="0.25">
      <c r="B511" s="9"/>
      <c r="D511" s="9"/>
    </row>
    <row r="512" spans="1:6" x14ac:dyDescent="0.25">
      <c r="A512" t="s">
        <v>367</v>
      </c>
      <c r="B512" s="4">
        <v>46000</v>
      </c>
      <c r="C512" s="5">
        <v>10</v>
      </c>
      <c r="D512" s="9" t="s">
        <v>13</v>
      </c>
      <c r="E512" s="10">
        <v>190</v>
      </c>
      <c r="F512" s="10">
        <f t="shared" si="7"/>
        <v>1900</v>
      </c>
    </row>
    <row r="513" spans="1:6" x14ac:dyDescent="0.25">
      <c r="B513" s="9"/>
      <c r="C513" s="5">
        <v>10</v>
      </c>
      <c r="D513" s="9" t="s">
        <v>121</v>
      </c>
      <c r="E513" s="10">
        <v>185</v>
      </c>
      <c r="F513" s="10">
        <f t="shared" si="7"/>
        <v>1850</v>
      </c>
    </row>
    <row r="514" spans="1:6" x14ac:dyDescent="0.25">
      <c r="B514" s="9"/>
      <c r="D514" s="9"/>
      <c r="F514" s="8">
        <f>SUM(F512:F513)</f>
        <v>3750</v>
      </c>
    </row>
    <row r="515" spans="1:6" x14ac:dyDescent="0.25">
      <c r="B515" s="4"/>
      <c r="D515" s="9"/>
    </row>
    <row r="516" spans="1:6" x14ac:dyDescent="0.25">
      <c r="A516" t="s">
        <v>37</v>
      </c>
      <c r="B516" s="4">
        <v>46000</v>
      </c>
      <c r="C516" s="5">
        <v>20</v>
      </c>
      <c r="D516" s="9" t="s">
        <v>12</v>
      </c>
      <c r="E516" s="10">
        <v>185</v>
      </c>
      <c r="F516" s="10">
        <f t="shared" si="7"/>
        <v>3700</v>
      </c>
    </row>
    <row r="517" spans="1:6" x14ac:dyDescent="0.25">
      <c r="B517" s="9"/>
      <c r="D517" s="9"/>
      <c r="F517" s="8">
        <f>SUM(F516)</f>
        <v>3700</v>
      </c>
    </row>
    <row r="518" spans="1:6" x14ac:dyDescent="0.25">
      <c r="B518" s="4"/>
      <c r="D518" s="9"/>
    </row>
    <row r="519" spans="1:6" x14ac:dyDescent="0.25">
      <c r="A519" t="s">
        <v>923</v>
      </c>
      <c r="B519" s="4">
        <v>46000</v>
      </c>
      <c r="C519" s="5">
        <v>10</v>
      </c>
      <c r="D519" s="9" t="s">
        <v>22</v>
      </c>
      <c r="E519" s="10">
        <v>180</v>
      </c>
      <c r="F519" s="10">
        <f t="shared" si="7"/>
        <v>1800</v>
      </c>
    </row>
    <row r="520" spans="1:6" x14ac:dyDescent="0.25">
      <c r="B520" s="9"/>
      <c r="C520" s="5">
        <v>10</v>
      </c>
      <c r="D520" s="9" t="s">
        <v>13</v>
      </c>
      <c r="E520" s="10">
        <v>190</v>
      </c>
      <c r="F520" s="10">
        <f t="shared" si="7"/>
        <v>1900</v>
      </c>
    </row>
    <row r="521" spans="1:6" x14ac:dyDescent="0.25">
      <c r="B521" s="9"/>
      <c r="C521" s="5">
        <v>10</v>
      </c>
      <c r="D521" s="9" t="s">
        <v>12</v>
      </c>
      <c r="E521" s="10">
        <v>185</v>
      </c>
      <c r="F521" s="10">
        <f t="shared" si="7"/>
        <v>1850</v>
      </c>
    </row>
    <row r="522" spans="1:6" x14ac:dyDescent="0.25">
      <c r="B522" s="9"/>
      <c r="D522" s="9"/>
      <c r="F522" s="8">
        <f>SUM(F519:F521)</f>
        <v>5550</v>
      </c>
    </row>
    <row r="523" spans="1:6" x14ac:dyDescent="0.25">
      <c r="B523" s="9"/>
      <c r="D523" s="9"/>
    </row>
    <row r="524" spans="1:6" x14ac:dyDescent="0.25">
      <c r="A524" t="s">
        <v>25</v>
      </c>
      <c r="B524" s="4">
        <v>46000</v>
      </c>
      <c r="C524" s="5">
        <v>20</v>
      </c>
      <c r="D524" s="9" t="s">
        <v>22</v>
      </c>
      <c r="E524" s="10">
        <v>180</v>
      </c>
      <c r="F524" s="10">
        <f t="shared" ref="F524:F587" si="8">+C524*E524</f>
        <v>3600</v>
      </c>
    </row>
    <row r="525" spans="1:6" x14ac:dyDescent="0.25">
      <c r="B525" s="4"/>
      <c r="D525" s="9"/>
      <c r="F525" s="8">
        <f>SUM(F524)</f>
        <v>3600</v>
      </c>
    </row>
    <row r="526" spans="1:6" x14ac:dyDescent="0.25">
      <c r="B526" s="9"/>
      <c r="D526" s="9"/>
    </row>
    <row r="527" spans="1:6" x14ac:dyDescent="0.25">
      <c r="A527" t="s">
        <v>40</v>
      </c>
      <c r="B527" s="4">
        <v>46000</v>
      </c>
      <c r="C527" s="5">
        <v>20</v>
      </c>
      <c r="D527" s="9" t="s">
        <v>12</v>
      </c>
      <c r="E527" s="10">
        <v>185</v>
      </c>
      <c r="F527" s="10">
        <f t="shared" si="8"/>
        <v>3700</v>
      </c>
    </row>
    <row r="528" spans="1:6" x14ac:dyDescent="0.25">
      <c r="B528" s="9"/>
      <c r="C528" s="5">
        <v>25</v>
      </c>
      <c r="D528" s="9" t="s">
        <v>14</v>
      </c>
      <c r="E528" s="10">
        <v>185</v>
      </c>
      <c r="F528" s="10">
        <f t="shared" si="8"/>
        <v>4625</v>
      </c>
    </row>
    <row r="529" spans="1:6" x14ac:dyDescent="0.25">
      <c r="B529" s="9"/>
      <c r="C529" s="5">
        <v>25</v>
      </c>
      <c r="D529" s="9" t="s">
        <v>8</v>
      </c>
      <c r="E529" s="10">
        <v>195</v>
      </c>
      <c r="F529" s="10">
        <f t="shared" si="8"/>
        <v>4875</v>
      </c>
    </row>
    <row r="530" spans="1:6" x14ac:dyDescent="0.25">
      <c r="B530" s="9"/>
      <c r="C530" s="5">
        <v>10</v>
      </c>
      <c r="D530" s="9" t="s">
        <v>22</v>
      </c>
      <c r="E530" s="10">
        <v>180</v>
      </c>
      <c r="F530" s="10">
        <f t="shared" si="8"/>
        <v>1800</v>
      </c>
    </row>
    <row r="531" spans="1:6" x14ac:dyDescent="0.25">
      <c r="B531" s="4"/>
      <c r="C531" s="5">
        <v>10</v>
      </c>
      <c r="D531" s="9" t="s">
        <v>22</v>
      </c>
      <c r="E531" s="10">
        <v>175</v>
      </c>
      <c r="F531" s="10">
        <f t="shared" si="8"/>
        <v>1750</v>
      </c>
    </row>
    <row r="532" spans="1:6" x14ac:dyDescent="0.25">
      <c r="B532" s="9"/>
      <c r="D532" s="9"/>
      <c r="F532" s="8">
        <f>SUM(F527:F531)</f>
        <v>16750</v>
      </c>
    </row>
    <row r="533" spans="1:6" x14ac:dyDescent="0.25">
      <c r="B533" s="9"/>
      <c r="D533" s="9"/>
    </row>
    <row r="534" spans="1:6" x14ac:dyDescent="0.25">
      <c r="A534" t="s">
        <v>1122</v>
      </c>
      <c r="B534" s="4">
        <v>46000</v>
      </c>
      <c r="C534" s="5">
        <v>5</v>
      </c>
      <c r="D534" s="9" t="s">
        <v>626</v>
      </c>
      <c r="E534" s="10">
        <v>190</v>
      </c>
      <c r="F534" s="10">
        <f t="shared" si="8"/>
        <v>950</v>
      </c>
    </row>
    <row r="535" spans="1:6" x14ac:dyDescent="0.25">
      <c r="B535" s="4"/>
      <c r="D535" s="9"/>
      <c r="F535" s="8">
        <f>SUM(F534)</f>
        <v>950</v>
      </c>
    </row>
    <row r="536" spans="1:6" x14ac:dyDescent="0.25">
      <c r="B536" s="9"/>
      <c r="D536" s="9"/>
    </row>
    <row r="537" spans="1:6" x14ac:dyDescent="0.25">
      <c r="A537" t="s">
        <v>851</v>
      </c>
      <c r="B537" s="4">
        <v>46000</v>
      </c>
      <c r="C537" s="5">
        <v>5</v>
      </c>
      <c r="D537" s="9" t="s">
        <v>13</v>
      </c>
      <c r="E537" s="10">
        <v>190</v>
      </c>
      <c r="F537" s="10">
        <f t="shared" si="8"/>
        <v>950</v>
      </c>
    </row>
    <row r="538" spans="1:6" x14ac:dyDescent="0.25">
      <c r="B538" s="9"/>
      <c r="D538" s="9"/>
      <c r="F538" s="8">
        <f>SUM(F537)</f>
        <v>950</v>
      </c>
    </row>
    <row r="539" spans="1:6" x14ac:dyDescent="0.25">
      <c r="B539" s="4"/>
      <c r="D539" s="9"/>
    </row>
    <row r="540" spans="1:6" x14ac:dyDescent="0.25">
      <c r="A540" t="s">
        <v>66</v>
      </c>
      <c r="B540" s="4">
        <v>46000</v>
      </c>
      <c r="C540" s="5">
        <v>20</v>
      </c>
      <c r="D540" s="9" t="s">
        <v>519</v>
      </c>
      <c r="E540" s="10">
        <v>195</v>
      </c>
      <c r="F540" s="10">
        <f t="shared" si="8"/>
        <v>3900</v>
      </c>
    </row>
    <row r="541" spans="1:6" x14ac:dyDescent="0.25">
      <c r="B541" s="9"/>
      <c r="D541" s="9"/>
      <c r="F541" s="8">
        <f>SUM(F540)</f>
        <v>3900</v>
      </c>
    </row>
    <row r="542" spans="1:6" x14ac:dyDescent="0.25">
      <c r="B542" s="4"/>
      <c r="D542" s="9"/>
    </row>
    <row r="543" spans="1:6" x14ac:dyDescent="0.25">
      <c r="A543" t="s">
        <v>1211</v>
      </c>
      <c r="B543" s="4">
        <v>46000</v>
      </c>
      <c r="C543" s="11">
        <v>60</v>
      </c>
      <c r="D543" s="9" t="s">
        <v>12</v>
      </c>
      <c r="E543" s="10">
        <v>180</v>
      </c>
      <c r="F543" s="10">
        <f t="shared" si="8"/>
        <v>10800</v>
      </c>
    </row>
    <row r="544" spans="1:6" x14ac:dyDescent="0.25">
      <c r="B544" s="9"/>
      <c r="C544" s="5">
        <v>20</v>
      </c>
      <c r="D544" s="9" t="s">
        <v>483</v>
      </c>
      <c r="E544" s="10">
        <v>185</v>
      </c>
      <c r="F544" s="10">
        <f t="shared" si="8"/>
        <v>3700</v>
      </c>
    </row>
    <row r="545" spans="1:6" x14ac:dyDescent="0.25">
      <c r="B545" s="9"/>
      <c r="D545" s="9"/>
      <c r="F545" s="8">
        <f>SUM(F543:F544)</f>
        <v>14500</v>
      </c>
    </row>
    <row r="546" spans="1:6" x14ac:dyDescent="0.25">
      <c r="B546" s="9"/>
      <c r="D546" s="9"/>
    </row>
    <row r="547" spans="1:6" x14ac:dyDescent="0.25">
      <c r="A547" t="s">
        <v>255</v>
      </c>
      <c r="B547" s="4">
        <v>46000</v>
      </c>
      <c r="C547" s="5">
        <v>80</v>
      </c>
      <c r="D547" s="9" t="s">
        <v>1192</v>
      </c>
      <c r="E547" s="10">
        <v>195</v>
      </c>
      <c r="F547" s="10">
        <f t="shared" si="8"/>
        <v>15600</v>
      </c>
    </row>
    <row r="548" spans="1:6" x14ac:dyDescent="0.25">
      <c r="B548" s="4"/>
      <c r="D548" s="9"/>
      <c r="F548" s="8">
        <f>SUM(F547)</f>
        <v>15600</v>
      </c>
    </row>
    <row r="549" spans="1:6" x14ac:dyDescent="0.25">
      <c r="B549" s="9"/>
      <c r="D549" s="9"/>
    </row>
    <row r="550" spans="1:6" x14ac:dyDescent="0.25">
      <c r="A550" t="s">
        <v>103</v>
      </c>
      <c r="B550" s="4">
        <v>46000</v>
      </c>
      <c r="C550" s="5">
        <v>4</v>
      </c>
      <c r="D550" s="9" t="s">
        <v>222</v>
      </c>
      <c r="E550" s="10">
        <v>195</v>
      </c>
      <c r="F550" s="10">
        <f t="shared" si="8"/>
        <v>780</v>
      </c>
    </row>
    <row r="551" spans="1:6" x14ac:dyDescent="0.25">
      <c r="B551" s="9"/>
      <c r="D551" s="9"/>
      <c r="F551" s="8">
        <f>SUM(F550)</f>
        <v>780</v>
      </c>
    </row>
    <row r="552" spans="1:6" x14ac:dyDescent="0.25">
      <c r="B552" s="4"/>
      <c r="D552" s="9"/>
    </row>
    <row r="553" spans="1:6" x14ac:dyDescent="0.25">
      <c r="A553" t="s">
        <v>89</v>
      </c>
      <c r="B553" s="4">
        <v>46000</v>
      </c>
      <c r="C553" s="5">
        <v>80</v>
      </c>
      <c r="D553" s="9" t="s">
        <v>12</v>
      </c>
      <c r="E553" s="10">
        <v>175</v>
      </c>
      <c r="F553" s="10">
        <f t="shared" si="8"/>
        <v>14000</v>
      </c>
    </row>
    <row r="554" spans="1:6" x14ac:dyDescent="0.25">
      <c r="B554" s="9"/>
      <c r="D554" s="9"/>
      <c r="F554" s="8">
        <f>SUM(F553)</f>
        <v>14000</v>
      </c>
    </row>
    <row r="555" spans="1:6" x14ac:dyDescent="0.25">
      <c r="B555" s="9"/>
      <c r="D555" s="9"/>
    </row>
    <row r="556" spans="1:6" x14ac:dyDescent="0.25">
      <c r="A556" t="s">
        <v>26</v>
      </c>
      <c r="B556" s="4">
        <v>46000</v>
      </c>
      <c r="C556" s="5">
        <v>20</v>
      </c>
      <c r="D556" s="9" t="s">
        <v>14</v>
      </c>
      <c r="E556" s="10">
        <v>175</v>
      </c>
      <c r="F556" s="10">
        <f t="shared" si="8"/>
        <v>3500</v>
      </c>
    </row>
    <row r="557" spans="1:6" x14ac:dyDescent="0.25">
      <c r="B557" s="9"/>
      <c r="D557" s="9"/>
      <c r="F557" s="8">
        <f>SUM(F556)</f>
        <v>3500</v>
      </c>
    </row>
    <row r="558" spans="1:6" x14ac:dyDescent="0.25">
      <c r="B558" s="9"/>
      <c r="D558" s="9"/>
    </row>
    <row r="559" spans="1:6" x14ac:dyDescent="0.25">
      <c r="A559" t="s">
        <v>95</v>
      </c>
      <c r="B559" s="4">
        <v>46000</v>
      </c>
      <c r="C559" s="5">
        <v>10</v>
      </c>
      <c r="D559" s="9" t="s">
        <v>13</v>
      </c>
      <c r="E559" s="10">
        <v>195</v>
      </c>
      <c r="F559" s="10">
        <f t="shared" si="8"/>
        <v>1950</v>
      </c>
    </row>
    <row r="560" spans="1:6" x14ac:dyDescent="0.25">
      <c r="B560" s="9"/>
      <c r="D560" s="9"/>
      <c r="F560" s="8">
        <f>SUM(F559)</f>
        <v>1950</v>
      </c>
    </row>
    <row r="561" spans="1:6" x14ac:dyDescent="0.25">
      <c r="B561" s="9"/>
      <c r="D561" s="9"/>
    </row>
    <row r="562" spans="1:6" x14ac:dyDescent="0.25">
      <c r="A562" t="s">
        <v>65</v>
      </c>
      <c r="B562" s="4">
        <v>46000</v>
      </c>
      <c r="C562" s="5">
        <v>88</v>
      </c>
      <c r="D562" s="9" t="s">
        <v>22</v>
      </c>
      <c r="E562" s="10">
        <v>175</v>
      </c>
      <c r="F562" s="10">
        <f t="shared" si="8"/>
        <v>15400</v>
      </c>
    </row>
    <row r="563" spans="1:6" x14ac:dyDescent="0.25">
      <c r="B563" s="9"/>
      <c r="C563" s="5">
        <v>220</v>
      </c>
      <c r="D563" s="9" t="s">
        <v>12</v>
      </c>
      <c r="E563" s="10">
        <v>180</v>
      </c>
      <c r="F563" s="10">
        <f t="shared" si="8"/>
        <v>39600</v>
      </c>
    </row>
    <row r="564" spans="1:6" x14ac:dyDescent="0.25">
      <c r="B564" s="9"/>
      <c r="C564" s="5">
        <v>120</v>
      </c>
      <c r="D564" s="9" t="s">
        <v>50</v>
      </c>
      <c r="E564" s="10">
        <v>175</v>
      </c>
      <c r="F564" s="10">
        <f t="shared" si="8"/>
        <v>21000</v>
      </c>
    </row>
    <row r="565" spans="1:6" x14ac:dyDescent="0.25">
      <c r="B565" s="4"/>
      <c r="C565" s="5">
        <v>170</v>
      </c>
      <c r="D565" s="9" t="s">
        <v>11</v>
      </c>
      <c r="E565" s="10">
        <v>180</v>
      </c>
      <c r="F565" s="10">
        <f t="shared" si="8"/>
        <v>30600</v>
      </c>
    </row>
    <row r="566" spans="1:6" x14ac:dyDescent="0.25">
      <c r="B566" s="9"/>
      <c r="C566" s="5">
        <v>70</v>
      </c>
      <c r="D566" s="9" t="s">
        <v>14</v>
      </c>
      <c r="E566" s="10">
        <v>185</v>
      </c>
      <c r="F566" s="10">
        <f t="shared" si="8"/>
        <v>12950</v>
      </c>
    </row>
    <row r="567" spans="1:6" x14ac:dyDescent="0.25">
      <c r="B567" s="9"/>
      <c r="D567" s="9"/>
      <c r="F567" s="8">
        <f>SUM(F562:F566)</f>
        <v>119550</v>
      </c>
    </row>
    <row r="568" spans="1:6" x14ac:dyDescent="0.25">
      <c r="B568" s="9"/>
      <c r="D568" s="9"/>
    </row>
    <row r="569" spans="1:6" x14ac:dyDescent="0.25">
      <c r="A569" t="s">
        <v>487</v>
      </c>
      <c r="B569" s="4">
        <v>46000</v>
      </c>
      <c r="C569" s="5">
        <v>5</v>
      </c>
      <c r="D569" s="9" t="s">
        <v>12</v>
      </c>
      <c r="E569" s="10">
        <v>185</v>
      </c>
      <c r="F569" s="10">
        <f t="shared" si="8"/>
        <v>925</v>
      </c>
    </row>
    <row r="570" spans="1:6" x14ac:dyDescent="0.25">
      <c r="B570" s="9"/>
      <c r="D570" s="9"/>
      <c r="F570" s="8">
        <f>SUM(F569)</f>
        <v>925</v>
      </c>
    </row>
    <row r="571" spans="1:6" x14ac:dyDescent="0.25">
      <c r="B571" s="9"/>
      <c r="D571" s="9"/>
    </row>
    <row r="572" spans="1:6" x14ac:dyDescent="0.25">
      <c r="A572" t="s">
        <v>76</v>
      </c>
      <c r="B572" s="4">
        <v>46000</v>
      </c>
      <c r="C572" s="5">
        <v>250</v>
      </c>
      <c r="D572" s="9" t="s">
        <v>1212</v>
      </c>
      <c r="F572" s="10">
        <f t="shared" si="8"/>
        <v>0</v>
      </c>
    </row>
    <row r="573" spans="1:6" x14ac:dyDescent="0.25">
      <c r="B573" s="9"/>
      <c r="C573" s="5">
        <v>250</v>
      </c>
      <c r="D573" s="9" t="s">
        <v>49</v>
      </c>
      <c r="F573" s="10">
        <f t="shared" si="8"/>
        <v>0</v>
      </c>
    </row>
    <row r="574" spans="1:6" x14ac:dyDescent="0.25">
      <c r="B574" s="9"/>
      <c r="D574" s="9"/>
      <c r="F574" s="8">
        <f>SUM(F572:F573)</f>
        <v>0</v>
      </c>
    </row>
    <row r="575" spans="1:6" x14ac:dyDescent="0.25">
      <c r="B575" s="4"/>
      <c r="D575" s="9"/>
    </row>
    <row r="576" spans="1:6" x14ac:dyDescent="0.25">
      <c r="A576" t="s">
        <v>29</v>
      </c>
      <c r="B576" s="4">
        <v>46000</v>
      </c>
      <c r="C576" s="5">
        <v>2</v>
      </c>
      <c r="D576" s="9" t="s">
        <v>8</v>
      </c>
      <c r="E576" s="10">
        <v>195</v>
      </c>
      <c r="F576" s="10">
        <f t="shared" si="8"/>
        <v>390</v>
      </c>
    </row>
    <row r="577" spans="1:6" x14ac:dyDescent="0.25">
      <c r="B577" s="9"/>
      <c r="C577" s="5">
        <v>1</v>
      </c>
      <c r="D577" s="9" t="s">
        <v>12</v>
      </c>
      <c r="E577" s="10">
        <v>185</v>
      </c>
      <c r="F577" s="10">
        <f t="shared" si="8"/>
        <v>185</v>
      </c>
    </row>
    <row r="578" spans="1:6" x14ac:dyDescent="0.25">
      <c r="B578" s="4"/>
      <c r="C578" s="5">
        <v>2</v>
      </c>
      <c r="D578" s="9" t="s">
        <v>12</v>
      </c>
      <c r="E578" s="10">
        <v>185</v>
      </c>
      <c r="F578" s="10">
        <f t="shared" si="8"/>
        <v>370</v>
      </c>
    </row>
    <row r="579" spans="1:6" x14ac:dyDescent="0.25">
      <c r="B579" s="9"/>
      <c r="C579" s="5">
        <v>1</v>
      </c>
      <c r="D579" s="9" t="s">
        <v>729</v>
      </c>
      <c r="E579" s="10">
        <v>160</v>
      </c>
      <c r="F579" s="10">
        <f t="shared" si="8"/>
        <v>160</v>
      </c>
    </row>
    <row r="580" spans="1:6" x14ac:dyDescent="0.25">
      <c r="B580" s="9"/>
      <c r="C580" s="5">
        <v>1</v>
      </c>
      <c r="D580" s="9" t="s">
        <v>1213</v>
      </c>
      <c r="E580" s="10">
        <v>195</v>
      </c>
      <c r="F580" s="10">
        <f t="shared" si="8"/>
        <v>195</v>
      </c>
    </row>
    <row r="581" spans="1:6" x14ac:dyDescent="0.25">
      <c r="B581" s="9"/>
      <c r="D581" s="9"/>
      <c r="F581" s="8">
        <f>SUM(F576:F580)</f>
        <v>1300</v>
      </c>
    </row>
    <row r="582" spans="1:6" x14ac:dyDescent="0.25">
      <c r="B582" s="9"/>
      <c r="D582" s="9"/>
    </row>
    <row r="583" spans="1:6" x14ac:dyDescent="0.25">
      <c r="A583" t="s">
        <v>181</v>
      </c>
      <c r="B583" s="4">
        <v>46000</v>
      </c>
      <c r="C583" s="5">
        <v>2</v>
      </c>
      <c r="D583" s="9" t="s">
        <v>1177</v>
      </c>
      <c r="E583" s="10">
        <v>150</v>
      </c>
      <c r="F583" s="10">
        <f t="shared" si="8"/>
        <v>300</v>
      </c>
    </row>
    <row r="584" spans="1:6" x14ac:dyDescent="0.25">
      <c r="B584" s="9"/>
      <c r="C584" s="5">
        <v>4</v>
      </c>
      <c r="D584" s="9" t="s">
        <v>13</v>
      </c>
      <c r="E584" s="10">
        <v>190</v>
      </c>
      <c r="F584" s="10">
        <f t="shared" si="8"/>
        <v>760</v>
      </c>
    </row>
    <row r="585" spans="1:6" x14ac:dyDescent="0.25">
      <c r="B585" s="9"/>
      <c r="C585" s="5">
        <v>1</v>
      </c>
      <c r="D585" s="9" t="s">
        <v>13</v>
      </c>
      <c r="E585" s="10">
        <v>190</v>
      </c>
      <c r="F585" s="10">
        <f t="shared" si="8"/>
        <v>190</v>
      </c>
    </row>
    <row r="586" spans="1:6" x14ac:dyDescent="0.25">
      <c r="B586" s="9"/>
      <c r="C586" s="5">
        <v>4</v>
      </c>
      <c r="D586" s="9" t="s">
        <v>8</v>
      </c>
      <c r="E586" s="10">
        <v>195</v>
      </c>
      <c r="F586" s="10">
        <f t="shared" si="8"/>
        <v>780</v>
      </c>
    </row>
    <row r="587" spans="1:6" x14ac:dyDescent="0.25">
      <c r="B587" s="4"/>
      <c r="C587" s="5">
        <v>1</v>
      </c>
      <c r="D587" s="9" t="s">
        <v>759</v>
      </c>
      <c r="E587" s="10">
        <v>150</v>
      </c>
      <c r="F587" s="10">
        <f t="shared" si="8"/>
        <v>150</v>
      </c>
    </row>
    <row r="588" spans="1:6" x14ac:dyDescent="0.25">
      <c r="B588" s="9"/>
      <c r="D588" s="9"/>
      <c r="F588" s="8">
        <f>SUM(F583:F587)</f>
        <v>2180</v>
      </c>
    </row>
    <row r="589" spans="1:6" x14ac:dyDescent="0.25">
      <c r="B589" s="9"/>
      <c r="D589" s="9"/>
    </row>
    <row r="590" spans="1:6" x14ac:dyDescent="0.25">
      <c r="A590" t="s">
        <v>41</v>
      </c>
      <c r="B590" s="4">
        <v>46001</v>
      </c>
      <c r="C590" s="5">
        <v>30</v>
      </c>
      <c r="D590" s="9" t="s">
        <v>1214</v>
      </c>
      <c r="E590" s="10">
        <v>165</v>
      </c>
      <c r="F590" s="10">
        <f t="shared" ref="F590:F651" si="9">+C590*E590</f>
        <v>4950</v>
      </c>
    </row>
    <row r="591" spans="1:6" x14ac:dyDescent="0.25">
      <c r="B591" s="4"/>
      <c r="D591" s="9"/>
      <c r="F591" s="8">
        <f>SUM(F590)</f>
        <v>4950</v>
      </c>
    </row>
    <row r="592" spans="1:6" x14ac:dyDescent="0.25">
      <c r="B592" s="9"/>
      <c r="D592" s="9"/>
    </row>
    <row r="593" spans="1:6" x14ac:dyDescent="0.25">
      <c r="A593" t="s">
        <v>43</v>
      </c>
      <c r="B593" s="4">
        <v>46001</v>
      </c>
      <c r="C593" s="5">
        <v>40</v>
      </c>
      <c r="D593" s="9" t="s">
        <v>49</v>
      </c>
      <c r="E593" s="10">
        <v>195</v>
      </c>
      <c r="F593" s="10">
        <f t="shared" si="9"/>
        <v>7800</v>
      </c>
    </row>
    <row r="594" spans="1:6" x14ac:dyDescent="0.25">
      <c r="B594" s="4"/>
      <c r="D594" s="9"/>
      <c r="F594" s="8">
        <f>SUM(F593)</f>
        <v>7800</v>
      </c>
    </row>
    <row r="595" spans="1:6" x14ac:dyDescent="0.25">
      <c r="B595" s="9"/>
      <c r="D595" s="9"/>
    </row>
    <row r="596" spans="1:6" x14ac:dyDescent="0.25">
      <c r="A596" t="s">
        <v>780</v>
      </c>
      <c r="B596" s="4">
        <v>46001</v>
      </c>
      <c r="C596" s="5">
        <v>10</v>
      </c>
      <c r="D596" s="9" t="s">
        <v>14</v>
      </c>
      <c r="E596" s="10">
        <v>190</v>
      </c>
      <c r="F596" s="10">
        <f t="shared" si="9"/>
        <v>1900</v>
      </c>
    </row>
    <row r="597" spans="1:6" x14ac:dyDescent="0.25">
      <c r="B597" s="9"/>
      <c r="D597" s="9"/>
      <c r="F597" s="8">
        <f>SUM(F596)</f>
        <v>1900</v>
      </c>
    </row>
    <row r="598" spans="1:6" x14ac:dyDescent="0.25">
      <c r="B598" s="9"/>
      <c r="D598" s="9"/>
    </row>
    <row r="599" spans="1:6" x14ac:dyDescent="0.25">
      <c r="A599" t="s">
        <v>107</v>
      </c>
      <c r="B599" s="4">
        <v>46001</v>
      </c>
      <c r="C599" s="5">
        <v>60</v>
      </c>
      <c r="D599" s="9" t="s">
        <v>11</v>
      </c>
      <c r="E599" s="10">
        <v>185</v>
      </c>
      <c r="F599" s="10">
        <f t="shared" si="9"/>
        <v>11100</v>
      </c>
    </row>
    <row r="600" spans="1:6" x14ac:dyDescent="0.25">
      <c r="B600" s="9"/>
      <c r="D600" s="9"/>
      <c r="F600" s="8">
        <f>SUM(F599)</f>
        <v>11100</v>
      </c>
    </row>
    <row r="601" spans="1:6" x14ac:dyDescent="0.25">
      <c r="B601" s="4"/>
      <c r="D601" s="9"/>
    </row>
    <row r="602" spans="1:6" x14ac:dyDescent="0.25">
      <c r="A602" t="s">
        <v>455</v>
      </c>
      <c r="B602" s="4">
        <v>46001</v>
      </c>
      <c r="C602" s="5">
        <v>80</v>
      </c>
      <c r="D602" s="9" t="s">
        <v>14</v>
      </c>
      <c r="E602" s="10">
        <v>180</v>
      </c>
      <c r="F602" s="10">
        <f t="shared" si="9"/>
        <v>14400</v>
      </c>
    </row>
    <row r="603" spans="1:6" x14ac:dyDescent="0.25">
      <c r="B603" s="9"/>
      <c r="D603" s="9"/>
      <c r="F603" s="8">
        <f>SUM(F602)</f>
        <v>14400</v>
      </c>
    </row>
    <row r="604" spans="1:6" x14ac:dyDescent="0.25">
      <c r="B604" s="4"/>
      <c r="D604" s="9"/>
    </row>
    <row r="605" spans="1:6" x14ac:dyDescent="0.25">
      <c r="A605" t="s">
        <v>1003</v>
      </c>
      <c r="B605" s="4">
        <v>46001</v>
      </c>
      <c r="C605" s="5">
        <v>15</v>
      </c>
      <c r="D605" s="9" t="s">
        <v>14</v>
      </c>
      <c r="E605" s="10">
        <v>190</v>
      </c>
      <c r="F605" s="10">
        <f t="shared" si="9"/>
        <v>2850</v>
      </c>
    </row>
    <row r="606" spans="1:6" x14ac:dyDescent="0.25">
      <c r="B606" s="9"/>
      <c r="D606" s="9"/>
      <c r="F606" s="8">
        <f>SUM(F605)</f>
        <v>2850</v>
      </c>
    </row>
    <row r="607" spans="1:6" x14ac:dyDescent="0.25">
      <c r="B607" s="4"/>
      <c r="D607" s="9"/>
    </row>
    <row r="608" spans="1:6" x14ac:dyDescent="0.25">
      <c r="A608" t="s">
        <v>44</v>
      </c>
      <c r="B608" s="4">
        <v>46001</v>
      </c>
      <c r="C608" s="5">
        <v>30</v>
      </c>
      <c r="D608" s="9" t="s">
        <v>14</v>
      </c>
      <c r="E608" s="10">
        <v>190</v>
      </c>
      <c r="F608" s="10">
        <f t="shared" si="9"/>
        <v>5700</v>
      </c>
    </row>
    <row r="609" spans="1:6" x14ac:dyDescent="0.25">
      <c r="B609" s="9"/>
      <c r="D609" s="9"/>
      <c r="F609" s="8">
        <f>SUM(F608)</f>
        <v>5700</v>
      </c>
    </row>
    <row r="610" spans="1:6" x14ac:dyDescent="0.25">
      <c r="B610" s="4"/>
      <c r="D610" s="9"/>
    </row>
    <row r="611" spans="1:6" x14ac:dyDescent="0.25">
      <c r="A611" t="s">
        <v>145</v>
      </c>
      <c r="B611" s="4">
        <v>46001</v>
      </c>
      <c r="C611" s="5">
        <v>50</v>
      </c>
      <c r="D611" s="9" t="s">
        <v>14</v>
      </c>
      <c r="E611" s="10">
        <v>190</v>
      </c>
      <c r="F611" s="10">
        <f t="shared" si="9"/>
        <v>9500</v>
      </c>
    </row>
    <row r="612" spans="1:6" x14ac:dyDescent="0.25">
      <c r="B612" s="9"/>
      <c r="D612" s="9"/>
      <c r="F612" s="8">
        <f>SUM(F611)</f>
        <v>9500</v>
      </c>
    </row>
    <row r="613" spans="1:6" x14ac:dyDescent="0.25">
      <c r="B613" s="9"/>
      <c r="D613" s="9"/>
    </row>
    <row r="614" spans="1:6" x14ac:dyDescent="0.25">
      <c r="A614" t="s">
        <v>292</v>
      </c>
      <c r="B614" s="4">
        <v>46001</v>
      </c>
      <c r="C614" s="5">
        <v>10</v>
      </c>
      <c r="D614" s="9" t="s">
        <v>14</v>
      </c>
      <c r="E614" s="10">
        <v>185</v>
      </c>
      <c r="F614" s="10">
        <f t="shared" si="9"/>
        <v>1850</v>
      </c>
    </row>
    <row r="615" spans="1:6" x14ac:dyDescent="0.25">
      <c r="B615" s="9"/>
      <c r="D615" s="9"/>
      <c r="F615" s="8">
        <f>SUM(F614)</f>
        <v>1850</v>
      </c>
    </row>
    <row r="616" spans="1:6" x14ac:dyDescent="0.25">
      <c r="B616" s="9"/>
      <c r="D616" s="9"/>
    </row>
    <row r="617" spans="1:6" x14ac:dyDescent="0.25">
      <c r="A617" t="s">
        <v>7</v>
      </c>
      <c r="B617" s="4">
        <v>46001</v>
      </c>
      <c r="C617" s="5">
        <v>4</v>
      </c>
      <c r="D617" s="9" t="s">
        <v>1137</v>
      </c>
      <c r="E617" s="10">
        <v>190</v>
      </c>
      <c r="F617" s="10">
        <f t="shared" si="9"/>
        <v>760</v>
      </c>
    </row>
    <row r="618" spans="1:6" x14ac:dyDescent="0.25">
      <c r="B618" s="9"/>
      <c r="D618" s="9"/>
      <c r="F618" s="8">
        <f>SUM(F617)</f>
        <v>760</v>
      </c>
    </row>
    <row r="619" spans="1:6" x14ac:dyDescent="0.25">
      <c r="B619" s="9"/>
      <c r="D619" s="9"/>
    </row>
    <row r="620" spans="1:6" x14ac:dyDescent="0.25">
      <c r="A620" t="s">
        <v>1215</v>
      </c>
      <c r="B620" s="4">
        <v>46001</v>
      </c>
      <c r="C620" s="5">
        <v>5</v>
      </c>
      <c r="D620" s="9" t="s">
        <v>8</v>
      </c>
      <c r="E620" s="10">
        <v>195</v>
      </c>
      <c r="F620" s="10">
        <f t="shared" si="9"/>
        <v>975</v>
      </c>
    </row>
    <row r="621" spans="1:6" x14ac:dyDescent="0.25">
      <c r="B621" s="9"/>
      <c r="D621" s="9"/>
      <c r="F621" s="8">
        <f>SUM(F620)</f>
        <v>975</v>
      </c>
    </row>
    <row r="622" spans="1:6" x14ac:dyDescent="0.25">
      <c r="B622" s="9"/>
      <c r="D622" s="9"/>
    </row>
    <row r="623" spans="1:6" x14ac:dyDescent="0.25">
      <c r="A623" t="s">
        <v>160</v>
      </c>
      <c r="B623" s="4">
        <v>46001</v>
      </c>
      <c r="C623" s="5">
        <v>5</v>
      </c>
      <c r="D623" s="9" t="s">
        <v>12</v>
      </c>
      <c r="E623" s="10">
        <v>185</v>
      </c>
      <c r="F623" s="10">
        <f t="shared" si="9"/>
        <v>925</v>
      </c>
    </row>
    <row r="624" spans="1:6" x14ac:dyDescent="0.25">
      <c r="B624" s="9"/>
      <c r="D624" s="9"/>
      <c r="F624" s="8">
        <f>SUM(F623)</f>
        <v>925</v>
      </c>
    </row>
    <row r="625" spans="1:6" x14ac:dyDescent="0.25">
      <c r="B625" s="4"/>
      <c r="D625" s="9"/>
    </row>
    <row r="626" spans="1:6" x14ac:dyDescent="0.25">
      <c r="A626" t="s">
        <v>67</v>
      </c>
      <c r="B626" s="4">
        <v>46001</v>
      </c>
      <c r="C626" s="5">
        <v>10</v>
      </c>
      <c r="D626" s="9" t="s">
        <v>13</v>
      </c>
      <c r="E626" s="10">
        <v>190</v>
      </c>
      <c r="F626" s="10">
        <f t="shared" si="9"/>
        <v>1900</v>
      </c>
    </row>
    <row r="627" spans="1:6" x14ac:dyDescent="0.25">
      <c r="B627" s="9"/>
      <c r="D627" s="9"/>
      <c r="F627" s="8">
        <f>SUM(F626)</f>
        <v>1900</v>
      </c>
    </row>
    <row r="628" spans="1:6" x14ac:dyDescent="0.25">
      <c r="B628" s="9"/>
      <c r="D628" s="9"/>
    </row>
    <row r="629" spans="1:6" x14ac:dyDescent="0.25">
      <c r="A629" t="s">
        <v>76</v>
      </c>
      <c r="B629" s="4">
        <v>46001</v>
      </c>
      <c r="C629" s="5">
        <v>150</v>
      </c>
      <c r="D629" s="9" t="s">
        <v>1216</v>
      </c>
      <c r="E629" s="10">
        <v>170</v>
      </c>
      <c r="F629" s="10">
        <f t="shared" si="9"/>
        <v>25500</v>
      </c>
    </row>
    <row r="630" spans="1:6" x14ac:dyDescent="0.25">
      <c r="B630" s="9"/>
      <c r="C630" s="5">
        <v>14</v>
      </c>
      <c r="D630" s="9" t="s">
        <v>477</v>
      </c>
      <c r="E630" s="10">
        <v>165</v>
      </c>
      <c r="F630" s="10">
        <f t="shared" si="9"/>
        <v>2310</v>
      </c>
    </row>
    <row r="631" spans="1:6" x14ac:dyDescent="0.25">
      <c r="B631" s="4"/>
      <c r="D631" s="9"/>
      <c r="F631" s="8">
        <f>SUM(F629:F630)</f>
        <v>27810</v>
      </c>
    </row>
    <row r="632" spans="1:6" x14ac:dyDescent="0.25">
      <c r="B632" s="9"/>
      <c r="D632" s="9"/>
    </row>
    <row r="633" spans="1:6" x14ac:dyDescent="0.25">
      <c r="A633" t="s">
        <v>72</v>
      </c>
      <c r="B633" s="4">
        <v>46001</v>
      </c>
      <c r="C633" s="5">
        <v>120</v>
      </c>
      <c r="D633" s="9" t="s">
        <v>13</v>
      </c>
      <c r="E633" s="10">
        <v>180</v>
      </c>
      <c r="F633" s="10">
        <f t="shared" si="9"/>
        <v>21600</v>
      </c>
    </row>
    <row r="634" spans="1:6" x14ac:dyDescent="0.25">
      <c r="B634" s="4"/>
      <c r="C634" s="5">
        <v>180</v>
      </c>
      <c r="D634" s="9" t="s">
        <v>12</v>
      </c>
      <c r="E634" s="10">
        <v>175</v>
      </c>
      <c r="F634" s="10">
        <f t="shared" si="9"/>
        <v>31500</v>
      </c>
    </row>
    <row r="635" spans="1:6" x14ac:dyDescent="0.25">
      <c r="B635" s="9"/>
      <c r="C635" s="5">
        <v>140</v>
      </c>
      <c r="D635" s="9" t="s">
        <v>14</v>
      </c>
      <c r="E635" s="10">
        <v>180</v>
      </c>
      <c r="F635" s="10">
        <f t="shared" si="9"/>
        <v>25200</v>
      </c>
    </row>
    <row r="636" spans="1:6" x14ac:dyDescent="0.25">
      <c r="B636" s="9"/>
      <c r="C636" s="5">
        <v>10</v>
      </c>
      <c r="D636" s="9" t="s">
        <v>11</v>
      </c>
      <c r="E636" s="10">
        <v>175</v>
      </c>
      <c r="F636" s="10">
        <f t="shared" si="9"/>
        <v>1750</v>
      </c>
    </row>
    <row r="637" spans="1:6" x14ac:dyDescent="0.25">
      <c r="B637" s="4"/>
      <c r="D637" s="9"/>
      <c r="F637" s="8">
        <f>SUM(F633:F636)</f>
        <v>80050</v>
      </c>
    </row>
    <row r="638" spans="1:6" x14ac:dyDescent="0.25">
      <c r="B638" s="9"/>
      <c r="D638" s="9"/>
    </row>
    <row r="639" spans="1:6" x14ac:dyDescent="0.25">
      <c r="A639" t="s">
        <v>26</v>
      </c>
      <c r="B639" s="4">
        <v>46001</v>
      </c>
      <c r="C639" s="5">
        <v>10</v>
      </c>
      <c r="D639" s="9" t="s">
        <v>1214</v>
      </c>
      <c r="E639" s="10">
        <v>175</v>
      </c>
      <c r="F639" s="10">
        <f t="shared" si="9"/>
        <v>1750</v>
      </c>
    </row>
    <row r="640" spans="1:6" x14ac:dyDescent="0.25">
      <c r="B640" s="4"/>
      <c r="D640" s="9"/>
      <c r="F640" s="8">
        <f>SUM(F639)</f>
        <v>1750</v>
      </c>
    </row>
    <row r="641" spans="1:6" x14ac:dyDescent="0.25">
      <c r="B641" s="9"/>
      <c r="D641" s="9"/>
    </row>
    <row r="642" spans="1:6" x14ac:dyDescent="0.25">
      <c r="A642" t="s">
        <v>88</v>
      </c>
      <c r="B642" s="4">
        <v>46001</v>
      </c>
      <c r="C642" s="5">
        <v>10</v>
      </c>
      <c r="D642" s="9" t="s">
        <v>14</v>
      </c>
      <c r="E642" s="10">
        <v>185</v>
      </c>
      <c r="F642" s="10">
        <f t="shared" si="9"/>
        <v>1850</v>
      </c>
    </row>
    <row r="643" spans="1:6" x14ac:dyDescent="0.25">
      <c r="B643" s="9"/>
      <c r="C643" s="5">
        <v>3</v>
      </c>
      <c r="D643" s="9" t="s">
        <v>626</v>
      </c>
      <c r="E643" s="10">
        <v>190</v>
      </c>
      <c r="F643" s="10">
        <f t="shared" si="9"/>
        <v>570</v>
      </c>
    </row>
    <row r="644" spans="1:6" x14ac:dyDescent="0.25">
      <c r="B644" s="9"/>
      <c r="D644" s="9"/>
      <c r="F644" s="8">
        <f>SUM(F642:F643)</f>
        <v>2420</v>
      </c>
    </row>
    <row r="645" spans="1:6" x14ac:dyDescent="0.25">
      <c r="B645" s="9"/>
      <c r="D645" s="9"/>
    </row>
    <row r="646" spans="1:6" s="9" customFormat="1" x14ac:dyDescent="0.25">
      <c r="A646" s="9" t="s">
        <v>29</v>
      </c>
      <c r="B646" s="4">
        <v>46001</v>
      </c>
      <c r="C646" s="5">
        <v>1</v>
      </c>
      <c r="D646" s="9" t="s">
        <v>98</v>
      </c>
      <c r="E646" s="10">
        <v>140</v>
      </c>
      <c r="F646" s="10">
        <f t="shared" si="9"/>
        <v>140</v>
      </c>
    </row>
    <row r="647" spans="1:6" s="9" customFormat="1" x14ac:dyDescent="0.25">
      <c r="C647" s="5">
        <v>1</v>
      </c>
      <c r="D647" s="9" t="s">
        <v>1138</v>
      </c>
      <c r="E647" s="10">
        <v>195</v>
      </c>
      <c r="F647" s="10">
        <f t="shared" si="9"/>
        <v>195</v>
      </c>
    </row>
    <row r="648" spans="1:6" s="9" customFormat="1" x14ac:dyDescent="0.25">
      <c r="C648" s="5">
        <v>10</v>
      </c>
      <c r="D648" s="9" t="s">
        <v>8</v>
      </c>
      <c r="E648" s="10">
        <v>190</v>
      </c>
      <c r="F648" s="10">
        <f t="shared" si="9"/>
        <v>1900</v>
      </c>
    </row>
    <row r="649" spans="1:6" s="9" customFormat="1" x14ac:dyDescent="0.25">
      <c r="C649" s="5">
        <v>2</v>
      </c>
      <c r="D649" s="9" t="s">
        <v>1148</v>
      </c>
      <c r="E649" s="10">
        <v>185</v>
      </c>
      <c r="F649" s="10">
        <f t="shared" si="9"/>
        <v>370</v>
      </c>
    </row>
    <row r="650" spans="1:6" x14ac:dyDescent="0.25">
      <c r="B650" s="4"/>
      <c r="C650" s="5">
        <v>1</v>
      </c>
      <c r="D650" s="9" t="s">
        <v>12</v>
      </c>
      <c r="E650" s="10">
        <v>185</v>
      </c>
      <c r="F650" s="10">
        <f t="shared" si="9"/>
        <v>185</v>
      </c>
    </row>
    <row r="651" spans="1:6" x14ac:dyDescent="0.25">
      <c r="B651" s="9"/>
      <c r="C651" s="5">
        <v>2</v>
      </c>
      <c r="D651" s="9" t="s">
        <v>13</v>
      </c>
      <c r="E651" s="10">
        <v>190</v>
      </c>
      <c r="F651" s="10">
        <f t="shared" si="9"/>
        <v>380</v>
      </c>
    </row>
    <row r="652" spans="1:6" x14ac:dyDescent="0.25">
      <c r="B652" s="9"/>
      <c r="C652" s="5">
        <v>2</v>
      </c>
      <c r="D652" s="9" t="s">
        <v>13</v>
      </c>
      <c r="E652" s="10">
        <v>160</v>
      </c>
      <c r="F652" s="10">
        <f t="shared" ref="F652:F714" si="10">+C652*E652</f>
        <v>320</v>
      </c>
    </row>
    <row r="653" spans="1:6" x14ac:dyDescent="0.25">
      <c r="B653" s="9"/>
      <c r="C653" s="5">
        <v>1</v>
      </c>
      <c r="D653" s="9" t="s">
        <v>8</v>
      </c>
      <c r="E653" s="10">
        <v>195</v>
      </c>
      <c r="F653" s="10">
        <f t="shared" si="10"/>
        <v>195</v>
      </c>
    </row>
    <row r="654" spans="1:6" x14ac:dyDescent="0.25">
      <c r="B654" s="9"/>
      <c r="C654" s="5">
        <v>1</v>
      </c>
      <c r="D654" s="9" t="s">
        <v>12</v>
      </c>
      <c r="E654" s="10">
        <v>185</v>
      </c>
      <c r="F654" s="10">
        <f t="shared" si="10"/>
        <v>185</v>
      </c>
    </row>
    <row r="655" spans="1:6" x14ac:dyDescent="0.25">
      <c r="B655" s="4"/>
      <c r="C655" s="11">
        <v>0.5</v>
      </c>
      <c r="D655" s="9" t="s">
        <v>8</v>
      </c>
      <c r="E655" s="10">
        <v>195</v>
      </c>
      <c r="F655" s="10">
        <f t="shared" si="10"/>
        <v>97.5</v>
      </c>
    </row>
    <row r="656" spans="1:6" x14ac:dyDescent="0.25">
      <c r="B656" s="9"/>
      <c r="D656" s="9"/>
      <c r="F656" s="8">
        <f>SUM(F646:F655)</f>
        <v>3967.5</v>
      </c>
    </row>
    <row r="657" spans="1:6" x14ac:dyDescent="0.25">
      <c r="B657" s="9"/>
      <c r="D657" s="9"/>
    </row>
    <row r="658" spans="1:6" x14ac:dyDescent="0.25">
      <c r="A658" t="s">
        <v>7</v>
      </c>
      <c r="B658" s="4">
        <v>46001</v>
      </c>
      <c r="C658" s="5">
        <v>2</v>
      </c>
      <c r="D658" s="9" t="s">
        <v>12</v>
      </c>
      <c r="E658" s="10">
        <v>185</v>
      </c>
      <c r="F658" s="10">
        <f t="shared" si="10"/>
        <v>370</v>
      </c>
    </row>
    <row r="659" spans="1:6" x14ac:dyDescent="0.25">
      <c r="B659" s="9"/>
      <c r="C659" s="5">
        <v>1</v>
      </c>
      <c r="D659" s="9" t="s">
        <v>1217</v>
      </c>
      <c r="E659" s="10">
        <v>150</v>
      </c>
      <c r="F659" s="10">
        <f t="shared" si="10"/>
        <v>150</v>
      </c>
    </row>
    <row r="660" spans="1:6" x14ac:dyDescent="0.25">
      <c r="B660" s="9"/>
      <c r="C660" s="5">
        <v>2</v>
      </c>
      <c r="D660" s="9" t="s">
        <v>13</v>
      </c>
      <c r="E660" s="10">
        <v>190</v>
      </c>
      <c r="F660" s="10">
        <f t="shared" si="10"/>
        <v>380</v>
      </c>
    </row>
    <row r="661" spans="1:6" x14ac:dyDescent="0.25">
      <c r="B661" s="4"/>
      <c r="C661" s="5">
        <v>2</v>
      </c>
      <c r="D661" s="9" t="s">
        <v>13</v>
      </c>
      <c r="E661" s="10">
        <v>190</v>
      </c>
      <c r="F661" s="10">
        <f t="shared" si="10"/>
        <v>380</v>
      </c>
    </row>
    <row r="662" spans="1:6" x14ac:dyDescent="0.25">
      <c r="B662" s="9"/>
      <c r="C662" s="5">
        <v>4</v>
      </c>
      <c r="D662" s="9" t="s">
        <v>8</v>
      </c>
      <c r="E662" s="10">
        <v>195</v>
      </c>
      <c r="F662" s="10">
        <f t="shared" si="10"/>
        <v>780</v>
      </c>
    </row>
    <row r="663" spans="1:6" x14ac:dyDescent="0.25">
      <c r="B663" s="9"/>
      <c r="C663" s="5">
        <v>10</v>
      </c>
      <c r="D663" s="9" t="s">
        <v>1218</v>
      </c>
      <c r="E663" s="10">
        <v>195</v>
      </c>
      <c r="F663" s="10">
        <f t="shared" si="10"/>
        <v>1950</v>
      </c>
    </row>
    <row r="664" spans="1:6" x14ac:dyDescent="0.25">
      <c r="B664" s="9"/>
      <c r="D664" s="9"/>
      <c r="F664" s="8">
        <f>SUM(F658:F663)</f>
        <v>4010</v>
      </c>
    </row>
    <row r="665" spans="1:6" x14ac:dyDescent="0.25">
      <c r="B665" s="9"/>
      <c r="D665" s="9"/>
    </row>
    <row r="666" spans="1:6" x14ac:dyDescent="0.25">
      <c r="A666" t="s">
        <v>106</v>
      </c>
      <c r="B666" s="4">
        <v>46002</v>
      </c>
      <c r="C666" s="5">
        <v>60</v>
      </c>
      <c r="D666" s="9" t="s">
        <v>12</v>
      </c>
      <c r="E666" s="10">
        <v>185</v>
      </c>
      <c r="F666" s="10">
        <f t="shared" si="10"/>
        <v>11100</v>
      </c>
    </row>
    <row r="667" spans="1:6" x14ac:dyDescent="0.25">
      <c r="B667" s="9"/>
      <c r="C667" s="5">
        <v>10</v>
      </c>
      <c r="D667" s="9" t="s">
        <v>11</v>
      </c>
      <c r="E667" s="10">
        <v>180</v>
      </c>
      <c r="F667" s="10">
        <f t="shared" si="10"/>
        <v>1800</v>
      </c>
    </row>
    <row r="668" spans="1:6" x14ac:dyDescent="0.25">
      <c r="B668" s="9"/>
      <c r="D668" s="9"/>
      <c r="F668" s="8">
        <f>SUM(F666:F667)</f>
        <v>12900</v>
      </c>
    </row>
    <row r="669" spans="1:6" x14ac:dyDescent="0.25">
      <c r="B669" s="9"/>
      <c r="D669" s="9"/>
    </row>
    <row r="670" spans="1:6" x14ac:dyDescent="0.25">
      <c r="A670" t="s">
        <v>61</v>
      </c>
      <c r="B670" s="4">
        <v>46002</v>
      </c>
      <c r="C670" s="5">
        <v>40</v>
      </c>
      <c r="D670" s="9" t="s">
        <v>524</v>
      </c>
      <c r="E670" s="10">
        <v>190</v>
      </c>
      <c r="F670" s="10">
        <f t="shared" si="10"/>
        <v>7600</v>
      </c>
    </row>
    <row r="671" spans="1:6" x14ac:dyDescent="0.25">
      <c r="B671" s="9"/>
      <c r="D671" s="9"/>
      <c r="F671" s="8">
        <f>SUM(F670)</f>
        <v>7600</v>
      </c>
    </row>
    <row r="672" spans="1:6" x14ac:dyDescent="0.25">
      <c r="B672" s="9"/>
      <c r="D672" s="9"/>
    </row>
    <row r="673" spans="1:6" x14ac:dyDescent="0.25">
      <c r="A673" t="s">
        <v>112</v>
      </c>
      <c r="B673" s="4">
        <v>46002</v>
      </c>
      <c r="C673" s="5">
        <v>30</v>
      </c>
      <c r="D673" s="9" t="s">
        <v>13</v>
      </c>
      <c r="E673" s="10">
        <v>185</v>
      </c>
      <c r="F673" s="10">
        <f t="shared" si="10"/>
        <v>5550</v>
      </c>
    </row>
    <row r="674" spans="1:6" x14ac:dyDescent="0.25">
      <c r="B674" s="9"/>
      <c r="C674" s="5">
        <v>30</v>
      </c>
      <c r="D674" s="9" t="s">
        <v>12</v>
      </c>
      <c r="E674" s="10">
        <v>180</v>
      </c>
      <c r="F674" s="10">
        <f t="shared" si="10"/>
        <v>5400</v>
      </c>
    </row>
    <row r="675" spans="1:6" x14ac:dyDescent="0.25">
      <c r="B675" s="4"/>
      <c r="D675" s="9"/>
      <c r="F675" s="8">
        <f>SUM(F673:F674)</f>
        <v>10950</v>
      </c>
    </row>
    <row r="676" spans="1:6" x14ac:dyDescent="0.25">
      <c r="B676" s="9"/>
      <c r="D676" s="9"/>
    </row>
    <row r="677" spans="1:6" x14ac:dyDescent="0.25">
      <c r="A677" t="s">
        <v>514</v>
      </c>
      <c r="B677" s="4">
        <v>46002</v>
      </c>
      <c r="C677" s="5">
        <v>20</v>
      </c>
      <c r="D677" s="9" t="s">
        <v>98</v>
      </c>
      <c r="E677" s="10">
        <v>140</v>
      </c>
      <c r="F677" s="10">
        <f t="shared" si="10"/>
        <v>2800</v>
      </c>
    </row>
    <row r="678" spans="1:6" x14ac:dyDescent="0.25">
      <c r="B678" s="4"/>
      <c r="D678" s="9"/>
      <c r="F678" s="8">
        <f>SUM(F677)</f>
        <v>2800</v>
      </c>
    </row>
    <row r="679" spans="1:6" x14ac:dyDescent="0.25">
      <c r="B679" s="9"/>
      <c r="D679" s="9"/>
    </row>
    <row r="680" spans="1:6" x14ac:dyDescent="0.25">
      <c r="A680" t="s">
        <v>15</v>
      </c>
      <c r="B680" s="4">
        <v>46002</v>
      </c>
      <c r="C680" s="5">
        <v>59</v>
      </c>
      <c r="D680" s="9" t="s">
        <v>98</v>
      </c>
      <c r="E680" s="10">
        <v>135</v>
      </c>
      <c r="F680" s="10">
        <f t="shared" si="10"/>
        <v>7965</v>
      </c>
    </row>
    <row r="681" spans="1:6" x14ac:dyDescent="0.25">
      <c r="B681" s="4"/>
      <c r="D681" s="9"/>
      <c r="F681" s="8">
        <f>SUM(F680)</f>
        <v>7965</v>
      </c>
    </row>
    <row r="682" spans="1:6" x14ac:dyDescent="0.25">
      <c r="B682" s="9"/>
      <c r="D682" s="9"/>
    </row>
    <row r="683" spans="1:6" x14ac:dyDescent="0.25">
      <c r="A683" t="s">
        <v>720</v>
      </c>
      <c r="B683" s="4">
        <v>46002</v>
      </c>
      <c r="C683" s="5">
        <v>10</v>
      </c>
      <c r="D683" s="9" t="s">
        <v>519</v>
      </c>
      <c r="E683" s="10">
        <v>185</v>
      </c>
      <c r="F683" s="10">
        <f t="shared" si="10"/>
        <v>1850</v>
      </c>
    </row>
    <row r="684" spans="1:6" x14ac:dyDescent="0.25">
      <c r="B684" s="9"/>
      <c r="D684" s="9"/>
      <c r="F684" s="8">
        <f>SUM(F683)</f>
        <v>1850</v>
      </c>
    </row>
    <row r="685" spans="1:6" x14ac:dyDescent="0.25">
      <c r="B685" s="9"/>
      <c r="D685" s="9"/>
    </row>
    <row r="686" spans="1:6" x14ac:dyDescent="0.25">
      <c r="A686" t="s">
        <v>391</v>
      </c>
      <c r="B686" s="4">
        <v>46002</v>
      </c>
      <c r="C686" s="5">
        <v>20</v>
      </c>
      <c r="D686" s="9" t="s">
        <v>13</v>
      </c>
      <c r="E686" s="10">
        <v>185</v>
      </c>
      <c r="F686" s="10">
        <f t="shared" si="10"/>
        <v>3700</v>
      </c>
    </row>
    <row r="687" spans="1:6" x14ac:dyDescent="0.25">
      <c r="B687" s="4"/>
      <c r="D687" s="9"/>
      <c r="F687" s="8">
        <f>SUM(F686)</f>
        <v>3700</v>
      </c>
    </row>
    <row r="688" spans="1:6" x14ac:dyDescent="0.25">
      <c r="B688" s="9"/>
      <c r="D688" s="9"/>
    </row>
    <row r="689" spans="1:6" x14ac:dyDescent="0.25">
      <c r="A689" t="s">
        <v>1219</v>
      </c>
      <c r="B689" s="4">
        <v>46002</v>
      </c>
      <c r="C689" s="5">
        <v>2</v>
      </c>
      <c r="D689" s="9" t="s">
        <v>13</v>
      </c>
      <c r="E689" s="10">
        <v>195</v>
      </c>
      <c r="F689" s="10">
        <f t="shared" si="10"/>
        <v>390</v>
      </c>
    </row>
    <row r="690" spans="1:6" x14ac:dyDescent="0.25">
      <c r="B690" s="4"/>
      <c r="C690" s="5">
        <v>1</v>
      </c>
      <c r="D690" s="9" t="s">
        <v>12</v>
      </c>
      <c r="E690" s="10">
        <v>180</v>
      </c>
      <c r="F690" s="10">
        <f t="shared" si="10"/>
        <v>180</v>
      </c>
    </row>
    <row r="691" spans="1:6" x14ac:dyDescent="0.25">
      <c r="B691" s="9"/>
      <c r="D691" s="9"/>
      <c r="F691" s="8">
        <f>SUM(F689:F690)</f>
        <v>570</v>
      </c>
    </row>
    <row r="692" spans="1:6" x14ac:dyDescent="0.25">
      <c r="B692" s="9"/>
      <c r="D692" s="9"/>
    </row>
    <row r="693" spans="1:6" x14ac:dyDescent="0.25">
      <c r="A693" t="s">
        <v>29</v>
      </c>
      <c r="B693" s="4">
        <v>46002</v>
      </c>
      <c r="C693" s="5">
        <v>10</v>
      </c>
      <c r="D693" s="9" t="s">
        <v>8</v>
      </c>
      <c r="E693" s="10">
        <v>190</v>
      </c>
      <c r="F693" s="10">
        <f t="shared" si="10"/>
        <v>1900</v>
      </c>
    </row>
    <row r="694" spans="1:6" x14ac:dyDescent="0.25">
      <c r="B694" s="9"/>
      <c r="C694" s="5">
        <v>5</v>
      </c>
      <c r="D694" s="9" t="s">
        <v>13</v>
      </c>
      <c r="E694" s="10">
        <v>185</v>
      </c>
      <c r="F694" s="10">
        <f t="shared" si="10"/>
        <v>925</v>
      </c>
    </row>
    <row r="695" spans="1:6" x14ac:dyDescent="0.25">
      <c r="B695" s="9"/>
      <c r="C695" s="5">
        <v>1</v>
      </c>
      <c r="D695" s="9" t="s">
        <v>13</v>
      </c>
      <c r="E695" s="10">
        <v>190</v>
      </c>
      <c r="F695" s="10">
        <f t="shared" si="10"/>
        <v>190</v>
      </c>
    </row>
    <row r="696" spans="1:6" x14ac:dyDescent="0.25">
      <c r="B696" s="4"/>
      <c r="C696" s="5">
        <v>1</v>
      </c>
      <c r="D696" s="9" t="s">
        <v>1220</v>
      </c>
      <c r="E696" s="10">
        <v>130</v>
      </c>
      <c r="F696" s="10">
        <f t="shared" si="10"/>
        <v>130</v>
      </c>
    </row>
    <row r="697" spans="1:6" x14ac:dyDescent="0.25">
      <c r="B697" s="9"/>
      <c r="C697" s="5">
        <v>1</v>
      </c>
      <c r="D697" s="9" t="s">
        <v>600</v>
      </c>
      <c r="E697" s="10">
        <v>140</v>
      </c>
      <c r="F697" s="10">
        <f t="shared" si="10"/>
        <v>140</v>
      </c>
    </row>
    <row r="698" spans="1:6" x14ac:dyDescent="0.25">
      <c r="B698" s="9"/>
      <c r="C698" s="5">
        <v>15</v>
      </c>
      <c r="D698" s="9" t="s">
        <v>161</v>
      </c>
      <c r="E698" s="10">
        <v>150</v>
      </c>
      <c r="F698" s="10">
        <f t="shared" si="10"/>
        <v>2250</v>
      </c>
    </row>
    <row r="699" spans="1:6" x14ac:dyDescent="0.25">
      <c r="B699" s="9"/>
      <c r="D699" s="9"/>
      <c r="F699" s="8">
        <f>SUM(F693:F698)</f>
        <v>5535</v>
      </c>
    </row>
    <row r="700" spans="1:6" x14ac:dyDescent="0.25">
      <c r="B700" s="9"/>
      <c r="D700" s="9"/>
    </row>
    <row r="701" spans="1:6" x14ac:dyDescent="0.25">
      <c r="A701" t="s">
        <v>181</v>
      </c>
      <c r="B701" s="4">
        <v>46002</v>
      </c>
      <c r="C701" s="5">
        <v>4</v>
      </c>
      <c r="D701" s="9" t="s">
        <v>1221</v>
      </c>
      <c r="E701" s="10">
        <v>195</v>
      </c>
      <c r="F701" s="10">
        <f t="shared" si="10"/>
        <v>780</v>
      </c>
    </row>
    <row r="702" spans="1:6" x14ac:dyDescent="0.25">
      <c r="B702" s="4"/>
      <c r="D702" s="9"/>
      <c r="F702" s="8">
        <f>SUM(F701)</f>
        <v>780</v>
      </c>
    </row>
    <row r="703" spans="1:6" x14ac:dyDescent="0.25">
      <c r="B703" s="9"/>
      <c r="D703" s="9"/>
    </row>
    <row r="704" spans="1:6" x14ac:dyDescent="0.25">
      <c r="A704" t="s">
        <v>41</v>
      </c>
      <c r="B704" s="4">
        <v>46003</v>
      </c>
      <c r="C704" s="5">
        <v>45</v>
      </c>
      <c r="D704" s="9" t="s">
        <v>14</v>
      </c>
      <c r="E704" s="10">
        <v>165</v>
      </c>
      <c r="F704" s="10">
        <f t="shared" si="10"/>
        <v>7425</v>
      </c>
    </row>
    <row r="705" spans="1:6" x14ac:dyDescent="0.25">
      <c r="B705" s="4"/>
      <c r="D705" s="9"/>
      <c r="F705" s="8">
        <f>SUM(F704)</f>
        <v>7425</v>
      </c>
    </row>
    <row r="706" spans="1:6" x14ac:dyDescent="0.25">
      <c r="B706" s="9"/>
      <c r="D706" s="9"/>
    </row>
    <row r="707" spans="1:6" x14ac:dyDescent="0.25">
      <c r="A707" t="s">
        <v>43</v>
      </c>
      <c r="B707" s="4">
        <v>46003</v>
      </c>
      <c r="C707" s="5">
        <v>30</v>
      </c>
      <c r="D707" s="9" t="s">
        <v>49</v>
      </c>
      <c r="E707" s="10">
        <v>195</v>
      </c>
      <c r="F707" s="10">
        <f t="shared" si="10"/>
        <v>5850</v>
      </c>
    </row>
    <row r="708" spans="1:6" x14ac:dyDescent="0.25">
      <c r="B708" s="4"/>
      <c r="C708" s="5">
        <v>10</v>
      </c>
      <c r="D708" s="9" t="s">
        <v>615</v>
      </c>
      <c r="E708" s="10">
        <v>190</v>
      </c>
      <c r="F708" s="10">
        <f t="shared" si="10"/>
        <v>1900</v>
      </c>
    </row>
    <row r="709" spans="1:6" x14ac:dyDescent="0.25">
      <c r="B709" s="9"/>
      <c r="D709" s="9"/>
      <c r="F709" s="8">
        <f>SUM(F707:F708)</f>
        <v>7750</v>
      </c>
    </row>
    <row r="710" spans="1:6" x14ac:dyDescent="0.25">
      <c r="B710" s="9"/>
      <c r="D710" s="9"/>
    </row>
    <row r="711" spans="1:6" x14ac:dyDescent="0.25">
      <c r="A711" t="s">
        <v>253</v>
      </c>
      <c r="B711" s="4">
        <v>46003</v>
      </c>
      <c r="C711" s="5">
        <v>40</v>
      </c>
      <c r="D711" s="9" t="s">
        <v>14</v>
      </c>
      <c r="E711" s="10">
        <v>182</v>
      </c>
      <c r="F711" s="10">
        <f t="shared" si="10"/>
        <v>7280</v>
      </c>
    </row>
    <row r="712" spans="1:6" x14ac:dyDescent="0.25">
      <c r="B712" s="9"/>
      <c r="D712" s="9"/>
      <c r="F712" s="8">
        <f>SUM(F711)</f>
        <v>7280</v>
      </c>
    </row>
    <row r="713" spans="1:6" x14ac:dyDescent="0.25">
      <c r="B713" s="9"/>
      <c r="D713" s="9"/>
    </row>
    <row r="714" spans="1:6" x14ac:dyDescent="0.25">
      <c r="A714" t="s">
        <v>455</v>
      </c>
      <c r="B714" s="4">
        <v>46003</v>
      </c>
      <c r="C714" s="5">
        <v>60</v>
      </c>
      <c r="D714" s="9" t="s">
        <v>14</v>
      </c>
      <c r="E714" s="10">
        <v>180</v>
      </c>
      <c r="F714" s="10">
        <f t="shared" si="10"/>
        <v>10800</v>
      </c>
    </row>
    <row r="715" spans="1:6" x14ac:dyDescent="0.25">
      <c r="B715" s="9"/>
      <c r="D715" s="9"/>
      <c r="F715" s="8">
        <f>SUM(F714)</f>
        <v>10800</v>
      </c>
    </row>
    <row r="716" spans="1:6" x14ac:dyDescent="0.25">
      <c r="B716" s="9"/>
      <c r="D716" s="9"/>
    </row>
    <row r="717" spans="1:6" x14ac:dyDescent="0.25">
      <c r="A717" t="s">
        <v>44</v>
      </c>
      <c r="B717" s="4">
        <v>46003</v>
      </c>
      <c r="C717" s="5">
        <v>47</v>
      </c>
      <c r="D717" s="9" t="s">
        <v>14</v>
      </c>
      <c r="E717" s="10">
        <v>190</v>
      </c>
      <c r="F717" s="10">
        <f t="shared" ref="F717:F777" si="11">+C717*E717</f>
        <v>8930</v>
      </c>
    </row>
    <row r="718" spans="1:6" x14ac:dyDescent="0.25">
      <c r="B718" s="9"/>
      <c r="D718" s="9"/>
      <c r="F718" s="8">
        <f>SUM(F717)</f>
        <v>8930</v>
      </c>
    </row>
    <row r="719" spans="1:6" x14ac:dyDescent="0.25">
      <c r="B719" s="4"/>
      <c r="D719" s="9"/>
    </row>
    <row r="720" spans="1:6" x14ac:dyDescent="0.25">
      <c r="A720" t="s">
        <v>18</v>
      </c>
      <c r="B720" s="4">
        <v>46003</v>
      </c>
      <c r="C720" s="5">
        <v>40</v>
      </c>
      <c r="D720" s="9" t="s">
        <v>14</v>
      </c>
      <c r="E720" s="10">
        <v>190</v>
      </c>
      <c r="F720" s="10">
        <f t="shared" si="11"/>
        <v>7600</v>
      </c>
    </row>
    <row r="721" spans="1:6" x14ac:dyDescent="0.25">
      <c r="B721" s="9"/>
      <c r="C721" s="5">
        <v>10</v>
      </c>
      <c r="D721" s="9" t="s">
        <v>12</v>
      </c>
      <c r="E721" s="10">
        <v>185</v>
      </c>
      <c r="F721" s="10">
        <f t="shared" si="11"/>
        <v>1850</v>
      </c>
    </row>
    <row r="722" spans="1:6" x14ac:dyDescent="0.25">
      <c r="B722" s="9"/>
      <c r="D722" s="9"/>
      <c r="F722" s="8">
        <f>SUM(F720:F721)</f>
        <v>9450</v>
      </c>
    </row>
    <row r="723" spans="1:6" x14ac:dyDescent="0.25">
      <c r="B723" s="4"/>
      <c r="D723" s="9"/>
    </row>
    <row r="724" spans="1:6" x14ac:dyDescent="0.25">
      <c r="A724" t="s">
        <v>46</v>
      </c>
      <c r="B724" s="4">
        <v>46003</v>
      </c>
      <c r="C724" s="5">
        <v>20</v>
      </c>
      <c r="D724" s="9" t="s">
        <v>14</v>
      </c>
      <c r="E724" s="10">
        <v>190</v>
      </c>
      <c r="F724" s="10">
        <f t="shared" si="11"/>
        <v>3800</v>
      </c>
    </row>
    <row r="725" spans="1:6" x14ac:dyDescent="0.25">
      <c r="B725" s="9"/>
      <c r="D725" s="9"/>
      <c r="F725" s="8">
        <f>SUM(F724)</f>
        <v>3800</v>
      </c>
    </row>
    <row r="726" spans="1:6" x14ac:dyDescent="0.25">
      <c r="B726" s="4"/>
      <c r="D726" s="9"/>
    </row>
    <row r="727" spans="1:6" x14ac:dyDescent="0.25">
      <c r="A727" t="s">
        <v>292</v>
      </c>
      <c r="B727" s="4">
        <v>46003</v>
      </c>
      <c r="C727" s="5">
        <v>5</v>
      </c>
      <c r="D727" s="9" t="s">
        <v>14</v>
      </c>
      <c r="E727" s="10">
        <v>185</v>
      </c>
      <c r="F727" s="10">
        <f t="shared" si="11"/>
        <v>925</v>
      </c>
    </row>
    <row r="728" spans="1:6" x14ac:dyDescent="0.25">
      <c r="B728" s="9"/>
      <c r="C728" s="5">
        <v>5</v>
      </c>
      <c r="D728" s="9" t="s">
        <v>11</v>
      </c>
      <c r="E728" s="10">
        <v>175</v>
      </c>
      <c r="F728" s="10">
        <f t="shared" si="11"/>
        <v>875</v>
      </c>
    </row>
    <row r="729" spans="1:6" x14ac:dyDescent="0.25">
      <c r="B729" s="4"/>
      <c r="C729" s="5">
        <v>5</v>
      </c>
      <c r="D729" s="9" t="s">
        <v>1222</v>
      </c>
      <c r="E729" s="10">
        <v>175</v>
      </c>
      <c r="F729" s="10">
        <f t="shared" si="11"/>
        <v>875</v>
      </c>
    </row>
    <row r="730" spans="1:6" x14ac:dyDescent="0.25">
      <c r="B730" s="9"/>
      <c r="D730" s="9"/>
      <c r="F730" s="8">
        <f>SUM(F727:F729)</f>
        <v>2675</v>
      </c>
    </row>
    <row r="731" spans="1:6" x14ac:dyDescent="0.25">
      <c r="B731" s="9"/>
      <c r="D731" s="9"/>
    </row>
    <row r="732" spans="1:6" x14ac:dyDescent="0.25">
      <c r="A732" t="s">
        <v>26</v>
      </c>
      <c r="B732" s="4">
        <v>46003</v>
      </c>
      <c r="C732" s="5">
        <v>10</v>
      </c>
      <c r="D732" s="9" t="s">
        <v>14</v>
      </c>
      <c r="E732" s="10">
        <v>175</v>
      </c>
      <c r="F732" s="10">
        <f t="shared" si="11"/>
        <v>1750</v>
      </c>
    </row>
    <row r="733" spans="1:6" x14ac:dyDescent="0.25">
      <c r="B733" s="4"/>
      <c r="D733" s="9"/>
      <c r="F733" s="8">
        <f>SUM(F732)</f>
        <v>1750</v>
      </c>
    </row>
    <row r="734" spans="1:6" x14ac:dyDescent="0.25">
      <c r="B734" s="9"/>
      <c r="D734" s="9"/>
    </row>
    <row r="735" spans="1:6" x14ac:dyDescent="0.25">
      <c r="A735" t="s">
        <v>1223</v>
      </c>
      <c r="B735" s="4">
        <v>46003</v>
      </c>
      <c r="C735" s="5">
        <v>5</v>
      </c>
      <c r="D735" s="9" t="s">
        <v>13</v>
      </c>
      <c r="E735" s="10">
        <v>195</v>
      </c>
      <c r="F735" s="10">
        <f t="shared" si="11"/>
        <v>975</v>
      </c>
    </row>
    <row r="736" spans="1:6" x14ac:dyDescent="0.25">
      <c r="B736" s="4"/>
      <c r="D736" s="9"/>
      <c r="F736" s="8">
        <f>SUM(F735)</f>
        <v>975</v>
      </c>
    </row>
    <row r="737" spans="1:6" x14ac:dyDescent="0.25">
      <c r="B737" s="9"/>
      <c r="D737" s="9"/>
    </row>
    <row r="738" spans="1:6" x14ac:dyDescent="0.25">
      <c r="A738" t="s">
        <v>67</v>
      </c>
      <c r="B738" s="4">
        <v>46003</v>
      </c>
      <c r="C738" s="5">
        <v>10</v>
      </c>
      <c r="D738" s="9" t="s">
        <v>13</v>
      </c>
      <c r="E738" s="10">
        <v>190</v>
      </c>
      <c r="F738" s="10">
        <f t="shared" si="11"/>
        <v>1900</v>
      </c>
    </row>
    <row r="739" spans="1:6" x14ac:dyDescent="0.25">
      <c r="B739" s="4"/>
      <c r="D739" s="9"/>
      <c r="F739" s="8">
        <f>SUM(F738)</f>
        <v>1900</v>
      </c>
    </row>
    <row r="740" spans="1:6" x14ac:dyDescent="0.25">
      <c r="B740" s="9"/>
      <c r="D740" s="9"/>
    </row>
    <row r="741" spans="1:6" x14ac:dyDescent="0.25">
      <c r="A741" t="s">
        <v>734</v>
      </c>
      <c r="B741" s="4">
        <v>46003</v>
      </c>
      <c r="C741" s="5">
        <v>7</v>
      </c>
      <c r="D741" s="9" t="s">
        <v>13</v>
      </c>
      <c r="E741" s="10">
        <v>195</v>
      </c>
      <c r="F741" s="10">
        <f t="shared" si="11"/>
        <v>1365</v>
      </c>
    </row>
    <row r="742" spans="1:6" x14ac:dyDescent="0.25">
      <c r="B742" s="9"/>
      <c r="D742" s="9"/>
      <c r="F742" s="8">
        <f>SUM(F741)</f>
        <v>1365</v>
      </c>
    </row>
    <row r="743" spans="1:6" x14ac:dyDescent="0.25">
      <c r="B743" s="4"/>
      <c r="D743" s="9"/>
    </row>
    <row r="744" spans="1:6" x14ac:dyDescent="0.25">
      <c r="A744" t="s">
        <v>1211</v>
      </c>
      <c r="B744" s="4">
        <v>46003</v>
      </c>
      <c r="C744" s="5">
        <v>50</v>
      </c>
      <c r="D744" s="9" t="s">
        <v>11</v>
      </c>
      <c r="E744" s="10">
        <v>180</v>
      </c>
      <c r="F744" s="10">
        <f t="shared" si="11"/>
        <v>9000</v>
      </c>
    </row>
    <row r="745" spans="1:6" x14ac:dyDescent="0.25">
      <c r="B745" s="9"/>
      <c r="C745" s="5">
        <v>30</v>
      </c>
      <c r="D745" s="9" t="s">
        <v>12</v>
      </c>
      <c r="E745" s="10">
        <v>180</v>
      </c>
      <c r="F745" s="10">
        <f t="shared" si="11"/>
        <v>5400</v>
      </c>
    </row>
    <row r="746" spans="1:6" x14ac:dyDescent="0.25">
      <c r="B746" s="4"/>
      <c r="D746" s="9"/>
      <c r="F746" s="8">
        <f>SUM(F744:F745)</f>
        <v>14400</v>
      </c>
    </row>
    <row r="747" spans="1:6" x14ac:dyDescent="0.25">
      <c r="B747" s="9"/>
      <c r="D747" s="9"/>
    </row>
    <row r="748" spans="1:6" x14ac:dyDescent="0.25">
      <c r="A748" t="s">
        <v>113</v>
      </c>
      <c r="B748" s="4">
        <v>46003</v>
      </c>
      <c r="C748" s="5">
        <v>20</v>
      </c>
      <c r="D748" s="9" t="s">
        <v>519</v>
      </c>
      <c r="E748" s="10">
        <v>195</v>
      </c>
      <c r="F748" s="10">
        <f t="shared" si="11"/>
        <v>3900</v>
      </c>
    </row>
    <row r="749" spans="1:6" x14ac:dyDescent="0.25">
      <c r="B749" s="4"/>
      <c r="D749" s="9"/>
      <c r="F749" s="8">
        <f>SUM(F748)</f>
        <v>3900</v>
      </c>
    </row>
    <row r="750" spans="1:6" x14ac:dyDescent="0.25">
      <c r="B750" s="9"/>
      <c r="D750" s="9"/>
    </row>
    <row r="751" spans="1:6" x14ac:dyDescent="0.25">
      <c r="A751" t="s">
        <v>853</v>
      </c>
      <c r="B751" s="4">
        <v>46003</v>
      </c>
      <c r="C751" s="5">
        <v>4</v>
      </c>
      <c r="D751" s="9" t="s">
        <v>13</v>
      </c>
      <c r="E751" s="10">
        <v>195</v>
      </c>
      <c r="F751" s="10">
        <f t="shared" si="11"/>
        <v>780</v>
      </c>
    </row>
    <row r="752" spans="1:6" x14ac:dyDescent="0.25">
      <c r="B752" s="4"/>
      <c r="D752" s="9"/>
      <c r="F752" s="8">
        <f>SUM(F751)</f>
        <v>780</v>
      </c>
    </row>
    <row r="753" spans="1:6" x14ac:dyDescent="0.25">
      <c r="B753" s="9"/>
      <c r="D753" s="9"/>
    </row>
    <row r="754" spans="1:6" x14ac:dyDescent="0.25">
      <c r="A754" t="s">
        <v>65</v>
      </c>
      <c r="B754" s="4">
        <v>46003</v>
      </c>
      <c r="C754" s="5">
        <v>150</v>
      </c>
      <c r="D754" s="9" t="s">
        <v>50</v>
      </c>
      <c r="E754" s="10">
        <v>175</v>
      </c>
      <c r="F754" s="10">
        <f t="shared" si="11"/>
        <v>26250</v>
      </c>
    </row>
    <row r="755" spans="1:6" x14ac:dyDescent="0.25">
      <c r="B755" s="4"/>
      <c r="C755" s="5">
        <v>90</v>
      </c>
      <c r="D755" s="9" t="s">
        <v>11</v>
      </c>
      <c r="E755" s="10">
        <v>180</v>
      </c>
      <c r="F755" s="10">
        <f t="shared" si="11"/>
        <v>16200</v>
      </c>
    </row>
    <row r="756" spans="1:6" x14ac:dyDescent="0.25">
      <c r="B756" s="9"/>
      <c r="C756" s="5">
        <v>100</v>
      </c>
      <c r="D756" s="9" t="s">
        <v>602</v>
      </c>
      <c r="E756" s="10">
        <v>185</v>
      </c>
      <c r="F756" s="10">
        <f t="shared" si="11"/>
        <v>18500</v>
      </c>
    </row>
    <row r="757" spans="1:6" x14ac:dyDescent="0.25">
      <c r="B757" s="9"/>
      <c r="C757" s="5">
        <v>260</v>
      </c>
      <c r="D757" s="9" t="s">
        <v>12</v>
      </c>
      <c r="E757" s="10">
        <v>180</v>
      </c>
      <c r="F757" s="10">
        <f t="shared" si="11"/>
        <v>46800</v>
      </c>
    </row>
    <row r="758" spans="1:6" x14ac:dyDescent="0.25">
      <c r="B758" s="4"/>
      <c r="C758" s="5">
        <v>17</v>
      </c>
      <c r="D758" s="9" t="s">
        <v>22</v>
      </c>
      <c r="E758" s="10">
        <v>175</v>
      </c>
      <c r="F758" s="10">
        <f t="shared" si="11"/>
        <v>2975</v>
      </c>
    </row>
    <row r="759" spans="1:6" x14ac:dyDescent="0.25">
      <c r="B759" s="9"/>
      <c r="C759" s="5">
        <v>26</v>
      </c>
      <c r="D759" s="9" t="s">
        <v>799</v>
      </c>
      <c r="E759" s="10">
        <v>180</v>
      </c>
      <c r="F759" s="10">
        <f t="shared" si="11"/>
        <v>4680</v>
      </c>
    </row>
    <row r="760" spans="1:6" x14ac:dyDescent="0.25">
      <c r="B760" s="9"/>
      <c r="D760" s="9"/>
      <c r="F760" s="8">
        <f>SUM(F754:F759)</f>
        <v>115405</v>
      </c>
    </row>
    <row r="761" spans="1:6" x14ac:dyDescent="0.25">
      <c r="B761" s="4"/>
      <c r="D761" s="9"/>
    </row>
    <row r="762" spans="1:6" x14ac:dyDescent="0.25">
      <c r="A762" t="s">
        <v>29</v>
      </c>
      <c r="B762" s="4">
        <v>46003</v>
      </c>
      <c r="C762" s="5">
        <v>1</v>
      </c>
      <c r="D762" s="9" t="s">
        <v>13</v>
      </c>
      <c r="E762" s="10">
        <v>190</v>
      </c>
      <c r="F762" s="10">
        <f t="shared" si="11"/>
        <v>190</v>
      </c>
    </row>
    <row r="763" spans="1:6" x14ac:dyDescent="0.25">
      <c r="B763" s="9"/>
      <c r="C763" s="5">
        <v>1</v>
      </c>
      <c r="D763" s="9" t="s">
        <v>432</v>
      </c>
      <c r="E763" s="10">
        <v>180</v>
      </c>
      <c r="F763" s="10">
        <f t="shared" si="11"/>
        <v>180</v>
      </c>
    </row>
    <row r="764" spans="1:6" x14ac:dyDescent="0.25">
      <c r="B764" s="9"/>
      <c r="C764" s="5">
        <v>1</v>
      </c>
      <c r="D764" s="9" t="s">
        <v>729</v>
      </c>
      <c r="E764" s="10">
        <v>160</v>
      </c>
      <c r="F764" s="10">
        <f t="shared" si="11"/>
        <v>160</v>
      </c>
    </row>
    <row r="765" spans="1:6" x14ac:dyDescent="0.25">
      <c r="B765" s="9"/>
      <c r="D765" s="9"/>
      <c r="F765" s="8">
        <f>SUM(F762:F764)</f>
        <v>530</v>
      </c>
    </row>
    <row r="766" spans="1:6" x14ac:dyDescent="0.25">
      <c r="B766" s="4"/>
      <c r="D766" s="9"/>
    </row>
    <row r="767" spans="1:6" x14ac:dyDescent="0.25">
      <c r="A767" t="s">
        <v>7</v>
      </c>
      <c r="B767" s="4">
        <v>46003</v>
      </c>
      <c r="C767" s="5">
        <v>2</v>
      </c>
      <c r="D767" s="9" t="s">
        <v>12</v>
      </c>
      <c r="E767" s="10">
        <v>185</v>
      </c>
      <c r="F767" s="10">
        <f t="shared" si="11"/>
        <v>370</v>
      </c>
    </row>
    <row r="768" spans="1:6" x14ac:dyDescent="0.25">
      <c r="B768" s="9"/>
      <c r="C768" s="5">
        <v>2</v>
      </c>
      <c r="D768" s="9" t="s">
        <v>12</v>
      </c>
      <c r="E768" s="10">
        <v>185</v>
      </c>
      <c r="F768" s="10">
        <f t="shared" si="11"/>
        <v>370</v>
      </c>
    </row>
    <row r="769" spans="1:6" x14ac:dyDescent="0.25">
      <c r="B769" s="9"/>
      <c r="D769" s="9"/>
      <c r="F769" s="8">
        <f>SUM(F767:F768)</f>
        <v>740</v>
      </c>
    </row>
    <row r="770" spans="1:6" x14ac:dyDescent="0.25">
      <c r="B770" s="4"/>
      <c r="D770" s="9"/>
    </row>
    <row r="771" spans="1:6" x14ac:dyDescent="0.25">
      <c r="A771" t="s">
        <v>1041</v>
      </c>
      <c r="B771" s="4">
        <v>46004</v>
      </c>
      <c r="C771" s="5">
        <v>70</v>
      </c>
      <c r="D771" s="9" t="s">
        <v>98</v>
      </c>
      <c r="E771" s="10">
        <v>135</v>
      </c>
      <c r="F771" s="10">
        <f t="shared" si="11"/>
        <v>9450</v>
      </c>
    </row>
    <row r="772" spans="1:6" x14ac:dyDescent="0.25">
      <c r="B772" s="9"/>
      <c r="D772" s="9"/>
      <c r="F772" s="8">
        <f>SUM(F771)</f>
        <v>9450</v>
      </c>
    </row>
    <row r="773" spans="1:6" x14ac:dyDescent="0.25">
      <c r="B773" s="4"/>
      <c r="D773" s="9"/>
    </row>
    <row r="774" spans="1:6" x14ac:dyDescent="0.25">
      <c r="A774" t="s">
        <v>18</v>
      </c>
      <c r="B774" s="4">
        <v>46004</v>
      </c>
      <c r="C774" s="5">
        <v>7</v>
      </c>
      <c r="D774" s="9" t="s">
        <v>479</v>
      </c>
      <c r="E774" s="10">
        <v>170</v>
      </c>
      <c r="F774" s="10">
        <f t="shared" si="11"/>
        <v>1190</v>
      </c>
    </row>
    <row r="775" spans="1:6" x14ac:dyDescent="0.25">
      <c r="B775" s="9"/>
      <c r="D775" s="9"/>
      <c r="F775" s="8">
        <f>SUM(F774)</f>
        <v>1190</v>
      </c>
    </row>
    <row r="776" spans="1:6" x14ac:dyDescent="0.25">
      <c r="B776" s="9"/>
      <c r="D776" s="9"/>
    </row>
    <row r="777" spans="1:6" x14ac:dyDescent="0.25">
      <c r="A777" t="s">
        <v>58</v>
      </c>
      <c r="B777" s="4">
        <v>46004</v>
      </c>
      <c r="C777" s="5">
        <v>10</v>
      </c>
      <c r="D777" s="9" t="s">
        <v>13</v>
      </c>
      <c r="E777" s="10">
        <v>185</v>
      </c>
      <c r="F777" s="10">
        <f t="shared" si="11"/>
        <v>1850</v>
      </c>
    </row>
    <row r="778" spans="1:6" x14ac:dyDescent="0.25">
      <c r="B778" s="9"/>
      <c r="D778" s="9"/>
      <c r="F778" s="8">
        <f>SUM(F777)</f>
        <v>1850</v>
      </c>
    </row>
    <row r="779" spans="1:6" x14ac:dyDescent="0.25">
      <c r="B779" s="4"/>
      <c r="D779" s="9"/>
    </row>
    <row r="780" spans="1:6" x14ac:dyDescent="0.25">
      <c r="A780" t="s">
        <v>37</v>
      </c>
      <c r="B780" s="4">
        <v>46004</v>
      </c>
      <c r="C780" s="5">
        <v>10</v>
      </c>
      <c r="D780" s="9" t="s">
        <v>12</v>
      </c>
      <c r="E780" s="10">
        <v>185</v>
      </c>
      <c r="F780" s="10">
        <f t="shared" ref="F780:F841" si="12">+C780*E780</f>
        <v>1850</v>
      </c>
    </row>
    <row r="781" spans="1:6" x14ac:dyDescent="0.25">
      <c r="B781" s="9"/>
      <c r="D781" s="9"/>
      <c r="F781" s="8">
        <f>SUM(F780)</f>
        <v>1850</v>
      </c>
    </row>
    <row r="782" spans="1:6" x14ac:dyDescent="0.25">
      <c r="B782" s="9"/>
      <c r="D782" s="9"/>
    </row>
    <row r="783" spans="1:6" x14ac:dyDescent="0.25">
      <c r="A783" t="s">
        <v>427</v>
      </c>
      <c r="B783" s="4">
        <v>46004</v>
      </c>
      <c r="C783" s="5">
        <v>10</v>
      </c>
      <c r="D783" s="9" t="s">
        <v>479</v>
      </c>
      <c r="E783" s="10">
        <v>190</v>
      </c>
      <c r="F783" s="10">
        <f t="shared" si="12"/>
        <v>1900</v>
      </c>
    </row>
    <row r="784" spans="1:6" x14ac:dyDescent="0.25">
      <c r="B784" s="4"/>
      <c r="D784" s="9"/>
      <c r="F784" s="8">
        <f>SUM(F783)</f>
        <v>1900</v>
      </c>
    </row>
    <row r="785" spans="1:6" x14ac:dyDescent="0.25">
      <c r="B785" s="9"/>
      <c r="D785" s="9"/>
    </row>
    <row r="786" spans="1:6" x14ac:dyDescent="0.25">
      <c r="A786" t="s">
        <v>1224</v>
      </c>
      <c r="B786" s="4">
        <v>46004</v>
      </c>
      <c r="C786" s="5">
        <v>10</v>
      </c>
      <c r="D786" s="9" t="s">
        <v>8</v>
      </c>
      <c r="E786" s="10">
        <v>195</v>
      </c>
      <c r="F786" s="10">
        <f t="shared" si="12"/>
        <v>1950</v>
      </c>
    </row>
    <row r="787" spans="1:6" x14ac:dyDescent="0.25">
      <c r="B787" s="9"/>
      <c r="C787" s="5">
        <v>10</v>
      </c>
      <c r="D787" s="9" t="s">
        <v>13</v>
      </c>
      <c r="E787" s="10">
        <v>190</v>
      </c>
      <c r="F787" s="10">
        <f t="shared" si="12"/>
        <v>1900</v>
      </c>
    </row>
    <row r="788" spans="1:6" x14ac:dyDescent="0.25">
      <c r="B788" s="9"/>
      <c r="D788" s="9"/>
      <c r="F788" s="8">
        <f>SUM(F786:F787)</f>
        <v>3850</v>
      </c>
    </row>
    <row r="789" spans="1:6" x14ac:dyDescent="0.25">
      <c r="B789" s="9"/>
      <c r="D789" s="9"/>
    </row>
    <row r="790" spans="1:6" x14ac:dyDescent="0.25">
      <c r="A790" t="s">
        <v>21</v>
      </c>
      <c r="B790" s="4">
        <v>46004</v>
      </c>
      <c r="C790" s="5">
        <v>22</v>
      </c>
      <c r="D790" s="9" t="s">
        <v>13</v>
      </c>
      <c r="E790" s="10">
        <v>190</v>
      </c>
      <c r="F790" s="10">
        <f t="shared" si="12"/>
        <v>4180</v>
      </c>
    </row>
    <row r="791" spans="1:6" x14ac:dyDescent="0.25">
      <c r="B791" s="9"/>
      <c r="C791" s="5">
        <v>10</v>
      </c>
      <c r="D791" s="9" t="s">
        <v>50</v>
      </c>
      <c r="E791" s="10">
        <v>175</v>
      </c>
      <c r="F791" s="10">
        <f t="shared" si="12"/>
        <v>1750</v>
      </c>
    </row>
    <row r="792" spans="1:6" x14ac:dyDescent="0.25">
      <c r="B792" s="4"/>
      <c r="C792" s="5">
        <v>10</v>
      </c>
      <c r="D792" s="9" t="s">
        <v>1225</v>
      </c>
      <c r="E792" s="10">
        <v>180</v>
      </c>
      <c r="F792" s="10">
        <f t="shared" si="12"/>
        <v>1800</v>
      </c>
    </row>
    <row r="793" spans="1:6" x14ac:dyDescent="0.25">
      <c r="B793" s="9"/>
      <c r="C793" s="5">
        <v>15</v>
      </c>
      <c r="D793" s="9" t="s">
        <v>12</v>
      </c>
      <c r="E793" s="10">
        <v>185</v>
      </c>
      <c r="F793" s="10">
        <f t="shared" si="12"/>
        <v>2775</v>
      </c>
    </row>
    <row r="794" spans="1:6" x14ac:dyDescent="0.25">
      <c r="B794" s="9"/>
      <c r="D794" s="9"/>
      <c r="F794" s="8">
        <f>SUM(F790:F793)</f>
        <v>10505</v>
      </c>
    </row>
    <row r="795" spans="1:6" x14ac:dyDescent="0.25">
      <c r="B795" s="9"/>
      <c r="D795" s="9"/>
    </row>
    <row r="796" spans="1:6" x14ac:dyDescent="0.25">
      <c r="A796" t="s">
        <v>367</v>
      </c>
      <c r="B796" s="4">
        <v>46004</v>
      </c>
      <c r="C796" s="5">
        <v>10</v>
      </c>
      <c r="D796" s="9" t="s">
        <v>13</v>
      </c>
      <c r="E796" s="10">
        <v>190</v>
      </c>
      <c r="F796" s="10">
        <f t="shared" si="12"/>
        <v>1900</v>
      </c>
    </row>
    <row r="797" spans="1:6" x14ac:dyDescent="0.25">
      <c r="B797" s="9"/>
      <c r="C797" s="5">
        <v>10</v>
      </c>
      <c r="D797" s="9" t="s">
        <v>1226</v>
      </c>
      <c r="E797" s="10">
        <v>185</v>
      </c>
      <c r="F797" s="10">
        <f t="shared" si="12"/>
        <v>1850</v>
      </c>
    </row>
    <row r="798" spans="1:6" x14ac:dyDescent="0.25">
      <c r="B798" s="9"/>
      <c r="D798" s="9"/>
      <c r="F798" s="8">
        <f>SUM(F796:F797)</f>
        <v>3750</v>
      </c>
    </row>
    <row r="799" spans="1:6" x14ac:dyDescent="0.25">
      <c r="B799" s="9"/>
      <c r="D799" s="9"/>
    </row>
    <row r="800" spans="1:6" x14ac:dyDescent="0.25">
      <c r="A800" t="s">
        <v>923</v>
      </c>
      <c r="B800" s="4">
        <v>46004</v>
      </c>
      <c r="C800" s="5">
        <v>10</v>
      </c>
      <c r="D800" s="9" t="s">
        <v>12</v>
      </c>
      <c r="E800" s="10">
        <v>185</v>
      </c>
      <c r="F800" s="10">
        <f t="shared" si="12"/>
        <v>1850</v>
      </c>
    </row>
    <row r="801" spans="1:6" x14ac:dyDescent="0.25">
      <c r="B801" s="4"/>
      <c r="C801" s="5">
        <v>10</v>
      </c>
      <c r="D801" s="9" t="s">
        <v>13</v>
      </c>
      <c r="E801" s="10">
        <v>190</v>
      </c>
      <c r="F801" s="10">
        <f t="shared" si="12"/>
        <v>1900</v>
      </c>
    </row>
    <row r="802" spans="1:6" x14ac:dyDescent="0.25">
      <c r="B802" s="9"/>
      <c r="C802" s="5">
        <v>10</v>
      </c>
      <c r="D802" s="9" t="s">
        <v>1227</v>
      </c>
      <c r="E802" s="10">
        <v>180</v>
      </c>
      <c r="F802" s="10">
        <f t="shared" si="12"/>
        <v>1800</v>
      </c>
    </row>
    <row r="803" spans="1:6" x14ac:dyDescent="0.25">
      <c r="B803" s="9"/>
      <c r="D803" s="9"/>
      <c r="F803" s="8">
        <f>SUM(F800:F802)</f>
        <v>5550</v>
      </c>
    </row>
    <row r="804" spans="1:6" x14ac:dyDescent="0.25">
      <c r="B804" s="4"/>
      <c r="D804" s="9"/>
    </row>
    <row r="805" spans="1:6" x14ac:dyDescent="0.25">
      <c r="A805" t="s">
        <v>40</v>
      </c>
      <c r="B805" s="4">
        <v>46004</v>
      </c>
      <c r="C805" s="5">
        <v>20</v>
      </c>
      <c r="D805" s="9" t="s">
        <v>13</v>
      </c>
      <c r="E805" s="10">
        <v>190</v>
      </c>
      <c r="F805" s="10">
        <f t="shared" si="12"/>
        <v>3800</v>
      </c>
    </row>
    <row r="806" spans="1:6" x14ac:dyDescent="0.25">
      <c r="B806" s="9"/>
      <c r="C806" s="5">
        <v>20</v>
      </c>
      <c r="D806" s="9" t="s">
        <v>8</v>
      </c>
      <c r="E806" s="10">
        <v>195</v>
      </c>
      <c r="F806" s="10">
        <f t="shared" si="12"/>
        <v>3900</v>
      </c>
    </row>
    <row r="807" spans="1:6" x14ac:dyDescent="0.25">
      <c r="B807" s="4"/>
      <c r="C807" s="5">
        <v>20</v>
      </c>
      <c r="D807" s="9" t="s">
        <v>12</v>
      </c>
      <c r="E807" s="10">
        <v>185</v>
      </c>
      <c r="F807" s="10">
        <f t="shared" si="12"/>
        <v>3700</v>
      </c>
    </row>
    <row r="808" spans="1:6" x14ac:dyDescent="0.25">
      <c r="B808" s="9"/>
      <c r="C808" s="5">
        <v>30</v>
      </c>
      <c r="D808" s="9" t="s">
        <v>22</v>
      </c>
      <c r="E808" s="10">
        <v>180</v>
      </c>
      <c r="F808" s="10">
        <f t="shared" si="12"/>
        <v>5400</v>
      </c>
    </row>
    <row r="809" spans="1:6" x14ac:dyDescent="0.25">
      <c r="B809" s="9"/>
      <c r="C809" s="5">
        <v>30</v>
      </c>
      <c r="D809" s="9" t="s">
        <v>50</v>
      </c>
      <c r="E809" s="10">
        <v>175</v>
      </c>
      <c r="F809" s="10">
        <f t="shared" si="12"/>
        <v>5250</v>
      </c>
    </row>
    <row r="810" spans="1:6" x14ac:dyDescent="0.25">
      <c r="B810" s="4"/>
      <c r="C810" s="5">
        <v>20</v>
      </c>
      <c r="D810" s="9" t="s">
        <v>14</v>
      </c>
      <c r="E810" s="10">
        <v>185</v>
      </c>
      <c r="F810" s="10">
        <f t="shared" si="12"/>
        <v>3700</v>
      </c>
    </row>
    <row r="811" spans="1:6" x14ac:dyDescent="0.25">
      <c r="B811" s="9"/>
      <c r="D811" s="9"/>
      <c r="F811" s="8">
        <f>SUM(F805:F810)</f>
        <v>25750</v>
      </c>
    </row>
    <row r="812" spans="1:6" x14ac:dyDescent="0.25">
      <c r="B812" s="9"/>
      <c r="D812" s="9"/>
    </row>
    <row r="813" spans="1:6" x14ac:dyDescent="0.25">
      <c r="A813" t="s">
        <v>25</v>
      </c>
      <c r="B813" s="4">
        <v>46004</v>
      </c>
      <c r="C813" s="5">
        <v>30</v>
      </c>
      <c r="D813" s="9" t="s">
        <v>1228</v>
      </c>
      <c r="E813" s="10">
        <v>175</v>
      </c>
      <c r="F813" s="10">
        <f t="shared" si="12"/>
        <v>5250</v>
      </c>
    </row>
    <row r="814" spans="1:6" x14ac:dyDescent="0.25">
      <c r="B814" s="9"/>
      <c r="C814" s="5">
        <v>40</v>
      </c>
      <c r="D814" s="9" t="s">
        <v>14</v>
      </c>
      <c r="E814" s="10">
        <v>185</v>
      </c>
      <c r="F814" s="10">
        <f t="shared" si="12"/>
        <v>7400</v>
      </c>
    </row>
    <row r="815" spans="1:6" x14ac:dyDescent="0.25">
      <c r="B815" s="9"/>
      <c r="D815" s="9"/>
      <c r="F815" s="8">
        <f>SUM(F813:F814)</f>
        <v>12650</v>
      </c>
    </row>
    <row r="816" spans="1:6" x14ac:dyDescent="0.25">
      <c r="B816" s="9"/>
      <c r="D816" s="9"/>
    </row>
    <row r="817" spans="1:6" x14ac:dyDescent="0.25">
      <c r="A817" t="s">
        <v>1122</v>
      </c>
      <c r="B817" s="4">
        <v>46004</v>
      </c>
      <c r="C817" s="5">
        <v>10</v>
      </c>
      <c r="D817" s="9" t="s">
        <v>13</v>
      </c>
      <c r="E817" s="10">
        <v>190</v>
      </c>
      <c r="F817" s="10">
        <f t="shared" si="12"/>
        <v>1900</v>
      </c>
    </row>
    <row r="818" spans="1:6" x14ac:dyDescent="0.25">
      <c r="B818" s="4"/>
      <c r="D818" s="9"/>
      <c r="F818" s="8">
        <f>SUM(F817)</f>
        <v>1900</v>
      </c>
    </row>
    <row r="819" spans="1:6" x14ac:dyDescent="0.25">
      <c r="B819" s="9"/>
      <c r="D819" s="9"/>
    </row>
    <row r="820" spans="1:6" x14ac:dyDescent="0.25">
      <c r="A820" t="s">
        <v>487</v>
      </c>
      <c r="B820" s="4">
        <v>46004</v>
      </c>
      <c r="C820" s="5">
        <v>5</v>
      </c>
      <c r="D820" s="9" t="s">
        <v>12</v>
      </c>
      <c r="E820" s="10">
        <v>185</v>
      </c>
      <c r="F820" s="10">
        <f t="shared" si="12"/>
        <v>925</v>
      </c>
    </row>
    <row r="821" spans="1:6" x14ac:dyDescent="0.25">
      <c r="B821" s="9"/>
      <c r="D821" s="9"/>
      <c r="F821" s="8">
        <f>SUM(F820)</f>
        <v>925</v>
      </c>
    </row>
    <row r="822" spans="1:6" x14ac:dyDescent="0.25">
      <c r="B822" s="9"/>
      <c r="D822" s="9"/>
    </row>
    <row r="823" spans="1:6" x14ac:dyDescent="0.25">
      <c r="A823" t="s">
        <v>1229</v>
      </c>
      <c r="B823" s="4">
        <v>46004</v>
      </c>
      <c r="C823" s="5">
        <v>100</v>
      </c>
      <c r="D823" s="9" t="s">
        <v>13</v>
      </c>
      <c r="E823" s="10">
        <v>190</v>
      </c>
      <c r="F823" s="10">
        <f t="shared" si="12"/>
        <v>19000</v>
      </c>
    </row>
    <row r="824" spans="1:6" x14ac:dyDescent="0.25">
      <c r="B824" s="4"/>
      <c r="C824" s="5">
        <v>60</v>
      </c>
      <c r="D824" s="9" t="s">
        <v>12</v>
      </c>
      <c r="E824" s="10">
        <v>185</v>
      </c>
      <c r="F824" s="10">
        <f t="shared" si="12"/>
        <v>11100</v>
      </c>
    </row>
    <row r="825" spans="1:6" x14ac:dyDescent="0.25">
      <c r="B825" s="9"/>
      <c r="C825" s="5">
        <v>130</v>
      </c>
      <c r="D825" s="9" t="s">
        <v>14</v>
      </c>
      <c r="E825" s="10">
        <v>185</v>
      </c>
      <c r="F825" s="10">
        <f t="shared" si="12"/>
        <v>24050</v>
      </c>
    </row>
    <row r="826" spans="1:6" x14ac:dyDescent="0.25">
      <c r="B826" s="9"/>
      <c r="C826" s="5">
        <v>90</v>
      </c>
      <c r="D826" s="9" t="s">
        <v>49</v>
      </c>
      <c r="E826" s="10">
        <v>195</v>
      </c>
      <c r="F826" s="10">
        <f t="shared" si="12"/>
        <v>17550</v>
      </c>
    </row>
    <row r="827" spans="1:6" x14ac:dyDescent="0.25">
      <c r="B827" s="9"/>
      <c r="D827" s="9"/>
      <c r="F827" s="8">
        <f>SUM(F823:F826)</f>
        <v>71700</v>
      </c>
    </row>
    <row r="828" spans="1:6" x14ac:dyDescent="0.25">
      <c r="B828" s="9"/>
      <c r="D828" s="9"/>
    </row>
    <row r="829" spans="1:6" x14ac:dyDescent="0.25">
      <c r="A829" t="s">
        <v>1230</v>
      </c>
      <c r="B829" s="4">
        <v>46004</v>
      </c>
      <c r="C829" s="5">
        <v>7</v>
      </c>
      <c r="D829" s="9" t="s">
        <v>13</v>
      </c>
      <c r="E829" s="10">
        <v>195</v>
      </c>
      <c r="F829" s="10">
        <f t="shared" si="12"/>
        <v>1365</v>
      </c>
    </row>
    <row r="830" spans="1:6" x14ac:dyDescent="0.25">
      <c r="B830" s="4"/>
      <c r="D830" s="9"/>
      <c r="F830" s="8">
        <f>SUM(F829)</f>
        <v>1365</v>
      </c>
    </row>
    <row r="831" spans="1:6" x14ac:dyDescent="0.25">
      <c r="B831" s="9"/>
      <c r="D831" s="9"/>
    </row>
    <row r="832" spans="1:6" x14ac:dyDescent="0.25">
      <c r="A832" t="s">
        <v>102</v>
      </c>
      <c r="B832" s="4">
        <v>46004</v>
      </c>
      <c r="C832" s="5">
        <v>5</v>
      </c>
      <c r="D832" s="9" t="s">
        <v>13</v>
      </c>
      <c r="E832" s="10">
        <v>195</v>
      </c>
      <c r="F832" s="10">
        <f t="shared" si="12"/>
        <v>975</v>
      </c>
    </row>
    <row r="833" spans="1:6" x14ac:dyDescent="0.25">
      <c r="B833" s="4"/>
      <c r="D833" s="9"/>
      <c r="F833" s="8">
        <f>SUM(F832)</f>
        <v>975</v>
      </c>
    </row>
    <row r="834" spans="1:6" x14ac:dyDescent="0.25">
      <c r="B834" s="9"/>
      <c r="D834" s="9"/>
    </row>
    <row r="835" spans="1:6" x14ac:dyDescent="0.25">
      <c r="A835" t="s">
        <v>1231</v>
      </c>
      <c r="B835" s="4">
        <v>46004</v>
      </c>
      <c r="C835" s="5">
        <v>30</v>
      </c>
      <c r="D835" s="9" t="s">
        <v>11</v>
      </c>
      <c r="E835" s="10">
        <v>175</v>
      </c>
      <c r="F835" s="10">
        <f t="shared" si="12"/>
        <v>5250</v>
      </c>
    </row>
    <row r="836" spans="1:6" x14ac:dyDescent="0.25">
      <c r="B836" s="4"/>
      <c r="C836" s="5">
        <v>120</v>
      </c>
      <c r="D836" s="9" t="s">
        <v>14</v>
      </c>
      <c r="E836" s="10">
        <v>180</v>
      </c>
      <c r="F836" s="10">
        <f t="shared" si="12"/>
        <v>21600</v>
      </c>
    </row>
    <row r="837" spans="1:6" x14ac:dyDescent="0.25">
      <c r="B837" s="9"/>
      <c r="C837" s="5">
        <v>190</v>
      </c>
      <c r="D837" s="9" t="s">
        <v>13</v>
      </c>
      <c r="E837" s="10">
        <v>180</v>
      </c>
      <c r="F837" s="10">
        <f t="shared" si="12"/>
        <v>34200</v>
      </c>
    </row>
    <row r="838" spans="1:6" x14ac:dyDescent="0.25">
      <c r="B838" s="9"/>
      <c r="C838" s="5">
        <v>110</v>
      </c>
      <c r="D838" s="9" t="s">
        <v>11</v>
      </c>
      <c r="E838" s="10">
        <v>175</v>
      </c>
      <c r="F838" s="10">
        <f t="shared" si="12"/>
        <v>19250</v>
      </c>
    </row>
    <row r="839" spans="1:6" x14ac:dyDescent="0.25">
      <c r="B839" s="4"/>
      <c r="D839" s="9"/>
      <c r="F839" s="8">
        <f>SUM(F835:F838)</f>
        <v>80300</v>
      </c>
    </row>
    <row r="840" spans="1:6" x14ac:dyDescent="0.25">
      <c r="B840" s="9"/>
      <c r="D840" s="9"/>
    </row>
    <row r="841" spans="1:6" x14ac:dyDescent="0.25">
      <c r="A841" t="s">
        <v>26</v>
      </c>
      <c r="B841" s="4">
        <v>46004</v>
      </c>
      <c r="C841" s="5">
        <v>10</v>
      </c>
      <c r="D841" s="9" t="s">
        <v>14</v>
      </c>
      <c r="E841" s="10">
        <v>175</v>
      </c>
      <c r="F841" s="10">
        <f t="shared" si="12"/>
        <v>1750</v>
      </c>
    </row>
    <row r="842" spans="1:6" x14ac:dyDescent="0.25">
      <c r="B842" s="4"/>
      <c r="D842" s="9"/>
      <c r="F842" s="8">
        <f>SUM(F841)</f>
        <v>1750</v>
      </c>
    </row>
    <row r="843" spans="1:6" x14ac:dyDescent="0.25">
      <c r="B843" s="9"/>
      <c r="D843" s="9"/>
    </row>
    <row r="844" spans="1:6" x14ac:dyDescent="0.25">
      <c r="A844" t="s">
        <v>29</v>
      </c>
      <c r="B844" s="4">
        <v>46004</v>
      </c>
      <c r="C844" s="5">
        <v>3</v>
      </c>
      <c r="D844" s="9" t="s">
        <v>49</v>
      </c>
      <c r="E844" s="10">
        <v>195</v>
      </c>
      <c r="F844" s="10">
        <f t="shared" ref="F844:F907" si="13">+C844*E844</f>
        <v>585</v>
      </c>
    </row>
    <row r="845" spans="1:6" x14ac:dyDescent="0.25">
      <c r="B845" s="9"/>
      <c r="C845" s="5">
        <v>1</v>
      </c>
      <c r="D845" s="9" t="s">
        <v>12</v>
      </c>
      <c r="E845" s="10">
        <v>185</v>
      </c>
      <c r="F845" s="10">
        <f t="shared" si="13"/>
        <v>185</v>
      </c>
    </row>
    <row r="846" spans="1:6" x14ac:dyDescent="0.25">
      <c r="B846" s="9"/>
      <c r="C846" s="5">
        <v>4</v>
      </c>
      <c r="D846" s="9" t="s">
        <v>8</v>
      </c>
      <c r="E846" s="10">
        <v>195</v>
      </c>
      <c r="F846" s="10">
        <f t="shared" si="13"/>
        <v>780</v>
      </c>
    </row>
    <row r="847" spans="1:6" x14ac:dyDescent="0.25">
      <c r="B847" s="4"/>
      <c r="D847" s="9"/>
      <c r="F847" s="8">
        <f>SUM(F844:F846)</f>
        <v>1550</v>
      </c>
    </row>
    <row r="848" spans="1:6" x14ac:dyDescent="0.25">
      <c r="B848" s="9"/>
      <c r="D848" s="9"/>
    </row>
    <row r="849" spans="1:6" x14ac:dyDescent="0.25">
      <c r="A849" t="s">
        <v>724</v>
      </c>
      <c r="B849" s="4">
        <v>46006</v>
      </c>
      <c r="C849" s="5">
        <v>10</v>
      </c>
      <c r="D849" s="9" t="s">
        <v>561</v>
      </c>
      <c r="E849" s="10">
        <v>140</v>
      </c>
      <c r="F849" s="10">
        <f t="shared" si="13"/>
        <v>1400</v>
      </c>
    </row>
    <row r="850" spans="1:6" x14ac:dyDescent="0.25">
      <c r="B850" s="4"/>
      <c r="D850" s="9"/>
      <c r="F850" s="8">
        <f>SUM(F849)</f>
        <v>1400</v>
      </c>
    </row>
    <row r="851" spans="1:6" x14ac:dyDescent="0.25">
      <c r="B851" s="9"/>
      <c r="D851" s="9"/>
    </row>
    <row r="852" spans="1:6" x14ac:dyDescent="0.25">
      <c r="A852" t="s">
        <v>15</v>
      </c>
      <c r="B852" s="4">
        <v>46006</v>
      </c>
      <c r="C852" s="5">
        <v>55</v>
      </c>
      <c r="D852" s="9" t="s">
        <v>98</v>
      </c>
      <c r="E852" s="10">
        <v>135</v>
      </c>
      <c r="F852" s="10">
        <f t="shared" si="13"/>
        <v>7425</v>
      </c>
    </row>
    <row r="853" spans="1:6" x14ac:dyDescent="0.25">
      <c r="B853" s="4"/>
      <c r="D853" s="9"/>
      <c r="F853" s="8">
        <f>SUM(F852)</f>
        <v>7425</v>
      </c>
    </row>
    <row r="854" spans="1:6" x14ac:dyDescent="0.25">
      <c r="B854" s="9"/>
      <c r="D854" s="9"/>
    </row>
    <row r="855" spans="1:6" x14ac:dyDescent="0.25">
      <c r="A855" t="s">
        <v>1232</v>
      </c>
      <c r="B855" s="4">
        <v>46006</v>
      </c>
      <c r="C855" s="5">
        <v>10</v>
      </c>
      <c r="D855" s="9" t="s">
        <v>449</v>
      </c>
      <c r="E855" s="10">
        <v>190</v>
      </c>
      <c r="F855" s="10">
        <f t="shared" si="13"/>
        <v>1900</v>
      </c>
    </row>
    <row r="856" spans="1:6" x14ac:dyDescent="0.25">
      <c r="B856" s="9"/>
      <c r="D856" s="9"/>
      <c r="F856" s="8">
        <f>SUM(F855)</f>
        <v>1900</v>
      </c>
    </row>
    <row r="857" spans="1:6" x14ac:dyDescent="0.25">
      <c r="B857" s="9"/>
      <c r="D857" s="9"/>
    </row>
    <row r="858" spans="1:6" x14ac:dyDescent="0.25">
      <c r="A858" t="s">
        <v>455</v>
      </c>
      <c r="B858" s="4">
        <v>46006</v>
      </c>
      <c r="C858" s="5">
        <v>50</v>
      </c>
      <c r="D858" s="9" t="s">
        <v>14</v>
      </c>
      <c r="E858" s="10">
        <v>182</v>
      </c>
      <c r="F858" s="10">
        <f t="shared" si="13"/>
        <v>9100</v>
      </c>
    </row>
    <row r="859" spans="1:6" x14ac:dyDescent="0.25">
      <c r="B859" s="9"/>
      <c r="D859" s="9"/>
      <c r="F859" s="8">
        <f>SUM(F858)</f>
        <v>9100</v>
      </c>
    </row>
    <row r="860" spans="1:6" x14ac:dyDescent="0.25">
      <c r="B860" s="4"/>
      <c r="D860" s="9"/>
    </row>
    <row r="861" spans="1:6" x14ac:dyDescent="0.25">
      <c r="A861" t="s">
        <v>43</v>
      </c>
      <c r="B861" s="4">
        <v>46006</v>
      </c>
      <c r="C861" s="5">
        <v>30</v>
      </c>
      <c r="D861" s="9" t="s">
        <v>49</v>
      </c>
      <c r="E861" s="10">
        <v>195</v>
      </c>
      <c r="F861" s="10">
        <f t="shared" si="13"/>
        <v>5850</v>
      </c>
    </row>
    <row r="862" spans="1:6" x14ac:dyDescent="0.25">
      <c r="B862" s="9"/>
      <c r="D862" s="9"/>
      <c r="F862" s="8">
        <f>SUM(F861)</f>
        <v>5850</v>
      </c>
    </row>
    <row r="863" spans="1:6" x14ac:dyDescent="0.25">
      <c r="B863" s="4"/>
      <c r="D863" s="9"/>
    </row>
    <row r="864" spans="1:6" x14ac:dyDescent="0.25">
      <c r="A864" t="s">
        <v>46</v>
      </c>
      <c r="B864" s="4">
        <v>46006</v>
      </c>
      <c r="C864" s="5">
        <v>20</v>
      </c>
      <c r="D864" s="9" t="s">
        <v>14</v>
      </c>
      <c r="E864" s="10">
        <v>190</v>
      </c>
      <c r="F864" s="10">
        <f t="shared" si="13"/>
        <v>3800</v>
      </c>
    </row>
    <row r="865" spans="1:6" x14ac:dyDescent="0.25">
      <c r="B865" s="9"/>
      <c r="D865" s="9"/>
      <c r="F865" s="8">
        <f>SUM(F864)</f>
        <v>3800</v>
      </c>
    </row>
    <row r="866" spans="1:6" x14ac:dyDescent="0.25">
      <c r="B866" s="4"/>
      <c r="D866" s="9"/>
    </row>
    <row r="867" spans="1:6" x14ac:dyDescent="0.25">
      <c r="A867" t="s">
        <v>18</v>
      </c>
      <c r="B867" s="4">
        <v>46006</v>
      </c>
      <c r="C867" s="5">
        <v>30</v>
      </c>
      <c r="D867" s="9" t="s">
        <v>14</v>
      </c>
      <c r="E867" s="10">
        <v>190</v>
      </c>
      <c r="F867" s="10">
        <f t="shared" si="13"/>
        <v>5700</v>
      </c>
    </row>
    <row r="868" spans="1:6" x14ac:dyDescent="0.25">
      <c r="B868" s="9"/>
      <c r="D868" s="9"/>
      <c r="F868" s="8">
        <f>SUM(F867)</f>
        <v>5700</v>
      </c>
    </row>
    <row r="869" spans="1:6" s="9" customFormat="1" x14ac:dyDescent="0.25">
      <c r="B869" s="4"/>
      <c r="C869" s="5"/>
      <c r="E869" s="10"/>
      <c r="F869" s="10"/>
    </row>
    <row r="870" spans="1:6" s="9" customFormat="1" x14ac:dyDescent="0.25">
      <c r="A870" s="9" t="s">
        <v>145</v>
      </c>
      <c r="B870" s="4">
        <v>46006</v>
      </c>
      <c r="C870" s="5">
        <v>60</v>
      </c>
      <c r="D870" s="9" t="s">
        <v>14</v>
      </c>
      <c r="E870" s="10">
        <v>190</v>
      </c>
      <c r="F870" s="10">
        <f t="shared" si="13"/>
        <v>11400</v>
      </c>
    </row>
    <row r="871" spans="1:6" s="9" customFormat="1" x14ac:dyDescent="0.25">
      <c r="C871" s="5"/>
      <c r="E871" s="10"/>
      <c r="F871" s="8">
        <f>SUM(F870)</f>
        <v>11400</v>
      </c>
    </row>
    <row r="872" spans="1:6" s="9" customFormat="1" x14ac:dyDescent="0.25">
      <c r="C872" s="5"/>
      <c r="E872" s="10"/>
      <c r="F872" s="10"/>
    </row>
    <row r="873" spans="1:6" s="9" customFormat="1" x14ac:dyDescent="0.25">
      <c r="A873" s="9" t="s">
        <v>41</v>
      </c>
      <c r="B873" s="4">
        <v>46006</v>
      </c>
      <c r="C873" s="5">
        <v>55</v>
      </c>
      <c r="D873" s="9" t="s">
        <v>1212</v>
      </c>
      <c r="E873" s="10">
        <v>165</v>
      </c>
      <c r="F873" s="10">
        <f t="shared" si="13"/>
        <v>9075</v>
      </c>
    </row>
    <row r="874" spans="1:6" s="9" customFormat="1" x14ac:dyDescent="0.25">
      <c r="C874" s="5"/>
      <c r="E874" s="10"/>
      <c r="F874" s="8">
        <f>SUM(F873)</f>
        <v>9075</v>
      </c>
    </row>
    <row r="875" spans="1:6" s="9" customFormat="1" x14ac:dyDescent="0.25">
      <c r="C875" s="5"/>
      <c r="E875" s="10"/>
      <c r="F875" s="10"/>
    </row>
    <row r="876" spans="1:6" s="9" customFormat="1" x14ac:dyDescent="0.25">
      <c r="A876" s="9" t="s">
        <v>44</v>
      </c>
      <c r="B876" s="4">
        <v>46006</v>
      </c>
      <c r="C876" s="5">
        <v>40</v>
      </c>
      <c r="D876" s="9" t="s">
        <v>14</v>
      </c>
      <c r="E876" s="10">
        <v>190</v>
      </c>
      <c r="F876" s="10">
        <f t="shared" si="13"/>
        <v>7600</v>
      </c>
    </row>
    <row r="877" spans="1:6" s="9" customFormat="1" x14ac:dyDescent="0.25">
      <c r="C877" s="5"/>
      <c r="E877" s="10"/>
      <c r="F877" s="8">
        <f>SUM(F876)</f>
        <v>7600</v>
      </c>
    </row>
    <row r="878" spans="1:6" s="9" customFormat="1" x14ac:dyDescent="0.25">
      <c r="C878" s="5"/>
      <c r="E878" s="10"/>
      <c r="F878" s="10"/>
    </row>
    <row r="879" spans="1:6" s="9" customFormat="1" x14ac:dyDescent="0.25">
      <c r="A879" s="9" t="s">
        <v>42</v>
      </c>
      <c r="B879" s="4">
        <v>46006</v>
      </c>
      <c r="C879" s="5">
        <v>2</v>
      </c>
      <c r="D879" s="9" t="s">
        <v>14</v>
      </c>
      <c r="E879" s="10">
        <v>190</v>
      </c>
      <c r="F879" s="10">
        <f t="shared" si="13"/>
        <v>380</v>
      </c>
    </row>
    <row r="880" spans="1:6" s="9" customFormat="1" x14ac:dyDescent="0.25">
      <c r="C880" s="5"/>
      <c r="E880" s="10"/>
      <c r="F880" s="8">
        <f>SUM(F879)</f>
        <v>380</v>
      </c>
    </row>
    <row r="881" spans="1:6" s="9" customFormat="1" x14ac:dyDescent="0.25">
      <c r="C881" s="5"/>
      <c r="E881" s="10"/>
      <c r="F881" s="10"/>
    </row>
    <row r="882" spans="1:6" s="9" customFormat="1" x14ac:dyDescent="0.25">
      <c r="A882" s="9" t="s">
        <v>127</v>
      </c>
      <c r="B882" s="4">
        <v>46006</v>
      </c>
      <c r="C882" s="5">
        <v>40</v>
      </c>
      <c r="D882" s="9" t="s">
        <v>13</v>
      </c>
      <c r="E882" s="10">
        <v>190</v>
      </c>
      <c r="F882" s="10">
        <f t="shared" si="13"/>
        <v>7600</v>
      </c>
    </row>
    <row r="883" spans="1:6" s="9" customFormat="1" x14ac:dyDescent="0.25">
      <c r="B883" s="4"/>
      <c r="C883" s="5"/>
      <c r="E883" s="10"/>
      <c r="F883" s="8">
        <f>SUM(F882)</f>
        <v>7600</v>
      </c>
    </row>
    <row r="884" spans="1:6" s="9" customFormat="1" x14ac:dyDescent="0.25">
      <c r="C884" s="5"/>
      <c r="E884" s="10"/>
      <c r="F884" s="10"/>
    </row>
    <row r="885" spans="1:6" s="9" customFormat="1" x14ac:dyDescent="0.25">
      <c r="A885" s="9" t="s">
        <v>61</v>
      </c>
      <c r="B885" s="4">
        <v>46006</v>
      </c>
      <c r="C885" s="5">
        <v>50</v>
      </c>
      <c r="D885" s="9" t="s">
        <v>13</v>
      </c>
      <c r="E885" s="10">
        <v>188</v>
      </c>
      <c r="F885" s="10">
        <f t="shared" si="13"/>
        <v>9400</v>
      </c>
    </row>
    <row r="886" spans="1:6" s="9" customFormat="1" x14ac:dyDescent="0.25">
      <c r="B886" s="4"/>
      <c r="C886" s="5"/>
      <c r="E886" s="10"/>
      <c r="F886" s="8">
        <f>SUM(F885)</f>
        <v>9400</v>
      </c>
    </row>
    <row r="887" spans="1:6" s="9" customFormat="1" x14ac:dyDescent="0.25">
      <c r="C887" s="5"/>
      <c r="E887" s="10"/>
      <c r="F887" s="10"/>
    </row>
    <row r="888" spans="1:6" s="9" customFormat="1" x14ac:dyDescent="0.25">
      <c r="A888" s="9" t="s">
        <v>1233</v>
      </c>
      <c r="B888" s="4">
        <v>46006</v>
      </c>
      <c r="C888" s="5">
        <v>6</v>
      </c>
      <c r="D888" s="9" t="s">
        <v>13</v>
      </c>
      <c r="E888" s="10">
        <v>195</v>
      </c>
      <c r="F888" s="10">
        <f t="shared" si="13"/>
        <v>1170</v>
      </c>
    </row>
    <row r="889" spans="1:6" s="9" customFormat="1" x14ac:dyDescent="0.25">
      <c r="B889" s="4"/>
      <c r="C889" s="5"/>
      <c r="E889" s="10"/>
      <c r="F889" s="8">
        <f>SUM(F888)</f>
        <v>1170</v>
      </c>
    </row>
    <row r="890" spans="1:6" s="9" customFormat="1" x14ac:dyDescent="0.25">
      <c r="C890" s="5"/>
      <c r="E890" s="10"/>
      <c r="F890" s="10"/>
    </row>
    <row r="891" spans="1:6" s="9" customFormat="1" x14ac:dyDescent="0.25">
      <c r="A891" s="9" t="s">
        <v>1211</v>
      </c>
      <c r="B891" s="4">
        <v>46006</v>
      </c>
      <c r="C891" s="5">
        <v>30</v>
      </c>
      <c r="D891" s="9" t="s">
        <v>13</v>
      </c>
      <c r="E891" s="10">
        <v>185</v>
      </c>
      <c r="F891" s="10">
        <f t="shared" si="13"/>
        <v>5550</v>
      </c>
    </row>
    <row r="892" spans="1:6" s="9" customFormat="1" x14ac:dyDescent="0.25">
      <c r="B892" s="4"/>
      <c r="C892" s="5">
        <v>30</v>
      </c>
      <c r="D892" s="9" t="s">
        <v>12</v>
      </c>
      <c r="E892" s="10">
        <v>180</v>
      </c>
      <c r="F892" s="10">
        <f t="shared" si="13"/>
        <v>5400</v>
      </c>
    </row>
    <row r="893" spans="1:6" s="9" customFormat="1" x14ac:dyDescent="0.25">
      <c r="C893" s="5"/>
      <c r="E893" s="10"/>
      <c r="F893" s="8">
        <f>SUM(F891:F892)</f>
        <v>10950</v>
      </c>
    </row>
    <row r="894" spans="1:6" s="9" customFormat="1" x14ac:dyDescent="0.25">
      <c r="C894" s="5"/>
      <c r="E894" s="10"/>
      <c r="F894" s="10"/>
    </row>
    <row r="895" spans="1:6" s="9" customFormat="1" x14ac:dyDescent="0.25">
      <c r="A895" s="9" t="s">
        <v>871</v>
      </c>
      <c r="B895" s="4">
        <v>46006</v>
      </c>
      <c r="C895" s="5">
        <v>25</v>
      </c>
      <c r="D895" s="9" t="s">
        <v>483</v>
      </c>
      <c r="E895" s="10">
        <v>185</v>
      </c>
      <c r="F895" s="10">
        <f t="shared" si="13"/>
        <v>4625</v>
      </c>
    </row>
    <row r="896" spans="1:6" s="9" customFormat="1" x14ac:dyDescent="0.25">
      <c r="B896" s="4"/>
      <c r="C896" s="5"/>
      <c r="E896" s="10"/>
      <c r="F896" s="8">
        <f>SUM(F895)</f>
        <v>4625</v>
      </c>
    </row>
    <row r="897" spans="1:6" s="9" customFormat="1" x14ac:dyDescent="0.25">
      <c r="C897" s="5"/>
      <c r="E897" s="10"/>
      <c r="F897" s="10"/>
    </row>
    <row r="898" spans="1:6" s="9" customFormat="1" x14ac:dyDescent="0.25">
      <c r="A898" s="9" t="s">
        <v>26</v>
      </c>
      <c r="B898" s="4">
        <v>46006</v>
      </c>
      <c r="C898" s="5">
        <v>10</v>
      </c>
      <c r="D898" s="9" t="s">
        <v>14</v>
      </c>
      <c r="E898" s="10">
        <v>175</v>
      </c>
      <c r="F898" s="10">
        <f t="shared" si="13"/>
        <v>1750</v>
      </c>
    </row>
    <row r="899" spans="1:6" s="9" customFormat="1" x14ac:dyDescent="0.25">
      <c r="C899" s="5"/>
      <c r="E899" s="10"/>
      <c r="F899" s="8">
        <f>SUM(F898)</f>
        <v>1750</v>
      </c>
    </row>
    <row r="900" spans="1:6" s="9" customFormat="1" x14ac:dyDescent="0.25">
      <c r="C900" s="5"/>
      <c r="E900" s="10"/>
      <c r="F900" s="10"/>
    </row>
    <row r="901" spans="1:6" s="9" customFormat="1" x14ac:dyDescent="0.25">
      <c r="A901" s="9" t="s">
        <v>26</v>
      </c>
      <c r="B901" s="4">
        <v>46006</v>
      </c>
      <c r="C901" s="5">
        <v>1000</v>
      </c>
      <c r="D901" s="9" t="s">
        <v>13</v>
      </c>
      <c r="E901" s="10">
        <v>178</v>
      </c>
      <c r="F901" s="10">
        <f t="shared" si="13"/>
        <v>178000</v>
      </c>
    </row>
    <row r="902" spans="1:6" s="9" customFormat="1" x14ac:dyDescent="0.25">
      <c r="C902" s="5"/>
      <c r="E902" s="10"/>
      <c r="F902" s="8">
        <f>SUM(F901)</f>
        <v>178000</v>
      </c>
    </row>
    <row r="903" spans="1:6" s="9" customFormat="1" x14ac:dyDescent="0.25">
      <c r="C903" s="5"/>
      <c r="E903" s="10"/>
      <c r="F903" s="10"/>
    </row>
    <row r="904" spans="1:6" s="9" customFormat="1" x14ac:dyDescent="0.25">
      <c r="A904" s="9" t="s">
        <v>697</v>
      </c>
      <c r="B904" s="4">
        <v>46006</v>
      </c>
      <c r="C904" s="5">
        <v>4</v>
      </c>
      <c r="D904" s="9" t="s">
        <v>12</v>
      </c>
      <c r="E904" s="10">
        <v>185</v>
      </c>
      <c r="F904" s="10">
        <f t="shared" si="13"/>
        <v>740</v>
      </c>
    </row>
    <row r="905" spans="1:6" s="9" customFormat="1" x14ac:dyDescent="0.25">
      <c r="B905" s="4"/>
      <c r="C905" s="5">
        <v>1</v>
      </c>
      <c r="D905" s="9" t="s">
        <v>12</v>
      </c>
      <c r="E905" s="10">
        <v>180</v>
      </c>
      <c r="F905" s="10">
        <f t="shared" si="13"/>
        <v>180</v>
      </c>
    </row>
    <row r="906" spans="1:6" s="9" customFormat="1" x14ac:dyDescent="0.25">
      <c r="C906" s="5">
        <v>4</v>
      </c>
      <c r="D906" s="9" t="s">
        <v>560</v>
      </c>
      <c r="E906" s="10">
        <v>195</v>
      </c>
      <c r="F906" s="10">
        <f t="shared" si="13"/>
        <v>780</v>
      </c>
    </row>
    <row r="907" spans="1:6" s="9" customFormat="1" x14ac:dyDescent="0.25">
      <c r="C907" s="5">
        <v>5</v>
      </c>
      <c r="D907" s="9" t="s">
        <v>13</v>
      </c>
      <c r="E907" s="10">
        <v>185</v>
      </c>
      <c r="F907" s="10">
        <f t="shared" si="13"/>
        <v>925</v>
      </c>
    </row>
    <row r="908" spans="1:6" s="9" customFormat="1" x14ac:dyDescent="0.25">
      <c r="C908" s="5">
        <v>4</v>
      </c>
      <c r="D908" s="9" t="s">
        <v>12</v>
      </c>
      <c r="E908" s="10">
        <v>185</v>
      </c>
      <c r="F908" s="10">
        <f t="shared" ref="F908:F969" si="14">+C908*E908</f>
        <v>740</v>
      </c>
    </row>
    <row r="909" spans="1:6" s="9" customFormat="1" x14ac:dyDescent="0.25">
      <c r="B909" s="4"/>
      <c r="C909" s="5">
        <v>1</v>
      </c>
      <c r="D909" s="9" t="s">
        <v>13</v>
      </c>
      <c r="E909" s="10">
        <v>190</v>
      </c>
      <c r="F909" s="10">
        <f t="shared" si="14"/>
        <v>190</v>
      </c>
    </row>
    <row r="910" spans="1:6" s="9" customFormat="1" x14ac:dyDescent="0.25">
      <c r="C910" s="5">
        <v>1</v>
      </c>
      <c r="D910" s="9" t="s">
        <v>1234</v>
      </c>
      <c r="E910" s="10">
        <v>180</v>
      </c>
      <c r="F910" s="10">
        <f t="shared" si="14"/>
        <v>180</v>
      </c>
    </row>
    <row r="911" spans="1:6" s="9" customFormat="1" x14ac:dyDescent="0.25">
      <c r="C911" s="5"/>
      <c r="E911" s="10"/>
      <c r="F911" s="8">
        <f>SUM(F904:F910)</f>
        <v>3735</v>
      </c>
    </row>
    <row r="912" spans="1:6" s="9" customFormat="1" x14ac:dyDescent="0.25">
      <c r="B912" s="4"/>
      <c r="C912" s="5"/>
      <c r="E912" s="10"/>
      <c r="F912" s="10"/>
    </row>
    <row r="913" spans="1:6" s="9" customFormat="1" x14ac:dyDescent="0.25">
      <c r="A913" s="9" t="s">
        <v>7</v>
      </c>
      <c r="B913" s="4">
        <v>46006</v>
      </c>
      <c r="C913" s="5">
        <v>4</v>
      </c>
      <c r="D913" s="9" t="s">
        <v>8</v>
      </c>
      <c r="E913" s="10">
        <v>195</v>
      </c>
      <c r="F913" s="10">
        <f t="shared" si="14"/>
        <v>780</v>
      </c>
    </row>
    <row r="914" spans="1:6" s="9" customFormat="1" x14ac:dyDescent="0.25">
      <c r="C914" s="5">
        <v>4</v>
      </c>
      <c r="D914" s="9" t="s">
        <v>12</v>
      </c>
      <c r="E914" s="10">
        <v>180</v>
      </c>
      <c r="F914" s="10">
        <f t="shared" si="14"/>
        <v>720</v>
      </c>
    </row>
    <row r="915" spans="1:6" s="9" customFormat="1" x14ac:dyDescent="0.25">
      <c r="C915" s="5">
        <v>2</v>
      </c>
      <c r="D915" s="9" t="s">
        <v>8</v>
      </c>
      <c r="E915" s="10">
        <v>195</v>
      </c>
      <c r="F915" s="10">
        <f t="shared" si="14"/>
        <v>390</v>
      </c>
    </row>
    <row r="916" spans="1:6" s="9" customFormat="1" x14ac:dyDescent="0.25">
      <c r="B916" s="4"/>
      <c r="C916" s="5">
        <v>1.1200000000000001</v>
      </c>
      <c r="D916" s="9" t="s">
        <v>98</v>
      </c>
      <c r="E916" s="10">
        <v>140</v>
      </c>
      <c r="F916" s="10">
        <f t="shared" si="14"/>
        <v>156.80000000000001</v>
      </c>
    </row>
    <row r="917" spans="1:6" s="9" customFormat="1" x14ac:dyDescent="0.25">
      <c r="C917" s="5">
        <v>2</v>
      </c>
      <c r="D917" s="9" t="s">
        <v>1235</v>
      </c>
      <c r="E917" s="10">
        <v>150</v>
      </c>
      <c r="F917" s="10">
        <f t="shared" si="14"/>
        <v>300</v>
      </c>
    </row>
    <row r="918" spans="1:6" s="9" customFormat="1" x14ac:dyDescent="0.25">
      <c r="C918" s="5"/>
      <c r="E918" s="10"/>
      <c r="F918" s="8">
        <f>SUM(F913:F917)</f>
        <v>2346.8000000000002</v>
      </c>
    </row>
    <row r="919" spans="1:6" s="9" customFormat="1" x14ac:dyDescent="0.25">
      <c r="B919" s="4"/>
      <c r="C919" s="5"/>
      <c r="E919" s="10"/>
      <c r="F919" s="10"/>
    </row>
    <row r="920" spans="1:6" s="9" customFormat="1" x14ac:dyDescent="0.25">
      <c r="A920" s="9" t="s">
        <v>18</v>
      </c>
      <c r="B920" s="4">
        <v>46007</v>
      </c>
      <c r="C920" s="5">
        <v>6</v>
      </c>
      <c r="D920" s="9" t="s">
        <v>13</v>
      </c>
      <c r="E920" s="10">
        <v>190</v>
      </c>
      <c r="F920" s="10">
        <f t="shared" si="14"/>
        <v>1140</v>
      </c>
    </row>
    <row r="921" spans="1:6" s="9" customFormat="1" x14ac:dyDescent="0.25">
      <c r="C921" s="5"/>
      <c r="E921" s="10"/>
      <c r="F921" s="8">
        <f>SUM(F920)</f>
        <v>1140</v>
      </c>
    </row>
    <row r="922" spans="1:6" s="9" customFormat="1" x14ac:dyDescent="0.25">
      <c r="B922" s="4"/>
      <c r="C922" s="5"/>
      <c r="E922" s="10"/>
      <c r="F922" s="10"/>
    </row>
    <row r="923" spans="1:6" s="9" customFormat="1" x14ac:dyDescent="0.25">
      <c r="A923" s="9" t="s">
        <v>58</v>
      </c>
      <c r="B923" s="4">
        <v>46007</v>
      </c>
      <c r="C923" s="5">
        <v>10</v>
      </c>
      <c r="D923" s="9" t="s">
        <v>13</v>
      </c>
      <c r="E923" s="10">
        <v>185</v>
      </c>
      <c r="F923" s="10">
        <f t="shared" si="14"/>
        <v>1850</v>
      </c>
    </row>
    <row r="924" spans="1:6" s="9" customFormat="1" x14ac:dyDescent="0.25">
      <c r="C924" s="5"/>
      <c r="E924" s="10"/>
      <c r="F924" s="8">
        <f>SUM(F923)</f>
        <v>1850</v>
      </c>
    </row>
    <row r="925" spans="1:6" s="9" customFormat="1" x14ac:dyDescent="0.25">
      <c r="B925" s="4"/>
      <c r="C925" s="5"/>
      <c r="E925" s="10"/>
      <c r="F925" s="10"/>
    </row>
    <row r="926" spans="1:6" s="9" customFormat="1" x14ac:dyDescent="0.25">
      <c r="A926" s="9" t="s">
        <v>1236</v>
      </c>
      <c r="B926" s="4">
        <v>46007</v>
      </c>
      <c r="C926" s="5">
        <v>10</v>
      </c>
      <c r="D926" s="9" t="s">
        <v>13</v>
      </c>
      <c r="E926" s="10">
        <v>190</v>
      </c>
      <c r="F926" s="10">
        <f t="shared" si="14"/>
        <v>1900</v>
      </c>
    </row>
    <row r="927" spans="1:6" s="9" customFormat="1" x14ac:dyDescent="0.25">
      <c r="C927" s="5"/>
      <c r="E927" s="10"/>
      <c r="F927" s="8">
        <f>SUM(F926)</f>
        <v>1900</v>
      </c>
    </row>
    <row r="928" spans="1:6" s="9" customFormat="1" x14ac:dyDescent="0.25">
      <c r="C928" s="5"/>
      <c r="E928" s="10"/>
      <c r="F928" s="10"/>
    </row>
    <row r="929" spans="1:6" s="9" customFormat="1" x14ac:dyDescent="0.25">
      <c r="A929" s="9" t="s">
        <v>17</v>
      </c>
      <c r="B929" s="4">
        <v>46007</v>
      </c>
      <c r="C929" s="5">
        <v>10</v>
      </c>
      <c r="D929" s="9" t="s">
        <v>449</v>
      </c>
      <c r="E929" s="10">
        <v>190</v>
      </c>
      <c r="F929" s="10">
        <f t="shared" si="14"/>
        <v>1900</v>
      </c>
    </row>
    <row r="930" spans="1:6" s="9" customFormat="1" x14ac:dyDescent="0.25">
      <c r="B930" s="4"/>
      <c r="C930" s="5"/>
      <c r="E930" s="10"/>
      <c r="F930" s="8">
        <f>SUM(F929)</f>
        <v>1900</v>
      </c>
    </row>
    <row r="931" spans="1:6" s="9" customFormat="1" x14ac:dyDescent="0.25">
      <c r="C931" s="5"/>
      <c r="E931" s="10"/>
      <c r="F931" s="10"/>
    </row>
    <row r="932" spans="1:6" s="9" customFormat="1" x14ac:dyDescent="0.25">
      <c r="A932" s="9" t="s">
        <v>21</v>
      </c>
      <c r="B932" s="4">
        <v>46007</v>
      </c>
      <c r="C932" s="5">
        <v>35</v>
      </c>
      <c r="D932" s="9" t="s">
        <v>12</v>
      </c>
      <c r="E932" s="10">
        <v>185</v>
      </c>
      <c r="F932" s="10">
        <f t="shared" si="14"/>
        <v>6475</v>
      </c>
    </row>
    <row r="933" spans="1:6" s="9" customFormat="1" x14ac:dyDescent="0.25">
      <c r="B933" s="4"/>
      <c r="C933" s="5">
        <v>30</v>
      </c>
      <c r="D933" s="9" t="s">
        <v>50</v>
      </c>
      <c r="E933" s="10">
        <v>175</v>
      </c>
      <c r="F933" s="10">
        <f t="shared" si="14"/>
        <v>5250</v>
      </c>
    </row>
    <row r="934" spans="1:6" s="9" customFormat="1" x14ac:dyDescent="0.25">
      <c r="C934" s="5">
        <v>25</v>
      </c>
      <c r="D934" s="9" t="s">
        <v>13</v>
      </c>
      <c r="E934" s="10">
        <v>190</v>
      </c>
      <c r="F934" s="10">
        <f t="shared" si="14"/>
        <v>4750</v>
      </c>
    </row>
    <row r="935" spans="1:6" s="9" customFormat="1" x14ac:dyDescent="0.25">
      <c r="C935" s="5">
        <v>5</v>
      </c>
      <c r="D935" s="9" t="s">
        <v>8</v>
      </c>
      <c r="E935" s="10">
        <v>195</v>
      </c>
      <c r="F935" s="10">
        <f t="shared" si="14"/>
        <v>975</v>
      </c>
    </row>
    <row r="936" spans="1:6" s="9" customFormat="1" x14ac:dyDescent="0.25">
      <c r="B936" s="4"/>
      <c r="C936" s="5"/>
      <c r="E936" s="10"/>
      <c r="F936" s="8">
        <f>SUM(F932:F935)</f>
        <v>17450</v>
      </c>
    </row>
    <row r="937" spans="1:6" s="9" customFormat="1" x14ac:dyDescent="0.25">
      <c r="C937" s="5"/>
      <c r="E937" s="10"/>
      <c r="F937" s="10"/>
    </row>
    <row r="938" spans="1:6" s="9" customFormat="1" x14ac:dyDescent="0.25">
      <c r="A938" s="9" t="s">
        <v>367</v>
      </c>
      <c r="B938" s="4">
        <v>46007</v>
      </c>
      <c r="C938" s="5">
        <v>10</v>
      </c>
      <c r="D938" s="9" t="s">
        <v>13</v>
      </c>
      <c r="E938" s="10">
        <v>190</v>
      </c>
      <c r="F938" s="10">
        <f t="shared" si="14"/>
        <v>1900</v>
      </c>
    </row>
    <row r="939" spans="1:6" s="9" customFormat="1" x14ac:dyDescent="0.25">
      <c r="B939" s="4"/>
      <c r="C939" s="5"/>
      <c r="E939" s="10"/>
      <c r="F939" s="8">
        <f>SUM(F938)</f>
        <v>1900</v>
      </c>
    </row>
    <row r="940" spans="1:6" s="9" customFormat="1" x14ac:dyDescent="0.25">
      <c r="C940" s="5"/>
      <c r="E940" s="10"/>
      <c r="F940" s="10"/>
    </row>
    <row r="941" spans="1:6" s="9" customFormat="1" x14ac:dyDescent="0.25">
      <c r="A941" s="9" t="s">
        <v>21</v>
      </c>
      <c r="B941" s="4">
        <v>46007</v>
      </c>
      <c r="C941" s="5">
        <v>10</v>
      </c>
      <c r="D941" s="9" t="s">
        <v>8</v>
      </c>
      <c r="E941" s="10">
        <v>195</v>
      </c>
      <c r="F941" s="10">
        <f t="shared" si="14"/>
        <v>1950</v>
      </c>
    </row>
    <row r="942" spans="1:6" s="9" customFormat="1" x14ac:dyDescent="0.25">
      <c r="B942" s="4"/>
      <c r="C942" s="5"/>
      <c r="E942" s="10"/>
      <c r="F942" s="8">
        <f>SUM(F941)</f>
        <v>1950</v>
      </c>
    </row>
    <row r="943" spans="1:6" s="9" customFormat="1" x14ac:dyDescent="0.25">
      <c r="C943" s="5"/>
      <c r="E943" s="10"/>
      <c r="F943" s="10"/>
    </row>
    <row r="944" spans="1:6" s="9" customFormat="1" x14ac:dyDescent="0.25">
      <c r="A944" s="9" t="s">
        <v>923</v>
      </c>
      <c r="B944" s="4">
        <v>46007</v>
      </c>
      <c r="C944" s="5">
        <v>15</v>
      </c>
      <c r="D944" s="9" t="s">
        <v>8</v>
      </c>
      <c r="E944" s="10">
        <v>195</v>
      </c>
      <c r="F944" s="10">
        <f t="shared" si="14"/>
        <v>2925</v>
      </c>
    </row>
    <row r="945" spans="1:6" s="9" customFormat="1" x14ac:dyDescent="0.25">
      <c r="B945" s="4"/>
      <c r="C945" s="5">
        <v>15</v>
      </c>
      <c r="D945" s="9" t="s">
        <v>12</v>
      </c>
      <c r="E945" s="10">
        <v>185</v>
      </c>
      <c r="F945" s="10">
        <f t="shared" si="14"/>
        <v>2775</v>
      </c>
    </row>
    <row r="946" spans="1:6" s="9" customFormat="1" x14ac:dyDescent="0.25">
      <c r="C946" s="5">
        <v>15</v>
      </c>
      <c r="D946" s="9" t="s">
        <v>13</v>
      </c>
      <c r="E946" s="10">
        <v>190</v>
      </c>
      <c r="F946" s="10">
        <f t="shared" si="14"/>
        <v>2850</v>
      </c>
    </row>
    <row r="947" spans="1:6" s="9" customFormat="1" x14ac:dyDescent="0.25">
      <c r="C947" s="5"/>
      <c r="E947" s="10"/>
      <c r="F947" s="8">
        <f>SUM(F944:F946)</f>
        <v>8550</v>
      </c>
    </row>
    <row r="948" spans="1:6" s="9" customFormat="1" x14ac:dyDescent="0.25">
      <c r="B948" s="4"/>
      <c r="C948" s="5"/>
      <c r="E948" s="10"/>
      <c r="F948" s="10"/>
    </row>
    <row r="949" spans="1:6" s="9" customFormat="1" x14ac:dyDescent="0.25">
      <c r="A949" s="9" t="s">
        <v>40</v>
      </c>
      <c r="B949" s="4">
        <v>46007</v>
      </c>
      <c r="C949" s="5">
        <v>15</v>
      </c>
      <c r="D949" s="9" t="s">
        <v>13</v>
      </c>
      <c r="E949" s="10">
        <v>190</v>
      </c>
      <c r="F949" s="10">
        <f t="shared" si="14"/>
        <v>2850</v>
      </c>
    </row>
    <row r="950" spans="1:6" s="9" customFormat="1" x14ac:dyDescent="0.25">
      <c r="C950" s="5">
        <v>15</v>
      </c>
      <c r="D950" s="9" t="s">
        <v>14</v>
      </c>
      <c r="E950" s="10">
        <v>185</v>
      </c>
      <c r="F950" s="10">
        <f t="shared" si="14"/>
        <v>2775</v>
      </c>
    </row>
    <row r="951" spans="1:6" s="9" customFormat="1" x14ac:dyDescent="0.25">
      <c r="B951" s="4"/>
      <c r="C951" s="5">
        <v>20</v>
      </c>
      <c r="D951" s="9" t="s">
        <v>12</v>
      </c>
      <c r="E951" s="10">
        <v>185</v>
      </c>
      <c r="F951" s="10">
        <f t="shared" si="14"/>
        <v>3700</v>
      </c>
    </row>
    <row r="952" spans="1:6" s="9" customFormat="1" x14ac:dyDescent="0.25">
      <c r="C952" s="5">
        <v>10</v>
      </c>
      <c r="D952" s="9" t="s">
        <v>50</v>
      </c>
      <c r="E952" s="10">
        <v>175</v>
      </c>
      <c r="F952" s="10">
        <f t="shared" si="14"/>
        <v>1750</v>
      </c>
    </row>
    <row r="953" spans="1:6" s="9" customFormat="1" x14ac:dyDescent="0.25">
      <c r="C953" s="5"/>
      <c r="E953" s="10"/>
      <c r="F953" s="8">
        <f>SUM(F949:F952)</f>
        <v>11075</v>
      </c>
    </row>
    <row r="954" spans="1:6" s="9" customFormat="1" x14ac:dyDescent="0.25">
      <c r="B954" s="4"/>
      <c r="C954" s="5"/>
      <c r="E954" s="10"/>
      <c r="F954" s="10"/>
    </row>
    <row r="955" spans="1:6" s="9" customFormat="1" x14ac:dyDescent="0.25">
      <c r="A955" s="9" t="s">
        <v>25</v>
      </c>
      <c r="B955" s="4">
        <v>46007</v>
      </c>
      <c r="C955" s="5">
        <v>30</v>
      </c>
      <c r="D955" s="9" t="s">
        <v>14</v>
      </c>
      <c r="E955" s="10">
        <v>185</v>
      </c>
      <c r="F955" s="10">
        <f t="shared" si="14"/>
        <v>5550</v>
      </c>
    </row>
    <row r="956" spans="1:6" s="9" customFormat="1" x14ac:dyDescent="0.25">
      <c r="C956" s="5">
        <v>30</v>
      </c>
      <c r="D956" s="9" t="s">
        <v>1237</v>
      </c>
      <c r="E956" s="10">
        <v>175</v>
      </c>
      <c r="F956" s="10">
        <f t="shared" si="14"/>
        <v>5250</v>
      </c>
    </row>
    <row r="957" spans="1:6" s="9" customFormat="1" x14ac:dyDescent="0.25">
      <c r="B957" s="4"/>
      <c r="C957" s="5"/>
      <c r="E957" s="10"/>
      <c r="F957" s="8">
        <f>SUM(F955:F956)</f>
        <v>10800</v>
      </c>
    </row>
    <row r="958" spans="1:6" s="9" customFormat="1" x14ac:dyDescent="0.25">
      <c r="C958" s="5"/>
      <c r="E958" s="10"/>
      <c r="F958" s="10"/>
    </row>
    <row r="959" spans="1:6" s="9" customFormat="1" x14ac:dyDescent="0.25">
      <c r="A959" s="9" t="s">
        <v>1122</v>
      </c>
      <c r="B959" s="4">
        <v>46007</v>
      </c>
      <c r="C959" s="5">
        <v>5</v>
      </c>
      <c r="D959" s="9" t="s">
        <v>13</v>
      </c>
      <c r="E959" s="10">
        <v>190</v>
      </c>
      <c r="F959" s="10">
        <f t="shared" si="14"/>
        <v>950</v>
      </c>
    </row>
    <row r="960" spans="1:6" s="9" customFormat="1" x14ac:dyDescent="0.25">
      <c r="C960" s="5"/>
      <c r="E960" s="10"/>
      <c r="F960" s="8">
        <f>SUM(F959)</f>
        <v>950</v>
      </c>
    </row>
    <row r="961" spans="1:6" s="9" customFormat="1" x14ac:dyDescent="0.25">
      <c r="C961" s="5"/>
      <c r="E961" s="10"/>
      <c r="F961" s="10"/>
    </row>
    <row r="962" spans="1:6" s="9" customFormat="1" x14ac:dyDescent="0.25">
      <c r="A962" s="9" t="s">
        <v>688</v>
      </c>
      <c r="B962" s="4">
        <v>46007</v>
      </c>
      <c r="C962" s="5">
        <v>11</v>
      </c>
      <c r="D962" s="9" t="s">
        <v>13</v>
      </c>
      <c r="E962" s="10">
        <v>190</v>
      </c>
      <c r="F962" s="10">
        <f t="shared" si="14"/>
        <v>2090</v>
      </c>
    </row>
    <row r="963" spans="1:6" s="9" customFormat="1" x14ac:dyDescent="0.25">
      <c r="C963" s="5"/>
      <c r="E963" s="10"/>
      <c r="F963" s="8">
        <f>SUM(F962)</f>
        <v>2090</v>
      </c>
    </row>
    <row r="964" spans="1:6" s="9" customFormat="1" x14ac:dyDescent="0.25">
      <c r="C964" s="5"/>
      <c r="E964" s="10"/>
      <c r="F964" s="10"/>
    </row>
    <row r="965" spans="1:6" s="9" customFormat="1" x14ac:dyDescent="0.25">
      <c r="A965" s="9" t="s">
        <v>292</v>
      </c>
      <c r="B965" s="4">
        <v>46007</v>
      </c>
      <c r="C965" s="5">
        <v>5</v>
      </c>
      <c r="D965" s="9" t="s">
        <v>1238</v>
      </c>
      <c r="E965" s="10">
        <v>185</v>
      </c>
      <c r="F965" s="10">
        <f t="shared" si="14"/>
        <v>925</v>
      </c>
    </row>
    <row r="966" spans="1:6" s="9" customFormat="1" x14ac:dyDescent="0.25">
      <c r="C966" s="5">
        <v>2</v>
      </c>
      <c r="D966" s="9" t="s">
        <v>8</v>
      </c>
      <c r="E966" s="10">
        <v>190</v>
      </c>
      <c r="F966" s="10">
        <f t="shared" si="14"/>
        <v>380</v>
      </c>
    </row>
    <row r="967" spans="1:6" s="9" customFormat="1" x14ac:dyDescent="0.25">
      <c r="B967" s="4"/>
      <c r="C967" s="5"/>
      <c r="E967" s="10"/>
      <c r="F967" s="8">
        <f>SUM(F965:F966)</f>
        <v>1305</v>
      </c>
    </row>
    <row r="968" spans="1:6" s="9" customFormat="1" x14ac:dyDescent="0.25">
      <c r="C968" s="5"/>
      <c r="E968" s="10"/>
      <c r="F968" s="10"/>
    </row>
    <row r="969" spans="1:6" s="9" customFormat="1" x14ac:dyDescent="0.25">
      <c r="A969" s="9" t="s">
        <v>44</v>
      </c>
      <c r="B969" s="4">
        <v>46007</v>
      </c>
      <c r="C969" s="5">
        <v>90</v>
      </c>
      <c r="D969" s="9" t="s">
        <v>13</v>
      </c>
      <c r="E969" s="10">
        <v>180</v>
      </c>
      <c r="F969" s="10">
        <f t="shared" si="14"/>
        <v>16200</v>
      </c>
    </row>
    <row r="970" spans="1:6" s="9" customFormat="1" x14ac:dyDescent="0.25">
      <c r="B970" s="4"/>
      <c r="C970" s="5"/>
      <c r="E970" s="10"/>
      <c r="F970" s="8">
        <f>SUM(F969)</f>
        <v>16200</v>
      </c>
    </row>
    <row r="971" spans="1:6" s="9" customFormat="1" x14ac:dyDescent="0.25">
      <c r="C971" s="5"/>
      <c r="E971" s="10"/>
      <c r="F971" s="10"/>
    </row>
    <row r="972" spans="1:6" s="9" customFormat="1" x14ac:dyDescent="0.25">
      <c r="A972" s="9" t="s">
        <v>89</v>
      </c>
      <c r="B972" s="4">
        <v>19344</v>
      </c>
      <c r="C972" s="5">
        <v>10</v>
      </c>
      <c r="D972" s="9" t="s">
        <v>13</v>
      </c>
      <c r="E972" s="10">
        <v>180</v>
      </c>
      <c r="F972" s="10">
        <f t="shared" ref="F972:F1033" si="15">+C972*E972</f>
        <v>1800</v>
      </c>
    </row>
    <row r="973" spans="1:6" s="9" customFormat="1" x14ac:dyDescent="0.25">
      <c r="C973" s="5">
        <v>60</v>
      </c>
      <c r="D973" s="9" t="s">
        <v>12</v>
      </c>
      <c r="E973" s="10">
        <v>175</v>
      </c>
      <c r="F973" s="10">
        <f t="shared" si="15"/>
        <v>10500</v>
      </c>
    </row>
    <row r="974" spans="1:6" s="9" customFormat="1" x14ac:dyDescent="0.25">
      <c r="C974" s="5"/>
      <c r="E974" s="10"/>
      <c r="F974" s="8">
        <f>SUM(F972:F973)</f>
        <v>12300</v>
      </c>
    </row>
    <row r="975" spans="1:6" s="9" customFormat="1" x14ac:dyDescent="0.25">
      <c r="C975" s="5"/>
      <c r="E975" s="10"/>
      <c r="F975" s="10"/>
    </row>
    <row r="976" spans="1:6" s="9" customFormat="1" x14ac:dyDescent="0.25">
      <c r="A976" s="9" t="s">
        <v>941</v>
      </c>
      <c r="B976" s="4">
        <v>46007</v>
      </c>
      <c r="C976" s="5">
        <v>25</v>
      </c>
      <c r="D976" s="9" t="s">
        <v>8</v>
      </c>
      <c r="E976" s="10">
        <v>195</v>
      </c>
      <c r="F976" s="10">
        <f t="shared" si="15"/>
        <v>4875</v>
      </c>
    </row>
    <row r="977" spans="1:6" s="9" customFormat="1" x14ac:dyDescent="0.25">
      <c r="C977" s="5"/>
      <c r="E977" s="10"/>
      <c r="F977" s="8">
        <f>SUM(F976)</f>
        <v>4875</v>
      </c>
    </row>
    <row r="978" spans="1:6" s="9" customFormat="1" x14ac:dyDescent="0.25">
      <c r="C978" s="5"/>
      <c r="E978" s="10"/>
      <c r="F978" s="10"/>
    </row>
    <row r="979" spans="1:6" s="9" customFormat="1" x14ac:dyDescent="0.25">
      <c r="A979" s="9" t="s">
        <v>1211</v>
      </c>
      <c r="B979" s="4">
        <v>46007</v>
      </c>
      <c r="C979" s="5">
        <v>20</v>
      </c>
      <c r="D979" s="9" t="s">
        <v>14</v>
      </c>
      <c r="E979" s="10">
        <v>185</v>
      </c>
      <c r="F979" s="10">
        <f t="shared" si="15"/>
        <v>3700</v>
      </c>
    </row>
    <row r="980" spans="1:6" s="9" customFormat="1" x14ac:dyDescent="0.25">
      <c r="C980" s="5">
        <v>20</v>
      </c>
      <c r="D980" s="9" t="s">
        <v>11</v>
      </c>
      <c r="E980" s="10">
        <v>180</v>
      </c>
      <c r="F980" s="10">
        <f t="shared" si="15"/>
        <v>3600</v>
      </c>
    </row>
    <row r="981" spans="1:6" s="9" customFormat="1" x14ac:dyDescent="0.25">
      <c r="C981" s="5"/>
      <c r="E981" s="10"/>
      <c r="F981" s="8">
        <f>SUM(F979:F980)</f>
        <v>7300</v>
      </c>
    </row>
    <row r="982" spans="1:6" s="9" customFormat="1" x14ac:dyDescent="0.25">
      <c r="C982" s="5"/>
      <c r="E982" s="10"/>
      <c r="F982" s="10"/>
    </row>
    <row r="983" spans="1:6" s="9" customFormat="1" x14ac:dyDescent="0.25">
      <c r="A983" s="9" t="s">
        <v>1239</v>
      </c>
      <c r="B983" s="4">
        <v>46007</v>
      </c>
      <c r="C983" s="5">
        <v>10</v>
      </c>
      <c r="D983" s="9" t="s">
        <v>13</v>
      </c>
      <c r="E983" s="10">
        <v>190</v>
      </c>
      <c r="F983" s="10">
        <f t="shared" si="15"/>
        <v>1900</v>
      </c>
    </row>
    <row r="984" spans="1:6" s="9" customFormat="1" x14ac:dyDescent="0.25">
      <c r="B984" s="4"/>
      <c r="C984" s="5"/>
      <c r="E984" s="10"/>
      <c r="F984" s="8">
        <f>SUM(F983)</f>
        <v>1900</v>
      </c>
    </row>
    <row r="985" spans="1:6" x14ac:dyDescent="0.25">
      <c r="B985" s="9"/>
      <c r="D985" s="9"/>
    </row>
    <row r="986" spans="1:6" s="9" customFormat="1" x14ac:dyDescent="0.25">
      <c r="A986" s="9" t="s">
        <v>61</v>
      </c>
      <c r="B986" s="4">
        <v>46007</v>
      </c>
      <c r="C986" s="5">
        <v>50</v>
      </c>
      <c r="D986" s="9" t="s">
        <v>13</v>
      </c>
      <c r="E986" s="10">
        <v>188</v>
      </c>
      <c r="F986" s="10">
        <f t="shared" si="15"/>
        <v>9400</v>
      </c>
    </row>
    <row r="987" spans="1:6" s="9" customFormat="1" x14ac:dyDescent="0.25">
      <c r="C987" s="5"/>
      <c r="E987" s="10"/>
      <c r="F987" s="8">
        <f>SUM(F986)</f>
        <v>9400</v>
      </c>
    </row>
    <row r="988" spans="1:6" s="9" customFormat="1" x14ac:dyDescent="0.25">
      <c r="C988" s="5"/>
      <c r="E988" s="10"/>
      <c r="F988" s="10"/>
    </row>
    <row r="989" spans="1:6" s="9" customFormat="1" x14ac:dyDescent="0.25">
      <c r="A989" s="9" t="s">
        <v>65</v>
      </c>
      <c r="B989" s="4">
        <v>46007</v>
      </c>
      <c r="C989" s="5">
        <v>140</v>
      </c>
      <c r="D989" s="9" t="s">
        <v>12</v>
      </c>
      <c r="E989" s="10">
        <v>180</v>
      </c>
      <c r="F989" s="10">
        <f t="shared" si="15"/>
        <v>25200</v>
      </c>
    </row>
    <row r="990" spans="1:6" s="9" customFormat="1" x14ac:dyDescent="0.25">
      <c r="C990" s="11">
        <v>66</v>
      </c>
      <c r="D990" s="9" t="s">
        <v>799</v>
      </c>
      <c r="E990" s="10">
        <v>180</v>
      </c>
      <c r="F990" s="10">
        <f t="shared" si="15"/>
        <v>11880</v>
      </c>
    </row>
    <row r="991" spans="1:6" s="9" customFormat="1" x14ac:dyDescent="0.25">
      <c r="C991" s="5">
        <v>40</v>
      </c>
      <c r="D991" s="9" t="s">
        <v>22</v>
      </c>
      <c r="E991" s="10">
        <v>175</v>
      </c>
      <c r="F991" s="10">
        <f t="shared" si="15"/>
        <v>7000</v>
      </c>
    </row>
    <row r="992" spans="1:6" s="9" customFormat="1" x14ac:dyDescent="0.25">
      <c r="C992" s="5">
        <v>100</v>
      </c>
      <c r="D992" s="9" t="s">
        <v>50</v>
      </c>
      <c r="E992" s="10">
        <v>175</v>
      </c>
      <c r="F992" s="10">
        <f t="shared" si="15"/>
        <v>17500</v>
      </c>
    </row>
    <row r="993" spans="1:11" s="9" customFormat="1" x14ac:dyDescent="0.25">
      <c r="B993" s="4"/>
      <c r="C993" s="5">
        <v>200</v>
      </c>
      <c r="D993" s="9" t="s">
        <v>11</v>
      </c>
      <c r="E993" s="10">
        <v>180</v>
      </c>
      <c r="F993" s="10">
        <f t="shared" si="15"/>
        <v>36000</v>
      </c>
    </row>
    <row r="994" spans="1:11" s="9" customFormat="1" x14ac:dyDescent="0.25">
      <c r="C994" s="5">
        <v>200</v>
      </c>
      <c r="D994" s="9" t="s">
        <v>14</v>
      </c>
      <c r="E994" s="10">
        <v>185</v>
      </c>
      <c r="F994" s="10">
        <f t="shared" si="15"/>
        <v>37000</v>
      </c>
    </row>
    <row r="995" spans="1:11" s="9" customFormat="1" x14ac:dyDescent="0.25">
      <c r="C995" s="5"/>
      <c r="E995" s="10"/>
      <c r="F995" s="8">
        <f>SUM(F989:F994)</f>
        <v>134580</v>
      </c>
    </row>
    <row r="996" spans="1:11" s="9" customFormat="1" x14ac:dyDescent="0.25">
      <c r="B996" s="4"/>
      <c r="C996" s="5"/>
      <c r="E996" s="10"/>
      <c r="F996" s="10"/>
    </row>
    <row r="997" spans="1:11" s="9" customFormat="1" x14ac:dyDescent="0.25">
      <c r="A997" s="9" t="s">
        <v>114</v>
      </c>
      <c r="B997" s="4">
        <v>46007</v>
      </c>
      <c r="C997" s="5">
        <v>4</v>
      </c>
      <c r="D997" s="9" t="s">
        <v>13</v>
      </c>
      <c r="E997" s="10">
        <v>195</v>
      </c>
      <c r="F997" s="10">
        <f t="shared" si="15"/>
        <v>780</v>
      </c>
      <c r="K997" s="9">
        <f>384513+134580</f>
        <v>519093</v>
      </c>
    </row>
    <row r="998" spans="1:11" s="9" customFormat="1" x14ac:dyDescent="0.25">
      <c r="C998" s="5"/>
      <c r="E998" s="10"/>
      <c r="F998" s="8">
        <f>SUM(F997)</f>
        <v>780</v>
      </c>
    </row>
    <row r="999" spans="1:11" s="9" customFormat="1" x14ac:dyDescent="0.25">
      <c r="C999" s="5"/>
      <c r="E999" s="10"/>
      <c r="F999" s="10"/>
    </row>
    <row r="1000" spans="1:11" s="9" customFormat="1" x14ac:dyDescent="0.25">
      <c r="A1000" s="9" t="s">
        <v>112</v>
      </c>
      <c r="B1000" s="4">
        <v>46007</v>
      </c>
      <c r="C1000" s="5">
        <v>60</v>
      </c>
      <c r="D1000" s="9" t="s">
        <v>11</v>
      </c>
      <c r="E1000" s="10">
        <v>180</v>
      </c>
      <c r="F1000" s="10">
        <f t="shared" si="15"/>
        <v>10800</v>
      </c>
    </row>
    <row r="1001" spans="1:11" s="9" customFormat="1" x14ac:dyDescent="0.25">
      <c r="C1001" s="5"/>
      <c r="E1001" s="10"/>
      <c r="F1001" s="8">
        <f>SUM(F1000)</f>
        <v>10800</v>
      </c>
    </row>
    <row r="1002" spans="1:11" s="9" customFormat="1" x14ac:dyDescent="0.25">
      <c r="C1002" s="5"/>
      <c r="E1002" s="10"/>
      <c r="F1002" s="10"/>
    </row>
    <row r="1003" spans="1:11" s="9" customFormat="1" x14ac:dyDescent="0.25">
      <c r="A1003" s="9" t="s">
        <v>76</v>
      </c>
      <c r="B1003" s="4">
        <v>46007</v>
      </c>
      <c r="C1003" s="5">
        <v>90</v>
      </c>
      <c r="D1003" s="9" t="s">
        <v>50</v>
      </c>
      <c r="E1003" s="10">
        <v>170</v>
      </c>
      <c r="F1003" s="10">
        <f t="shared" si="15"/>
        <v>15300</v>
      </c>
    </row>
    <row r="1004" spans="1:11" s="9" customFormat="1" x14ac:dyDescent="0.25">
      <c r="B1004" s="4"/>
      <c r="C1004" s="5">
        <v>300</v>
      </c>
      <c r="D1004" s="9" t="s">
        <v>14</v>
      </c>
      <c r="E1004" s="10">
        <v>180</v>
      </c>
      <c r="F1004" s="10">
        <f t="shared" si="15"/>
        <v>54000</v>
      </c>
    </row>
    <row r="1005" spans="1:11" s="9" customFormat="1" x14ac:dyDescent="0.25">
      <c r="C1005" s="5">
        <v>200</v>
      </c>
      <c r="D1005" s="9" t="s">
        <v>49</v>
      </c>
      <c r="E1005" s="10">
        <v>185</v>
      </c>
      <c r="F1005" s="10">
        <f t="shared" si="15"/>
        <v>37000</v>
      </c>
    </row>
    <row r="1006" spans="1:11" s="9" customFormat="1" x14ac:dyDescent="0.25">
      <c r="C1006" s="5"/>
      <c r="E1006" s="10"/>
      <c r="F1006" s="8">
        <f>SUM(F1003:F1005)</f>
        <v>106300</v>
      </c>
    </row>
    <row r="1007" spans="1:11" s="9" customFormat="1" x14ac:dyDescent="0.25">
      <c r="B1007" s="4"/>
      <c r="C1007" s="5"/>
      <c r="E1007" s="10"/>
      <c r="F1007" s="10"/>
    </row>
    <row r="1008" spans="1:11" s="9" customFormat="1" x14ac:dyDescent="0.25">
      <c r="A1008" s="9" t="s">
        <v>76</v>
      </c>
      <c r="B1008" s="4">
        <v>46007</v>
      </c>
      <c r="C1008" s="5">
        <v>12</v>
      </c>
      <c r="D1008" s="9" t="s">
        <v>12</v>
      </c>
      <c r="E1008" s="10">
        <v>175</v>
      </c>
      <c r="F1008" s="10">
        <f t="shared" si="15"/>
        <v>2100</v>
      </c>
    </row>
    <row r="1009" spans="1:6" s="9" customFormat="1" x14ac:dyDescent="0.25">
      <c r="C1009" s="5"/>
      <c r="E1009" s="10"/>
      <c r="F1009" s="8">
        <f>SUM(F1008)</f>
        <v>2100</v>
      </c>
    </row>
    <row r="1010" spans="1:6" s="9" customFormat="1" x14ac:dyDescent="0.25">
      <c r="B1010" s="4"/>
      <c r="C1010" s="5"/>
      <c r="E1010" s="10"/>
      <c r="F1010" s="10"/>
    </row>
    <row r="1011" spans="1:6" s="9" customFormat="1" x14ac:dyDescent="0.25">
      <c r="A1011" s="9" t="s">
        <v>29</v>
      </c>
      <c r="B1011" s="4">
        <v>46007</v>
      </c>
      <c r="C1011" s="5">
        <v>6</v>
      </c>
      <c r="D1011" s="9" t="s">
        <v>49</v>
      </c>
      <c r="E1011" s="10">
        <v>195</v>
      </c>
      <c r="F1011" s="10">
        <f t="shared" si="15"/>
        <v>1170</v>
      </c>
    </row>
    <row r="1012" spans="1:6" s="9" customFormat="1" x14ac:dyDescent="0.25">
      <c r="C1012" s="5">
        <v>2</v>
      </c>
      <c r="D1012" s="9" t="s">
        <v>1240</v>
      </c>
      <c r="E1012" s="10">
        <v>195</v>
      </c>
      <c r="F1012" s="10">
        <f t="shared" si="15"/>
        <v>390</v>
      </c>
    </row>
    <row r="1013" spans="1:6" s="9" customFormat="1" x14ac:dyDescent="0.25">
      <c r="B1013" s="4"/>
      <c r="C1013" s="11">
        <v>0.5</v>
      </c>
      <c r="D1013" s="9" t="s">
        <v>49</v>
      </c>
      <c r="E1013" s="10">
        <v>195</v>
      </c>
      <c r="F1013" s="10">
        <f t="shared" si="15"/>
        <v>97.5</v>
      </c>
    </row>
    <row r="1014" spans="1:6" s="9" customFormat="1" x14ac:dyDescent="0.25">
      <c r="C1014" s="5"/>
      <c r="E1014" s="10"/>
      <c r="F1014" s="8">
        <f>SUM(F1011:F1013)</f>
        <v>1657.5</v>
      </c>
    </row>
    <row r="1015" spans="1:6" s="9" customFormat="1" x14ac:dyDescent="0.25">
      <c r="C1015" s="5"/>
      <c r="E1015" s="10"/>
      <c r="F1015" s="10"/>
    </row>
    <row r="1016" spans="1:6" s="9" customFormat="1" x14ac:dyDescent="0.25">
      <c r="A1016" s="9" t="s">
        <v>855</v>
      </c>
      <c r="B1016" s="4">
        <v>46007</v>
      </c>
      <c r="C1016" s="5">
        <v>10</v>
      </c>
      <c r="D1016" s="9" t="s">
        <v>8</v>
      </c>
      <c r="E1016" s="10">
        <v>185</v>
      </c>
      <c r="F1016" s="10">
        <f t="shared" si="15"/>
        <v>1850</v>
      </c>
    </row>
    <row r="1017" spans="1:6" s="9" customFormat="1" x14ac:dyDescent="0.25">
      <c r="C1017" s="5">
        <v>9</v>
      </c>
      <c r="D1017" s="9" t="s">
        <v>8</v>
      </c>
      <c r="E1017" s="10">
        <v>195</v>
      </c>
      <c r="F1017" s="10">
        <f t="shared" si="15"/>
        <v>1755</v>
      </c>
    </row>
    <row r="1018" spans="1:6" s="9" customFormat="1" x14ac:dyDescent="0.25">
      <c r="C1018" s="11">
        <v>0.5</v>
      </c>
      <c r="D1018" s="9" t="s">
        <v>1241</v>
      </c>
      <c r="E1018" s="10">
        <v>140</v>
      </c>
      <c r="F1018" s="10">
        <f t="shared" si="15"/>
        <v>70</v>
      </c>
    </row>
    <row r="1019" spans="1:6" s="9" customFormat="1" x14ac:dyDescent="0.25">
      <c r="B1019" s="4"/>
      <c r="C1019" s="5">
        <v>2</v>
      </c>
      <c r="D1019" s="9" t="s">
        <v>639</v>
      </c>
      <c r="E1019" s="10">
        <v>185</v>
      </c>
      <c r="F1019" s="10">
        <f t="shared" si="15"/>
        <v>370</v>
      </c>
    </row>
    <row r="1020" spans="1:6" s="9" customFormat="1" x14ac:dyDescent="0.25">
      <c r="C1020" s="5">
        <v>1</v>
      </c>
      <c r="D1020" s="9" t="s">
        <v>13</v>
      </c>
      <c r="E1020" s="10">
        <v>190</v>
      </c>
      <c r="F1020" s="10">
        <f t="shared" si="15"/>
        <v>190</v>
      </c>
    </row>
    <row r="1021" spans="1:6" s="9" customFormat="1" x14ac:dyDescent="0.25">
      <c r="C1021" s="5"/>
      <c r="E1021" s="10"/>
      <c r="F1021" s="8">
        <f>SUM(F1016:F1020)</f>
        <v>4235</v>
      </c>
    </row>
    <row r="1022" spans="1:6" s="9" customFormat="1" x14ac:dyDescent="0.25">
      <c r="C1022" s="5"/>
      <c r="E1022" s="10"/>
      <c r="F1022" s="10"/>
    </row>
    <row r="1023" spans="1:6" s="9" customFormat="1" x14ac:dyDescent="0.25">
      <c r="A1023" s="9" t="s">
        <v>41</v>
      </c>
      <c r="B1023" s="4">
        <v>46008</v>
      </c>
      <c r="C1023" s="5">
        <v>45</v>
      </c>
      <c r="D1023" s="9" t="s">
        <v>14</v>
      </c>
      <c r="E1023" s="10">
        <v>165</v>
      </c>
      <c r="F1023" s="10">
        <f t="shared" si="15"/>
        <v>7425</v>
      </c>
    </row>
    <row r="1024" spans="1:6" s="9" customFormat="1" x14ac:dyDescent="0.25">
      <c r="B1024" s="4"/>
      <c r="C1024" s="5"/>
      <c r="E1024" s="10"/>
      <c r="F1024" s="8">
        <f>SUM(F1023)</f>
        <v>7425</v>
      </c>
    </row>
    <row r="1025" spans="1:6" s="9" customFormat="1" x14ac:dyDescent="0.25">
      <c r="C1025" s="5"/>
      <c r="E1025" s="10"/>
      <c r="F1025" s="10"/>
    </row>
    <row r="1026" spans="1:6" s="9" customFormat="1" x14ac:dyDescent="0.25">
      <c r="A1026" s="9" t="s">
        <v>107</v>
      </c>
      <c r="B1026" s="4">
        <v>46008</v>
      </c>
      <c r="C1026" s="5">
        <v>66</v>
      </c>
      <c r="D1026" s="9" t="s">
        <v>11</v>
      </c>
      <c r="E1026" s="10">
        <v>180</v>
      </c>
      <c r="F1026" s="10">
        <f t="shared" si="15"/>
        <v>11880</v>
      </c>
    </row>
    <row r="1027" spans="1:6" s="9" customFormat="1" x14ac:dyDescent="0.25">
      <c r="C1027" s="5">
        <v>14</v>
      </c>
      <c r="D1027" s="9" t="s">
        <v>902</v>
      </c>
      <c r="E1027" s="10">
        <v>180</v>
      </c>
      <c r="F1027" s="10">
        <f t="shared" si="15"/>
        <v>2520</v>
      </c>
    </row>
    <row r="1028" spans="1:6" s="9" customFormat="1" x14ac:dyDescent="0.25">
      <c r="B1028" s="4"/>
      <c r="C1028" s="5"/>
      <c r="E1028" s="10"/>
      <c r="F1028" s="8">
        <f>SUM(F1026:F1027)</f>
        <v>14400</v>
      </c>
    </row>
    <row r="1029" spans="1:6" s="9" customFormat="1" x14ac:dyDescent="0.25">
      <c r="C1029" s="5"/>
      <c r="E1029" s="10"/>
      <c r="F1029" s="10"/>
    </row>
    <row r="1030" spans="1:6" s="9" customFormat="1" x14ac:dyDescent="0.25">
      <c r="A1030" s="9" t="s">
        <v>43</v>
      </c>
      <c r="B1030" s="4">
        <v>46008</v>
      </c>
      <c r="C1030" s="5">
        <v>43</v>
      </c>
      <c r="D1030" s="9" t="s">
        <v>1242</v>
      </c>
      <c r="E1030" s="10">
        <v>195</v>
      </c>
      <c r="F1030" s="10">
        <f t="shared" si="15"/>
        <v>8385</v>
      </c>
    </row>
    <row r="1031" spans="1:6" s="9" customFormat="1" x14ac:dyDescent="0.25">
      <c r="B1031" s="4"/>
      <c r="C1031" s="5"/>
      <c r="E1031" s="10"/>
      <c r="F1031" s="8">
        <f>SUM(F1030)</f>
        <v>8385</v>
      </c>
    </row>
    <row r="1032" spans="1:6" s="9" customFormat="1" x14ac:dyDescent="0.25">
      <c r="C1032" s="5"/>
      <c r="E1032" s="10"/>
      <c r="F1032" s="10"/>
    </row>
    <row r="1033" spans="1:6" s="9" customFormat="1" x14ac:dyDescent="0.25">
      <c r="A1033" s="9" t="s">
        <v>455</v>
      </c>
      <c r="B1033" s="4">
        <v>46008</v>
      </c>
      <c r="C1033" s="5">
        <v>50</v>
      </c>
      <c r="D1033" s="9" t="s">
        <v>14</v>
      </c>
      <c r="E1033" s="10">
        <v>182</v>
      </c>
      <c r="F1033" s="10">
        <f t="shared" si="15"/>
        <v>9100</v>
      </c>
    </row>
    <row r="1034" spans="1:6" s="9" customFormat="1" x14ac:dyDescent="0.25">
      <c r="B1034" s="4"/>
      <c r="C1034" s="5"/>
      <c r="E1034" s="10"/>
      <c r="F1034" s="8">
        <f>SUM(F1033)</f>
        <v>9100</v>
      </c>
    </row>
    <row r="1035" spans="1:6" s="9" customFormat="1" x14ac:dyDescent="0.25">
      <c r="C1035" s="5"/>
      <c r="E1035" s="10"/>
      <c r="F1035" s="10"/>
    </row>
    <row r="1036" spans="1:6" s="9" customFormat="1" x14ac:dyDescent="0.25">
      <c r="A1036" s="9" t="s">
        <v>44</v>
      </c>
      <c r="B1036" s="4">
        <v>46008</v>
      </c>
      <c r="C1036" s="5">
        <v>120</v>
      </c>
      <c r="D1036" s="9" t="s">
        <v>14</v>
      </c>
      <c r="E1036" s="10">
        <v>190</v>
      </c>
      <c r="F1036" s="10">
        <f t="shared" ref="F1036:F1099" si="16">+C1036*E1036</f>
        <v>22800</v>
      </c>
    </row>
    <row r="1037" spans="1:6" s="9" customFormat="1" x14ac:dyDescent="0.25">
      <c r="C1037" s="5"/>
      <c r="E1037" s="10"/>
      <c r="F1037" s="8">
        <f>SUM(F1036)</f>
        <v>22800</v>
      </c>
    </row>
    <row r="1038" spans="1:6" s="9" customFormat="1" x14ac:dyDescent="0.25">
      <c r="C1038" s="5"/>
      <c r="E1038" s="10"/>
      <c r="F1038" s="10"/>
    </row>
    <row r="1039" spans="1:6" s="9" customFormat="1" x14ac:dyDescent="0.25">
      <c r="A1039" s="9" t="s">
        <v>18</v>
      </c>
      <c r="B1039" s="4">
        <v>46008</v>
      </c>
      <c r="C1039" s="5">
        <v>30</v>
      </c>
      <c r="D1039" s="9" t="s">
        <v>14</v>
      </c>
      <c r="E1039" s="10">
        <v>190</v>
      </c>
      <c r="F1039" s="10">
        <f t="shared" si="16"/>
        <v>5700</v>
      </c>
    </row>
    <row r="1040" spans="1:6" s="9" customFormat="1" x14ac:dyDescent="0.25">
      <c r="C1040" s="5">
        <v>10</v>
      </c>
      <c r="D1040" s="9" t="s">
        <v>12</v>
      </c>
      <c r="E1040" s="10">
        <v>185</v>
      </c>
      <c r="F1040" s="10">
        <f t="shared" si="16"/>
        <v>1850</v>
      </c>
    </row>
    <row r="1041" spans="1:6" s="9" customFormat="1" x14ac:dyDescent="0.25">
      <c r="B1041" s="4"/>
      <c r="C1041" s="5"/>
      <c r="E1041" s="10"/>
      <c r="F1041" s="8">
        <f>SUM(F1039:F1040)</f>
        <v>7550</v>
      </c>
    </row>
    <row r="1042" spans="1:6" s="9" customFormat="1" x14ac:dyDescent="0.25">
      <c r="C1042" s="5"/>
      <c r="E1042" s="10"/>
      <c r="F1042" s="10"/>
    </row>
    <row r="1043" spans="1:6" s="9" customFormat="1" x14ac:dyDescent="0.25">
      <c r="A1043" s="9" t="s">
        <v>46</v>
      </c>
      <c r="B1043" s="4">
        <v>46008</v>
      </c>
      <c r="C1043" s="5">
        <v>20</v>
      </c>
      <c r="D1043" s="9" t="s">
        <v>14</v>
      </c>
      <c r="E1043" s="10">
        <v>190</v>
      </c>
      <c r="F1043" s="10">
        <f t="shared" si="16"/>
        <v>3800</v>
      </c>
    </row>
    <row r="1044" spans="1:6" s="9" customFormat="1" x14ac:dyDescent="0.25">
      <c r="B1044" s="4"/>
      <c r="C1044" s="5"/>
      <c r="E1044" s="10"/>
      <c r="F1044" s="8">
        <f>SUM(F1043)</f>
        <v>3800</v>
      </c>
    </row>
    <row r="1045" spans="1:6" s="9" customFormat="1" x14ac:dyDescent="0.25">
      <c r="C1045" s="5"/>
      <c r="E1045" s="10"/>
      <c r="F1045" s="10"/>
    </row>
    <row r="1046" spans="1:6" s="9" customFormat="1" x14ac:dyDescent="0.25">
      <c r="A1046" s="9" t="s">
        <v>145</v>
      </c>
      <c r="B1046" s="4">
        <v>46008</v>
      </c>
      <c r="C1046" s="5">
        <v>100</v>
      </c>
      <c r="D1046" s="9" t="s">
        <v>14</v>
      </c>
      <c r="E1046" s="10">
        <v>190</v>
      </c>
      <c r="F1046" s="10">
        <f t="shared" si="16"/>
        <v>19000</v>
      </c>
    </row>
    <row r="1047" spans="1:6" s="9" customFormat="1" x14ac:dyDescent="0.25">
      <c r="B1047" s="4"/>
      <c r="C1047" s="5"/>
      <c r="E1047" s="10"/>
      <c r="F1047" s="8">
        <f>SUM(F1046)</f>
        <v>19000</v>
      </c>
    </row>
    <row r="1048" spans="1:6" s="9" customFormat="1" x14ac:dyDescent="0.25">
      <c r="C1048" s="5"/>
      <c r="E1048" s="10"/>
      <c r="F1048" s="10"/>
    </row>
    <row r="1049" spans="1:6" s="9" customFormat="1" x14ac:dyDescent="0.25">
      <c r="A1049" s="9" t="s">
        <v>47</v>
      </c>
      <c r="B1049" s="4">
        <v>46008</v>
      </c>
      <c r="C1049" s="5">
        <v>46</v>
      </c>
      <c r="D1049" s="9" t="s">
        <v>14</v>
      </c>
      <c r="E1049" s="10">
        <v>190</v>
      </c>
      <c r="F1049" s="10">
        <f t="shared" si="16"/>
        <v>8740</v>
      </c>
    </row>
    <row r="1050" spans="1:6" s="9" customFormat="1" x14ac:dyDescent="0.25">
      <c r="B1050" s="4"/>
      <c r="C1050" s="5"/>
      <c r="E1050" s="10"/>
      <c r="F1050" s="8">
        <f>SUM(F1049)</f>
        <v>8740</v>
      </c>
    </row>
    <row r="1051" spans="1:6" s="9" customFormat="1" x14ac:dyDescent="0.25">
      <c r="C1051" s="5"/>
      <c r="E1051" s="10"/>
      <c r="F1051" s="10"/>
    </row>
    <row r="1052" spans="1:6" s="9" customFormat="1" x14ac:dyDescent="0.25">
      <c r="A1052" s="9" t="s">
        <v>160</v>
      </c>
      <c r="B1052" s="4">
        <v>46008</v>
      </c>
      <c r="C1052" s="5">
        <v>5</v>
      </c>
      <c r="D1052" s="9" t="s">
        <v>12</v>
      </c>
      <c r="E1052" s="10">
        <v>180</v>
      </c>
      <c r="F1052" s="10">
        <f t="shared" si="16"/>
        <v>900</v>
      </c>
    </row>
    <row r="1053" spans="1:6" s="9" customFormat="1" x14ac:dyDescent="0.25">
      <c r="B1053" s="4"/>
      <c r="C1053" s="5"/>
      <c r="E1053" s="10"/>
      <c r="F1053" s="8">
        <f>SUM(F1052)</f>
        <v>900</v>
      </c>
    </row>
    <row r="1054" spans="1:6" s="9" customFormat="1" x14ac:dyDescent="0.25">
      <c r="C1054" s="5"/>
      <c r="E1054" s="10"/>
      <c r="F1054" s="10"/>
    </row>
    <row r="1055" spans="1:6" s="9" customFormat="1" x14ac:dyDescent="0.25">
      <c r="A1055" s="9" t="s">
        <v>117</v>
      </c>
      <c r="B1055" s="4">
        <v>46008</v>
      </c>
      <c r="C1055" s="5">
        <v>5</v>
      </c>
      <c r="D1055" s="9" t="s">
        <v>13</v>
      </c>
      <c r="E1055" s="10">
        <v>195</v>
      </c>
      <c r="F1055" s="10">
        <f t="shared" si="16"/>
        <v>975</v>
      </c>
    </row>
    <row r="1056" spans="1:6" s="9" customFormat="1" x14ac:dyDescent="0.25">
      <c r="B1056" s="4"/>
      <c r="C1056" s="5"/>
      <c r="E1056" s="10"/>
      <c r="F1056" s="8">
        <f>SUM(F1055)</f>
        <v>975</v>
      </c>
    </row>
    <row r="1057" spans="1:6" s="9" customFormat="1" x14ac:dyDescent="0.25">
      <c r="C1057" s="5"/>
      <c r="E1057" s="10"/>
      <c r="F1057" s="10"/>
    </row>
    <row r="1058" spans="1:6" s="9" customFormat="1" x14ac:dyDescent="0.25">
      <c r="A1058" s="9" t="s">
        <v>88</v>
      </c>
      <c r="B1058" s="4">
        <v>46008</v>
      </c>
      <c r="C1058" s="5">
        <v>7</v>
      </c>
      <c r="D1058" s="9" t="s">
        <v>1243</v>
      </c>
      <c r="E1058" s="10">
        <v>185</v>
      </c>
      <c r="F1058" s="10">
        <f t="shared" si="16"/>
        <v>1295</v>
      </c>
    </row>
    <row r="1059" spans="1:6" s="9" customFormat="1" x14ac:dyDescent="0.25">
      <c r="B1059" s="4"/>
      <c r="C1059" s="5">
        <v>3</v>
      </c>
      <c r="D1059" s="9" t="s">
        <v>13</v>
      </c>
      <c r="E1059" s="10">
        <v>190</v>
      </c>
      <c r="F1059" s="10">
        <f t="shared" si="16"/>
        <v>570</v>
      </c>
    </row>
    <row r="1060" spans="1:6" s="9" customFormat="1" x14ac:dyDescent="0.25">
      <c r="C1060" s="5"/>
      <c r="E1060" s="10"/>
      <c r="F1060" s="8">
        <f>SUM(F1058:F1059)</f>
        <v>1865</v>
      </c>
    </row>
    <row r="1061" spans="1:6" s="9" customFormat="1" x14ac:dyDescent="0.25">
      <c r="C1061" s="5"/>
      <c r="E1061" s="10"/>
      <c r="F1061" s="10"/>
    </row>
    <row r="1062" spans="1:6" s="9" customFormat="1" x14ac:dyDescent="0.25">
      <c r="A1062" s="9" t="s">
        <v>26</v>
      </c>
      <c r="B1062" s="4">
        <v>46008</v>
      </c>
      <c r="C1062" s="5">
        <v>30</v>
      </c>
      <c r="D1062" s="9" t="s">
        <v>14</v>
      </c>
      <c r="E1062" s="10">
        <v>175</v>
      </c>
      <c r="F1062" s="10">
        <f t="shared" si="16"/>
        <v>5250</v>
      </c>
    </row>
    <row r="1063" spans="1:6" s="9" customFormat="1" x14ac:dyDescent="0.25">
      <c r="C1063" s="5"/>
      <c r="E1063" s="10"/>
      <c r="F1063" s="8">
        <f>SUM(F1062)</f>
        <v>5250</v>
      </c>
    </row>
    <row r="1064" spans="1:6" s="9" customFormat="1" x14ac:dyDescent="0.25">
      <c r="C1064" s="5"/>
      <c r="E1064" s="10"/>
      <c r="F1064" s="10"/>
    </row>
    <row r="1065" spans="1:6" s="9" customFormat="1" x14ac:dyDescent="0.25">
      <c r="A1065" s="9" t="s">
        <v>72</v>
      </c>
      <c r="B1065" s="4">
        <v>46008</v>
      </c>
      <c r="C1065" s="5">
        <v>130</v>
      </c>
      <c r="D1065" s="9" t="s">
        <v>165</v>
      </c>
      <c r="E1065" s="10">
        <v>180</v>
      </c>
      <c r="F1065" s="10">
        <f t="shared" si="16"/>
        <v>23400</v>
      </c>
    </row>
    <row r="1066" spans="1:6" s="9" customFormat="1" x14ac:dyDescent="0.25">
      <c r="C1066" s="5">
        <v>170</v>
      </c>
      <c r="D1066" s="9" t="s">
        <v>12</v>
      </c>
      <c r="E1066" s="10">
        <v>175</v>
      </c>
      <c r="F1066" s="10">
        <f t="shared" si="16"/>
        <v>29750</v>
      </c>
    </row>
    <row r="1067" spans="1:6" s="9" customFormat="1" x14ac:dyDescent="0.25">
      <c r="C1067" s="5">
        <v>120</v>
      </c>
      <c r="D1067" s="9" t="s">
        <v>14</v>
      </c>
      <c r="E1067" s="10">
        <v>180</v>
      </c>
      <c r="F1067" s="10">
        <f t="shared" si="16"/>
        <v>21600</v>
      </c>
    </row>
    <row r="1068" spans="1:6" s="9" customFormat="1" x14ac:dyDescent="0.25">
      <c r="B1068" s="4"/>
      <c r="C1068" s="5">
        <v>30</v>
      </c>
      <c r="D1068" s="9" t="s">
        <v>11</v>
      </c>
      <c r="E1068" s="10">
        <v>175</v>
      </c>
      <c r="F1068" s="10">
        <f t="shared" si="16"/>
        <v>5250</v>
      </c>
    </row>
    <row r="1069" spans="1:6" s="9" customFormat="1" x14ac:dyDescent="0.25">
      <c r="C1069" s="5"/>
      <c r="E1069" s="10"/>
      <c r="F1069" s="8">
        <f>SUM(F1065:F1068)</f>
        <v>80000</v>
      </c>
    </row>
    <row r="1070" spans="1:6" s="9" customFormat="1" x14ac:dyDescent="0.25">
      <c r="C1070" s="5"/>
      <c r="E1070" s="10"/>
      <c r="F1070" s="10"/>
    </row>
    <row r="1071" spans="1:6" s="9" customFormat="1" x14ac:dyDescent="0.25">
      <c r="A1071" s="9" t="s">
        <v>175</v>
      </c>
      <c r="B1071" s="4">
        <v>46008</v>
      </c>
      <c r="C1071" s="5">
        <v>10</v>
      </c>
      <c r="D1071" s="9" t="s">
        <v>8</v>
      </c>
      <c r="E1071" s="10">
        <v>195</v>
      </c>
      <c r="F1071" s="10">
        <f t="shared" si="16"/>
        <v>1950</v>
      </c>
    </row>
    <row r="1072" spans="1:6" s="9" customFormat="1" x14ac:dyDescent="0.25">
      <c r="C1072" s="5"/>
      <c r="E1072" s="10"/>
      <c r="F1072" s="8">
        <f>SUM(F1071)</f>
        <v>1950</v>
      </c>
    </row>
    <row r="1073" spans="1:6" s="9" customFormat="1" x14ac:dyDescent="0.25">
      <c r="C1073" s="5"/>
      <c r="E1073" s="10"/>
      <c r="F1073" s="10"/>
    </row>
    <row r="1074" spans="1:6" s="9" customFormat="1" x14ac:dyDescent="0.25">
      <c r="A1074" s="9" t="s">
        <v>29</v>
      </c>
      <c r="B1074" s="4">
        <v>46008</v>
      </c>
      <c r="C1074" s="5">
        <v>2</v>
      </c>
      <c r="D1074" s="9" t="s">
        <v>8</v>
      </c>
      <c r="E1074" s="10">
        <v>195</v>
      </c>
      <c r="F1074" s="10">
        <f t="shared" si="16"/>
        <v>390</v>
      </c>
    </row>
    <row r="1075" spans="1:6" s="9" customFormat="1" x14ac:dyDescent="0.25">
      <c r="C1075" s="5">
        <v>3</v>
      </c>
      <c r="D1075" s="9" t="s">
        <v>8</v>
      </c>
      <c r="E1075" s="10">
        <v>195</v>
      </c>
      <c r="F1075" s="10">
        <f t="shared" si="16"/>
        <v>585</v>
      </c>
    </row>
    <row r="1076" spans="1:6" s="9" customFormat="1" x14ac:dyDescent="0.25">
      <c r="C1076" s="5">
        <v>1</v>
      </c>
      <c r="D1076" s="9" t="s">
        <v>432</v>
      </c>
      <c r="E1076" s="10">
        <v>190</v>
      </c>
      <c r="F1076" s="10">
        <f t="shared" si="16"/>
        <v>190</v>
      </c>
    </row>
    <row r="1077" spans="1:6" s="9" customFormat="1" x14ac:dyDescent="0.25">
      <c r="B1077" s="4"/>
      <c r="C1077" s="5">
        <v>1</v>
      </c>
      <c r="D1077" s="9" t="s">
        <v>432</v>
      </c>
      <c r="E1077" s="10">
        <v>190</v>
      </c>
      <c r="F1077" s="10">
        <f t="shared" si="16"/>
        <v>190</v>
      </c>
    </row>
    <row r="1078" spans="1:6" s="9" customFormat="1" x14ac:dyDescent="0.25">
      <c r="C1078" s="5"/>
      <c r="E1078" s="10"/>
      <c r="F1078" s="8">
        <f>SUM(F1074:F1077)</f>
        <v>1355</v>
      </c>
    </row>
    <row r="1079" spans="1:6" s="9" customFormat="1" x14ac:dyDescent="0.25">
      <c r="C1079" s="5"/>
      <c r="E1079" s="10"/>
      <c r="F1079" s="10"/>
    </row>
    <row r="1080" spans="1:6" s="9" customFormat="1" x14ac:dyDescent="0.25">
      <c r="A1080" s="9" t="s">
        <v>7</v>
      </c>
      <c r="B1080" s="4">
        <v>46008</v>
      </c>
      <c r="C1080" s="5">
        <v>4</v>
      </c>
      <c r="D1080" s="9" t="s">
        <v>395</v>
      </c>
      <c r="E1080" s="10">
        <v>195</v>
      </c>
      <c r="F1080" s="10">
        <f t="shared" si="16"/>
        <v>780</v>
      </c>
    </row>
    <row r="1081" spans="1:6" s="9" customFormat="1" x14ac:dyDescent="0.25">
      <c r="B1081" s="4"/>
      <c r="C1081" s="5">
        <v>3</v>
      </c>
      <c r="D1081" s="9" t="s">
        <v>302</v>
      </c>
      <c r="E1081" s="10">
        <v>185</v>
      </c>
      <c r="F1081" s="10">
        <f t="shared" si="16"/>
        <v>555</v>
      </c>
    </row>
    <row r="1082" spans="1:6" s="9" customFormat="1" x14ac:dyDescent="0.25">
      <c r="C1082" s="5">
        <v>8</v>
      </c>
      <c r="D1082" s="9" t="s">
        <v>729</v>
      </c>
      <c r="E1082" s="10">
        <v>150</v>
      </c>
      <c r="F1082" s="10">
        <f t="shared" si="16"/>
        <v>1200</v>
      </c>
    </row>
    <row r="1083" spans="1:6" s="9" customFormat="1" x14ac:dyDescent="0.25">
      <c r="C1083" s="5">
        <v>1</v>
      </c>
      <c r="D1083" s="9" t="s">
        <v>729</v>
      </c>
      <c r="E1083" s="10">
        <v>0</v>
      </c>
      <c r="F1083" s="10">
        <f t="shared" si="16"/>
        <v>0</v>
      </c>
    </row>
    <row r="1084" spans="1:6" s="9" customFormat="1" x14ac:dyDescent="0.25">
      <c r="B1084" s="4"/>
      <c r="C1084" s="5"/>
      <c r="E1084" s="10"/>
      <c r="F1084" s="8">
        <f>SUM(F1080:F1083)</f>
        <v>2535</v>
      </c>
    </row>
    <row r="1085" spans="1:6" s="9" customFormat="1" x14ac:dyDescent="0.25">
      <c r="C1085" s="5"/>
      <c r="E1085" s="10"/>
      <c r="F1085" s="10"/>
    </row>
    <row r="1086" spans="1:6" s="9" customFormat="1" x14ac:dyDescent="0.25">
      <c r="C1086" s="5"/>
      <c r="E1086" s="10"/>
      <c r="F1086" s="10">
        <f t="shared" si="16"/>
        <v>0</v>
      </c>
    </row>
    <row r="1087" spans="1:6" s="9" customFormat="1" x14ac:dyDescent="0.25">
      <c r="B1087" s="4"/>
      <c r="C1087" s="5"/>
      <c r="E1087" s="10"/>
      <c r="F1087" s="10">
        <f t="shared" si="16"/>
        <v>0</v>
      </c>
    </row>
    <row r="1088" spans="1:6" s="9" customFormat="1" x14ac:dyDescent="0.25">
      <c r="C1088" s="5"/>
      <c r="E1088" s="10"/>
      <c r="F1088" s="10">
        <f t="shared" si="16"/>
        <v>0</v>
      </c>
    </row>
    <row r="1089" spans="2:6" s="9" customFormat="1" x14ac:dyDescent="0.25">
      <c r="C1089" s="5"/>
      <c r="E1089" s="10"/>
      <c r="F1089" s="10">
        <f t="shared" si="16"/>
        <v>0</v>
      </c>
    </row>
    <row r="1090" spans="2:6" s="9" customFormat="1" x14ac:dyDescent="0.25">
      <c r="C1090" s="11"/>
      <c r="E1090" s="10"/>
      <c r="F1090" s="10">
        <f t="shared" si="16"/>
        <v>0</v>
      </c>
    </row>
    <row r="1091" spans="2:6" s="9" customFormat="1" x14ac:dyDescent="0.25">
      <c r="C1091" s="5"/>
      <c r="E1091" s="10"/>
      <c r="F1091" s="10">
        <f t="shared" si="16"/>
        <v>0</v>
      </c>
    </row>
    <row r="1092" spans="2:6" s="9" customFormat="1" x14ac:dyDescent="0.25">
      <c r="C1092" s="5"/>
      <c r="E1092" s="10"/>
      <c r="F1092" s="10">
        <f t="shared" si="16"/>
        <v>0</v>
      </c>
    </row>
    <row r="1093" spans="2:6" s="9" customFormat="1" x14ac:dyDescent="0.25">
      <c r="B1093" s="4"/>
      <c r="C1093" s="5"/>
      <c r="E1093" s="10"/>
      <c r="F1093" s="10">
        <f t="shared" si="16"/>
        <v>0</v>
      </c>
    </row>
    <row r="1094" spans="2:6" s="9" customFormat="1" x14ac:dyDescent="0.25">
      <c r="C1094" s="5"/>
      <c r="E1094" s="10"/>
      <c r="F1094" s="10">
        <f t="shared" si="16"/>
        <v>0</v>
      </c>
    </row>
    <row r="1095" spans="2:6" s="9" customFormat="1" x14ac:dyDescent="0.25">
      <c r="C1095" s="5"/>
      <c r="E1095" s="10"/>
      <c r="F1095" s="10">
        <f t="shared" si="16"/>
        <v>0</v>
      </c>
    </row>
    <row r="1096" spans="2:6" s="9" customFormat="1" x14ac:dyDescent="0.25">
      <c r="C1096" s="5"/>
      <c r="E1096" s="10"/>
      <c r="F1096" s="10">
        <f t="shared" si="16"/>
        <v>0</v>
      </c>
    </row>
    <row r="1097" spans="2:6" s="9" customFormat="1" x14ac:dyDescent="0.25">
      <c r="C1097" s="5"/>
      <c r="E1097" s="10"/>
      <c r="F1097" s="10">
        <f t="shared" si="16"/>
        <v>0</v>
      </c>
    </row>
    <row r="1098" spans="2:6" s="9" customFormat="1" x14ac:dyDescent="0.25">
      <c r="C1098" s="5"/>
      <c r="E1098" s="10"/>
      <c r="F1098" s="10">
        <f t="shared" si="16"/>
        <v>0</v>
      </c>
    </row>
    <row r="1099" spans="2:6" s="9" customFormat="1" x14ac:dyDescent="0.25">
      <c r="C1099" s="5"/>
      <c r="E1099" s="10"/>
      <c r="F1099" s="10">
        <f t="shared" si="16"/>
        <v>0</v>
      </c>
    </row>
    <row r="1100" spans="2:6" s="9" customFormat="1" x14ac:dyDescent="0.25">
      <c r="B1100" s="4"/>
      <c r="C1100" s="5"/>
      <c r="E1100" s="10"/>
      <c r="F1100" s="10">
        <f t="shared" ref="F1100:F1163" si="17">+C1100*E1100</f>
        <v>0</v>
      </c>
    </row>
    <row r="1101" spans="2:6" s="9" customFormat="1" x14ac:dyDescent="0.25">
      <c r="C1101" s="5"/>
      <c r="E1101" s="10"/>
      <c r="F1101" s="10">
        <f t="shared" si="17"/>
        <v>0</v>
      </c>
    </row>
    <row r="1102" spans="2:6" s="9" customFormat="1" x14ac:dyDescent="0.25">
      <c r="C1102" s="5"/>
      <c r="E1102" s="10"/>
      <c r="F1102" s="10">
        <f t="shared" si="17"/>
        <v>0</v>
      </c>
    </row>
    <row r="1103" spans="2:6" s="9" customFormat="1" x14ac:dyDescent="0.25">
      <c r="C1103" s="5"/>
      <c r="E1103" s="10"/>
      <c r="F1103" s="10">
        <f t="shared" si="17"/>
        <v>0</v>
      </c>
    </row>
    <row r="1104" spans="2:6" s="9" customFormat="1" x14ac:dyDescent="0.25">
      <c r="C1104" s="5"/>
      <c r="E1104" s="10"/>
      <c r="F1104" s="10">
        <f t="shared" si="17"/>
        <v>0</v>
      </c>
    </row>
    <row r="1105" spans="2:6" s="9" customFormat="1" x14ac:dyDescent="0.25">
      <c r="C1105" s="5"/>
      <c r="E1105" s="10"/>
      <c r="F1105" s="10">
        <f t="shared" si="17"/>
        <v>0</v>
      </c>
    </row>
    <row r="1106" spans="2:6" s="9" customFormat="1" x14ac:dyDescent="0.25">
      <c r="B1106" s="4"/>
      <c r="C1106" s="5"/>
      <c r="E1106" s="10"/>
      <c r="F1106" s="10">
        <f t="shared" si="17"/>
        <v>0</v>
      </c>
    </row>
    <row r="1107" spans="2:6" s="9" customFormat="1" x14ac:dyDescent="0.25">
      <c r="C1107" s="5"/>
      <c r="E1107" s="10"/>
      <c r="F1107" s="10">
        <f t="shared" si="17"/>
        <v>0</v>
      </c>
    </row>
    <row r="1108" spans="2:6" s="9" customFormat="1" x14ac:dyDescent="0.25">
      <c r="C1108" s="5"/>
      <c r="E1108" s="10"/>
      <c r="F1108" s="10">
        <f t="shared" si="17"/>
        <v>0</v>
      </c>
    </row>
    <row r="1109" spans="2:6" s="9" customFormat="1" x14ac:dyDescent="0.25">
      <c r="B1109" s="4"/>
      <c r="C1109" s="5"/>
      <c r="E1109" s="10"/>
      <c r="F1109" s="10">
        <f t="shared" si="17"/>
        <v>0</v>
      </c>
    </row>
    <row r="1110" spans="2:6" s="9" customFormat="1" x14ac:dyDescent="0.25">
      <c r="C1110" s="5"/>
      <c r="E1110" s="10"/>
      <c r="F1110" s="10">
        <f t="shared" si="17"/>
        <v>0</v>
      </c>
    </row>
    <row r="1111" spans="2:6" s="9" customFormat="1" x14ac:dyDescent="0.25">
      <c r="C1111" s="5"/>
      <c r="E1111" s="10"/>
      <c r="F1111" s="10">
        <f t="shared" si="17"/>
        <v>0</v>
      </c>
    </row>
    <row r="1112" spans="2:6" s="9" customFormat="1" x14ac:dyDescent="0.25">
      <c r="B1112" s="4"/>
      <c r="C1112" s="5"/>
      <c r="E1112" s="10"/>
      <c r="F1112" s="10">
        <f t="shared" si="17"/>
        <v>0</v>
      </c>
    </row>
    <row r="1113" spans="2:6" s="9" customFormat="1" x14ac:dyDescent="0.25">
      <c r="C1113" s="5"/>
      <c r="E1113" s="10"/>
      <c r="F1113" s="10">
        <f t="shared" si="17"/>
        <v>0</v>
      </c>
    </row>
    <row r="1114" spans="2:6" s="9" customFormat="1" x14ac:dyDescent="0.25">
      <c r="C1114" s="5"/>
      <c r="E1114" s="10"/>
      <c r="F1114" s="10">
        <f t="shared" si="17"/>
        <v>0</v>
      </c>
    </row>
    <row r="1115" spans="2:6" s="9" customFormat="1" x14ac:dyDescent="0.25">
      <c r="C1115" s="5"/>
      <c r="E1115" s="10"/>
      <c r="F1115" s="10">
        <f t="shared" si="17"/>
        <v>0</v>
      </c>
    </row>
    <row r="1116" spans="2:6" s="9" customFormat="1" x14ac:dyDescent="0.25">
      <c r="C1116" s="5"/>
      <c r="E1116" s="10"/>
      <c r="F1116" s="10">
        <f t="shared" si="17"/>
        <v>0</v>
      </c>
    </row>
    <row r="1117" spans="2:6" s="9" customFormat="1" x14ac:dyDescent="0.25">
      <c r="C1117" s="5"/>
      <c r="E1117" s="10"/>
      <c r="F1117" s="10">
        <f t="shared" si="17"/>
        <v>0</v>
      </c>
    </row>
    <row r="1118" spans="2:6" s="9" customFormat="1" x14ac:dyDescent="0.25">
      <c r="B1118" s="4"/>
      <c r="C1118" s="5"/>
      <c r="E1118" s="10"/>
      <c r="F1118" s="10">
        <f t="shared" si="17"/>
        <v>0</v>
      </c>
    </row>
    <row r="1119" spans="2:6" s="9" customFormat="1" x14ac:dyDescent="0.25">
      <c r="C1119" s="5"/>
      <c r="E1119" s="10"/>
      <c r="F1119" s="10">
        <f t="shared" si="17"/>
        <v>0</v>
      </c>
    </row>
    <row r="1120" spans="2:6" s="9" customFormat="1" x14ac:dyDescent="0.25">
      <c r="C1120" s="5"/>
      <c r="E1120" s="10"/>
      <c r="F1120" s="10">
        <f t="shared" si="17"/>
        <v>0</v>
      </c>
    </row>
    <row r="1121" spans="2:6" s="9" customFormat="1" x14ac:dyDescent="0.25">
      <c r="C1121" s="5"/>
      <c r="E1121" s="10"/>
      <c r="F1121" s="10">
        <f t="shared" si="17"/>
        <v>0</v>
      </c>
    </row>
    <row r="1122" spans="2:6" s="9" customFormat="1" x14ac:dyDescent="0.25">
      <c r="C1122" s="5"/>
      <c r="E1122" s="10"/>
      <c r="F1122" s="10">
        <f t="shared" si="17"/>
        <v>0</v>
      </c>
    </row>
    <row r="1123" spans="2:6" s="9" customFormat="1" x14ac:dyDescent="0.25">
      <c r="C1123" s="5"/>
      <c r="E1123" s="10"/>
      <c r="F1123" s="10">
        <f t="shared" si="17"/>
        <v>0</v>
      </c>
    </row>
    <row r="1124" spans="2:6" s="9" customFormat="1" x14ac:dyDescent="0.25">
      <c r="B1124" s="4"/>
      <c r="C1124" s="5"/>
      <c r="E1124" s="10"/>
      <c r="F1124" s="10">
        <f t="shared" si="17"/>
        <v>0</v>
      </c>
    </row>
    <row r="1125" spans="2:6" s="9" customFormat="1" x14ac:dyDescent="0.25">
      <c r="C1125" s="5"/>
      <c r="E1125" s="10"/>
      <c r="F1125" s="10">
        <f t="shared" si="17"/>
        <v>0</v>
      </c>
    </row>
    <row r="1126" spans="2:6" s="9" customFormat="1" x14ac:dyDescent="0.25">
      <c r="C1126" s="5"/>
      <c r="E1126" s="10"/>
      <c r="F1126" s="10">
        <f t="shared" si="17"/>
        <v>0</v>
      </c>
    </row>
    <row r="1127" spans="2:6" s="9" customFormat="1" x14ac:dyDescent="0.25">
      <c r="B1127" s="4"/>
      <c r="C1127" s="5"/>
      <c r="E1127" s="10"/>
      <c r="F1127" s="10">
        <f t="shared" si="17"/>
        <v>0</v>
      </c>
    </row>
    <row r="1128" spans="2:6" s="9" customFormat="1" x14ac:dyDescent="0.25">
      <c r="C1128" s="5"/>
      <c r="E1128" s="10"/>
      <c r="F1128" s="10">
        <f t="shared" si="17"/>
        <v>0</v>
      </c>
    </row>
    <row r="1129" spans="2:6" s="9" customFormat="1" x14ac:dyDescent="0.25">
      <c r="C1129" s="5"/>
      <c r="E1129" s="10"/>
      <c r="F1129" s="10">
        <f t="shared" si="17"/>
        <v>0</v>
      </c>
    </row>
    <row r="1130" spans="2:6" s="9" customFormat="1" x14ac:dyDescent="0.25">
      <c r="B1130" s="4"/>
      <c r="C1130" s="5"/>
      <c r="E1130" s="10"/>
      <c r="F1130" s="10">
        <f t="shared" si="17"/>
        <v>0</v>
      </c>
    </row>
    <row r="1131" spans="2:6" s="9" customFormat="1" x14ac:dyDescent="0.25">
      <c r="C1131" s="5"/>
      <c r="E1131" s="10"/>
      <c r="F1131" s="10">
        <f t="shared" si="17"/>
        <v>0</v>
      </c>
    </row>
    <row r="1132" spans="2:6" s="9" customFormat="1" x14ac:dyDescent="0.25">
      <c r="C1132" s="5"/>
      <c r="E1132" s="10"/>
      <c r="F1132" s="10">
        <f t="shared" si="17"/>
        <v>0</v>
      </c>
    </row>
    <row r="1133" spans="2:6" s="9" customFormat="1" x14ac:dyDescent="0.25">
      <c r="B1133" s="4"/>
      <c r="C1133" s="5"/>
      <c r="E1133" s="10"/>
      <c r="F1133" s="10">
        <f t="shared" si="17"/>
        <v>0</v>
      </c>
    </row>
    <row r="1134" spans="2:6" s="9" customFormat="1" x14ac:dyDescent="0.25">
      <c r="C1134" s="5"/>
      <c r="E1134" s="10"/>
      <c r="F1134" s="10">
        <f t="shared" si="17"/>
        <v>0</v>
      </c>
    </row>
    <row r="1135" spans="2:6" s="9" customFormat="1" x14ac:dyDescent="0.25">
      <c r="C1135" s="5"/>
      <c r="E1135" s="10"/>
      <c r="F1135" s="10">
        <f t="shared" si="17"/>
        <v>0</v>
      </c>
    </row>
    <row r="1136" spans="2:6" s="9" customFormat="1" x14ac:dyDescent="0.25">
      <c r="B1136" s="4"/>
      <c r="C1136" s="5"/>
      <c r="E1136" s="10"/>
      <c r="F1136" s="10">
        <f t="shared" si="17"/>
        <v>0</v>
      </c>
    </row>
    <row r="1137" spans="2:6" s="9" customFormat="1" x14ac:dyDescent="0.25">
      <c r="C1137" s="5"/>
      <c r="E1137" s="10"/>
      <c r="F1137" s="10">
        <f t="shared" si="17"/>
        <v>0</v>
      </c>
    </row>
    <row r="1138" spans="2:6" s="9" customFormat="1" x14ac:dyDescent="0.25">
      <c r="C1138" s="5"/>
      <c r="E1138" s="10"/>
      <c r="F1138" s="10">
        <f t="shared" si="17"/>
        <v>0</v>
      </c>
    </row>
    <row r="1139" spans="2:6" s="9" customFormat="1" x14ac:dyDescent="0.25">
      <c r="B1139" s="4"/>
      <c r="C1139" s="5"/>
      <c r="E1139" s="10"/>
      <c r="F1139" s="10">
        <f t="shared" si="17"/>
        <v>0</v>
      </c>
    </row>
    <row r="1140" spans="2:6" s="9" customFormat="1" x14ac:dyDescent="0.25">
      <c r="C1140" s="5"/>
      <c r="E1140" s="10"/>
      <c r="F1140" s="10">
        <f t="shared" si="17"/>
        <v>0</v>
      </c>
    </row>
    <row r="1141" spans="2:6" s="9" customFormat="1" x14ac:dyDescent="0.25">
      <c r="C1141" s="5"/>
      <c r="E1141" s="10"/>
      <c r="F1141" s="10">
        <f t="shared" si="17"/>
        <v>0</v>
      </c>
    </row>
    <row r="1142" spans="2:6" s="9" customFormat="1" x14ac:dyDescent="0.25">
      <c r="B1142" s="4"/>
      <c r="C1142" s="5"/>
      <c r="E1142" s="10"/>
      <c r="F1142" s="10">
        <f t="shared" si="17"/>
        <v>0</v>
      </c>
    </row>
    <row r="1143" spans="2:6" s="9" customFormat="1" x14ac:dyDescent="0.25">
      <c r="C1143" s="5"/>
      <c r="E1143" s="10"/>
      <c r="F1143" s="10">
        <f t="shared" si="17"/>
        <v>0</v>
      </c>
    </row>
    <row r="1144" spans="2:6" s="9" customFormat="1" x14ac:dyDescent="0.25">
      <c r="C1144" s="5"/>
      <c r="E1144" s="10"/>
      <c r="F1144" s="10">
        <f t="shared" si="17"/>
        <v>0</v>
      </c>
    </row>
    <row r="1145" spans="2:6" s="9" customFormat="1" x14ac:dyDescent="0.25">
      <c r="C1145" s="5"/>
      <c r="E1145" s="10"/>
      <c r="F1145" s="10">
        <f t="shared" si="17"/>
        <v>0</v>
      </c>
    </row>
    <row r="1146" spans="2:6" s="9" customFormat="1" x14ac:dyDescent="0.25">
      <c r="B1146" s="4"/>
      <c r="C1146" s="5"/>
      <c r="E1146" s="10"/>
      <c r="F1146" s="10">
        <f t="shared" si="17"/>
        <v>0</v>
      </c>
    </row>
    <row r="1147" spans="2:6" s="9" customFormat="1" x14ac:dyDescent="0.25">
      <c r="C1147" s="5"/>
      <c r="E1147" s="10"/>
      <c r="F1147" s="10">
        <f t="shared" si="17"/>
        <v>0</v>
      </c>
    </row>
    <row r="1148" spans="2:6" s="9" customFormat="1" x14ac:dyDescent="0.25">
      <c r="C1148" s="5"/>
      <c r="E1148" s="10"/>
      <c r="F1148" s="10">
        <f t="shared" si="17"/>
        <v>0</v>
      </c>
    </row>
    <row r="1149" spans="2:6" s="9" customFormat="1" x14ac:dyDescent="0.25">
      <c r="C1149" s="5"/>
      <c r="E1149" s="10"/>
      <c r="F1149" s="10">
        <f t="shared" si="17"/>
        <v>0</v>
      </c>
    </row>
    <row r="1150" spans="2:6" s="9" customFormat="1" x14ac:dyDescent="0.25">
      <c r="C1150" s="5"/>
      <c r="E1150" s="10"/>
      <c r="F1150" s="10">
        <f t="shared" si="17"/>
        <v>0</v>
      </c>
    </row>
    <row r="1151" spans="2:6" s="9" customFormat="1" x14ac:dyDescent="0.25">
      <c r="C1151" s="5"/>
      <c r="E1151" s="10"/>
      <c r="F1151" s="10">
        <f t="shared" si="17"/>
        <v>0</v>
      </c>
    </row>
    <row r="1152" spans="2:6" s="9" customFormat="1" x14ac:dyDescent="0.25">
      <c r="B1152" s="4"/>
      <c r="C1152" s="5"/>
      <c r="E1152" s="10"/>
      <c r="F1152" s="10">
        <f t="shared" si="17"/>
        <v>0</v>
      </c>
    </row>
    <row r="1153" spans="2:6" s="9" customFormat="1" x14ac:dyDescent="0.25">
      <c r="C1153" s="5"/>
      <c r="E1153" s="10"/>
      <c r="F1153" s="10">
        <f t="shared" si="17"/>
        <v>0</v>
      </c>
    </row>
    <row r="1154" spans="2:6" s="9" customFormat="1" x14ac:dyDescent="0.25">
      <c r="C1154" s="5"/>
      <c r="E1154" s="10"/>
      <c r="F1154" s="10">
        <f t="shared" si="17"/>
        <v>0</v>
      </c>
    </row>
    <row r="1155" spans="2:6" s="9" customFormat="1" x14ac:dyDescent="0.25">
      <c r="C1155" s="5"/>
      <c r="E1155" s="10"/>
      <c r="F1155" s="10">
        <f t="shared" si="17"/>
        <v>0</v>
      </c>
    </row>
    <row r="1156" spans="2:6" s="9" customFormat="1" x14ac:dyDescent="0.25">
      <c r="C1156" s="5"/>
      <c r="E1156" s="10"/>
      <c r="F1156" s="10">
        <f t="shared" si="17"/>
        <v>0</v>
      </c>
    </row>
    <row r="1157" spans="2:6" s="9" customFormat="1" x14ac:dyDescent="0.25">
      <c r="B1157" s="4"/>
      <c r="C1157" s="5"/>
      <c r="E1157" s="10"/>
      <c r="F1157" s="10">
        <f t="shared" si="17"/>
        <v>0</v>
      </c>
    </row>
    <row r="1158" spans="2:6" s="9" customFormat="1" x14ac:dyDescent="0.25">
      <c r="C1158" s="5"/>
      <c r="E1158" s="10"/>
      <c r="F1158" s="10">
        <f t="shared" si="17"/>
        <v>0</v>
      </c>
    </row>
    <row r="1159" spans="2:6" s="9" customFormat="1" x14ac:dyDescent="0.25">
      <c r="C1159" s="5"/>
      <c r="E1159" s="10"/>
      <c r="F1159" s="10">
        <f t="shared" si="17"/>
        <v>0</v>
      </c>
    </row>
    <row r="1160" spans="2:6" s="9" customFormat="1" x14ac:dyDescent="0.25">
      <c r="C1160" s="5"/>
      <c r="E1160" s="10"/>
      <c r="F1160" s="10">
        <f t="shared" si="17"/>
        <v>0</v>
      </c>
    </row>
    <row r="1161" spans="2:6" s="9" customFormat="1" x14ac:dyDescent="0.25">
      <c r="C1161" s="5"/>
      <c r="E1161" s="10"/>
      <c r="F1161" s="10">
        <f t="shared" si="17"/>
        <v>0</v>
      </c>
    </row>
    <row r="1162" spans="2:6" s="9" customFormat="1" x14ac:dyDescent="0.25">
      <c r="B1162" s="4"/>
      <c r="C1162" s="5"/>
      <c r="E1162" s="10"/>
      <c r="F1162" s="10">
        <f t="shared" si="17"/>
        <v>0</v>
      </c>
    </row>
    <row r="1163" spans="2:6" s="9" customFormat="1" x14ac:dyDescent="0.25">
      <c r="C1163" s="5"/>
      <c r="E1163" s="10"/>
      <c r="F1163" s="10">
        <f t="shared" si="17"/>
        <v>0</v>
      </c>
    </row>
    <row r="1164" spans="2:6" s="9" customFormat="1" x14ac:dyDescent="0.25">
      <c r="C1164" s="5"/>
      <c r="E1164" s="10"/>
      <c r="F1164" s="10">
        <f t="shared" ref="F1164:F1227" si="18">+C1164*E1164</f>
        <v>0</v>
      </c>
    </row>
    <row r="1165" spans="2:6" s="9" customFormat="1" x14ac:dyDescent="0.25">
      <c r="B1165" s="4"/>
      <c r="C1165" s="5"/>
      <c r="E1165" s="10"/>
      <c r="F1165" s="10">
        <f t="shared" si="18"/>
        <v>0</v>
      </c>
    </row>
    <row r="1166" spans="2:6" s="9" customFormat="1" x14ac:dyDescent="0.25">
      <c r="C1166" s="5"/>
      <c r="E1166" s="10"/>
      <c r="F1166" s="10">
        <f t="shared" si="18"/>
        <v>0</v>
      </c>
    </row>
    <row r="1167" spans="2:6" s="9" customFormat="1" x14ac:dyDescent="0.25">
      <c r="C1167" s="5"/>
      <c r="E1167" s="10"/>
      <c r="F1167" s="10">
        <f t="shared" si="18"/>
        <v>0</v>
      </c>
    </row>
    <row r="1168" spans="2:6" s="9" customFormat="1" x14ac:dyDescent="0.25">
      <c r="C1168" s="5"/>
      <c r="E1168" s="10"/>
      <c r="F1168" s="10">
        <f t="shared" si="18"/>
        <v>0</v>
      </c>
    </row>
    <row r="1169" spans="2:6" s="9" customFormat="1" x14ac:dyDescent="0.25">
      <c r="C1169" s="5"/>
      <c r="E1169" s="10"/>
      <c r="F1169" s="10">
        <f t="shared" si="18"/>
        <v>0</v>
      </c>
    </row>
    <row r="1170" spans="2:6" s="9" customFormat="1" x14ac:dyDescent="0.25">
      <c r="C1170" s="5"/>
      <c r="E1170" s="10"/>
      <c r="F1170" s="10">
        <f t="shared" si="18"/>
        <v>0</v>
      </c>
    </row>
    <row r="1171" spans="2:6" s="9" customFormat="1" x14ac:dyDescent="0.25">
      <c r="B1171" s="4"/>
      <c r="C1171" s="5"/>
      <c r="E1171" s="10"/>
      <c r="F1171" s="10">
        <f t="shared" si="18"/>
        <v>0</v>
      </c>
    </row>
    <row r="1172" spans="2:6" s="9" customFormat="1" x14ac:dyDescent="0.25">
      <c r="C1172" s="5"/>
      <c r="E1172" s="10"/>
      <c r="F1172" s="10">
        <f t="shared" si="18"/>
        <v>0</v>
      </c>
    </row>
    <row r="1173" spans="2:6" s="9" customFormat="1" x14ac:dyDescent="0.25">
      <c r="C1173" s="5"/>
      <c r="E1173" s="10"/>
      <c r="F1173" s="10">
        <f t="shared" si="18"/>
        <v>0</v>
      </c>
    </row>
    <row r="1174" spans="2:6" s="9" customFormat="1" x14ac:dyDescent="0.25">
      <c r="C1174" s="5"/>
      <c r="E1174" s="10"/>
      <c r="F1174" s="10">
        <f t="shared" si="18"/>
        <v>0</v>
      </c>
    </row>
    <row r="1175" spans="2:6" s="9" customFormat="1" x14ac:dyDescent="0.25">
      <c r="C1175" s="5"/>
      <c r="E1175" s="10"/>
      <c r="F1175" s="10">
        <f t="shared" si="18"/>
        <v>0</v>
      </c>
    </row>
    <row r="1176" spans="2:6" s="9" customFormat="1" x14ac:dyDescent="0.25">
      <c r="C1176" s="5"/>
      <c r="E1176" s="10"/>
      <c r="F1176" s="10">
        <f t="shared" si="18"/>
        <v>0</v>
      </c>
    </row>
    <row r="1177" spans="2:6" s="9" customFormat="1" x14ac:dyDescent="0.25">
      <c r="C1177" s="5"/>
      <c r="E1177" s="10"/>
      <c r="F1177" s="10">
        <f t="shared" si="18"/>
        <v>0</v>
      </c>
    </row>
    <row r="1178" spans="2:6" s="9" customFormat="1" x14ac:dyDescent="0.25">
      <c r="C1178" s="5"/>
      <c r="E1178" s="10"/>
      <c r="F1178" s="10">
        <f t="shared" si="18"/>
        <v>0</v>
      </c>
    </row>
    <row r="1179" spans="2:6" s="9" customFormat="1" x14ac:dyDescent="0.25">
      <c r="B1179" s="4"/>
      <c r="C1179" s="5"/>
      <c r="E1179" s="10"/>
      <c r="F1179" s="10">
        <f t="shared" si="18"/>
        <v>0</v>
      </c>
    </row>
    <row r="1180" spans="2:6" s="9" customFormat="1" x14ac:dyDescent="0.25">
      <c r="C1180" s="5"/>
      <c r="E1180" s="10"/>
      <c r="F1180" s="10">
        <f t="shared" si="18"/>
        <v>0</v>
      </c>
    </row>
    <row r="1181" spans="2:6" s="9" customFormat="1" x14ac:dyDescent="0.25">
      <c r="C1181" s="5"/>
      <c r="E1181" s="10"/>
      <c r="F1181" s="10">
        <f t="shared" si="18"/>
        <v>0</v>
      </c>
    </row>
    <row r="1182" spans="2:6" s="9" customFormat="1" x14ac:dyDescent="0.25">
      <c r="C1182" s="5"/>
      <c r="E1182" s="10"/>
      <c r="F1182" s="10">
        <f t="shared" si="18"/>
        <v>0</v>
      </c>
    </row>
    <row r="1183" spans="2:6" s="9" customFormat="1" x14ac:dyDescent="0.25">
      <c r="C1183" s="5"/>
      <c r="E1183" s="10"/>
      <c r="F1183" s="10">
        <f t="shared" si="18"/>
        <v>0</v>
      </c>
    </row>
    <row r="1184" spans="2:6" s="9" customFormat="1" x14ac:dyDescent="0.25">
      <c r="C1184" s="5"/>
      <c r="E1184" s="10"/>
      <c r="F1184" s="10">
        <f t="shared" si="18"/>
        <v>0</v>
      </c>
    </row>
    <row r="1185" spans="2:6" s="9" customFormat="1" x14ac:dyDescent="0.25">
      <c r="B1185" s="4"/>
      <c r="C1185" s="5"/>
      <c r="E1185" s="10"/>
      <c r="F1185" s="10">
        <f t="shared" si="18"/>
        <v>0</v>
      </c>
    </row>
    <row r="1186" spans="2:6" s="9" customFormat="1" x14ac:dyDescent="0.25">
      <c r="C1186" s="5"/>
      <c r="E1186" s="10"/>
      <c r="F1186" s="10">
        <f t="shared" si="18"/>
        <v>0</v>
      </c>
    </row>
    <row r="1187" spans="2:6" s="9" customFormat="1" x14ac:dyDescent="0.25">
      <c r="C1187" s="5"/>
      <c r="E1187" s="10"/>
      <c r="F1187" s="10">
        <f t="shared" si="18"/>
        <v>0</v>
      </c>
    </row>
    <row r="1188" spans="2:6" s="9" customFormat="1" x14ac:dyDescent="0.25">
      <c r="B1188" s="4"/>
      <c r="C1188" s="5"/>
      <c r="E1188" s="10"/>
      <c r="F1188" s="10">
        <f t="shared" si="18"/>
        <v>0</v>
      </c>
    </row>
    <row r="1189" spans="2:6" s="9" customFormat="1" x14ac:dyDescent="0.25">
      <c r="C1189" s="5"/>
      <c r="E1189" s="10"/>
      <c r="F1189" s="10">
        <f t="shared" si="18"/>
        <v>0</v>
      </c>
    </row>
    <row r="1190" spans="2:6" s="9" customFormat="1" x14ac:dyDescent="0.25">
      <c r="C1190" s="5"/>
      <c r="E1190" s="10"/>
      <c r="F1190" s="10">
        <f t="shared" si="18"/>
        <v>0</v>
      </c>
    </row>
    <row r="1191" spans="2:6" s="9" customFormat="1" x14ac:dyDescent="0.25">
      <c r="B1191" s="4"/>
      <c r="C1191" s="5"/>
      <c r="E1191" s="10"/>
      <c r="F1191" s="10">
        <f t="shared" si="18"/>
        <v>0</v>
      </c>
    </row>
    <row r="1192" spans="2:6" s="9" customFormat="1" x14ac:dyDescent="0.25">
      <c r="C1192" s="5"/>
      <c r="E1192" s="10"/>
      <c r="F1192" s="10">
        <f t="shared" si="18"/>
        <v>0</v>
      </c>
    </row>
    <row r="1193" spans="2:6" s="9" customFormat="1" x14ac:dyDescent="0.25">
      <c r="C1193" s="5"/>
      <c r="E1193" s="10"/>
      <c r="F1193" s="10">
        <f t="shared" si="18"/>
        <v>0</v>
      </c>
    </row>
    <row r="1194" spans="2:6" s="9" customFormat="1" x14ac:dyDescent="0.25">
      <c r="B1194" s="4"/>
      <c r="C1194" s="5"/>
      <c r="E1194" s="10"/>
      <c r="F1194" s="10">
        <f t="shared" si="18"/>
        <v>0</v>
      </c>
    </row>
    <row r="1195" spans="2:6" s="9" customFormat="1" x14ac:dyDescent="0.25">
      <c r="C1195" s="5"/>
      <c r="E1195" s="10"/>
      <c r="F1195" s="10">
        <f t="shared" si="18"/>
        <v>0</v>
      </c>
    </row>
    <row r="1196" spans="2:6" s="9" customFormat="1" x14ac:dyDescent="0.25">
      <c r="C1196" s="5"/>
      <c r="E1196" s="10"/>
      <c r="F1196" s="10">
        <f t="shared" si="18"/>
        <v>0</v>
      </c>
    </row>
    <row r="1197" spans="2:6" s="9" customFormat="1" x14ac:dyDescent="0.25">
      <c r="B1197" s="4"/>
      <c r="C1197" s="5"/>
      <c r="E1197" s="10"/>
      <c r="F1197" s="10">
        <f t="shared" si="18"/>
        <v>0</v>
      </c>
    </row>
    <row r="1198" spans="2:6" s="9" customFormat="1" x14ac:dyDescent="0.25">
      <c r="C1198" s="5"/>
      <c r="E1198" s="10"/>
      <c r="F1198" s="10">
        <f t="shared" si="18"/>
        <v>0</v>
      </c>
    </row>
    <row r="1199" spans="2:6" s="9" customFormat="1" x14ac:dyDescent="0.25">
      <c r="C1199" s="5"/>
      <c r="E1199" s="10"/>
      <c r="F1199" s="10">
        <f t="shared" si="18"/>
        <v>0</v>
      </c>
    </row>
    <row r="1200" spans="2:6" s="9" customFormat="1" x14ac:dyDescent="0.25">
      <c r="B1200" s="4"/>
      <c r="C1200" s="5"/>
      <c r="E1200" s="10"/>
      <c r="F1200" s="10">
        <f t="shared" si="18"/>
        <v>0</v>
      </c>
    </row>
    <row r="1201" spans="2:6" s="9" customFormat="1" x14ac:dyDescent="0.25">
      <c r="C1201" s="5"/>
      <c r="E1201" s="10"/>
      <c r="F1201" s="10">
        <f t="shared" si="18"/>
        <v>0</v>
      </c>
    </row>
    <row r="1202" spans="2:6" s="9" customFormat="1" x14ac:dyDescent="0.25">
      <c r="C1202" s="5"/>
      <c r="E1202" s="10"/>
      <c r="F1202" s="10">
        <f t="shared" si="18"/>
        <v>0</v>
      </c>
    </row>
    <row r="1203" spans="2:6" s="9" customFormat="1" x14ac:dyDescent="0.25">
      <c r="B1203" s="4"/>
      <c r="C1203" s="5"/>
      <c r="E1203" s="10"/>
      <c r="F1203" s="10">
        <f t="shared" si="18"/>
        <v>0</v>
      </c>
    </row>
    <row r="1204" spans="2:6" s="9" customFormat="1" x14ac:dyDescent="0.25">
      <c r="C1204" s="5"/>
      <c r="E1204" s="10"/>
      <c r="F1204" s="10">
        <f t="shared" si="18"/>
        <v>0</v>
      </c>
    </row>
    <row r="1205" spans="2:6" s="9" customFormat="1" x14ac:dyDescent="0.25">
      <c r="C1205" s="5"/>
      <c r="E1205" s="10"/>
      <c r="F1205" s="10">
        <f t="shared" si="18"/>
        <v>0</v>
      </c>
    </row>
    <row r="1206" spans="2:6" s="9" customFormat="1" x14ac:dyDescent="0.25">
      <c r="C1206" s="5"/>
      <c r="E1206" s="10"/>
      <c r="F1206" s="10">
        <f t="shared" si="18"/>
        <v>0</v>
      </c>
    </row>
    <row r="1207" spans="2:6" s="9" customFormat="1" x14ac:dyDescent="0.25">
      <c r="B1207" s="4"/>
      <c r="C1207" s="5"/>
      <c r="E1207" s="10"/>
      <c r="F1207" s="10">
        <f t="shared" si="18"/>
        <v>0</v>
      </c>
    </row>
    <row r="1208" spans="2:6" s="9" customFormat="1" x14ac:dyDescent="0.25">
      <c r="C1208" s="5"/>
      <c r="E1208" s="10"/>
      <c r="F1208" s="10">
        <f t="shared" si="18"/>
        <v>0</v>
      </c>
    </row>
    <row r="1209" spans="2:6" s="9" customFormat="1" x14ac:dyDescent="0.25">
      <c r="C1209" s="5"/>
      <c r="E1209" s="10"/>
      <c r="F1209" s="10">
        <f t="shared" si="18"/>
        <v>0</v>
      </c>
    </row>
    <row r="1210" spans="2:6" s="9" customFormat="1" x14ac:dyDescent="0.25">
      <c r="B1210" s="4"/>
      <c r="C1210" s="5"/>
      <c r="E1210" s="10"/>
      <c r="F1210" s="10">
        <f t="shared" si="18"/>
        <v>0</v>
      </c>
    </row>
    <row r="1211" spans="2:6" s="9" customFormat="1" x14ac:dyDescent="0.25">
      <c r="C1211" s="5"/>
      <c r="E1211" s="10"/>
      <c r="F1211" s="10">
        <f t="shared" si="18"/>
        <v>0</v>
      </c>
    </row>
    <row r="1212" spans="2:6" s="9" customFormat="1" x14ac:dyDescent="0.25">
      <c r="C1212" s="5"/>
      <c r="E1212" s="10"/>
      <c r="F1212" s="10">
        <f t="shared" si="18"/>
        <v>0</v>
      </c>
    </row>
    <row r="1213" spans="2:6" s="9" customFormat="1" x14ac:dyDescent="0.25">
      <c r="C1213" s="5"/>
      <c r="E1213" s="10"/>
      <c r="F1213" s="10">
        <f t="shared" si="18"/>
        <v>0</v>
      </c>
    </row>
    <row r="1214" spans="2:6" s="9" customFormat="1" x14ac:dyDescent="0.25">
      <c r="B1214" s="4"/>
      <c r="C1214" s="5"/>
      <c r="E1214" s="10"/>
      <c r="F1214" s="10">
        <f t="shared" si="18"/>
        <v>0</v>
      </c>
    </row>
    <row r="1215" spans="2:6" s="9" customFormat="1" x14ac:dyDescent="0.25">
      <c r="C1215" s="5"/>
      <c r="E1215" s="10"/>
      <c r="F1215" s="10">
        <f t="shared" si="18"/>
        <v>0</v>
      </c>
    </row>
    <row r="1216" spans="2:6" s="9" customFormat="1" x14ac:dyDescent="0.25">
      <c r="C1216" s="5"/>
      <c r="E1216" s="10"/>
      <c r="F1216" s="10">
        <f t="shared" si="18"/>
        <v>0</v>
      </c>
    </row>
    <row r="1217" spans="2:6" s="9" customFormat="1" x14ac:dyDescent="0.25">
      <c r="B1217" s="4"/>
      <c r="C1217" s="5"/>
      <c r="E1217" s="10"/>
      <c r="F1217" s="10">
        <f t="shared" si="18"/>
        <v>0</v>
      </c>
    </row>
    <row r="1218" spans="2:6" s="9" customFormat="1" x14ac:dyDescent="0.25">
      <c r="C1218" s="5"/>
      <c r="E1218" s="10"/>
      <c r="F1218" s="10">
        <f t="shared" si="18"/>
        <v>0</v>
      </c>
    </row>
    <row r="1219" spans="2:6" s="9" customFormat="1" x14ac:dyDescent="0.25">
      <c r="C1219" s="5"/>
      <c r="E1219" s="10"/>
      <c r="F1219" s="10">
        <f t="shared" si="18"/>
        <v>0</v>
      </c>
    </row>
    <row r="1220" spans="2:6" s="9" customFormat="1" x14ac:dyDescent="0.25">
      <c r="C1220" s="5"/>
      <c r="E1220" s="10"/>
      <c r="F1220" s="10">
        <f t="shared" si="18"/>
        <v>0</v>
      </c>
    </row>
    <row r="1221" spans="2:6" s="9" customFormat="1" x14ac:dyDescent="0.25">
      <c r="C1221" s="5"/>
      <c r="E1221" s="10"/>
      <c r="F1221" s="10">
        <f t="shared" si="18"/>
        <v>0</v>
      </c>
    </row>
    <row r="1222" spans="2:6" s="9" customFormat="1" x14ac:dyDescent="0.25">
      <c r="C1222" s="5"/>
      <c r="E1222" s="10"/>
      <c r="F1222" s="10">
        <f t="shared" si="18"/>
        <v>0</v>
      </c>
    </row>
    <row r="1223" spans="2:6" s="9" customFormat="1" x14ac:dyDescent="0.25">
      <c r="C1223" s="5"/>
      <c r="E1223" s="10"/>
      <c r="F1223" s="10">
        <f t="shared" si="18"/>
        <v>0</v>
      </c>
    </row>
    <row r="1224" spans="2:6" s="9" customFormat="1" x14ac:dyDescent="0.25">
      <c r="B1224" s="4"/>
      <c r="C1224" s="5"/>
      <c r="E1224" s="10"/>
      <c r="F1224" s="10">
        <f t="shared" si="18"/>
        <v>0</v>
      </c>
    </row>
    <row r="1225" spans="2:6" s="9" customFormat="1" x14ac:dyDescent="0.25">
      <c r="C1225" s="5"/>
      <c r="E1225" s="10"/>
      <c r="F1225" s="10">
        <f t="shared" si="18"/>
        <v>0</v>
      </c>
    </row>
    <row r="1226" spans="2:6" s="9" customFormat="1" x14ac:dyDescent="0.25">
      <c r="C1226" s="5"/>
      <c r="E1226" s="10"/>
      <c r="F1226" s="10">
        <f t="shared" si="18"/>
        <v>0</v>
      </c>
    </row>
    <row r="1227" spans="2:6" s="9" customFormat="1" x14ac:dyDescent="0.25">
      <c r="B1227" s="4"/>
      <c r="C1227" s="5"/>
      <c r="E1227" s="10"/>
      <c r="F1227" s="10">
        <f t="shared" si="18"/>
        <v>0</v>
      </c>
    </row>
    <row r="1228" spans="2:6" s="9" customFormat="1" x14ac:dyDescent="0.25">
      <c r="C1228" s="5"/>
      <c r="E1228" s="10"/>
      <c r="F1228" s="10">
        <f t="shared" ref="F1228:F1291" si="19">+C1228*E1228</f>
        <v>0</v>
      </c>
    </row>
    <row r="1229" spans="2:6" s="9" customFormat="1" x14ac:dyDescent="0.25">
      <c r="C1229" s="5"/>
      <c r="E1229" s="10"/>
      <c r="F1229" s="10">
        <f t="shared" si="19"/>
        <v>0</v>
      </c>
    </row>
    <row r="1230" spans="2:6" s="9" customFormat="1" x14ac:dyDescent="0.25">
      <c r="B1230" s="4"/>
      <c r="C1230" s="5"/>
      <c r="E1230" s="10"/>
      <c r="F1230" s="10">
        <f t="shared" si="19"/>
        <v>0</v>
      </c>
    </row>
    <row r="1231" spans="2:6" s="9" customFormat="1" x14ac:dyDescent="0.25">
      <c r="C1231" s="5"/>
      <c r="E1231" s="10"/>
      <c r="F1231" s="10">
        <f t="shared" si="19"/>
        <v>0</v>
      </c>
    </row>
    <row r="1232" spans="2:6" s="9" customFormat="1" x14ac:dyDescent="0.25">
      <c r="C1232" s="5"/>
      <c r="E1232" s="10"/>
      <c r="F1232" s="10">
        <f t="shared" si="19"/>
        <v>0</v>
      </c>
    </row>
    <row r="1233" spans="2:6" s="9" customFormat="1" x14ac:dyDescent="0.25">
      <c r="B1233" s="4"/>
      <c r="C1233" s="5"/>
      <c r="E1233" s="10"/>
      <c r="F1233" s="10">
        <f t="shared" si="19"/>
        <v>0</v>
      </c>
    </row>
    <row r="1234" spans="2:6" s="9" customFormat="1" x14ac:dyDescent="0.25">
      <c r="C1234" s="5"/>
      <c r="E1234" s="10"/>
      <c r="F1234" s="10">
        <f t="shared" si="19"/>
        <v>0</v>
      </c>
    </row>
    <row r="1235" spans="2:6" s="9" customFormat="1" x14ac:dyDescent="0.25">
      <c r="C1235" s="5"/>
      <c r="E1235" s="10"/>
      <c r="F1235" s="10">
        <f t="shared" si="19"/>
        <v>0</v>
      </c>
    </row>
    <row r="1236" spans="2:6" s="9" customFormat="1" x14ac:dyDescent="0.25">
      <c r="B1236" s="4"/>
      <c r="C1236" s="5"/>
      <c r="E1236" s="10"/>
      <c r="F1236" s="10">
        <f t="shared" si="19"/>
        <v>0</v>
      </c>
    </row>
    <row r="1237" spans="2:6" s="9" customFormat="1" x14ac:dyDescent="0.25">
      <c r="C1237" s="5"/>
      <c r="E1237" s="10"/>
      <c r="F1237" s="10">
        <f t="shared" si="19"/>
        <v>0</v>
      </c>
    </row>
    <row r="1238" spans="2:6" s="9" customFormat="1" x14ac:dyDescent="0.25">
      <c r="C1238" s="5"/>
      <c r="E1238" s="10"/>
      <c r="F1238" s="10">
        <f t="shared" si="19"/>
        <v>0</v>
      </c>
    </row>
    <row r="1239" spans="2:6" s="9" customFormat="1" x14ac:dyDescent="0.25">
      <c r="B1239" s="4"/>
      <c r="C1239" s="5"/>
      <c r="E1239" s="10"/>
      <c r="F1239" s="10">
        <f t="shared" si="19"/>
        <v>0</v>
      </c>
    </row>
    <row r="1240" spans="2:6" s="9" customFormat="1" x14ac:dyDescent="0.25">
      <c r="C1240" s="5"/>
      <c r="E1240" s="10"/>
      <c r="F1240" s="10">
        <f t="shared" si="19"/>
        <v>0</v>
      </c>
    </row>
    <row r="1241" spans="2:6" s="9" customFormat="1" x14ac:dyDescent="0.25">
      <c r="C1241" s="5"/>
      <c r="E1241" s="10"/>
      <c r="F1241" s="10">
        <f t="shared" si="19"/>
        <v>0</v>
      </c>
    </row>
    <row r="1242" spans="2:6" s="9" customFormat="1" x14ac:dyDescent="0.25">
      <c r="B1242" s="4"/>
      <c r="C1242" s="5"/>
      <c r="E1242" s="10"/>
      <c r="F1242" s="10">
        <f t="shared" si="19"/>
        <v>0</v>
      </c>
    </row>
    <row r="1243" spans="2:6" s="9" customFormat="1" x14ac:dyDescent="0.25">
      <c r="C1243" s="5"/>
      <c r="E1243" s="10"/>
      <c r="F1243" s="10">
        <f t="shared" si="19"/>
        <v>0</v>
      </c>
    </row>
    <row r="1244" spans="2:6" s="9" customFormat="1" x14ac:dyDescent="0.25">
      <c r="C1244" s="5"/>
      <c r="E1244" s="10"/>
      <c r="F1244" s="10">
        <f t="shared" si="19"/>
        <v>0</v>
      </c>
    </row>
    <row r="1245" spans="2:6" s="9" customFormat="1" x14ac:dyDescent="0.25">
      <c r="C1245" s="5"/>
      <c r="E1245" s="10"/>
      <c r="F1245" s="10">
        <f t="shared" si="19"/>
        <v>0</v>
      </c>
    </row>
    <row r="1246" spans="2:6" s="9" customFormat="1" x14ac:dyDescent="0.25">
      <c r="C1246" s="5"/>
      <c r="E1246" s="10"/>
      <c r="F1246" s="10">
        <f t="shared" si="19"/>
        <v>0</v>
      </c>
    </row>
    <row r="1247" spans="2:6" s="9" customFormat="1" x14ac:dyDescent="0.25">
      <c r="B1247" s="4"/>
      <c r="C1247" s="5"/>
      <c r="E1247" s="10"/>
      <c r="F1247" s="10">
        <f t="shared" si="19"/>
        <v>0</v>
      </c>
    </row>
    <row r="1248" spans="2:6" s="9" customFormat="1" x14ac:dyDescent="0.25">
      <c r="C1248" s="5"/>
      <c r="E1248" s="10"/>
      <c r="F1248" s="10">
        <f t="shared" si="19"/>
        <v>0</v>
      </c>
    </row>
    <row r="1249" spans="2:6" s="9" customFormat="1" x14ac:dyDescent="0.25">
      <c r="C1249" s="5"/>
      <c r="E1249" s="10"/>
      <c r="F1249" s="10">
        <f t="shared" si="19"/>
        <v>0</v>
      </c>
    </row>
    <row r="1250" spans="2:6" s="9" customFormat="1" x14ac:dyDescent="0.25">
      <c r="B1250" s="4"/>
      <c r="C1250" s="5"/>
      <c r="E1250" s="10"/>
      <c r="F1250" s="10">
        <f t="shared" si="19"/>
        <v>0</v>
      </c>
    </row>
    <row r="1251" spans="2:6" s="9" customFormat="1" x14ac:dyDescent="0.25">
      <c r="C1251" s="5"/>
      <c r="E1251" s="10"/>
      <c r="F1251" s="10">
        <f t="shared" si="19"/>
        <v>0</v>
      </c>
    </row>
    <row r="1252" spans="2:6" s="9" customFormat="1" x14ac:dyDescent="0.25">
      <c r="C1252" s="5"/>
      <c r="E1252" s="10"/>
      <c r="F1252" s="10">
        <f t="shared" si="19"/>
        <v>0</v>
      </c>
    </row>
    <row r="1253" spans="2:6" s="9" customFormat="1" x14ac:dyDescent="0.25">
      <c r="B1253" s="4"/>
      <c r="C1253" s="5"/>
      <c r="E1253" s="10"/>
      <c r="F1253" s="10">
        <f t="shared" si="19"/>
        <v>0</v>
      </c>
    </row>
    <row r="1254" spans="2:6" s="9" customFormat="1" x14ac:dyDescent="0.25">
      <c r="C1254" s="5"/>
      <c r="E1254" s="10"/>
      <c r="F1254" s="10">
        <f t="shared" si="19"/>
        <v>0</v>
      </c>
    </row>
    <row r="1255" spans="2:6" s="9" customFormat="1" x14ac:dyDescent="0.25">
      <c r="C1255" s="5"/>
      <c r="E1255" s="10"/>
      <c r="F1255" s="10">
        <f t="shared" si="19"/>
        <v>0</v>
      </c>
    </row>
    <row r="1256" spans="2:6" s="9" customFormat="1" x14ac:dyDescent="0.25">
      <c r="B1256" s="4"/>
      <c r="C1256" s="5"/>
      <c r="E1256" s="10"/>
      <c r="F1256" s="10">
        <f t="shared" si="19"/>
        <v>0</v>
      </c>
    </row>
    <row r="1257" spans="2:6" s="9" customFormat="1" x14ac:dyDescent="0.25">
      <c r="C1257" s="5"/>
      <c r="E1257" s="10"/>
      <c r="F1257" s="10">
        <f t="shared" si="19"/>
        <v>0</v>
      </c>
    </row>
    <row r="1258" spans="2:6" s="9" customFormat="1" x14ac:dyDescent="0.25">
      <c r="C1258" s="5"/>
      <c r="E1258" s="10"/>
      <c r="F1258" s="10">
        <f t="shared" si="19"/>
        <v>0</v>
      </c>
    </row>
    <row r="1259" spans="2:6" s="9" customFormat="1" x14ac:dyDescent="0.25">
      <c r="B1259" s="4"/>
      <c r="C1259" s="5"/>
      <c r="E1259" s="10"/>
      <c r="F1259" s="10">
        <f t="shared" si="19"/>
        <v>0</v>
      </c>
    </row>
    <row r="1260" spans="2:6" s="9" customFormat="1" x14ac:dyDescent="0.25">
      <c r="C1260" s="5"/>
      <c r="E1260" s="10"/>
      <c r="F1260" s="10">
        <f t="shared" si="19"/>
        <v>0</v>
      </c>
    </row>
    <row r="1261" spans="2:6" s="9" customFormat="1" x14ac:dyDescent="0.25">
      <c r="C1261" s="5"/>
      <c r="E1261" s="10"/>
      <c r="F1261" s="10">
        <f t="shared" si="19"/>
        <v>0</v>
      </c>
    </row>
    <row r="1262" spans="2:6" s="9" customFormat="1" x14ac:dyDescent="0.25">
      <c r="C1262" s="5"/>
      <c r="E1262" s="10"/>
      <c r="F1262" s="10">
        <f t="shared" si="19"/>
        <v>0</v>
      </c>
    </row>
    <row r="1263" spans="2:6" s="9" customFormat="1" x14ac:dyDescent="0.25">
      <c r="C1263" s="5"/>
      <c r="E1263" s="10"/>
      <c r="F1263" s="10">
        <f t="shared" si="19"/>
        <v>0</v>
      </c>
    </row>
    <row r="1264" spans="2:6" s="9" customFormat="1" x14ac:dyDescent="0.25">
      <c r="C1264" s="5"/>
      <c r="E1264" s="10"/>
      <c r="F1264" s="10">
        <f t="shared" si="19"/>
        <v>0</v>
      </c>
    </row>
    <row r="1265" spans="2:6" s="9" customFormat="1" x14ac:dyDescent="0.25">
      <c r="C1265" s="5"/>
      <c r="E1265" s="10"/>
      <c r="F1265" s="10">
        <f t="shared" si="19"/>
        <v>0</v>
      </c>
    </row>
    <row r="1266" spans="2:6" s="9" customFormat="1" x14ac:dyDescent="0.25">
      <c r="B1266" s="4"/>
      <c r="C1266" s="5"/>
      <c r="E1266" s="10"/>
      <c r="F1266" s="10">
        <f t="shared" si="19"/>
        <v>0</v>
      </c>
    </row>
    <row r="1267" spans="2:6" s="9" customFormat="1" x14ac:dyDescent="0.25">
      <c r="C1267" s="5"/>
      <c r="E1267" s="10"/>
      <c r="F1267" s="10">
        <f t="shared" si="19"/>
        <v>0</v>
      </c>
    </row>
    <row r="1268" spans="2:6" s="9" customFormat="1" x14ac:dyDescent="0.25">
      <c r="C1268" s="5"/>
      <c r="E1268" s="10"/>
      <c r="F1268" s="10">
        <f t="shared" si="19"/>
        <v>0</v>
      </c>
    </row>
    <row r="1269" spans="2:6" s="9" customFormat="1" x14ac:dyDescent="0.25">
      <c r="C1269" s="5"/>
      <c r="E1269" s="10"/>
      <c r="F1269" s="10">
        <f t="shared" si="19"/>
        <v>0</v>
      </c>
    </row>
    <row r="1270" spans="2:6" s="9" customFormat="1" x14ac:dyDescent="0.25">
      <c r="C1270" s="5"/>
      <c r="E1270" s="10"/>
      <c r="F1270" s="10">
        <f t="shared" si="19"/>
        <v>0</v>
      </c>
    </row>
    <row r="1271" spans="2:6" s="9" customFormat="1" x14ac:dyDescent="0.25">
      <c r="C1271" s="5"/>
      <c r="E1271" s="10"/>
      <c r="F1271" s="10">
        <f t="shared" si="19"/>
        <v>0</v>
      </c>
    </row>
    <row r="1272" spans="2:6" s="9" customFormat="1" x14ac:dyDescent="0.25">
      <c r="C1272" s="5"/>
      <c r="E1272" s="10"/>
      <c r="F1272" s="10">
        <f t="shared" si="19"/>
        <v>0</v>
      </c>
    </row>
    <row r="1273" spans="2:6" s="9" customFormat="1" x14ac:dyDescent="0.25">
      <c r="C1273" s="5"/>
      <c r="E1273" s="10"/>
      <c r="F1273" s="10">
        <f t="shared" si="19"/>
        <v>0</v>
      </c>
    </row>
    <row r="1274" spans="2:6" s="9" customFormat="1" x14ac:dyDescent="0.25">
      <c r="B1274" s="4"/>
      <c r="C1274" s="5"/>
      <c r="E1274" s="10"/>
      <c r="F1274" s="10">
        <f t="shared" si="19"/>
        <v>0</v>
      </c>
    </row>
    <row r="1275" spans="2:6" s="9" customFormat="1" x14ac:dyDescent="0.25">
      <c r="C1275" s="5"/>
      <c r="E1275" s="10"/>
      <c r="F1275" s="10">
        <f t="shared" si="19"/>
        <v>0</v>
      </c>
    </row>
    <row r="1276" spans="2:6" s="9" customFormat="1" x14ac:dyDescent="0.25">
      <c r="C1276" s="5"/>
      <c r="E1276" s="10"/>
      <c r="F1276" s="10">
        <f t="shared" si="19"/>
        <v>0</v>
      </c>
    </row>
    <row r="1277" spans="2:6" s="9" customFormat="1" x14ac:dyDescent="0.25">
      <c r="C1277" s="5"/>
      <c r="E1277" s="10"/>
      <c r="F1277" s="10">
        <f t="shared" si="19"/>
        <v>0</v>
      </c>
    </row>
    <row r="1278" spans="2:6" s="9" customFormat="1" x14ac:dyDescent="0.25">
      <c r="C1278" s="5"/>
      <c r="E1278" s="10"/>
      <c r="F1278" s="10">
        <f t="shared" si="19"/>
        <v>0</v>
      </c>
    </row>
    <row r="1279" spans="2:6" s="9" customFormat="1" x14ac:dyDescent="0.25">
      <c r="B1279" s="4"/>
      <c r="C1279" s="5"/>
      <c r="E1279" s="10"/>
      <c r="F1279" s="10">
        <f t="shared" si="19"/>
        <v>0</v>
      </c>
    </row>
    <row r="1280" spans="2:6" s="9" customFormat="1" x14ac:dyDescent="0.25">
      <c r="C1280" s="5"/>
      <c r="E1280" s="10"/>
      <c r="F1280" s="10">
        <f t="shared" si="19"/>
        <v>0</v>
      </c>
    </row>
    <row r="1281" spans="2:6" s="9" customFormat="1" x14ac:dyDescent="0.25">
      <c r="C1281" s="5"/>
      <c r="E1281" s="10"/>
      <c r="F1281" s="10">
        <f t="shared" si="19"/>
        <v>0</v>
      </c>
    </row>
    <row r="1282" spans="2:6" s="9" customFormat="1" x14ac:dyDescent="0.25">
      <c r="C1282" s="5"/>
      <c r="E1282" s="10"/>
      <c r="F1282" s="10">
        <f t="shared" si="19"/>
        <v>0</v>
      </c>
    </row>
    <row r="1283" spans="2:6" s="9" customFormat="1" x14ac:dyDescent="0.25">
      <c r="C1283" s="5"/>
      <c r="E1283" s="10"/>
      <c r="F1283" s="10">
        <f t="shared" si="19"/>
        <v>0</v>
      </c>
    </row>
    <row r="1284" spans="2:6" s="9" customFormat="1" x14ac:dyDescent="0.25">
      <c r="C1284" s="5"/>
      <c r="E1284" s="10"/>
      <c r="F1284" s="10">
        <f t="shared" si="19"/>
        <v>0</v>
      </c>
    </row>
    <row r="1285" spans="2:6" s="9" customFormat="1" x14ac:dyDescent="0.25">
      <c r="B1285" s="4"/>
      <c r="C1285" s="5"/>
      <c r="E1285" s="10"/>
      <c r="F1285" s="10">
        <f t="shared" si="19"/>
        <v>0</v>
      </c>
    </row>
    <row r="1286" spans="2:6" s="9" customFormat="1" x14ac:dyDescent="0.25">
      <c r="C1286" s="5"/>
      <c r="E1286" s="10"/>
      <c r="F1286" s="10">
        <f t="shared" si="19"/>
        <v>0</v>
      </c>
    </row>
    <row r="1287" spans="2:6" s="9" customFormat="1" x14ac:dyDescent="0.25">
      <c r="C1287" s="5"/>
      <c r="E1287" s="10"/>
      <c r="F1287" s="10">
        <f t="shared" si="19"/>
        <v>0</v>
      </c>
    </row>
    <row r="1288" spans="2:6" s="9" customFormat="1" x14ac:dyDescent="0.25">
      <c r="B1288" s="4"/>
      <c r="C1288" s="5"/>
      <c r="E1288" s="10"/>
      <c r="F1288" s="10">
        <f t="shared" si="19"/>
        <v>0</v>
      </c>
    </row>
    <row r="1289" spans="2:6" s="9" customFormat="1" x14ac:dyDescent="0.25">
      <c r="C1289" s="5"/>
      <c r="E1289" s="10"/>
      <c r="F1289" s="10">
        <f t="shared" si="19"/>
        <v>0</v>
      </c>
    </row>
    <row r="1290" spans="2:6" s="9" customFormat="1" x14ac:dyDescent="0.25">
      <c r="C1290" s="5"/>
      <c r="E1290" s="10"/>
      <c r="F1290" s="10">
        <f t="shared" si="19"/>
        <v>0</v>
      </c>
    </row>
    <row r="1291" spans="2:6" s="9" customFormat="1" x14ac:dyDescent="0.25">
      <c r="B1291" s="4"/>
      <c r="C1291" s="5"/>
      <c r="E1291" s="10"/>
      <c r="F1291" s="10">
        <f t="shared" si="19"/>
        <v>0</v>
      </c>
    </row>
    <row r="1292" spans="2:6" s="9" customFormat="1" x14ac:dyDescent="0.25">
      <c r="C1292" s="5"/>
      <c r="E1292" s="10"/>
      <c r="F1292" s="10">
        <f t="shared" ref="F1292:F1355" si="20">+C1292*E1292</f>
        <v>0</v>
      </c>
    </row>
    <row r="1293" spans="2:6" s="9" customFormat="1" x14ac:dyDescent="0.25">
      <c r="C1293" s="5"/>
      <c r="E1293" s="10"/>
      <c r="F1293" s="10">
        <f t="shared" si="20"/>
        <v>0</v>
      </c>
    </row>
    <row r="1294" spans="2:6" s="9" customFormat="1" x14ac:dyDescent="0.25">
      <c r="C1294" s="5"/>
      <c r="E1294" s="10"/>
      <c r="F1294" s="10">
        <f t="shared" si="20"/>
        <v>0</v>
      </c>
    </row>
    <row r="1295" spans="2:6" s="9" customFormat="1" x14ac:dyDescent="0.25">
      <c r="C1295" s="5"/>
      <c r="E1295" s="10"/>
      <c r="F1295" s="10">
        <f t="shared" si="20"/>
        <v>0</v>
      </c>
    </row>
    <row r="1296" spans="2:6" s="9" customFormat="1" x14ac:dyDescent="0.25">
      <c r="B1296" s="4"/>
      <c r="C1296" s="5"/>
      <c r="E1296" s="10"/>
      <c r="F1296" s="10">
        <f t="shared" si="20"/>
        <v>0</v>
      </c>
    </row>
    <row r="1297" spans="2:6" s="9" customFormat="1" x14ac:dyDescent="0.25">
      <c r="C1297" s="5"/>
      <c r="E1297" s="10"/>
      <c r="F1297" s="10">
        <f t="shared" si="20"/>
        <v>0</v>
      </c>
    </row>
    <row r="1298" spans="2:6" s="9" customFormat="1" x14ac:dyDescent="0.25">
      <c r="C1298" s="5"/>
      <c r="E1298" s="10"/>
      <c r="F1298" s="10">
        <f t="shared" si="20"/>
        <v>0</v>
      </c>
    </row>
    <row r="1299" spans="2:6" s="9" customFormat="1" x14ac:dyDescent="0.25">
      <c r="B1299" s="4"/>
      <c r="C1299" s="5"/>
      <c r="E1299" s="10"/>
      <c r="F1299" s="10">
        <f t="shared" si="20"/>
        <v>0</v>
      </c>
    </row>
    <row r="1300" spans="2:6" s="9" customFormat="1" x14ac:dyDescent="0.25">
      <c r="C1300" s="5"/>
      <c r="E1300" s="10"/>
      <c r="F1300" s="10">
        <f t="shared" si="20"/>
        <v>0</v>
      </c>
    </row>
    <row r="1301" spans="2:6" s="9" customFormat="1" x14ac:dyDescent="0.25">
      <c r="C1301" s="5"/>
      <c r="E1301" s="10"/>
      <c r="F1301" s="10">
        <f t="shared" si="20"/>
        <v>0</v>
      </c>
    </row>
    <row r="1302" spans="2:6" s="9" customFormat="1" x14ac:dyDescent="0.25">
      <c r="B1302" s="4"/>
      <c r="C1302" s="5"/>
      <c r="E1302" s="10"/>
      <c r="F1302" s="10">
        <f t="shared" si="20"/>
        <v>0</v>
      </c>
    </row>
    <row r="1303" spans="2:6" s="9" customFormat="1" x14ac:dyDescent="0.25">
      <c r="C1303" s="5"/>
      <c r="E1303" s="10"/>
      <c r="F1303" s="10">
        <f t="shared" si="20"/>
        <v>0</v>
      </c>
    </row>
    <row r="1304" spans="2:6" s="9" customFormat="1" x14ac:dyDescent="0.25">
      <c r="C1304" s="5"/>
      <c r="E1304" s="10"/>
      <c r="F1304" s="10">
        <f t="shared" si="20"/>
        <v>0</v>
      </c>
    </row>
    <row r="1305" spans="2:6" s="9" customFormat="1" x14ac:dyDescent="0.25">
      <c r="C1305" s="5"/>
      <c r="E1305" s="10"/>
      <c r="F1305" s="10">
        <f t="shared" si="20"/>
        <v>0</v>
      </c>
    </row>
    <row r="1306" spans="2:6" s="9" customFormat="1" x14ac:dyDescent="0.25">
      <c r="B1306" s="4"/>
      <c r="C1306" s="5"/>
      <c r="E1306" s="10"/>
      <c r="F1306" s="10">
        <f t="shared" si="20"/>
        <v>0</v>
      </c>
    </row>
    <row r="1307" spans="2:6" s="9" customFormat="1" x14ac:dyDescent="0.25">
      <c r="C1307" s="5"/>
      <c r="E1307" s="10"/>
      <c r="F1307" s="10">
        <f t="shared" si="20"/>
        <v>0</v>
      </c>
    </row>
    <row r="1308" spans="2:6" s="9" customFormat="1" x14ac:dyDescent="0.25">
      <c r="C1308" s="5"/>
      <c r="E1308" s="10"/>
      <c r="F1308" s="10">
        <f t="shared" si="20"/>
        <v>0</v>
      </c>
    </row>
    <row r="1309" spans="2:6" s="9" customFormat="1" x14ac:dyDescent="0.25">
      <c r="B1309" s="4"/>
      <c r="C1309" s="5"/>
      <c r="E1309" s="10"/>
      <c r="F1309" s="10">
        <f t="shared" si="20"/>
        <v>0</v>
      </c>
    </row>
    <row r="1310" spans="2:6" s="9" customFormat="1" x14ac:dyDescent="0.25">
      <c r="C1310" s="5"/>
      <c r="E1310" s="10"/>
      <c r="F1310" s="10">
        <f t="shared" si="20"/>
        <v>0</v>
      </c>
    </row>
    <row r="1311" spans="2:6" s="9" customFormat="1" x14ac:dyDescent="0.25">
      <c r="C1311" s="5"/>
      <c r="E1311" s="10"/>
      <c r="F1311" s="10">
        <f t="shared" si="20"/>
        <v>0</v>
      </c>
    </row>
    <row r="1312" spans="2:6" s="9" customFormat="1" x14ac:dyDescent="0.25">
      <c r="B1312" s="4"/>
      <c r="C1312" s="5"/>
      <c r="E1312" s="10"/>
      <c r="F1312" s="10">
        <f t="shared" si="20"/>
        <v>0</v>
      </c>
    </row>
    <row r="1313" spans="2:6" s="9" customFormat="1" x14ac:dyDescent="0.25">
      <c r="C1313" s="5"/>
      <c r="E1313" s="10"/>
      <c r="F1313" s="10">
        <f t="shared" si="20"/>
        <v>0</v>
      </c>
    </row>
    <row r="1314" spans="2:6" s="9" customFormat="1" x14ac:dyDescent="0.25">
      <c r="C1314" s="5"/>
      <c r="E1314" s="10"/>
      <c r="F1314" s="10">
        <f t="shared" si="20"/>
        <v>0</v>
      </c>
    </row>
    <row r="1315" spans="2:6" s="9" customFormat="1" x14ac:dyDescent="0.25">
      <c r="B1315" s="4"/>
      <c r="C1315" s="5"/>
      <c r="E1315" s="10"/>
      <c r="F1315" s="10">
        <f t="shared" si="20"/>
        <v>0</v>
      </c>
    </row>
    <row r="1316" spans="2:6" s="9" customFormat="1" x14ac:dyDescent="0.25">
      <c r="C1316" s="5"/>
      <c r="E1316" s="10"/>
      <c r="F1316" s="10">
        <f t="shared" si="20"/>
        <v>0</v>
      </c>
    </row>
    <row r="1317" spans="2:6" s="9" customFormat="1" x14ac:dyDescent="0.25">
      <c r="C1317" s="5"/>
      <c r="E1317" s="10"/>
      <c r="F1317" s="10">
        <f t="shared" si="20"/>
        <v>0</v>
      </c>
    </row>
    <row r="1318" spans="2:6" s="9" customFormat="1" x14ac:dyDescent="0.25">
      <c r="C1318" s="5"/>
      <c r="E1318" s="10"/>
      <c r="F1318" s="10">
        <f t="shared" si="20"/>
        <v>0</v>
      </c>
    </row>
    <row r="1319" spans="2:6" s="9" customFormat="1" x14ac:dyDescent="0.25">
      <c r="B1319" s="4"/>
      <c r="C1319" s="5"/>
      <c r="E1319" s="10"/>
      <c r="F1319" s="10">
        <f t="shared" si="20"/>
        <v>0</v>
      </c>
    </row>
    <row r="1320" spans="2:6" s="9" customFormat="1" x14ac:dyDescent="0.25">
      <c r="C1320" s="5"/>
      <c r="E1320" s="10"/>
      <c r="F1320" s="10">
        <f t="shared" si="20"/>
        <v>0</v>
      </c>
    </row>
    <row r="1321" spans="2:6" s="9" customFormat="1" x14ac:dyDescent="0.25">
      <c r="C1321" s="5"/>
      <c r="E1321" s="10"/>
      <c r="F1321" s="10">
        <f t="shared" si="20"/>
        <v>0</v>
      </c>
    </row>
    <row r="1322" spans="2:6" s="9" customFormat="1" x14ac:dyDescent="0.25">
      <c r="B1322" s="4"/>
      <c r="C1322" s="5"/>
      <c r="E1322" s="10"/>
      <c r="F1322" s="10">
        <f t="shared" si="20"/>
        <v>0</v>
      </c>
    </row>
    <row r="1323" spans="2:6" s="9" customFormat="1" x14ac:dyDescent="0.25">
      <c r="C1323" s="5"/>
      <c r="E1323" s="10"/>
      <c r="F1323" s="10">
        <f t="shared" si="20"/>
        <v>0</v>
      </c>
    </row>
    <row r="1324" spans="2:6" s="9" customFormat="1" x14ac:dyDescent="0.25">
      <c r="C1324" s="5"/>
      <c r="E1324" s="10"/>
      <c r="F1324" s="10">
        <f t="shared" si="20"/>
        <v>0</v>
      </c>
    </row>
    <row r="1325" spans="2:6" s="9" customFormat="1" x14ac:dyDescent="0.25">
      <c r="B1325" s="4"/>
      <c r="C1325" s="5"/>
      <c r="E1325" s="10"/>
      <c r="F1325" s="10">
        <f t="shared" si="20"/>
        <v>0</v>
      </c>
    </row>
    <row r="1326" spans="2:6" s="9" customFormat="1" x14ac:dyDescent="0.25">
      <c r="B1326" s="4"/>
      <c r="C1326" s="5"/>
      <c r="E1326" s="10"/>
      <c r="F1326" s="10">
        <f t="shared" si="20"/>
        <v>0</v>
      </c>
    </row>
    <row r="1327" spans="2:6" s="9" customFormat="1" x14ac:dyDescent="0.25">
      <c r="C1327" s="5"/>
      <c r="E1327" s="10"/>
      <c r="F1327" s="10">
        <f t="shared" si="20"/>
        <v>0</v>
      </c>
    </row>
    <row r="1328" spans="2:6" s="9" customFormat="1" x14ac:dyDescent="0.25">
      <c r="C1328" s="5"/>
      <c r="E1328" s="10"/>
      <c r="F1328" s="10">
        <f t="shared" si="20"/>
        <v>0</v>
      </c>
    </row>
    <row r="1329" spans="2:6" s="9" customFormat="1" x14ac:dyDescent="0.25">
      <c r="B1329" s="4"/>
      <c r="C1329" s="5"/>
      <c r="E1329" s="10"/>
      <c r="F1329" s="10">
        <f t="shared" si="20"/>
        <v>0</v>
      </c>
    </row>
    <row r="1330" spans="2:6" s="9" customFormat="1" x14ac:dyDescent="0.25">
      <c r="C1330" s="5"/>
      <c r="E1330" s="10"/>
      <c r="F1330" s="10">
        <f t="shared" si="20"/>
        <v>0</v>
      </c>
    </row>
    <row r="1331" spans="2:6" s="9" customFormat="1" x14ac:dyDescent="0.25">
      <c r="C1331" s="5"/>
      <c r="E1331" s="10"/>
      <c r="F1331" s="10">
        <f t="shared" si="20"/>
        <v>0</v>
      </c>
    </row>
    <row r="1332" spans="2:6" s="9" customFormat="1" x14ac:dyDescent="0.25">
      <c r="C1332" s="5"/>
      <c r="E1332" s="10"/>
      <c r="F1332" s="10">
        <f t="shared" si="20"/>
        <v>0</v>
      </c>
    </row>
    <row r="1333" spans="2:6" s="9" customFormat="1" x14ac:dyDescent="0.25">
      <c r="C1333" s="5"/>
      <c r="E1333" s="10"/>
      <c r="F1333" s="10">
        <f t="shared" si="20"/>
        <v>0</v>
      </c>
    </row>
    <row r="1334" spans="2:6" s="9" customFormat="1" x14ac:dyDescent="0.25">
      <c r="B1334" s="4"/>
      <c r="C1334" s="5"/>
      <c r="E1334" s="10"/>
      <c r="F1334" s="10">
        <f t="shared" si="20"/>
        <v>0</v>
      </c>
    </row>
    <row r="1335" spans="2:6" s="9" customFormat="1" x14ac:dyDescent="0.25">
      <c r="C1335" s="5"/>
      <c r="E1335" s="10"/>
      <c r="F1335" s="10">
        <f t="shared" si="20"/>
        <v>0</v>
      </c>
    </row>
    <row r="1336" spans="2:6" s="9" customFormat="1" x14ac:dyDescent="0.25">
      <c r="C1336" s="5"/>
      <c r="E1336" s="10"/>
      <c r="F1336" s="10">
        <f t="shared" si="20"/>
        <v>0</v>
      </c>
    </row>
    <row r="1337" spans="2:6" s="9" customFormat="1" x14ac:dyDescent="0.25">
      <c r="C1337" s="5"/>
      <c r="E1337" s="10"/>
      <c r="F1337" s="10">
        <f t="shared" si="20"/>
        <v>0</v>
      </c>
    </row>
    <row r="1338" spans="2:6" s="9" customFormat="1" x14ac:dyDescent="0.25">
      <c r="B1338" s="4"/>
      <c r="C1338" s="5"/>
      <c r="E1338" s="10"/>
      <c r="F1338" s="10">
        <f t="shared" si="20"/>
        <v>0</v>
      </c>
    </row>
    <row r="1339" spans="2:6" s="9" customFormat="1" x14ac:dyDescent="0.25">
      <c r="C1339" s="5"/>
      <c r="E1339" s="10"/>
      <c r="F1339" s="10">
        <f t="shared" si="20"/>
        <v>0</v>
      </c>
    </row>
    <row r="1340" spans="2:6" s="9" customFormat="1" x14ac:dyDescent="0.25">
      <c r="C1340" s="5"/>
      <c r="E1340" s="10"/>
      <c r="F1340" s="10">
        <f t="shared" si="20"/>
        <v>0</v>
      </c>
    </row>
    <row r="1341" spans="2:6" s="9" customFormat="1" x14ac:dyDescent="0.25">
      <c r="B1341" s="4"/>
      <c r="C1341" s="5"/>
      <c r="E1341" s="10"/>
      <c r="F1341" s="10">
        <f t="shared" si="20"/>
        <v>0</v>
      </c>
    </row>
    <row r="1342" spans="2:6" s="9" customFormat="1" x14ac:dyDescent="0.25">
      <c r="C1342" s="5"/>
      <c r="E1342" s="10"/>
      <c r="F1342" s="10">
        <f t="shared" si="20"/>
        <v>0</v>
      </c>
    </row>
    <row r="1343" spans="2:6" s="9" customFormat="1" x14ac:dyDescent="0.25">
      <c r="C1343" s="5"/>
      <c r="E1343" s="10"/>
      <c r="F1343" s="10">
        <f t="shared" si="20"/>
        <v>0</v>
      </c>
    </row>
    <row r="1344" spans="2:6" s="9" customFormat="1" x14ac:dyDescent="0.25">
      <c r="B1344" s="4"/>
      <c r="C1344" s="5"/>
      <c r="E1344" s="10"/>
      <c r="F1344" s="10">
        <f t="shared" si="20"/>
        <v>0</v>
      </c>
    </row>
    <row r="1345" spans="2:6" s="9" customFormat="1" x14ac:dyDescent="0.25">
      <c r="C1345" s="5"/>
      <c r="E1345" s="10"/>
      <c r="F1345" s="10">
        <f t="shared" si="20"/>
        <v>0</v>
      </c>
    </row>
    <row r="1346" spans="2:6" s="9" customFormat="1" x14ac:dyDescent="0.25">
      <c r="C1346" s="5"/>
      <c r="E1346" s="10"/>
      <c r="F1346" s="10">
        <f t="shared" si="20"/>
        <v>0</v>
      </c>
    </row>
    <row r="1347" spans="2:6" s="9" customFormat="1" x14ac:dyDescent="0.25">
      <c r="B1347" s="4"/>
      <c r="C1347" s="5"/>
      <c r="E1347" s="10"/>
      <c r="F1347" s="10">
        <f t="shared" si="20"/>
        <v>0</v>
      </c>
    </row>
    <row r="1348" spans="2:6" s="9" customFormat="1" x14ac:dyDescent="0.25">
      <c r="C1348" s="5"/>
      <c r="E1348" s="10"/>
      <c r="F1348" s="10">
        <f t="shared" si="20"/>
        <v>0</v>
      </c>
    </row>
    <row r="1349" spans="2:6" s="9" customFormat="1" x14ac:dyDescent="0.25">
      <c r="C1349" s="5"/>
      <c r="E1349" s="10"/>
      <c r="F1349" s="10">
        <f t="shared" si="20"/>
        <v>0</v>
      </c>
    </row>
    <row r="1350" spans="2:6" s="9" customFormat="1" x14ac:dyDescent="0.25">
      <c r="C1350" s="5"/>
      <c r="E1350" s="10"/>
      <c r="F1350" s="10">
        <f t="shared" si="20"/>
        <v>0</v>
      </c>
    </row>
    <row r="1351" spans="2:6" s="9" customFormat="1" x14ac:dyDescent="0.25">
      <c r="C1351" s="5"/>
      <c r="E1351" s="10"/>
      <c r="F1351" s="10">
        <f t="shared" si="20"/>
        <v>0</v>
      </c>
    </row>
    <row r="1352" spans="2:6" s="9" customFormat="1" x14ac:dyDescent="0.25">
      <c r="B1352" s="4"/>
      <c r="C1352" s="5"/>
      <c r="E1352" s="10"/>
      <c r="F1352" s="10">
        <f t="shared" si="20"/>
        <v>0</v>
      </c>
    </row>
    <row r="1353" spans="2:6" s="9" customFormat="1" x14ac:dyDescent="0.25">
      <c r="C1353" s="5"/>
      <c r="E1353" s="10"/>
      <c r="F1353" s="10">
        <f t="shared" si="20"/>
        <v>0</v>
      </c>
    </row>
    <row r="1354" spans="2:6" s="9" customFormat="1" x14ac:dyDescent="0.25">
      <c r="C1354" s="5"/>
      <c r="E1354" s="10"/>
      <c r="F1354" s="10">
        <f t="shared" si="20"/>
        <v>0</v>
      </c>
    </row>
    <row r="1355" spans="2:6" s="9" customFormat="1" x14ac:dyDescent="0.25">
      <c r="B1355" s="4"/>
      <c r="C1355" s="5"/>
      <c r="E1355" s="10"/>
      <c r="F1355" s="10">
        <f t="shared" si="20"/>
        <v>0</v>
      </c>
    </row>
    <row r="1356" spans="2:6" s="9" customFormat="1" x14ac:dyDescent="0.25">
      <c r="C1356" s="5"/>
      <c r="E1356" s="10"/>
      <c r="F1356" s="10">
        <f t="shared" ref="F1356:F1419" si="21">+C1356*E1356</f>
        <v>0</v>
      </c>
    </row>
    <row r="1357" spans="2:6" s="9" customFormat="1" x14ac:dyDescent="0.25">
      <c r="C1357" s="5"/>
      <c r="E1357" s="10"/>
      <c r="F1357" s="10">
        <f t="shared" si="21"/>
        <v>0</v>
      </c>
    </row>
    <row r="1358" spans="2:6" s="9" customFormat="1" x14ac:dyDescent="0.25">
      <c r="C1358" s="5"/>
      <c r="E1358" s="10"/>
      <c r="F1358" s="10">
        <f t="shared" si="21"/>
        <v>0</v>
      </c>
    </row>
    <row r="1359" spans="2:6" s="9" customFormat="1" x14ac:dyDescent="0.25">
      <c r="B1359" s="4"/>
      <c r="C1359" s="5"/>
      <c r="E1359" s="10"/>
      <c r="F1359" s="10">
        <f t="shared" si="21"/>
        <v>0</v>
      </c>
    </row>
    <row r="1360" spans="2:6" s="9" customFormat="1" x14ac:dyDescent="0.25">
      <c r="C1360" s="5"/>
      <c r="E1360" s="10"/>
      <c r="F1360" s="10">
        <f t="shared" si="21"/>
        <v>0</v>
      </c>
    </row>
    <row r="1361" spans="2:6" s="9" customFormat="1" x14ac:dyDescent="0.25">
      <c r="C1361" s="5"/>
      <c r="E1361" s="10"/>
      <c r="F1361" s="10">
        <f t="shared" si="21"/>
        <v>0</v>
      </c>
    </row>
    <row r="1362" spans="2:6" s="9" customFormat="1" x14ac:dyDescent="0.25">
      <c r="C1362" s="5"/>
      <c r="E1362" s="10"/>
      <c r="F1362" s="10">
        <f t="shared" si="21"/>
        <v>0</v>
      </c>
    </row>
    <row r="1363" spans="2:6" s="9" customFormat="1" x14ac:dyDescent="0.25">
      <c r="C1363" s="5"/>
      <c r="E1363" s="10"/>
      <c r="F1363" s="10">
        <f t="shared" si="21"/>
        <v>0</v>
      </c>
    </row>
    <row r="1364" spans="2:6" s="9" customFormat="1" x14ac:dyDescent="0.25">
      <c r="B1364" s="4"/>
      <c r="C1364" s="5"/>
      <c r="E1364" s="10"/>
      <c r="F1364" s="10">
        <f t="shared" si="21"/>
        <v>0</v>
      </c>
    </row>
    <row r="1365" spans="2:6" s="9" customFormat="1" x14ac:dyDescent="0.25">
      <c r="C1365" s="5"/>
      <c r="E1365" s="10"/>
      <c r="F1365" s="10">
        <f t="shared" si="21"/>
        <v>0</v>
      </c>
    </row>
    <row r="1366" spans="2:6" s="9" customFormat="1" x14ac:dyDescent="0.25">
      <c r="C1366" s="5"/>
      <c r="E1366" s="10"/>
      <c r="F1366" s="10">
        <f t="shared" si="21"/>
        <v>0</v>
      </c>
    </row>
    <row r="1367" spans="2:6" s="9" customFormat="1" x14ac:dyDescent="0.25">
      <c r="B1367" s="4"/>
      <c r="C1367" s="5"/>
      <c r="E1367" s="10"/>
      <c r="F1367" s="10">
        <f t="shared" si="21"/>
        <v>0</v>
      </c>
    </row>
    <row r="1368" spans="2:6" s="9" customFormat="1" x14ac:dyDescent="0.25">
      <c r="C1368" s="5"/>
      <c r="E1368" s="10"/>
      <c r="F1368" s="10">
        <f t="shared" si="21"/>
        <v>0</v>
      </c>
    </row>
    <row r="1369" spans="2:6" s="9" customFormat="1" x14ac:dyDescent="0.25">
      <c r="C1369" s="5"/>
      <c r="E1369" s="10"/>
      <c r="F1369" s="10">
        <f t="shared" si="21"/>
        <v>0</v>
      </c>
    </row>
    <row r="1370" spans="2:6" s="9" customFormat="1" x14ac:dyDescent="0.25">
      <c r="B1370" s="4"/>
      <c r="C1370" s="5"/>
      <c r="E1370" s="10"/>
      <c r="F1370" s="10">
        <f t="shared" si="21"/>
        <v>0</v>
      </c>
    </row>
    <row r="1371" spans="2:6" s="9" customFormat="1" x14ac:dyDescent="0.25">
      <c r="C1371" s="5"/>
      <c r="E1371" s="10"/>
      <c r="F1371" s="10">
        <f t="shared" si="21"/>
        <v>0</v>
      </c>
    </row>
    <row r="1372" spans="2:6" s="9" customFormat="1" x14ac:dyDescent="0.25">
      <c r="C1372" s="5"/>
      <c r="E1372" s="10"/>
      <c r="F1372" s="10">
        <f t="shared" si="21"/>
        <v>0</v>
      </c>
    </row>
    <row r="1373" spans="2:6" s="9" customFormat="1" x14ac:dyDescent="0.25">
      <c r="B1373" s="4"/>
      <c r="C1373" s="5"/>
      <c r="E1373" s="10"/>
      <c r="F1373" s="10">
        <f t="shared" si="21"/>
        <v>0</v>
      </c>
    </row>
    <row r="1374" spans="2:6" s="9" customFormat="1" x14ac:dyDescent="0.25">
      <c r="C1374" s="5"/>
      <c r="E1374" s="10"/>
      <c r="F1374" s="10">
        <f t="shared" si="21"/>
        <v>0</v>
      </c>
    </row>
    <row r="1375" spans="2:6" s="9" customFormat="1" x14ac:dyDescent="0.25">
      <c r="C1375" s="5"/>
      <c r="E1375" s="10"/>
      <c r="F1375" s="10">
        <f t="shared" si="21"/>
        <v>0</v>
      </c>
    </row>
    <row r="1376" spans="2:6" s="9" customFormat="1" x14ac:dyDescent="0.25">
      <c r="C1376" s="5"/>
      <c r="E1376" s="10"/>
      <c r="F1376" s="10">
        <f t="shared" si="21"/>
        <v>0</v>
      </c>
    </row>
    <row r="1377" spans="2:6" s="9" customFormat="1" x14ac:dyDescent="0.25">
      <c r="B1377" s="4"/>
      <c r="C1377" s="5"/>
      <c r="E1377" s="10"/>
      <c r="F1377" s="10">
        <f t="shared" si="21"/>
        <v>0</v>
      </c>
    </row>
    <row r="1378" spans="2:6" s="9" customFormat="1" x14ac:dyDescent="0.25">
      <c r="C1378" s="5"/>
      <c r="E1378" s="10"/>
      <c r="F1378" s="10">
        <f t="shared" si="21"/>
        <v>0</v>
      </c>
    </row>
    <row r="1379" spans="2:6" s="9" customFormat="1" x14ac:dyDescent="0.25">
      <c r="C1379" s="5"/>
      <c r="E1379" s="10"/>
      <c r="F1379" s="10">
        <f t="shared" si="21"/>
        <v>0</v>
      </c>
    </row>
    <row r="1380" spans="2:6" s="9" customFormat="1" x14ac:dyDescent="0.25">
      <c r="B1380" s="4"/>
      <c r="C1380" s="5"/>
      <c r="E1380" s="10"/>
      <c r="F1380" s="10">
        <f t="shared" si="21"/>
        <v>0</v>
      </c>
    </row>
    <row r="1381" spans="2:6" s="9" customFormat="1" x14ac:dyDescent="0.25">
      <c r="C1381" s="5"/>
      <c r="E1381" s="10"/>
      <c r="F1381" s="10">
        <f t="shared" si="21"/>
        <v>0</v>
      </c>
    </row>
    <row r="1382" spans="2:6" s="9" customFormat="1" x14ac:dyDescent="0.25">
      <c r="C1382" s="5"/>
      <c r="E1382" s="10"/>
      <c r="F1382" s="10">
        <f t="shared" si="21"/>
        <v>0</v>
      </c>
    </row>
    <row r="1383" spans="2:6" s="9" customFormat="1" x14ac:dyDescent="0.25">
      <c r="B1383" s="4"/>
      <c r="C1383" s="5"/>
      <c r="E1383" s="10"/>
      <c r="F1383" s="10">
        <f t="shared" si="21"/>
        <v>0</v>
      </c>
    </row>
    <row r="1384" spans="2:6" s="9" customFormat="1" x14ac:dyDescent="0.25">
      <c r="C1384" s="5"/>
      <c r="E1384" s="10"/>
      <c r="F1384" s="10">
        <f t="shared" si="21"/>
        <v>0</v>
      </c>
    </row>
    <row r="1385" spans="2:6" s="9" customFormat="1" x14ac:dyDescent="0.25">
      <c r="C1385" s="5"/>
      <c r="E1385" s="10"/>
      <c r="F1385" s="10">
        <f t="shared" si="21"/>
        <v>0</v>
      </c>
    </row>
    <row r="1386" spans="2:6" s="9" customFormat="1" x14ac:dyDescent="0.25">
      <c r="B1386" s="4"/>
      <c r="C1386" s="5"/>
      <c r="E1386" s="10"/>
      <c r="F1386" s="10">
        <f t="shared" si="21"/>
        <v>0</v>
      </c>
    </row>
    <row r="1387" spans="2:6" s="9" customFormat="1" x14ac:dyDescent="0.25">
      <c r="C1387" s="5"/>
      <c r="E1387" s="10"/>
      <c r="F1387" s="10">
        <f t="shared" si="21"/>
        <v>0</v>
      </c>
    </row>
    <row r="1388" spans="2:6" s="9" customFormat="1" x14ac:dyDescent="0.25">
      <c r="C1388" s="5"/>
      <c r="E1388" s="10"/>
      <c r="F1388" s="10">
        <f t="shared" si="21"/>
        <v>0</v>
      </c>
    </row>
    <row r="1389" spans="2:6" s="9" customFormat="1" x14ac:dyDescent="0.25">
      <c r="B1389" s="4"/>
      <c r="C1389" s="5"/>
      <c r="E1389" s="10"/>
      <c r="F1389" s="10">
        <f t="shared" si="21"/>
        <v>0</v>
      </c>
    </row>
    <row r="1390" spans="2:6" s="9" customFormat="1" x14ac:dyDescent="0.25">
      <c r="C1390" s="5"/>
      <c r="E1390" s="10"/>
      <c r="F1390" s="10">
        <f t="shared" si="21"/>
        <v>0</v>
      </c>
    </row>
    <row r="1391" spans="2:6" s="9" customFormat="1" x14ac:dyDescent="0.25">
      <c r="C1391" s="5"/>
      <c r="E1391" s="10"/>
      <c r="F1391" s="10">
        <f t="shared" si="21"/>
        <v>0</v>
      </c>
    </row>
    <row r="1392" spans="2:6" s="9" customFormat="1" x14ac:dyDescent="0.25">
      <c r="C1392" s="5"/>
      <c r="E1392" s="10"/>
      <c r="F1392" s="10">
        <f t="shared" si="21"/>
        <v>0</v>
      </c>
    </row>
    <row r="1393" spans="2:6" s="9" customFormat="1" x14ac:dyDescent="0.25">
      <c r="B1393" s="4"/>
      <c r="C1393" s="5"/>
      <c r="E1393" s="10"/>
      <c r="F1393" s="10">
        <f t="shared" si="21"/>
        <v>0</v>
      </c>
    </row>
    <row r="1394" spans="2:6" s="9" customFormat="1" x14ac:dyDescent="0.25">
      <c r="C1394" s="5"/>
      <c r="E1394" s="10"/>
      <c r="F1394" s="10">
        <f t="shared" si="21"/>
        <v>0</v>
      </c>
    </row>
    <row r="1395" spans="2:6" s="9" customFormat="1" x14ac:dyDescent="0.25">
      <c r="C1395" s="5"/>
      <c r="E1395" s="10"/>
      <c r="F1395" s="10">
        <f t="shared" si="21"/>
        <v>0</v>
      </c>
    </row>
    <row r="1396" spans="2:6" s="9" customFormat="1" x14ac:dyDescent="0.25">
      <c r="C1396" s="5"/>
      <c r="E1396" s="10"/>
      <c r="F1396" s="10">
        <f t="shared" si="21"/>
        <v>0</v>
      </c>
    </row>
    <row r="1397" spans="2:6" s="9" customFormat="1" x14ac:dyDescent="0.25">
      <c r="C1397" s="5"/>
      <c r="E1397" s="10"/>
      <c r="F1397" s="10">
        <f t="shared" si="21"/>
        <v>0</v>
      </c>
    </row>
    <row r="1398" spans="2:6" s="9" customFormat="1" x14ac:dyDescent="0.25">
      <c r="C1398" s="5"/>
      <c r="E1398" s="10"/>
      <c r="F1398" s="10">
        <f t="shared" si="21"/>
        <v>0</v>
      </c>
    </row>
    <row r="1399" spans="2:6" s="9" customFormat="1" x14ac:dyDescent="0.25">
      <c r="C1399" s="5"/>
      <c r="E1399" s="10"/>
      <c r="F1399" s="10">
        <f t="shared" si="21"/>
        <v>0</v>
      </c>
    </row>
    <row r="1400" spans="2:6" s="9" customFormat="1" x14ac:dyDescent="0.25">
      <c r="B1400" s="4"/>
      <c r="C1400" s="5"/>
      <c r="E1400" s="10"/>
      <c r="F1400" s="10">
        <f t="shared" si="21"/>
        <v>0</v>
      </c>
    </row>
    <row r="1401" spans="2:6" s="9" customFormat="1" x14ac:dyDescent="0.25">
      <c r="C1401" s="5"/>
      <c r="E1401" s="10"/>
      <c r="F1401" s="10">
        <f t="shared" si="21"/>
        <v>0</v>
      </c>
    </row>
    <row r="1402" spans="2:6" s="9" customFormat="1" x14ac:dyDescent="0.25">
      <c r="C1402" s="5"/>
      <c r="E1402" s="10"/>
      <c r="F1402" s="10">
        <f t="shared" si="21"/>
        <v>0</v>
      </c>
    </row>
    <row r="1403" spans="2:6" s="9" customFormat="1" x14ac:dyDescent="0.25">
      <c r="C1403" s="5"/>
      <c r="E1403" s="10"/>
      <c r="F1403" s="10">
        <f t="shared" si="21"/>
        <v>0</v>
      </c>
    </row>
    <row r="1404" spans="2:6" s="9" customFormat="1" x14ac:dyDescent="0.25">
      <c r="C1404" s="5"/>
      <c r="E1404" s="10"/>
      <c r="F1404" s="10">
        <f t="shared" si="21"/>
        <v>0</v>
      </c>
    </row>
    <row r="1405" spans="2:6" s="9" customFormat="1" x14ac:dyDescent="0.25">
      <c r="C1405" s="5"/>
      <c r="E1405" s="10"/>
      <c r="F1405" s="10">
        <f t="shared" si="21"/>
        <v>0</v>
      </c>
    </row>
    <row r="1406" spans="2:6" s="9" customFormat="1" x14ac:dyDescent="0.25">
      <c r="B1406" s="4"/>
      <c r="C1406" s="5"/>
      <c r="E1406" s="10"/>
      <c r="F1406" s="10">
        <f t="shared" si="21"/>
        <v>0</v>
      </c>
    </row>
    <row r="1407" spans="2:6" s="9" customFormat="1" x14ac:dyDescent="0.25">
      <c r="C1407" s="5"/>
      <c r="E1407" s="10"/>
      <c r="F1407" s="10">
        <f t="shared" si="21"/>
        <v>0</v>
      </c>
    </row>
    <row r="1408" spans="2:6" s="9" customFormat="1" x14ac:dyDescent="0.25">
      <c r="C1408" s="5"/>
      <c r="E1408" s="10"/>
      <c r="F1408" s="10">
        <f t="shared" si="21"/>
        <v>0</v>
      </c>
    </row>
    <row r="1409" spans="2:6" s="9" customFormat="1" x14ac:dyDescent="0.25">
      <c r="B1409" s="4"/>
      <c r="C1409" s="5"/>
      <c r="E1409" s="10"/>
      <c r="F1409" s="10">
        <f t="shared" si="21"/>
        <v>0</v>
      </c>
    </row>
    <row r="1410" spans="2:6" s="9" customFormat="1" x14ac:dyDescent="0.25">
      <c r="C1410" s="5"/>
      <c r="E1410" s="10"/>
      <c r="F1410" s="10">
        <f t="shared" si="21"/>
        <v>0</v>
      </c>
    </row>
    <row r="1411" spans="2:6" s="9" customFormat="1" x14ac:dyDescent="0.25">
      <c r="C1411" s="5"/>
      <c r="E1411" s="10"/>
      <c r="F1411" s="10">
        <f t="shared" si="21"/>
        <v>0</v>
      </c>
    </row>
    <row r="1412" spans="2:6" s="9" customFormat="1" x14ac:dyDescent="0.25">
      <c r="B1412" s="4"/>
      <c r="C1412" s="5"/>
      <c r="E1412" s="10"/>
      <c r="F1412" s="10">
        <f t="shared" si="21"/>
        <v>0</v>
      </c>
    </row>
    <row r="1413" spans="2:6" s="9" customFormat="1" x14ac:dyDescent="0.25">
      <c r="C1413" s="5"/>
      <c r="E1413" s="10"/>
      <c r="F1413" s="10">
        <f t="shared" si="21"/>
        <v>0</v>
      </c>
    </row>
    <row r="1414" spans="2:6" s="9" customFormat="1" x14ac:dyDescent="0.25">
      <c r="C1414" s="5"/>
      <c r="E1414" s="10"/>
      <c r="F1414" s="10">
        <f t="shared" si="21"/>
        <v>0</v>
      </c>
    </row>
    <row r="1415" spans="2:6" s="9" customFormat="1" x14ac:dyDescent="0.25">
      <c r="C1415" s="5"/>
      <c r="E1415" s="10"/>
      <c r="F1415" s="10">
        <f t="shared" si="21"/>
        <v>0</v>
      </c>
    </row>
    <row r="1416" spans="2:6" s="9" customFormat="1" x14ac:dyDescent="0.25">
      <c r="C1416" s="5"/>
      <c r="E1416" s="10"/>
      <c r="F1416" s="10">
        <f t="shared" si="21"/>
        <v>0</v>
      </c>
    </row>
    <row r="1417" spans="2:6" s="9" customFormat="1" x14ac:dyDescent="0.25">
      <c r="C1417" s="5"/>
      <c r="E1417" s="10"/>
      <c r="F1417" s="10">
        <f t="shared" si="21"/>
        <v>0</v>
      </c>
    </row>
    <row r="1418" spans="2:6" s="9" customFormat="1" x14ac:dyDescent="0.25">
      <c r="C1418" s="5"/>
      <c r="E1418" s="10"/>
      <c r="F1418" s="10">
        <f t="shared" si="21"/>
        <v>0</v>
      </c>
    </row>
    <row r="1419" spans="2:6" s="9" customFormat="1" x14ac:dyDescent="0.25">
      <c r="C1419" s="5"/>
      <c r="E1419" s="10"/>
      <c r="F1419" s="10">
        <f t="shared" si="21"/>
        <v>0</v>
      </c>
    </row>
    <row r="1420" spans="2:6" s="9" customFormat="1" x14ac:dyDescent="0.25">
      <c r="B1420" s="4"/>
      <c r="C1420" s="5"/>
      <c r="E1420" s="10"/>
      <c r="F1420" s="10">
        <f t="shared" ref="F1420:F1483" si="22">+C1420*E1420</f>
        <v>0</v>
      </c>
    </row>
    <row r="1421" spans="2:6" s="9" customFormat="1" x14ac:dyDescent="0.25">
      <c r="C1421" s="5"/>
      <c r="E1421" s="10"/>
      <c r="F1421" s="10">
        <f t="shared" si="22"/>
        <v>0</v>
      </c>
    </row>
    <row r="1422" spans="2:6" s="9" customFormat="1" x14ac:dyDescent="0.25">
      <c r="C1422" s="5"/>
      <c r="E1422" s="10"/>
      <c r="F1422" s="10">
        <f t="shared" si="22"/>
        <v>0</v>
      </c>
    </row>
    <row r="1423" spans="2:6" s="9" customFormat="1" x14ac:dyDescent="0.25">
      <c r="B1423" s="4"/>
      <c r="C1423" s="5"/>
      <c r="E1423" s="10"/>
      <c r="F1423" s="10">
        <f t="shared" si="22"/>
        <v>0</v>
      </c>
    </row>
    <row r="1424" spans="2:6" s="9" customFormat="1" x14ac:dyDescent="0.25">
      <c r="C1424" s="5"/>
      <c r="E1424" s="10"/>
      <c r="F1424" s="10">
        <f t="shared" si="22"/>
        <v>0</v>
      </c>
    </row>
    <row r="1425" spans="2:6" s="9" customFormat="1" x14ac:dyDescent="0.25">
      <c r="C1425" s="5"/>
      <c r="E1425" s="10"/>
      <c r="F1425" s="10">
        <f t="shared" si="22"/>
        <v>0</v>
      </c>
    </row>
    <row r="1426" spans="2:6" s="9" customFormat="1" x14ac:dyDescent="0.25">
      <c r="B1426" s="4"/>
      <c r="C1426" s="5"/>
      <c r="E1426" s="10"/>
      <c r="F1426" s="10">
        <f t="shared" si="22"/>
        <v>0</v>
      </c>
    </row>
    <row r="1427" spans="2:6" s="9" customFormat="1" x14ac:dyDescent="0.25">
      <c r="C1427" s="5"/>
      <c r="E1427" s="10"/>
      <c r="F1427" s="10">
        <f t="shared" si="22"/>
        <v>0</v>
      </c>
    </row>
    <row r="1428" spans="2:6" s="9" customFormat="1" x14ac:dyDescent="0.25">
      <c r="C1428" s="5"/>
      <c r="E1428" s="10"/>
      <c r="F1428" s="10">
        <f t="shared" si="22"/>
        <v>0</v>
      </c>
    </row>
    <row r="1429" spans="2:6" s="9" customFormat="1" x14ac:dyDescent="0.25">
      <c r="B1429" s="4"/>
      <c r="C1429" s="5"/>
      <c r="E1429" s="10"/>
      <c r="F1429" s="10">
        <f t="shared" si="22"/>
        <v>0</v>
      </c>
    </row>
    <row r="1430" spans="2:6" s="9" customFormat="1" x14ac:dyDescent="0.25">
      <c r="C1430" s="5"/>
      <c r="E1430" s="10"/>
      <c r="F1430" s="10">
        <f t="shared" si="22"/>
        <v>0</v>
      </c>
    </row>
    <row r="1431" spans="2:6" s="9" customFormat="1" x14ac:dyDescent="0.25">
      <c r="C1431" s="5"/>
      <c r="E1431" s="10"/>
      <c r="F1431" s="10">
        <f t="shared" si="22"/>
        <v>0</v>
      </c>
    </row>
    <row r="1432" spans="2:6" s="9" customFormat="1" x14ac:dyDescent="0.25">
      <c r="B1432" s="4"/>
      <c r="C1432" s="5"/>
      <c r="E1432" s="10"/>
      <c r="F1432" s="10">
        <f t="shared" si="22"/>
        <v>0</v>
      </c>
    </row>
    <row r="1433" spans="2:6" s="9" customFormat="1" x14ac:dyDescent="0.25">
      <c r="C1433" s="5"/>
      <c r="E1433" s="10"/>
      <c r="F1433" s="10">
        <f t="shared" si="22"/>
        <v>0</v>
      </c>
    </row>
    <row r="1434" spans="2:6" s="9" customFormat="1" x14ac:dyDescent="0.25">
      <c r="C1434" s="5"/>
      <c r="E1434" s="10"/>
      <c r="F1434" s="10">
        <f t="shared" si="22"/>
        <v>0</v>
      </c>
    </row>
    <row r="1435" spans="2:6" s="9" customFormat="1" x14ac:dyDescent="0.25">
      <c r="B1435" s="4"/>
      <c r="C1435" s="5"/>
      <c r="E1435" s="10"/>
      <c r="F1435" s="10">
        <f t="shared" si="22"/>
        <v>0</v>
      </c>
    </row>
    <row r="1436" spans="2:6" s="9" customFormat="1" x14ac:dyDescent="0.25">
      <c r="C1436" s="5"/>
      <c r="E1436" s="10"/>
      <c r="F1436" s="10">
        <f t="shared" si="22"/>
        <v>0</v>
      </c>
    </row>
    <row r="1437" spans="2:6" s="9" customFormat="1" x14ac:dyDescent="0.25">
      <c r="C1437" s="5"/>
      <c r="E1437" s="10"/>
      <c r="F1437" s="10">
        <f t="shared" si="22"/>
        <v>0</v>
      </c>
    </row>
    <row r="1438" spans="2:6" s="9" customFormat="1" x14ac:dyDescent="0.25">
      <c r="B1438" s="4"/>
      <c r="C1438" s="5"/>
      <c r="E1438" s="10"/>
      <c r="F1438" s="10">
        <f t="shared" si="22"/>
        <v>0</v>
      </c>
    </row>
    <row r="1439" spans="2:6" s="9" customFormat="1" x14ac:dyDescent="0.25">
      <c r="C1439" s="5"/>
      <c r="E1439" s="10"/>
      <c r="F1439" s="10">
        <f t="shared" si="22"/>
        <v>0</v>
      </c>
    </row>
    <row r="1440" spans="2:6" s="9" customFormat="1" x14ac:dyDescent="0.25">
      <c r="C1440" s="5"/>
      <c r="E1440" s="10"/>
      <c r="F1440" s="10">
        <f t="shared" si="22"/>
        <v>0</v>
      </c>
    </row>
    <row r="1441" spans="2:6" s="9" customFormat="1" x14ac:dyDescent="0.25">
      <c r="B1441" s="4"/>
      <c r="C1441" s="5"/>
      <c r="E1441" s="10"/>
      <c r="F1441" s="10">
        <f t="shared" si="22"/>
        <v>0</v>
      </c>
    </row>
    <row r="1442" spans="2:6" s="9" customFormat="1" x14ac:dyDescent="0.25">
      <c r="C1442" s="5"/>
      <c r="E1442" s="10"/>
      <c r="F1442" s="10">
        <f t="shared" si="22"/>
        <v>0</v>
      </c>
    </row>
    <row r="1443" spans="2:6" s="9" customFormat="1" x14ac:dyDescent="0.25">
      <c r="C1443" s="5"/>
      <c r="E1443" s="10"/>
      <c r="F1443" s="10">
        <f t="shared" si="22"/>
        <v>0</v>
      </c>
    </row>
    <row r="1444" spans="2:6" s="9" customFormat="1" x14ac:dyDescent="0.25">
      <c r="B1444" s="4"/>
      <c r="C1444" s="5"/>
      <c r="E1444" s="10"/>
      <c r="F1444" s="10">
        <f t="shared" si="22"/>
        <v>0</v>
      </c>
    </row>
    <row r="1445" spans="2:6" s="9" customFormat="1" x14ac:dyDescent="0.25">
      <c r="C1445" s="5"/>
      <c r="E1445" s="10"/>
      <c r="F1445" s="10">
        <f t="shared" si="22"/>
        <v>0</v>
      </c>
    </row>
    <row r="1446" spans="2:6" s="9" customFormat="1" x14ac:dyDescent="0.25">
      <c r="C1446" s="5"/>
      <c r="E1446" s="10"/>
      <c r="F1446" s="10">
        <f t="shared" si="22"/>
        <v>0</v>
      </c>
    </row>
    <row r="1447" spans="2:6" s="9" customFormat="1" x14ac:dyDescent="0.25">
      <c r="B1447" s="4"/>
      <c r="C1447" s="5"/>
      <c r="E1447" s="10"/>
      <c r="F1447" s="10">
        <f t="shared" si="22"/>
        <v>0</v>
      </c>
    </row>
    <row r="1448" spans="2:6" s="9" customFormat="1" x14ac:dyDescent="0.25">
      <c r="C1448" s="5"/>
      <c r="E1448" s="10"/>
      <c r="F1448" s="10">
        <f t="shared" si="22"/>
        <v>0</v>
      </c>
    </row>
    <row r="1449" spans="2:6" s="9" customFormat="1" x14ac:dyDescent="0.25">
      <c r="C1449" s="5"/>
      <c r="E1449" s="10"/>
      <c r="F1449" s="10">
        <f t="shared" si="22"/>
        <v>0</v>
      </c>
    </row>
    <row r="1450" spans="2:6" s="9" customFormat="1" x14ac:dyDescent="0.25">
      <c r="B1450" s="4"/>
      <c r="C1450" s="5"/>
      <c r="E1450" s="10"/>
      <c r="F1450" s="10">
        <f t="shared" si="22"/>
        <v>0</v>
      </c>
    </row>
    <row r="1451" spans="2:6" s="9" customFormat="1" x14ac:dyDescent="0.25">
      <c r="C1451" s="5"/>
      <c r="E1451" s="10"/>
      <c r="F1451" s="10">
        <f t="shared" si="22"/>
        <v>0</v>
      </c>
    </row>
    <row r="1452" spans="2:6" s="9" customFormat="1" x14ac:dyDescent="0.25">
      <c r="C1452" s="5"/>
      <c r="E1452" s="10"/>
      <c r="F1452" s="10">
        <f t="shared" si="22"/>
        <v>0</v>
      </c>
    </row>
    <row r="1453" spans="2:6" s="9" customFormat="1" x14ac:dyDescent="0.25">
      <c r="B1453" s="4"/>
      <c r="C1453" s="5"/>
      <c r="E1453" s="10"/>
      <c r="F1453" s="10">
        <f t="shared" si="22"/>
        <v>0</v>
      </c>
    </row>
    <row r="1454" spans="2:6" s="9" customFormat="1" x14ac:dyDescent="0.25">
      <c r="C1454" s="5"/>
      <c r="E1454" s="10"/>
      <c r="F1454" s="10">
        <f t="shared" si="22"/>
        <v>0</v>
      </c>
    </row>
    <row r="1455" spans="2:6" s="9" customFormat="1" x14ac:dyDescent="0.25">
      <c r="C1455" s="5"/>
      <c r="E1455" s="10"/>
      <c r="F1455" s="10">
        <f t="shared" si="22"/>
        <v>0</v>
      </c>
    </row>
    <row r="1456" spans="2:6" s="9" customFormat="1" x14ac:dyDescent="0.25">
      <c r="C1456" s="5"/>
      <c r="E1456" s="10"/>
      <c r="F1456" s="10">
        <f t="shared" si="22"/>
        <v>0</v>
      </c>
    </row>
    <row r="1457" spans="2:6" s="9" customFormat="1" x14ac:dyDescent="0.25">
      <c r="B1457" s="4"/>
      <c r="C1457" s="5"/>
      <c r="E1457" s="10"/>
      <c r="F1457" s="10">
        <f t="shared" si="22"/>
        <v>0</v>
      </c>
    </row>
    <row r="1458" spans="2:6" s="9" customFormat="1" x14ac:dyDescent="0.25">
      <c r="C1458" s="5"/>
      <c r="E1458" s="10"/>
      <c r="F1458" s="10">
        <f t="shared" si="22"/>
        <v>0</v>
      </c>
    </row>
    <row r="1459" spans="2:6" s="9" customFormat="1" x14ac:dyDescent="0.25">
      <c r="C1459" s="5"/>
      <c r="E1459" s="10"/>
      <c r="F1459" s="10">
        <f t="shared" si="22"/>
        <v>0</v>
      </c>
    </row>
    <row r="1460" spans="2:6" s="9" customFormat="1" x14ac:dyDescent="0.25">
      <c r="B1460" s="4"/>
      <c r="C1460" s="5"/>
      <c r="E1460" s="10"/>
      <c r="F1460" s="10">
        <f t="shared" si="22"/>
        <v>0</v>
      </c>
    </row>
    <row r="1461" spans="2:6" s="9" customFormat="1" x14ac:dyDescent="0.25">
      <c r="C1461" s="5"/>
      <c r="E1461" s="10"/>
      <c r="F1461" s="10">
        <f t="shared" si="22"/>
        <v>0</v>
      </c>
    </row>
    <row r="1462" spans="2:6" s="9" customFormat="1" x14ac:dyDescent="0.25">
      <c r="C1462" s="5"/>
      <c r="E1462" s="10"/>
      <c r="F1462" s="10">
        <f t="shared" si="22"/>
        <v>0</v>
      </c>
    </row>
    <row r="1463" spans="2:6" s="9" customFormat="1" x14ac:dyDescent="0.25">
      <c r="C1463" s="5"/>
      <c r="E1463" s="10"/>
      <c r="F1463" s="10">
        <f t="shared" si="22"/>
        <v>0</v>
      </c>
    </row>
    <row r="1464" spans="2:6" s="9" customFormat="1" x14ac:dyDescent="0.25">
      <c r="B1464" s="4"/>
      <c r="C1464" s="5"/>
      <c r="E1464" s="10"/>
      <c r="F1464" s="10">
        <f t="shared" si="22"/>
        <v>0</v>
      </c>
    </row>
    <row r="1465" spans="2:6" s="9" customFormat="1" x14ac:dyDescent="0.25">
      <c r="C1465" s="5"/>
      <c r="E1465" s="10"/>
      <c r="F1465" s="10">
        <f t="shared" si="22"/>
        <v>0</v>
      </c>
    </row>
    <row r="1466" spans="2:6" s="9" customFormat="1" x14ac:dyDescent="0.25">
      <c r="C1466" s="5"/>
      <c r="E1466" s="10"/>
      <c r="F1466" s="10">
        <f t="shared" si="22"/>
        <v>0</v>
      </c>
    </row>
    <row r="1467" spans="2:6" s="9" customFormat="1" x14ac:dyDescent="0.25">
      <c r="C1467" s="5"/>
      <c r="E1467" s="10"/>
      <c r="F1467" s="10">
        <f t="shared" si="22"/>
        <v>0</v>
      </c>
    </row>
    <row r="1468" spans="2:6" s="9" customFormat="1" x14ac:dyDescent="0.25">
      <c r="C1468" s="5"/>
      <c r="E1468" s="10"/>
      <c r="F1468" s="10">
        <f t="shared" si="22"/>
        <v>0</v>
      </c>
    </row>
    <row r="1469" spans="2:6" s="9" customFormat="1" x14ac:dyDescent="0.25">
      <c r="B1469" s="4"/>
      <c r="C1469" s="5"/>
      <c r="E1469" s="10"/>
      <c r="F1469" s="10">
        <f t="shared" si="22"/>
        <v>0</v>
      </c>
    </row>
    <row r="1470" spans="2:6" s="9" customFormat="1" x14ac:dyDescent="0.25">
      <c r="C1470" s="5"/>
      <c r="E1470" s="10"/>
      <c r="F1470" s="10">
        <f t="shared" si="22"/>
        <v>0</v>
      </c>
    </row>
    <row r="1471" spans="2:6" s="9" customFormat="1" x14ac:dyDescent="0.25">
      <c r="C1471" s="5"/>
      <c r="E1471" s="10"/>
      <c r="F1471" s="10">
        <f t="shared" si="22"/>
        <v>0</v>
      </c>
    </row>
    <row r="1472" spans="2:6" s="9" customFormat="1" x14ac:dyDescent="0.25">
      <c r="C1472" s="5"/>
      <c r="E1472" s="10"/>
      <c r="F1472" s="10">
        <f t="shared" si="22"/>
        <v>0</v>
      </c>
    </row>
    <row r="1473" spans="2:6" s="9" customFormat="1" x14ac:dyDescent="0.25">
      <c r="B1473" s="4"/>
      <c r="C1473" s="5"/>
      <c r="E1473" s="10"/>
      <c r="F1473" s="10">
        <f t="shared" si="22"/>
        <v>0</v>
      </c>
    </row>
    <row r="1474" spans="2:6" s="9" customFormat="1" x14ac:dyDescent="0.25">
      <c r="C1474" s="5"/>
      <c r="E1474" s="10"/>
      <c r="F1474" s="10">
        <f t="shared" si="22"/>
        <v>0</v>
      </c>
    </row>
    <row r="1475" spans="2:6" s="9" customFormat="1" x14ac:dyDescent="0.25">
      <c r="C1475" s="5"/>
      <c r="E1475" s="10"/>
      <c r="F1475" s="10">
        <f t="shared" si="22"/>
        <v>0</v>
      </c>
    </row>
    <row r="1476" spans="2:6" s="9" customFormat="1" x14ac:dyDescent="0.25">
      <c r="B1476" s="4"/>
      <c r="C1476" s="5"/>
      <c r="E1476" s="10"/>
      <c r="F1476" s="10">
        <f t="shared" si="22"/>
        <v>0</v>
      </c>
    </row>
    <row r="1477" spans="2:6" s="9" customFormat="1" x14ac:dyDescent="0.25">
      <c r="C1477" s="5"/>
      <c r="E1477" s="10"/>
      <c r="F1477" s="10">
        <f t="shared" si="22"/>
        <v>0</v>
      </c>
    </row>
    <row r="1478" spans="2:6" s="9" customFormat="1" x14ac:dyDescent="0.25">
      <c r="C1478" s="5"/>
      <c r="E1478" s="10"/>
      <c r="F1478" s="10">
        <f t="shared" si="22"/>
        <v>0</v>
      </c>
    </row>
    <row r="1479" spans="2:6" s="9" customFormat="1" x14ac:dyDescent="0.25">
      <c r="C1479" s="5"/>
      <c r="E1479" s="10"/>
      <c r="F1479" s="10">
        <f t="shared" si="22"/>
        <v>0</v>
      </c>
    </row>
    <row r="1480" spans="2:6" s="9" customFormat="1" x14ac:dyDescent="0.25">
      <c r="C1480" s="5"/>
      <c r="E1480" s="10"/>
      <c r="F1480" s="10">
        <f t="shared" si="22"/>
        <v>0</v>
      </c>
    </row>
    <row r="1481" spans="2:6" s="9" customFormat="1" x14ac:dyDescent="0.25">
      <c r="C1481" s="5"/>
      <c r="E1481" s="10"/>
      <c r="F1481" s="10">
        <f t="shared" si="22"/>
        <v>0</v>
      </c>
    </row>
    <row r="1482" spans="2:6" s="9" customFormat="1" x14ac:dyDescent="0.25">
      <c r="C1482" s="5"/>
      <c r="E1482" s="10"/>
      <c r="F1482" s="10">
        <f t="shared" si="22"/>
        <v>0</v>
      </c>
    </row>
    <row r="1483" spans="2:6" s="9" customFormat="1" x14ac:dyDescent="0.25">
      <c r="B1483" s="4"/>
      <c r="C1483" s="5"/>
      <c r="E1483" s="10"/>
      <c r="F1483" s="10">
        <f t="shared" si="22"/>
        <v>0</v>
      </c>
    </row>
    <row r="1484" spans="2:6" s="9" customFormat="1" x14ac:dyDescent="0.25">
      <c r="C1484" s="5"/>
      <c r="E1484" s="10"/>
      <c r="F1484" s="10">
        <f t="shared" ref="F1484:F1547" si="23">+C1484*E1484</f>
        <v>0</v>
      </c>
    </row>
    <row r="1485" spans="2:6" s="9" customFormat="1" x14ac:dyDescent="0.25">
      <c r="C1485" s="5"/>
      <c r="E1485" s="10"/>
      <c r="F1485" s="10">
        <f t="shared" si="23"/>
        <v>0</v>
      </c>
    </row>
    <row r="1486" spans="2:6" s="9" customFormat="1" x14ac:dyDescent="0.25">
      <c r="C1486" s="5"/>
      <c r="E1486" s="10"/>
      <c r="F1486" s="10">
        <f t="shared" si="23"/>
        <v>0</v>
      </c>
    </row>
    <row r="1487" spans="2:6" s="9" customFormat="1" x14ac:dyDescent="0.25">
      <c r="C1487" s="5"/>
      <c r="E1487" s="10"/>
      <c r="F1487" s="10">
        <f t="shared" si="23"/>
        <v>0</v>
      </c>
    </row>
    <row r="1488" spans="2:6" s="9" customFormat="1" x14ac:dyDescent="0.25">
      <c r="C1488" s="5"/>
      <c r="E1488" s="10"/>
      <c r="F1488" s="10">
        <f t="shared" si="23"/>
        <v>0</v>
      </c>
    </row>
    <row r="1489" spans="2:6" s="9" customFormat="1" x14ac:dyDescent="0.25">
      <c r="C1489" s="5"/>
      <c r="E1489" s="10"/>
      <c r="F1489" s="10">
        <f t="shared" si="23"/>
        <v>0</v>
      </c>
    </row>
    <row r="1490" spans="2:6" s="9" customFormat="1" x14ac:dyDescent="0.25">
      <c r="C1490" s="5"/>
      <c r="E1490" s="10"/>
      <c r="F1490" s="10">
        <f t="shared" si="23"/>
        <v>0</v>
      </c>
    </row>
    <row r="1491" spans="2:6" s="9" customFormat="1" x14ac:dyDescent="0.25">
      <c r="B1491" s="4"/>
      <c r="C1491" s="5"/>
      <c r="E1491" s="10"/>
      <c r="F1491" s="10">
        <f t="shared" si="23"/>
        <v>0</v>
      </c>
    </row>
    <row r="1492" spans="2:6" s="9" customFormat="1" x14ac:dyDescent="0.25">
      <c r="C1492" s="5"/>
      <c r="E1492" s="10"/>
      <c r="F1492" s="10">
        <f t="shared" si="23"/>
        <v>0</v>
      </c>
    </row>
    <row r="1493" spans="2:6" s="9" customFormat="1" x14ac:dyDescent="0.25">
      <c r="C1493" s="5"/>
      <c r="E1493" s="10"/>
      <c r="F1493" s="10">
        <f t="shared" si="23"/>
        <v>0</v>
      </c>
    </row>
    <row r="1494" spans="2:6" s="9" customFormat="1" x14ac:dyDescent="0.25">
      <c r="B1494" s="4"/>
      <c r="C1494" s="5"/>
      <c r="E1494" s="10"/>
      <c r="F1494" s="10">
        <f t="shared" si="23"/>
        <v>0</v>
      </c>
    </row>
    <row r="1495" spans="2:6" s="9" customFormat="1" x14ac:dyDescent="0.25">
      <c r="C1495" s="5"/>
      <c r="E1495" s="10"/>
      <c r="F1495" s="10">
        <f t="shared" si="23"/>
        <v>0</v>
      </c>
    </row>
    <row r="1496" spans="2:6" s="9" customFormat="1" x14ac:dyDescent="0.25">
      <c r="C1496" s="5"/>
      <c r="E1496" s="10"/>
      <c r="F1496" s="10">
        <f t="shared" si="23"/>
        <v>0</v>
      </c>
    </row>
    <row r="1497" spans="2:6" s="9" customFormat="1" x14ac:dyDescent="0.25">
      <c r="B1497" s="4"/>
      <c r="C1497" s="5"/>
      <c r="E1497" s="10"/>
      <c r="F1497" s="10">
        <f t="shared" si="23"/>
        <v>0</v>
      </c>
    </row>
    <row r="1498" spans="2:6" s="9" customFormat="1" x14ac:dyDescent="0.25">
      <c r="C1498" s="5"/>
      <c r="E1498" s="10"/>
      <c r="F1498" s="10">
        <f t="shared" si="23"/>
        <v>0</v>
      </c>
    </row>
    <row r="1499" spans="2:6" s="9" customFormat="1" x14ac:dyDescent="0.25">
      <c r="C1499" s="5"/>
      <c r="E1499" s="10"/>
      <c r="F1499" s="10">
        <f t="shared" si="23"/>
        <v>0</v>
      </c>
    </row>
    <row r="1500" spans="2:6" s="9" customFormat="1" x14ac:dyDescent="0.25">
      <c r="B1500" s="4"/>
      <c r="C1500" s="5"/>
      <c r="E1500" s="10"/>
      <c r="F1500" s="10">
        <f t="shared" si="23"/>
        <v>0</v>
      </c>
    </row>
    <row r="1501" spans="2:6" s="9" customFormat="1" x14ac:dyDescent="0.25">
      <c r="C1501" s="5"/>
      <c r="E1501" s="10"/>
      <c r="F1501" s="10">
        <f t="shared" si="23"/>
        <v>0</v>
      </c>
    </row>
    <row r="1502" spans="2:6" s="9" customFormat="1" x14ac:dyDescent="0.25">
      <c r="C1502" s="5"/>
      <c r="E1502" s="10"/>
      <c r="F1502" s="10">
        <f t="shared" si="23"/>
        <v>0</v>
      </c>
    </row>
    <row r="1503" spans="2:6" s="9" customFormat="1" x14ac:dyDescent="0.25">
      <c r="C1503" s="5"/>
      <c r="E1503" s="10"/>
      <c r="F1503" s="10">
        <f t="shared" si="23"/>
        <v>0</v>
      </c>
    </row>
    <row r="1504" spans="2:6" s="9" customFormat="1" x14ac:dyDescent="0.25">
      <c r="C1504" s="5"/>
      <c r="E1504" s="10"/>
      <c r="F1504" s="10">
        <f t="shared" si="23"/>
        <v>0</v>
      </c>
    </row>
    <row r="1505" spans="2:6" s="9" customFormat="1" x14ac:dyDescent="0.25">
      <c r="C1505" s="5"/>
      <c r="E1505" s="10"/>
      <c r="F1505" s="10">
        <f t="shared" si="23"/>
        <v>0</v>
      </c>
    </row>
    <row r="1506" spans="2:6" s="9" customFormat="1" x14ac:dyDescent="0.25">
      <c r="C1506" s="5"/>
      <c r="E1506" s="10"/>
      <c r="F1506" s="10">
        <f t="shared" si="23"/>
        <v>0</v>
      </c>
    </row>
    <row r="1507" spans="2:6" s="9" customFormat="1" x14ac:dyDescent="0.25">
      <c r="C1507" s="5"/>
      <c r="E1507" s="10"/>
      <c r="F1507" s="10">
        <f t="shared" si="23"/>
        <v>0</v>
      </c>
    </row>
    <row r="1508" spans="2:6" s="9" customFormat="1" x14ac:dyDescent="0.25">
      <c r="C1508" s="5"/>
      <c r="E1508" s="10"/>
      <c r="F1508" s="10">
        <f t="shared" si="23"/>
        <v>0</v>
      </c>
    </row>
    <row r="1509" spans="2:6" s="9" customFormat="1" x14ac:dyDescent="0.25">
      <c r="C1509" s="5"/>
      <c r="E1509" s="10"/>
      <c r="F1509" s="10">
        <f t="shared" si="23"/>
        <v>0</v>
      </c>
    </row>
    <row r="1510" spans="2:6" s="9" customFormat="1" x14ac:dyDescent="0.25">
      <c r="B1510" s="4"/>
      <c r="C1510" s="5"/>
      <c r="E1510" s="10"/>
      <c r="F1510" s="10">
        <f t="shared" si="23"/>
        <v>0</v>
      </c>
    </row>
    <row r="1511" spans="2:6" s="9" customFormat="1" x14ac:dyDescent="0.25">
      <c r="C1511" s="5"/>
      <c r="E1511" s="10"/>
      <c r="F1511" s="10">
        <f t="shared" si="23"/>
        <v>0</v>
      </c>
    </row>
    <row r="1512" spans="2:6" s="9" customFormat="1" x14ac:dyDescent="0.25">
      <c r="C1512" s="5"/>
      <c r="E1512" s="10"/>
      <c r="F1512" s="10">
        <f t="shared" si="23"/>
        <v>0</v>
      </c>
    </row>
    <row r="1513" spans="2:6" s="9" customFormat="1" x14ac:dyDescent="0.25">
      <c r="C1513" s="5"/>
      <c r="E1513" s="10"/>
      <c r="F1513" s="10">
        <f t="shared" si="23"/>
        <v>0</v>
      </c>
    </row>
    <row r="1514" spans="2:6" s="9" customFormat="1" x14ac:dyDescent="0.25">
      <c r="C1514" s="5"/>
      <c r="E1514" s="10"/>
      <c r="F1514" s="10">
        <f t="shared" si="23"/>
        <v>0</v>
      </c>
    </row>
    <row r="1515" spans="2:6" s="9" customFormat="1" x14ac:dyDescent="0.25">
      <c r="C1515" s="5"/>
      <c r="E1515" s="10"/>
      <c r="F1515" s="10">
        <f t="shared" si="23"/>
        <v>0</v>
      </c>
    </row>
    <row r="1516" spans="2:6" s="9" customFormat="1" x14ac:dyDescent="0.25">
      <c r="B1516" s="4"/>
      <c r="C1516" s="5"/>
      <c r="E1516" s="10"/>
      <c r="F1516" s="10">
        <f t="shared" si="23"/>
        <v>0</v>
      </c>
    </row>
    <row r="1517" spans="2:6" s="9" customFormat="1" x14ac:dyDescent="0.25">
      <c r="C1517" s="5"/>
      <c r="E1517" s="10"/>
      <c r="F1517" s="10">
        <f t="shared" si="23"/>
        <v>0</v>
      </c>
    </row>
    <row r="1518" spans="2:6" s="9" customFormat="1" x14ac:dyDescent="0.25">
      <c r="C1518" s="5"/>
      <c r="E1518" s="10"/>
      <c r="F1518" s="10">
        <f t="shared" si="23"/>
        <v>0</v>
      </c>
    </row>
    <row r="1519" spans="2:6" s="9" customFormat="1" x14ac:dyDescent="0.25">
      <c r="C1519" s="5"/>
      <c r="E1519" s="10"/>
      <c r="F1519" s="10">
        <f t="shared" si="23"/>
        <v>0</v>
      </c>
    </row>
    <row r="1520" spans="2:6" s="9" customFormat="1" x14ac:dyDescent="0.25">
      <c r="B1520" s="4"/>
      <c r="C1520" s="5"/>
      <c r="E1520" s="10"/>
      <c r="F1520" s="10">
        <f t="shared" si="23"/>
        <v>0</v>
      </c>
    </row>
    <row r="1521" spans="2:6" s="9" customFormat="1" x14ac:dyDescent="0.25">
      <c r="C1521" s="5"/>
      <c r="E1521" s="10"/>
      <c r="F1521" s="10">
        <f t="shared" si="23"/>
        <v>0</v>
      </c>
    </row>
    <row r="1522" spans="2:6" s="9" customFormat="1" x14ac:dyDescent="0.25">
      <c r="C1522" s="5"/>
      <c r="E1522" s="10"/>
      <c r="F1522" s="10">
        <f t="shared" si="23"/>
        <v>0</v>
      </c>
    </row>
    <row r="1523" spans="2:6" s="9" customFormat="1" x14ac:dyDescent="0.25">
      <c r="C1523" s="5"/>
      <c r="E1523" s="10"/>
      <c r="F1523" s="10">
        <f t="shared" si="23"/>
        <v>0</v>
      </c>
    </row>
    <row r="1524" spans="2:6" s="9" customFormat="1" x14ac:dyDescent="0.25">
      <c r="B1524" s="4"/>
      <c r="C1524" s="5"/>
      <c r="E1524" s="10"/>
      <c r="F1524" s="10">
        <f t="shared" si="23"/>
        <v>0</v>
      </c>
    </row>
    <row r="1525" spans="2:6" s="9" customFormat="1" x14ac:dyDescent="0.25">
      <c r="C1525" s="5"/>
      <c r="E1525" s="10"/>
      <c r="F1525" s="10">
        <f t="shared" si="23"/>
        <v>0</v>
      </c>
    </row>
    <row r="1526" spans="2:6" s="9" customFormat="1" x14ac:dyDescent="0.25">
      <c r="C1526" s="5"/>
      <c r="E1526" s="10"/>
      <c r="F1526" s="10">
        <f t="shared" si="23"/>
        <v>0</v>
      </c>
    </row>
    <row r="1527" spans="2:6" s="9" customFormat="1" x14ac:dyDescent="0.25">
      <c r="B1527" s="4"/>
      <c r="C1527" s="5"/>
      <c r="E1527" s="10"/>
      <c r="F1527" s="10">
        <f t="shared" si="23"/>
        <v>0</v>
      </c>
    </row>
    <row r="1528" spans="2:6" s="9" customFormat="1" x14ac:dyDescent="0.25">
      <c r="C1528" s="5"/>
      <c r="E1528" s="10"/>
      <c r="F1528" s="10">
        <f t="shared" si="23"/>
        <v>0</v>
      </c>
    </row>
    <row r="1529" spans="2:6" s="9" customFormat="1" x14ac:dyDescent="0.25">
      <c r="C1529" s="5"/>
      <c r="E1529" s="10"/>
      <c r="F1529" s="10">
        <f t="shared" si="23"/>
        <v>0</v>
      </c>
    </row>
    <row r="1530" spans="2:6" s="9" customFormat="1" x14ac:dyDescent="0.25">
      <c r="B1530" s="4"/>
      <c r="C1530" s="5"/>
      <c r="E1530" s="10"/>
      <c r="F1530" s="10">
        <f t="shared" si="23"/>
        <v>0</v>
      </c>
    </row>
    <row r="1531" spans="2:6" s="9" customFormat="1" x14ac:dyDescent="0.25">
      <c r="C1531" s="5"/>
      <c r="E1531" s="10"/>
      <c r="F1531" s="10">
        <f t="shared" si="23"/>
        <v>0</v>
      </c>
    </row>
    <row r="1532" spans="2:6" s="9" customFormat="1" x14ac:dyDescent="0.25">
      <c r="C1532" s="5"/>
      <c r="E1532" s="10"/>
      <c r="F1532" s="10">
        <f t="shared" si="23"/>
        <v>0</v>
      </c>
    </row>
    <row r="1533" spans="2:6" s="9" customFormat="1" x14ac:dyDescent="0.25">
      <c r="B1533" s="4"/>
      <c r="C1533" s="5"/>
      <c r="E1533" s="10"/>
      <c r="F1533" s="10">
        <f t="shared" si="23"/>
        <v>0</v>
      </c>
    </row>
    <row r="1534" spans="2:6" s="9" customFormat="1" x14ac:dyDescent="0.25">
      <c r="C1534" s="5"/>
      <c r="E1534" s="10"/>
      <c r="F1534" s="10">
        <f t="shared" si="23"/>
        <v>0</v>
      </c>
    </row>
    <row r="1535" spans="2:6" s="9" customFormat="1" x14ac:dyDescent="0.25">
      <c r="C1535" s="5"/>
      <c r="E1535" s="10"/>
      <c r="F1535" s="10">
        <f t="shared" si="23"/>
        <v>0</v>
      </c>
    </row>
    <row r="1536" spans="2:6" s="9" customFormat="1" x14ac:dyDescent="0.25">
      <c r="C1536" s="5"/>
      <c r="E1536" s="10"/>
      <c r="F1536" s="10">
        <f t="shared" si="23"/>
        <v>0</v>
      </c>
    </row>
    <row r="1537" spans="2:6" s="9" customFormat="1" x14ac:dyDescent="0.25">
      <c r="B1537" s="4"/>
      <c r="C1537" s="11"/>
      <c r="E1537" s="10"/>
      <c r="F1537" s="10">
        <f t="shared" si="23"/>
        <v>0</v>
      </c>
    </row>
    <row r="1538" spans="2:6" s="9" customFormat="1" x14ac:dyDescent="0.25">
      <c r="C1538" s="5"/>
      <c r="E1538" s="10"/>
      <c r="F1538" s="10">
        <f t="shared" si="23"/>
        <v>0</v>
      </c>
    </row>
    <row r="1539" spans="2:6" s="9" customFormat="1" x14ac:dyDescent="0.25">
      <c r="C1539" s="5"/>
      <c r="E1539" s="10"/>
      <c r="F1539" s="10">
        <f t="shared" si="23"/>
        <v>0</v>
      </c>
    </row>
    <row r="1540" spans="2:6" s="9" customFormat="1" x14ac:dyDescent="0.25">
      <c r="B1540" s="4"/>
      <c r="C1540" s="5"/>
      <c r="E1540" s="10"/>
      <c r="F1540" s="10">
        <f t="shared" si="23"/>
        <v>0</v>
      </c>
    </row>
    <row r="1541" spans="2:6" s="9" customFormat="1" x14ac:dyDescent="0.25">
      <c r="C1541" s="5"/>
      <c r="E1541" s="10"/>
      <c r="F1541" s="10">
        <f t="shared" si="23"/>
        <v>0</v>
      </c>
    </row>
    <row r="1542" spans="2:6" s="9" customFormat="1" x14ac:dyDescent="0.25">
      <c r="C1542" s="5"/>
      <c r="E1542" s="10"/>
      <c r="F1542" s="10">
        <f t="shared" si="23"/>
        <v>0</v>
      </c>
    </row>
    <row r="1543" spans="2:6" s="9" customFormat="1" x14ac:dyDescent="0.25">
      <c r="B1543" s="4"/>
      <c r="C1543" s="5"/>
      <c r="E1543" s="10"/>
      <c r="F1543" s="10">
        <f t="shared" si="23"/>
        <v>0</v>
      </c>
    </row>
    <row r="1544" spans="2:6" s="9" customFormat="1" x14ac:dyDescent="0.25">
      <c r="C1544" s="5"/>
      <c r="E1544" s="10"/>
      <c r="F1544" s="10">
        <f t="shared" si="23"/>
        <v>0</v>
      </c>
    </row>
    <row r="1545" spans="2:6" s="9" customFormat="1" x14ac:dyDescent="0.25">
      <c r="C1545" s="5"/>
      <c r="E1545" s="10"/>
      <c r="F1545" s="10">
        <f t="shared" si="23"/>
        <v>0</v>
      </c>
    </row>
    <row r="1546" spans="2:6" s="9" customFormat="1" x14ac:dyDescent="0.25">
      <c r="B1546" s="4"/>
      <c r="C1546" s="5"/>
      <c r="E1546" s="10"/>
      <c r="F1546" s="10">
        <f t="shared" si="23"/>
        <v>0</v>
      </c>
    </row>
    <row r="1547" spans="2:6" s="9" customFormat="1" x14ac:dyDescent="0.25">
      <c r="C1547" s="5"/>
      <c r="E1547" s="10"/>
      <c r="F1547" s="10">
        <f t="shared" si="23"/>
        <v>0</v>
      </c>
    </row>
    <row r="1548" spans="2:6" s="9" customFormat="1" x14ac:dyDescent="0.25">
      <c r="C1548" s="5"/>
      <c r="E1548" s="10"/>
      <c r="F1548" s="10">
        <f t="shared" ref="F1548:F1611" si="24">+C1548*E1548</f>
        <v>0</v>
      </c>
    </row>
    <row r="1549" spans="2:6" s="9" customFormat="1" x14ac:dyDescent="0.25">
      <c r="B1549" s="4"/>
      <c r="C1549" s="5"/>
      <c r="E1549" s="10"/>
      <c r="F1549" s="10">
        <f t="shared" si="24"/>
        <v>0</v>
      </c>
    </row>
    <row r="1550" spans="2:6" s="9" customFormat="1" x14ac:dyDescent="0.25">
      <c r="C1550" s="5"/>
      <c r="E1550" s="10"/>
      <c r="F1550" s="10">
        <f t="shared" si="24"/>
        <v>0</v>
      </c>
    </row>
    <row r="1551" spans="2:6" s="9" customFormat="1" x14ac:dyDescent="0.25">
      <c r="C1551" s="5"/>
      <c r="E1551" s="10"/>
      <c r="F1551" s="10">
        <f t="shared" si="24"/>
        <v>0</v>
      </c>
    </row>
    <row r="1552" spans="2:6" s="9" customFormat="1" x14ac:dyDescent="0.25">
      <c r="B1552" s="4"/>
      <c r="C1552" s="5"/>
      <c r="E1552" s="10"/>
      <c r="F1552" s="10">
        <f t="shared" si="24"/>
        <v>0</v>
      </c>
    </row>
    <row r="1553" spans="2:6" s="9" customFormat="1" x14ac:dyDescent="0.25">
      <c r="C1553" s="5"/>
      <c r="E1553" s="10"/>
      <c r="F1553" s="10">
        <f t="shared" si="24"/>
        <v>0</v>
      </c>
    </row>
    <row r="1554" spans="2:6" s="9" customFormat="1" x14ac:dyDescent="0.25">
      <c r="C1554" s="5"/>
      <c r="E1554" s="10"/>
      <c r="F1554" s="10">
        <f t="shared" si="24"/>
        <v>0</v>
      </c>
    </row>
    <row r="1555" spans="2:6" s="9" customFormat="1" x14ac:dyDescent="0.25">
      <c r="C1555" s="5"/>
      <c r="E1555" s="10"/>
      <c r="F1555" s="10">
        <f t="shared" si="24"/>
        <v>0</v>
      </c>
    </row>
    <row r="1556" spans="2:6" s="9" customFormat="1" x14ac:dyDescent="0.25">
      <c r="B1556" s="4"/>
      <c r="C1556" s="5"/>
      <c r="E1556" s="10"/>
      <c r="F1556" s="10">
        <f t="shared" si="24"/>
        <v>0</v>
      </c>
    </row>
    <row r="1557" spans="2:6" s="9" customFormat="1" x14ac:dyDescent="0.25">
      <c r="C1557" s="5"/>
      <c r="E1557" s="10"/>
      <c r="F1557" s="10">
        <f t="shared" si="24"/>
        <v>0</v>
      </c>
    </row>
    <row r="1558" spans="2:6" s="9" customFormat="1" x14ac:dyDescent="0.25">
      <c r="C1558" s="5"/>
      <c r="E1558" s="10"/>
      <c r="F1558" s="10">
        <f t="shared" si="24"/>
        <v>0</v>
      </c>
    </row>
    <row r="1559" spans="2:6" s="9" customFormat="1" x14ac:dyDescent="0.25">
      <c r="C1559" s="5"/>
      <c r="E1559" s="10"/>
      <c r="F1559" s="10">
        <f t="shared" si="24"/>
        <v>0</v>
      </c>
    </row>
    <row r="1560" spans="2:6" s="9" customFormat="1" x14ac:dyDescent="0.25">
      <c r="B1560" s="4"/>
      <c r="C1560" s="5"/>
      <c r="E1560" s="10"/>
      <c r="F1560" s="10">
        <f t="shared" si="24"/>
        <v>0</v>
      </c>
    </row>
    <row r="1561" spans="2:6" s="9" customFormat="1" x14ac:dyDescent="0.25">
      <c r="C1561" s="5"/>
      <c r="E1561" s="10"/>
      <c r="F1561" s="10">
        <f t="shared" si="24"/>
        <v>0</v>
      </c>
    </row>
    <row r="1562" spans="2:6" s="9" customFormat="1" x14ac:dyDescent="0.25">
      <c r="C1562" s="5"/>
      <c r="E1562" s="10"/>
      <c r="F1562" s="10">
        <f t="shared" si="24"/>
        <v>0</v>
      </c>
    </row>
    <row r="1563" spans="2:6" s="9" customFormat="1" x14ac:dyDescent="0.25">
      <c r="C1563" s="5"/>
      <c r="E1563" s="10"/>
      <c r="F1563" s="10">
        <f t="shared" si="24"/>
        <v>0</v>
      </c>
    </row>
    <row r="1564" spans="2:6" s="9" customFormat="1" x14ac:dyDescent="0.25">
      <c r="B1564" s="4"/>
      <c r="C1564" s="5"/>
      <c r="E1564" s="10"/>
      <c r="F1564" s="10">
        <f t="shared" si="24"/>
        <v>0</v>
      </c>
    </row>
    <row r="1565" spans="2:6" s="9" customFormat="1" x14ac:dyDescent="0.25">
      <c r="C1565" s="5"/>
      <c r="E1565" s="10"/>
      <c r="F1565" s="10">
        <f t="shared" si="24"/>
        <v>0</v>
      </c>
    </row>
    <row r="1566" spans="2:6" s="9" customFormat="1" x14ac:dyDescent="0.25">
      <c r="C1566" s="5"/>
      <c r="E1566" s="10"/>
      <c r="F1566" s="10">
        <f t="shared" si="24"/>
        <v>0</v>
      </c>
    </row>
    <row r="1567" spans="2:6" s="9" customFormat="1" x14ac:dyDescent="0.25">
      <c r="B1567" s="4"/>
      <c r="C1567" s="5"/>
      <c r="E1567" s="10"/>
      <c r="F1567" s="10">
        <f t="shared" si="24"/>
        <v>0</v>
      </c>
    </row>
    <row r="1568" spans="2:6" s="9" customFormat="1" x14ac:dyDescent="0.25">
      <c r="C1568" s="5"/>
      <c r="E1568" s="10"/>
      <c r="F1568" s="10">
        <f t="shared" si="24"/>
        <v>0</v>
      </c>
    </row>
    <row r="1569" spans="2:6" s="9" customFormat="1" x14ac:dyDescent="0.25">
      <c r="C1569" s="5"/>
      <c r="E1569" s="10"/>
      <c r="F1569" s="10">
        <f t="shared" si="24"/>
        <v>0</v>
      </c>
    </row>
    <row r="1570" spans="2:6" s="9" customFormat="1" x14ac:dyDescent="0.25">
      <c r="B1570" s="4"/>
      <c r="C1570" s="5"/>
      <c r="E1570" s="10"/>
      <c r="F1570" s="10">
        <f t="shared" si="24"/>
        <v>0</v>
      </c>
    </row>
    <row r="1571" spans="2:6" s="9" customFormat="1" x14ac:dyDescent="0.25">
      <c r="C1571" s="5"/>
      <c r="E1571" s="10"/>
      <c r="F1571" s="10">
        <f t="shared" si="24"/>
        <v>0</v>
      </c>
    </row>
    <row r="1572" spans="2:6" s="9" customFormat="1" x14ac:dyDescent="0.25">
      <c r="C1572" s="5"/>
      <c r="E1572" s="10"/>
      <c r="F1572" s="10">
        <f t="shared" si="24"/>
        <v>0</v>
      </c>
    </row>
    <row r="1573" spans="2:6" s="9" customFormat="1" x14ac:dyDescent="0.25">
      <c r="C1573" s="5"/>
      <c r="E1573" s="10"/>
      <c r="F1573" s="10">
        <f t="shared" si="24"/>
        <v>0</v>
      </c>
    </row>
    <row r="1574" spans="2:6" s="9" customFormat="1" x14ac:dyDescent="0.25">
      <c r="C1574" s="5"/>
      <c r="E1574" s="10"/>
      <c r="F1574" s="10">
        <f t="shared" si="24"/>
        <v>0</v>
      </c>
    </row>
    <row r="1575" spans="2:6" s="9" customFormat="1" x14ac:dyDescent="0.25">
      <c r="C1575" s="5"/>
      <c r="E1575" s="10"/>
      <c r="F1575" s="10">
        <f t="shared" si="24"/>
        <v>0</v>
      </c>
    </row>
    <row r="1576" spans="2:6" s="9" customFormat="1" x14ac:dyDescent="0.25">
      <c r="C1576" s="5"/>
      <c r="E1576" s="10"/>
      <c r="F1576" s="10">
        <f t="shared" si="24"/>
        <v>0</v>
      </c>
    </row>
    <row r="1577" spans="2:6" s="9" customFormat="1" x14ac:dyDescent="0.25">
      <c r="B1577" s="4"/>
      <c r="C1577" s="5"/>
      <c r="E1577" s="10"/>
      <c r="F1577" s="10">
        <f t="shared" si="24"/>
        <v>0</v>
      </c>
    </row>
    <row r="1578" spans="2:6" s="9" customFormat="1" x14ac:dyDescent="0.25">
      <c r="C1578" s="5"/>
      <c r="E1578" s="10"/>
      <c r="F1578" s="10">
        <f t="shared" si="24"/>
        <v>0</v>
      </c>
    </row>
    <row r="1579" spans="2:6" s="9" customFormat="1" x14ac:dyDescent="0.25">
      <c r="C1579" s="5"/>
      <c r="E1579" s="10"/>
      <c r="F1579" s="10">
        <f t="shared" si="24"/>
        <v>0</v>
      </c>
    </row>
    <row r="1580" spans="2:6" s="9" customFormat="1" x14ac:dyDescent="0.25">
      <c r="C1580" s="5"/>
      <c r="E1580" s="10"/>
      <c r="F1580" s="10">
        <f t="shared" si="24"/>
        <v>0</v>
      </c>
    </row>
    <row r="1581" spans="2:6" s="9" customFormat="1" x14ac:dyDescent="0.25">
      <c r="C1581" s="5"/>
      <c r="E1581" s="10"/>
      <c r="F1581" s="10">
        <f t="shared" si="24"/>
        <v>0</v>
      </c>
    </row>
    <row r="1582" spans="2:6" s="9" customFormat="1" x14ac:dyDescent="0.25">
      <c r="C1582" s="5"/>
      <c r="E1582" s="10"/>
      <c r="F1582" s="10">
        <f t="shared" si="24"/>
        <v>0</v>
      </c>
    </row>
    <row r="1583" spans="2:6" s="9" customFormat="1" x14ac:dyDescent="0.25">
      <c r="B1583" s="4"/>
      <c r="C1583" s="5"/>
      <c r="E1583" s="10"/>
      <c r="F1583" s="10">
        <f t="shared" si="24"/>
        <v>0</v>
      </c>
    </row>
    <row r="1584" spans="2:6" s="9" customFormat="1" x14ac:dyDescent="0.25">
      <c r="C1584" s="5"/>
      <c r="E1584" s="10"/>
      <c r="F1584" s="10">
        <f t="shared" si="24"/>
        <v>0</v>
      </c>
    </row>
    <row r="1585" spans="2:6" s="9" customFormat="1" x14ac:dyDescent="0.25">
      <c r="C1585" s="5"/>
      <c r="E1585" s="10"/>
      <c r="F1585" s="10">
        <f t="shared" si="24"/>
        <v>0</v>
      </c>
    </row>
    <row r="1586" spans="2:6" s="9" customFormat="1" x14ac:dyDescent="0.25">
      <c r="B1586" s="4"/>
      <c r="C1586" s="5"/>
      <c r="E1586" s="10"/>
      <c r="F1586" s="10">
        <f t="shared" si="24"/>
        <v>0</v>
      </c>
    </row>
    <row r="1587" spans="2:6" s="9" customFormat="1" x14ac:dyDescent="0.25">
      <c r="C1587" s="5"/>
      <c r="E1587" s="10"/>
      <c r="F1587" s="10">
        <f t="shared" si="24"/>
        <v>0</v>
      </c>
    </row>
    <row r="1588" spans="2:6" s="9" customFormat="1" x14ac:dyDescent="0.25">
      <c r="C1588" s="5"/>
      <c r="E1588" s="10"/>
      <c r="F1588" s="10">
        <f t="shared" si="24"/>
        <v>0</v>
      </c>
    </row>
    <row r="1589" spans="2:6" s="9" customFormat="1" x14ac:dyDescent="0.25">
      <c r="C1589" s="5"/>
      <c r="E1589" s="10"/>
      <c r="F1589" s="10">
        <f t="shared" si="24"/>
        <v>0</v>
      </c>
    </row>
    <row r="1590" spans="2:6" s="9" customFormat="1" x14ac:dyDescent="0.25">
      <c r="C1590" s="5"/>
      <c r="E1590" s="10"/>
      <c r="F1590" s="10">
        <f t="shared" si="24"/>
        <v>0</v>
      </c>
    </row>
    <row r="1591" spans="2:6" s="9" customFormat="1" x14ac:dyDescent="0.25">
      <c r="C1591" s="5"/>
      <c r="E1591" s="10"/>
      <c r="F1591" s="10">
        <f t="shared" si="24"/>
        <v>0</v>
      </c>
    </row>
    <row r="1592" spans="2:6" s="9" customFormat="1" x14ac:dyDescent="0.25">
      <c r="C1592" s="5"/>
      <c r="E1592" s="10"/>
      <c r="F1592" s="10">
        <f t="shared" si="24"/>
        <v>0</v>
      </c>
    </row>
    <row r="1593" spans="2:6" s="9" customFormat="1" x14ac:dyDescent="0.25">
      <c r="C1593" s="5"/>
      <c r="E1593" s="10"/>
      <c r="F1593" s="10">
        <f t="shared" si="24"/>
        <v>0</v>
      </c>
    </row>
    <row r="1594" spans="2:6" s="9" customFormat="1" x14ac:dyDescent="0.25">
      <c r="C1594" s="5"/>
      <c r="E1594" s="10"/>
      <c r="F1594" s="10">
        <f t="shared" si="24"/>
        <v>0</v>
      </c>
    </row>
    <row r="1595" spans="2:6" s="9" customFormat="1" x14ac:dyDescent="0.25">
      <c r="C1595" s="5"/>
      <c r="E1595" s="10"/>
      <c r="F1595" s="10">
        <f t="shared" si="24"/>
        <v>0</v>
      </c>
    </row>
    <row r="1596" spans="2:6" s="9" customFormat="1" x14ac:dyDescent="0.25">
      <c r="B1596" s="4"/>
      <c r="C1596" s="5"/>
      <c r="E1596" s="10"/>
      <c r="F1596" s="10">
        <f t="shared" si="24"/>
        <v>0</v>
      </c>
    </row>
    <row r="1597" spans="2:6" s="9" customFormat="1" x14ac:dyDescent="0.25">
      <c r="C1597" s="5"/>
      <c r="E1597" s="10"/>
      <c r="F1597" s="10">
        <f t="shared" si="24"/>
        <v>0</v>
      </c>
    </row>
    <row r="1598" spans="2:6" s="9" customFormat="1" x14ac:dyDescent="0.25">
      <c r="C1598" s="5"/>
      <c r="E1598" s="10"/>
      <c r="F1598" s="10">
        <f t="shared" si="24"/>
        <v>0</v>
      </c>
    </row>
    <row r="1599" spans="2:6" s="9" customFormat="1" x14ac:dyDescent="0.25">
      <c r="B1599" s="4"/>
      <c r="C1599" s="5"/>
      <c r="E1599" s="10"/>
      <c r="F1599" s="10">
        <f t="shared" si="24"/>
        <v>0</v>
      </c>
    </row>
    <row r="1600" spans="2:6" s="9" customFormat="1" x14ac:dyDescent="0.25">
      <c r="C1600" s="5"/>
      <c r="E1600" s="10"/>
      <c r="F1600" s="10">
        <f t="shared" si="24"/>
        <v>0</v>
      </c>
    </row>
    <row r="1601" spans="2:6" s="9" customFormat="1" x14ac:dyDescent="0.25">
      <c r="C1601" s="5"/>
      <c r="E1601" s="10"/>
      <c r="F1601" s="10">
        <f t="shared" si="24"/>
        <v>0</v>
      </c>
    </row>
    <row r="1602" spans="2:6" s="9" customFormat="1" x14ac:dyDescent="0.25">
      <c r="B1602" s="4"/>
      <c r="C1602" s="5"/>
      <c r="E1602" s="10"/>
      <c r="F1602" s="10">
        <f t="shared" si="24"/>
        <v>0</v>
      </c>
    </row>
    <row r="1603" spans="2:6" s="9" customFormat="1" x14ac:dyDescent="0.25">
      <c r="C1603" s="5"/>
      <c r="E1603" s="10"/>
      <c r="F1603" s="10">
        <f t="shared" si="24"/>
        <v>0</v>
      </c>
    </row>
    <row r="1604" spans="2:6" s="9" customFormat="1" x14ac:dyDescent="0.25">
      <c r="C1604" s="5"/>
      <c r="E1604" s="10"/>
      <c r="F1604" s="10">
        <f t="shared" si="24"/>
        <v>0</v>
      </c>
    </row>
    <row r="1605" spans="2:6" s="9" customFormat="1" x14ac:dyDescent="0.25">
      <c r="B1605" s="4"/>
      <c r="C1605" s="5"/>
      <c r="E1605" s="10"/>
      <c r="F1605" s="10">
        <f t="shared" si="24"/>
        <v>0</v>
      </c>
    </row>
    <row r="1606" spans="2:6" s="9" customFormat="1" x14ac:dyDescent="0.25">
      <c r="C1606" s="5"/>
      <c r="E1606" s="10"/>
      <c r="F1606" s="10">
        <f t="shared" si="24"/>
        <v>0</v>
      </c>
    </row>
    <row r="1607" spans="2:6" s="9" customFormat="1" x14ac:dyDescent="0.25">
      <c r="C1607" s="5"/>
      <c r="E1607" s="10"/>
      <c r="F1607" s="10">
        <f t="shared" si="24"/>
        <v>0</v>
      </c>
    </row>
    <row r="1608" spans="2:6" s="9" customFormat="1" x14ac:dyDescent="0.25">
      <c r="B1608" s="4"/>
      <c r="C1608" s="5"/>
      <c r="E1608" s="10"/>
      <c r="F1608" s="10">
        <f t="shared" si="24"/>
        <v>0</v>
      </c>
    </row>
    <row r="1609" spans="2:6" s="9" customFormat="1" x14ac:dyDescent="0.25">
      <c r="C1609" s="5"/>
      <c r="E1609" s="10"/>
      <c r="F1609" s="10">
        <f t="shared" si="24"/>
        <v>0</v>
      </c>
    </row>
    <row r="1610" spans="2:6" s="9" customFormat="1" x14ac:dyDescent="0.25">
      <c r="C1610" s="5"/>
      <c r="E1610" s="10"/>
      <c r="F1610" s="10">
        <f t="shared" si="24"/>
        <v>0</v>
      </c>
    </row>
    <row r="1611" spans="2:6" s="9" customFormat="1" x14ac:dyDescent="0.25">
      <c r="B1611" s="4"/>
      <c r="C1611" s="5"/>
      <c r="E1611" s="10"/>
      <c r="F1611" s="10">
        <f t="shared" si="24"/>
        <v>0</v>
      </c>
    </row>
    <row r="1612" spans="2:6" s="9" customFormat="1" x14ac:dyDescent="0.25">
      <c r="C1612" s="5"/>
      <c r="E1612" s="10"/>
      <c r="F1612" s="10">
        <f t="shared" ref="F1612:F1675" si="25">+C1612*E1612</f>
        <v>0</v>
      </c>
    </row>
    <row r="1613" spans="2:6" s="9" customFormat="1" x14ac:dyDescent="0.25">
      <c r="C1613" s="5"/>
      <c r="E1613" s="10"/>
      <c r="F1613" s="10">
        <f t="shared" si="25"/>
        <v>0</v>
      </c>
    </row>
    <row r="1614" spans="2:6" s="9" customFormat="1" x14ac:dyDescent="0.25">
      <c r="B1614" s="4"/>
      <c r="C1614" s="5"/>
      <c r="E1614" s="10"/>
      <c r="F1614" s="10">
        <f t="shared" si="25"/>
        <v>0</v>
      </c>
    </row>
    <row r="1615" spans="2:6" s="9" customFormat="1" x14ac:dyDescent="0.25">
      <c r="C1615" s="5"/>
      <c r="E1615" s="10"/>
      <c r="F1615" s="10">
        <f t="shared" si="25"/>
        <v>0</v>
      </c>
    </row>
    <row r="1616" spans="2:6" s="9" customFormat="1" x14ac:dyDescent="0.25">
      <c r="C1616" s="5"/>
      <c r="E1616" s="10"/>
      <c r="F1616" s="10">
        <f t="shared" si="25"/>
        <v>0</v>
      </c>
    </row>
    <row r="1617" spans="2:6" s="9" customFormat="1" x14ac:dyDescent="0.25">
      <c r="B1617" s="4"/>
      <c r="C1617" s="5"/>
      <c r="E1617" s="10"/>
      <c r="F1617" s="10">
        <f t="shared" si="25"/>
        <v>0</v>
      </c>
    </row>
    <row r="1618" spans="2:6" s="9" customFormat="1" x14ac:dyDescent="0.25">
      <c r="B1618" s="4"/>
      <c r="C1618" s="5"/>
      <c r="E1618" s="10"/>
      <c r="F1618" s="10">
        <f t="shared" si="25"/>
        <v>0</v>
      </c>
    </row>
    <row r="1619" spans="2:6" s="9" customFormat="1" x14ac:dyDescent="0.25">
      <c r="B1619" s="4"/>
      <c r="C1619" s="5"/>
      <c r="E1619" s="10"/>
      <c r="F1619" s="10">
        <f t="shared" si="25"/>
        <v>0</v>
      </c>
    </row>
    <row r="1620" spans="2:6" s="9" customFormat="1" x14ac:dyDescent="0.25">
      <c r="B1620" s="4"/>
      <c r="C1620" s="5"/>
      <c r="E1620" s="10"/>
      <c r="F1620" s="10">
        <f t="shared" si="25"/>
        <v>0</v>
      </c>
    </row>
    <row r="1621" spans="2:6" s="9" customFormat="1" x14ac:dyDescent="0.25">
      <c r="B1621" s="4"/>
      <c r="C1621" s="5"/>
      <c r="E1621" s="10"/>
      <c r="F1621" s="10">
        <f t="shared" si="25"/>
        <v>0</v>
      </c>
    </row>
    <row r="1622" spans="2:6" s="9" customFormat="1" x14ac:dyDescent="0.25">
      <c r="B1622" s="4"/>
      <c r="C1622" s="5"/>
      <c r="E1622" s="10"/>
      <c r="F1622" s="10">
        <f t="shared" si="25"/>
        <v>0</v>
      </c>
    </row>
    <row r="1623" spans="2:6" s="9" customFormat="1" x14ac:dyDescent="0.25">
      <c r="B1623" s="4"/>
      <c r="C1623" s="5"/>
      <c r="E1623" s="10"/>
      <c r="F1623" s="10">
        <f t="shared" si="25"/>
        <v>0</v>
      </c>
    </row>
    <row r="1624" spans="2:6" s="9" customFormat="1" x14ac:dyDescent="0.25">
      <c r="B1624" s="4"/>
      <c r="C1624" s="5"/>
      <c r="E1624" s="10"/>
      <c r="F1624" s="10">
        <f t="shared" si="25"/>
        <v>0</v>
      </c>
    </row>
    <row r="1625" spans="2:6" s="9" customFormat="1" x14ac:dyDescent="0.25">
      <c r="B1625" s="4"/>
      <c r="C1625" s="5"/>
      <c r="E1625" s="10"/>
      <c r="F1625" s="10">
        <f t="shared" si="25"/>
        <v>0</v>
      </c>
    </row>
    <row r="1626" spans="2:6" s="9" customFormat="1" x14ac:dyDescent="0.25">
      <c r="B1626" s="4"/>
      <c r="C1626" s="5"/>
      <c r="E1626" s="10"/>
      <c r="F1626" s="10">
        <f t="shared" si="25"/>
        <v>0</v>
      </c>
    </row>
    <row r="1627" spans="2:6" s="9" customFormat="1" x14ac:dyDescent="0.25">
      <c r="B1627" s="4"/>
      <c r="C1627" s="5"/>
      <c r="E1627" s="10"/>
      <c r="F1627" s="10">
        <f t="shared" si="25"/>
        <v>0</v>
      </c>
    </row>
    <row r="1628" spans="2:6" s="9" customFormat="1" x14ac:dyDescent="0.25">
      <c r="B1628" s="4"/>
      <c r="C1628" s="5"/>
      <c r="E1628" s="10"/>
      <c r="F1628" s="10">
        <f t="shared" si="25"/>
        <v>0</v>
      </c>
    </row>
    <row r="1629" spans="2:6" s="9" customFormat="1" x14ac:dyDescent="0.25">
      <c r="B1629" s="4"/>
      <c r="C1629" s="5"/>
      <c r="E1629" s="10"/>
      <c r="F1629" s="10">
        <f t="shared" si="25"/>
        <v>0</v>
      </c>
    </row>
    <row r="1630" spans="2:6" s="9" customFormat="1" x14ac:dyDescent="0.25">
      <c r="B1630" s="4"/>
      <c r="C1630" s="5"/>
      <c r="E1630" s="10"/>
      <c r="F1630" s="10">
        <f t="shared" si="25"/>
        <v>0</v>
      </c>
    </row>
    <row r="1631" spans="2:6" s="9" customFormat="1" x14ac:dyDescent="0.25">
      <c r="B1631" s="4"/>
      <c r="C1631" s="5"/>
      <c r="E1631" s="10"/>
      <c r="F1631" s="10">
        <f t="shared" si="25"/>
        <v>0</v>
      </c>
    </row>
    <row r="1632" spans="2:6" s="9" customFormat="1" x14ac:dyDescent="0.25">
      <c r="B1632" s="4"/>
      <c r="C1632" s="5"/>
      <c r="E1632" s="10"/>
      <c r="F1632" s="10">
        <f t="shared" si="25"/>
        <v>0</v>
      </c>
    </row>
    <row r="1633" spans="2:6" s="9" customFormat="1" x14ac:dyDescent="0.25">
      <c r="B1633" s="4"/>
      <c r="C1633" s="5"/>
      <c r="E1633" s="10"/>
      <c r="F1633" s="10">
        <f t="shared" si="25"/>
        <v>0</v>
      </c>
    </row>
    <row r="1634" spans="2:6" s="9" customFormat="1" x14ac:dyDescent="0.25">
      <c r="B1634" s="4"/>
      <c r="C1634" s="5"/>
      <c r="E1634" s="10"/>
      <c r="F1634" s="10">
        <f t="shared" si="25"/>
        <v>0</v>
      </c>
    </row>
    <row r="1635" spans="2:6" s="9" customFormat="1" x14ac:dyDescent="0.25">
      <c r="B1635" s="4"/>
      <c r="C1635" s="5"/>
      <c r="E1635" s="10"/>
      <c r="F1635" s="10">
        <f t="shared" si="25"/>
        <v>0</v>
      </c>
    </row>
    <row r="1636" spans="2:6" s="9" customFormat="1" x14ac:dyDescent="0.25">
      <c r="B1636" s="4"/>
      <c r="C1636" s="5"/>
      <c r="E1636" s="10"/>
      <c r="F1636" s="10">
        <f t="shared" si="25"/>
        <v>0</v>
      </c>
    </row>
    <row r="1637" spans="2:6" s="9" customFormat="1" x14ac:dyDescent="0.25">
      <c r="B1637" s="4"/>
      <c r="C1637" s="5"/>
      <c r="E1637" s="10"/>
      <c r="F1637" s="10">
        <f t="shared" si="25"/>
        <v>0</v>
      </c>
    </row>
    <row r="1638" spans="2:6" s="9" customFormat="1" x14ac:dyDescent="0.25">
      <c r="B1638" s="4"/>
      <c r="C1638" s="5"/>
      <c r="E1638" s="10"/>
      <c r="F1638" s="10">
        <f t="shared" si="25"/>
        <v>0</v>
      </c>
    </row>
    <row r="1639" spans="2:6" s="9" customFormat="1" x14ac:dyDescent="0.25">
      <c r="B1639" s="4"/>
      <c r="C1639" s="5"/>
      <c r="E1639" s="10"/>
      <c r="F1639" s="10">
        <f t="shared" si="25"/>
        <v>0</v>
      </c>
    </row>
    <row r="1640" spans="2:6" s="9" customFormat="1" x14ac:dyDescent="0.25">
      <c r="B1640" s="4"/>
      <c r="C1640" s="5"/>
      <c r="E1640" s="10"/>
      <c r="F1640" s="10">
        <f t="shared" si="25"/>
        <v>0</v>
      </c>
    </row>
    <row r="1641" spans="2:6" s="9" customFormat="1" x14ac:dyDescent="0.25">
      <c r="B1641" s="4"/>
      <c r="C1641" s="5"/>
      <c r="E1641" s="10"/>
      <c r="F1641" s="10">
        <f t="shared" si="25"/>
        <v>0</v>
      </c>
    </row>
    <row r="1642" spans="2:6" s="9" customFormat="1" x14ac:dyDescent="0.25">
      <c r="B1642" s="4"/>
      <c r="C1642" s="5"/>
      <c r="E1642" s="10"/>
      <c r="F1642" s="10">
        <f t="shared" si="25"/>
        <v>0</v>
      </c>
    </row>
    <row r="1643" spans="2:6" s="9" customFormat="1" x14ac:dyDescent="0.25">
      <c r="B1643" s="4"/>
      <c r="C1643" s="5"/>
      <c r="E1643" s="10"/>
      <c r="F1643" s="10">
        <f t="shared" si="25"/>
        <v>0</v>
      </c>
    </row>
    <row r="1644" spans="2:6" s="9" customFormat="1" x14ac:dyDescent="0.25">
      <c r="B1644" s="4"/>
      <c r="C1644" s="5"/>
      <c r="E1644" s="10"/>
      <c r="F1644" s="10">
        <f t="shared" si="25"/>
        <v>0</v>
      </c>
    </row>
    <row r="1645" spans="2:6" s="9" customFormat="1" x14ac:dyDescent="0.25">
      <c r="B1645" s="4"/>
      <c r="C1645" s="5"/>
      <c r="E1645" s="10"/>
      <c r="F1645" s="10">
        <f t="shared" si="25"/>
        <v>0</v>
      </c>
    </row>
    <row r="1646" spans="2:6" s="9" customFormat="1" x14ac:dyDescent="0.25">
      <c r="B1646" s="4"/>
      <c r="C1646" s="5"/>
      <c r="E1646" s="10"/>
      <c r="F1646" s="10">
        <f t="shared" si="25"/>
        <v>0</v>
      </c>
    </row>
    <row r="1647" spans="2:6" s="9" customFormat="1" x14ac:dyDescent="0.25">
      <c r="B1647" s="4"/>
      <c r="C1647" s="5"/>
      <c r="E1647" s="10"/>
      <c r="F1647" s="10">
        <f t="shared" si="25"/>
        <v>0</v>
      </c>
    </row>
    <row r="1648" spans="2:6" s="9" customFormat="1" x14ac:dyDescent="0.25">
      <c r="B1648" s="4"/>
      <c r="C1648" s="5"/>
      <c r="E1648" s="10"/>
      <c r="F1648" s="10">
        <f t="shared" si="25"/>
        <v>0</v>
      </c>
    </row>
    <row r="1649" spans="2:6" s="9" customFormat="1" x14ac:dyDescent="0.25">
      <c r="B1649" s="4"/>
      <c r="C1649" s="5"/>
      <c r="E1649" s="10"/>
      <c r="F1649" s="10">
        <f t="shared" si="25"/>
        <v>0</v>
      </c>
    </row>
    <row r="1650" spans="2:6" s="9" customFormat="1" x14ac:dyDescent="0.25">
      <c r="B1650" s="4"/>
      <c r="C1650" s="5"/>
      <c r="E1650" s="10"/>
      <c r="F1650" s="10">
        <f t="shared" si="25"/>
        <v>0</v>
      </c>
    </row>
    <row r="1651" spans="2:6" s="9" customFormat="1" x14ac:dyDescent="0.25">
      <c r="B1651" s="4"/>
      <c r="C1651" s="5"/>
      <c r="E1651" s="10"/>
      <c r="F1651" s="10">
        <f t="shared" si="25"/>
        <v>0</v>
      </c>
    </row>
    <row r="1652" spans="2:6" s="9" customFormat="1" x14ac:dyDescent="0.25">
      <c r="B1652" s="4"/>
      <c r="C1652" s="5"/>
      <c r="E1652" s="10"/>
      <c r="F1652" s="10">
        <f t="shared" si="25"/>
        <v>0</v>
      </c>
    </row>
    <row r="1653" spans="2:6" s="9" customFormat="1" x14ac:dyDescent="0.25">
      <c r="B1653" s="4"/>
      <c r="C1653" s="5"/>
      <c r="E1653" s="10"/>
      <c r="F1653" s="10">
        <f t="shared" si="25"/>
        <v>0</v>
      </c>
    </row>
    <row r="1654" spans="2:6" s="9" customFormat="1" x14ac:dyDescent="0.25">
      <c r="B1654" s="4"/>
      <c r="C1654" s="5"/>
      <c r="E1654" s="10"/>
      <c r="F1654" s="10">
        <f t="shared" si="25"/>
        <v>0</v>
      </c>
    </row>
    <row r="1655" spans="2:6" s="9" customFormat="1" x14ac:dyDescent="0.25">
      <c r="B1655" s="4"/>
      <c r="C1655" s="5"/>
      <c r="E1655" s="10"/>
      <c r="F1655" s="10">
        <f t="shared" si="25"/>
        <v>0</v>
      </c>
    </row>
    <row r="1656" spans="2:6" s="9" customFormat="1" x14ac:dyDescent="0.25">
      <c r="B1656" s="4"/>
      <c r="C1656" s="5"/>
      <c r="E1656" s="10"/>
      <c r="F1656" s="10">
        <f t="shared" si="25"/>
        <v>0</v>
      </c>
    </row>
    <row r="1657" spans="2:6" s="9" customFormat="1" x14ac:dyDescent="0.25">
      <c r="B1657" s="4"/>
      <c r="C1657" s="5"/>
      <c r="E1657" s="10"/>
      <c r="F1657" s="10">
        <f t="shared" si="25"/>
        <v>0</v>
      </c>
    </row>
    <row r="1658" spans="2:6" s="9" customFormat="1" x14ac:dyDescent="0.25">
      <c r="B1658" s="4"/>
      <c r="C1658" s="5"/>
      <c r="E1658" s="10"/>
      <c r="F1658" s="10">
        <f t="shared" si="25"/>
        <v>0</v>
      </c>
    </row>
    <row r="1659" spans="2:6" s="9" customFormat="1" x14ac:dyDescent="0.25">
      <c r="B1659" s="4"/>
      <c r="C1659" s="5"/>
      <c r="E1659" s="10"/>
      <c r="F1659" s="10">
        <f t="shared" si="25"/>
        <v>0</v>
      </c>
    </row>
    <row r="1660" spans="2:6" s="9" customFormat="1" x14ac:dyDescent="0.25">
      <c r="B1660" s="4"/>
      <c r="C1660" s="5"/>
      <c r="E1660" s="10"/>
      <c r="F1660" s="10">
        <f t="shared" si="25"/>
        <v>0</v>
      </c>
    </row>
    <row r="1661" spans="2:6" s="9" customFormat="1" x14ac:dyDescent="0.25">
      <c r="B1661" s="4"/>
      <c r="C1661" s="5"/>
      <c r="E1661" s="10"/>
      <c r="F1661" s="10">
        <f t="shared" si="25"/>
        <v>0</v>
      </c>
    </row>
    <row r="1662" spans="2:6" s="9" customFormat="1" x14ac:dyDescent="0.25">
      <c r="B1662" s="4"/>
      <c r="C1662" s="5"/>
      <c r="E1662" s="10"/>
      <c r="F1662" s="10">
        <f t="shared" si="25"/>
        <v>0</v>
      </c>
    </row>
    <row r="1663" spans="2:6" s="9" customFormat="1" x14ac:dyDescent="0.25">
      <c r="B1663" s="4"/>
      <c r="C1663" s="5"/>
      <c r="E1663" s="10"/>
      <c r="F1663" s="10">
        <f t="shared" si="25"/>
        <v>0</v>
      </c>
    </row>
    <row r="1664" spans="2:6" s="9" customFormat="1" x14ac:dyDescent="0.25">
      <c r="B1664" s="4"/>
      <c r="C1664" s="5"/>
      <c r="E1664" s="10"/>
      <c r="F1664" s="10">
        <f t="shared" si="25"/>
        <v>0</v>
      </c>
    </row>
    <row r="1665" spans="2:6" s="9" customFormat="1" x14ac:dyDescent="0.25">
      <c r="B1665" s="4"/>
      <c r="C1665" s="5"/>
      <c r="E1665" s="10"/>
      <c r="F1665" s="10">
        <f t="shared" si="25"/>
        <v>0</v>
      </c>
    </row>
    <row r="1666" spans="2:6" s="9" customFormat="1" x14ac:dyDescent="0.25">
      <c r="B1666" s="4"/>
      <c r="C1666" s="5"/>
      <c r="E1666" s="10"/>
      <c r="F1666" s="10">
        <f t="shared" si="25"/>
        <v>0</v>
      </c>
    </row>
    <row r="1667" spans="2:6" s="9" customFormat="1" x14ac:dyDescent="0.25">
      <c r="B1667" s="4"/>
      <c r="C1667" s="5"/>
      <c r="E1667" s="10"/>
      <c r="F1667" s="10">
        <f t="shared" si="25"/>
        <v>0</v>
      </c>
    </row>
    <row r="1668" spans="2:6" s="9" customFormat="1" x14ac:dyDescent="0.25">
      <c r="B1668" s="4"/>
      <c r="C1668" s="5"/>
      <c r="E1668" s="10"/>
      <c r="F1668" s="10">
        <f t="shared" si="25"/>
        <v>0</v>
      </c>
    </row>
    <row r="1669" spans="2:6" s="9" customFormat="1" x14ac:dyDescent="0.25">
      <c r="B1669" s="4"/>
      <c r="C1669" s="5"/>
      <c r="E1669" s="10"/>
      <c r="F1669" s="10">
        <f t="shared" si="25"/>
        <v>0</v>
      </c>
    </row>
    <row r="1670" spans="2:6" s="9" customFormat="1" x14ac:dyDescent="0.25">
      <c r="B1670" s="4"/>
      <c r="C1670" s="5"/>
      <c r="E1670" s="10"/>
      <c r="F1670" s="10">
        <f t="shared" si="25"/>
        <v>0</v>
      </c>
    </row>
    <row r="1671" spans="2:6" s="9" customFormat="1" x14ac:dyDescent="0.25">
      <c r="B1671" s="4"/>
      <c r="C1671" s="5"/>
      <c r="E1671" s="10"/>
      <c r="F1671" s="10">
        <f t="shared" si="25"/>
        <v>0</v>
      </c>
    </row>
    <row r="1672" spans="2:6" s="9" customFormat="1" x14ac:dyDescent="0.25">
      <c r="B1672" s="4"/>
      <c r="C1672" s="5"/>
      <c r="E1672" s="10"/>
      <c r="F1672" s="10">
        <f t="shared" si="25"/>
        <v>0</v>
      </c>
    </row>
    <row r="1673" spans="2:6" s="9" customFormat="1" x14ac:dyDescent="0.25">
      <c r="B1673" s="4"/>
      <c r="C1673" s="5"/>
      <c r="E1673" s="10"/>
      <c r="F1673" s="10">
        <f t="shared" si="25"/>
        <v>0</v>
      </c>
    </row>
    <row r="1674" spans="2:6" s="9" customFormat="1" x14ac:dyDescent="0.25">
      <c r="B1674" s="4"/>
      <c r="C1674" s="5"/>
      <c r="E1674" s="10"/>
      <c r="F1674" s="10">
        <f t="shared" si="25"/>
        <v>0</v>
      </c>
    </row>
    <row r="1675" spans="2:6" s="9" customFormat="1" x14ac:dyDescent="0.25">
      <c r="B1675" s="4"/>
      <c r="C1675" s="5"/>
      <c r="E1675" s="10"/>
      <c r="F1675" s="10">
        <f t="shared" si="25"/>
        <v>0</v>
      </c>
    </row>
    <row r="1676" spans="2:6" s="9" customFormat="1" x14ac:dyDescent="0.25">
      <c r="B1676" s="4"/>
      <c r="C1676" s="5"/>
      <c r="E1676" s="10"/>
      <c r="F1676" s="10">
        <f t="shared" ref="F1676:F1739" si="26">+C1676*E1676</f>
        <v>0</v>
      </c>
    </row>
    <row r="1677" spans="2:6" s="9" customFormat="1" x14ac:dyDescent="0.25">
      <c r="B1677" s="4"/>
      <c r="C1677" s="5"/>
      <c r="E1677" s="10"/>
      <c r="F1677" s="10">
        <f t="shared" si="26"/>
        <v>0</v>
      </c>
    </row>
    <row r="1678" spans="2:6" s="9" customFormat="1" x14ac:dyDescent="0.25">
      <c r="B1678" s="4"/>
      <c r="C1678" s="5"/>
      <c r="E1678" s="10"/>
      <c r="F1678" s="10">
        <f t="shared" si="26"/>
        <v>0</v>
      </c>
    </row>
    <row r="1679" spans="2:6" s="9" customFormat="1" x14ac:dyDescent="0.25">
      <c r="B1679" s="4"/>
      <c r="C1679" s="5"/>
      <c r="E1679" s="10"/>
      <c r="F1679" s="10">
        <f t="shared" si="26"/>
        <v>0</v>
      </c>
    </row>
    <row r="1680" spans="2:6" s="9" customFormat="1" x14ac:dyDescent="0.25">
      <c r="B1680" s="4"/>
      <c r="C1680" s="5"/>
      <c r="E1680" s="10"/>
      <c r="F1680" s="10">
        <f t="shared" si="26"/>
        <v>0</v>
      </c>
    </row>
    <row r="1681" spans="2:6" s="9" customFormat="1" x14ac:dyDescent="0.25">
      <c r="B1681" s="4"/>
      <c r="C1681" s="5"/>
      <c r="E1681" s="10"/>
      <c r="F1681" s="10">
        <f t="shared" si="26"/>
        <v>0</v>
      </c>
    </row>
    <row r="1682" spans="2:6" s="9" customFormat="1" x14ac:dyDescent="0.25">
      <c r="B1682" s="4"/>
      <c r="C1682" s="5"/>
      <c r="E1682" s="10"/>
      <c r="F1682" s="10">
        <f t="shared" si="26"/>
        <v>0</v>
      </c>
    </row>
    <row r="1683" spans="2:6" s="9" customFormat="1" x14ac:dyDescent="0.25">
      <c r="B1683" s="4"/>
      <c r="C1683" s="5"/>
      <c r="E1683" s="10"/>
      <c r="F1683" s="10">
        <f t="shared" si="26"/>
        <v>0</v>
      </c>
    </row>
    <row r="1684" spans="2:6" s="9" customFormat="1" x14ac:dyDescent="0.25">
      <c r="B1684" s="4"/>
      <c r="C1684" s="5"/>
      <c r="E1684" s="10"/>
      <c r="F1684" s="10">
        <f t="shared" si="26"/>
        <v>0</v>
      </c>
    </row>
    <row r="1685" spans="2:6" s="9" customFormat="1" x14ac:dyDescent="0.25">
      <c r="B1685" s="4"/>
      <c r="C1685" s="5"/>
      <c r="E1685" s="10"/>
      <c r="F1685" s="10">
        <f t="shared" si="26"/>
        <v>0</v>
      </c>
    </row>
    <row r="1686" spans="2:6" s="9" customFormat="1" x14ac:dyDescent="0.25">
      <c r="B1686" s="4"/>
      <c r="C1686" s="5"/>
      <c r="E1686" s="10"/>
      <c r="F1686" s="10">
        <f t="shared" si="26"/>
        <v>0</v>
      </c>
    </row>
    <row r="1687" spans="2:6" s="9" customFormat="1" x14ac:dyDescent="0.25">
      <c r="B1687" s="4"/>
      <c r="C1687" s="5"/>
      <c r="E1687" s="10"/>
      <c r="F1687" s="10">
        <f t="shared" si="26"/>
        <v>0</v>
      </c>
    </row>
    <row r="1688" spans="2:6" s="9" customFormat="1" x14ac:dyDescent="0.25">
      <c r="B1688" s="4"/>
      <c r="C1688" s="5"/>
      <c r="E1688" s="10"/>
      <c r="F1688" s="10">
        <f t="shared" si="26"/>
        <v>0</v>
      </c>
    </row>
    <row r="1689" spans="2:6" s="9" customFormat="1" x14ac:dyDescent="0.25">
      <c r="B1689" s="4"/>
      <c r="C1689" s="5"/>
      <c r="E1689" s="10"/>
      <c r="F1689" s="10">
        <f t="shared" si="26"/>
        <v>0</v>
      </c>
    </row>
    <row r="1690" spans="2:6" s="9" customFormat="1" x14ac:dyDescent="0.25">
      <c r="B1690" s="4"/>
      <c r="C1690" s="5"/>
      <c r="E1690" s="10"/>
      <c r="F1690" s="10">
        <f t="shared" si="26"/>
        <v>0</v>
      </c>
    </row>
    <row r="1691" spans="2:6" s="9" customFormat="1" x14ac:dyDescent="0.25">
      <c r="B1691" s="4"/>
      <c r="C1691" s="5"/>
      <c r="E1691" s="10"/>
      <c r="F1691" s="10">
        <f t="shared" si="26"/>
        <v>0</v>
      </c>
    </row>
    <row r="1692" spans="2:6" s="9" customFormat="1" x14ac:dyDescent="0.25">
      <c r="B1692" s="4"/>
      <c r="C1692" s="5"/>
      <c r="E1692" s="10"/>
      <c r="F1692" s="10">
        <f t="shared" si="26"/>
        <v>0</v>
      </c>
    </row>
    <row r="1693" spans="2:6" s="9" customFormat="1" x14ac:dyDescent="0.25">
      <c r="B1693" s="4"/>
      <c r="C1693" s="5"/>
      <c r="E1693" s="10"/>
      <c r="F1693" s="10">
        <f t="shared" si="26"/>
        <v>0</v>
      </c>
    </row>
    <row r="1694" spans="2:6" s="9" customFormat="1" x14ac:dyDescent="0.25">
      <c r="B1694" s="4"/>
      <c r="C1694" s="5"/>
      <c r="E1694" s="10"/>
      <c r="F1694" s="10">
        <f t="shared" si="26"/>
        <v>0</v>
      </c>
    </row>
    <row r="1695" spans="2:6" s="9" customFormat="1" x14ac:dyDescent="0.25">
      <c r="B1695" s="4"/>
      <c r="C1695" s="5"/>
      <c r="E1695" s="10"/>
      <c r="F1695" s="10">
        <f t="shared" si="26"/>
        <v>0</v>
      </c>
    </row>
    <row r="1696" spans="2:6" s="9" customFormat="1" x14ac:dyDescent="0.25">
      <c r="B1696" s="4"/>
      <c r="C1696" s="5"/>
      <c r="E1696" s="10"/>
      <c r="F1696" s="10">
        <f t="shared" si="26"/>
        <v>0</v>
      </c>
    </row>
    <row r="1697" spans="2:6" s="9" customFormat="1" x14ac:dyDescent="0.25">
      <c r="B1697" s="4"/>
      <c r="C1697" s="5"/>
      <c r="E1697" s="10"/>
      <c r="F1697" s="10">
        <f t="shared" si="26"/>
        <v>0</v>
      </c>
    </row>
    <row r="1698" spans="2:6" s="9" customFormat="1" x14ac:dyDescent="0.25">
      <c r="B1698" s="4"/>
      <c r="C1698" s="5"/>
      <c r="E1698" s="10"/>
      <c r="F1698" s="10">
        <f t="shared" si="26"/>
        <v>0</v>
      </c>
    </row>
    <row r="1699" spans="2:6" s="9" customFormat="1" x14ac:dyDescent="0.25">
      <c r="B1699" s="4"/>
      <c r="C1699" s="5"/>
      <c r="E1699" s="10"/>
      <c r="F1699" s="10">
        <f t="shared" si="26"/>
        <v>0</v>
      </c>
    </row>
    <row r="1700" spans="2:6" s="9" customFormat="1" x14ac:dyDescent="0.25">
      <c r="B1700" s="4"/>
      <c r="C1700" s="5"/>
      <c r="E1700" s="10"/>
      <c r="F1700" s="10">
        <f t="shared" si="26"/>
        <v>0</v>
      </c>
    </row>
    <row r="1701" spans="2:6" s="9" customFormat="1" x14ac:dyDescent="0.25">
      <c r="B1701" s="4"/>
      <c r="C1701" s="5"/>
      <c r="E1701" s="10"/>
      <c r="F1701" s="10">
        <f t="shared" si="26"/>
        <v>0</v>
      </c>
    </row>
    <row r="1702" spans="2:6" s="9" customFormat="1" x14ac:dyDescent="0.25">
      <c r="B1702" s="4"/>
      <c r="C1702" s="5"/>
      <c r="E1702" s="10"/>
      <c r="F1702" s="10">
        <f t="shared" si="26"/>
        <v>0</v>
      </c>
    </row>
    <row r="1703" spans="2:6" s="9" customFormat="1" x14ac:dyDescent="0.25">
      <c r="B1703" s="4"/>
      <c r="C1703" s="5"/>
      <c r="E1703" s="10"/>
      <c r="F1703" s="10">
        <f t="shared" si="26"/>
        <v>0</v>
      </c>
    </row>
    <row r="1704" spans="2:6" s="9" customFormat="1" x14ac:dyDescent="0.25">
      <c r="B1704" s="4"/>
      <c r="C1704" s="5"/>
      <c r="E1704" s="10"/>
      <c r="F1704" s="10">
        <f t="shared" si="26"/>
        <v>0</v>
      </c>
    </row>
    <row r="1705" spans="2:6" s="9" customFormat="1" x14ac:dyDescent="0.25">
      <c r="B1705" s="4"/>
      <c r="C1705" s="5"/>
      <c r="E1705" s="10"/>
      <c r="F1705" s="10">
        <f t="shared" si="26"/>
        <v>0</v>
      </c>
    </row>
    <row r="1706" spans="2:6" s="9" customFormat="1" x14ac:dyDescent="0.25">
      <c r="B1706" s="4"/>
      <c r="C1706" s="5"/>
      <c r="E1706" s="10"/>
      <c r="F1706" s="10">
        <f t="shared" si="26"/>
        <v>0</v>
      </c>
    </row>
    <row r="1707" spans="2:6" s="9" customFormat="1" x14ac:dyDescent="0.25">
      <c r="B1707" s="4"/>
      <c r="C1707" s="5"/>
      <c r="E1707" s="10"/>
      <c r="F1707" s="10">
        <f t="shared" si="26"/>
        <v>0</v>
      </c>
    </row>
    <row r="1708" spans="2:6" s="9" customFormat="1" x14ac:dyDescent="0.25">
      <c r="B1708" s="4"/>
      <c r="C1708" s="5"/>
      <c r="E1708" s="10"/>
      <c r="F1708" s="10">
        <f t="shared" si="26"/>
        <v>0</v>
      </c>
    </row>
    <row r="1709" spans="2:6" s="9" customFormat="1" x14ac:dyDescent="0.25">
      <c r="B1709" s="4"/>
      <c r="C1709" s="5"/>
      <c r="E1709" s="10"/>
      <c r="F1709" s="10">
        <f t="shared" si="26"/>
        <v>0</v>
      </c>
    </row>
    <row r="1710" spans="2:6" s="9" customFormat="1" x14ac:dyDescent="0.25">
      <c r="B1710" s="4"/>
      <c r="C1710" s="5"/>
      <c r="E1710" s="10"/>
      <c r="F1710" s="10">
        <f t="shared" si="26"/>
        <v>0</v>
      </c>
    </row>
    <row r="1711" spans="2:6" s="9" customFormat="1" x14ac:dyDescent="0.25">
      <c r="B1711" s="4"/>
      <c r="C1711" s="5"/>
      <c r="E1711" s="10"/>
      <c r="F1711" s="10">
        <f t="shared" si="26"/>
        <v>0</v>
      </c>
    </row>
    <row r="1712" spans="2:6" s="9" customFormat="1" x14ac:dyDescent="0.25">
      <c r="B1712" s="4"/>
      <c r="C1712" s="5"/>
      <c r="E1712" s="10"/>
      <c r="F1712" s="10">
        <f t="shared" si="26"/>
        <v>0</v>
      </c>
    </row>
    <row r="1713" spans="2:6" s="9" customFormat="1" x14ac:dyDescent="0.25">
      <c r="B1713" s="4"/>
      <c r="C1713" s="5"/>
      <c r="E1713" s="10"/>
      <c r="F1713" s="10">
        <f t="shared" si="26"/>
        <v>0</v>
      </c>
    </row>
    <row r="1714" spans="2:6" s="9" customFormat="1" x14ac:dyDescent="0.25">
      <c r="B1714" s="4"/>
      <c r="C1714" s="5"/>
      <c r="E1714" s="10"/>
      <c r="F1714" s="10">
        <f t="shared" si="26"/>
        <v>0</v>
      </c>
    </row>
    <row r="1715" spans="2:6" s="9" customFormat="1" x14ac:dyDescent="0.25">
      <c r="B1715" s="4"/>
      <c r="C1715" s="5"/>
      <c r="E1715" s="10"/>
      <c r="F1715" s="10">
        <f t="shared" si="26"/>
        <v>0</v>
      </c>
    </row>
    <row r="1716" spans="2:6" s="9" customFormat="1" x14ac:dyDescent="0.25">
      <c r="B1716" s="4"/>
      <c r="C1716" s="5"/>
      <c r="E1716" s="10"/>
      <c r="F1716" s="10">
        <f t="shared" si="26"/>
        <v>0</v>
      </c>
    </row>
    <row r="1717" spans="2:6" s="9" customFormat="1" x14ac:dyDescent="0.25">
      <c r="B1717" s="4"/>
      <c r="C1717" s="5"/>
      <c r="E1717" s="10"/>
      <c r="F1717" s="10">
        <f t="shared" si="26"/>
        <v>0</v>
      </c>
    </row>
    <row r="1718" spans="2:6" s="9" customFormat="1" x14ac:dyDescent="0.25">
      <c r="B1718" s="4"/>
      <c r="C1718" s="5"/>
      <c r="E1718" s="10"/>
      <c r="F1718" s="10">
        <f t="shared" si="26"/>
        <v>0</v>
      </c>
    </row>
    <row r="1719" spans="2:6" s="9" customFormat="1" x14ac:dyDescent="0.25">
      <c r="B1719" s="4"/>
      <c r="C1719" s="5"/>
      <c r="E1719" s="10"/>
      <c r="F1719" s="10">
        <f t="shared" si="26"/>
        <v>0</v>
      </c>
    </row>
    <row r="1720" spans="2:6" s="9" customFormat="1" x14ac:dyDescent="0.25">
      <c r="B1720" s="4"/>
      <c r="C1720" s="5"/>
      <c r="E1720" s="10"/>
      <c r="F1720" s="10">
        <f t="shared" si="26"/>
        <v>0</v>
      </c>
    </row>
    <row r="1721" spans="2:6" s="9" customFormat="1" x14ac:dyDescent="0.25">
      <c r="B1721" s="4"/>
      <c r="C1721" s="5"/>
      <c r="E1721" s="10"/>
      <c r="F1721" s="10">
        <f t="shared" si="26"/>
        <v>0</v>
      </c>
    </row>
    <row r="1722" spans="2:6" s="9" customFormat="1" x14ac:dyDescent="0.25">
      <c r="B1722" s="4"/>
      <c r="C1722" s="5"/>
      <c r="E1722" s="10"/>
      <c r="F1722" s="10">
        <f t="shared" si="26"/>
        <v>0</v>
      </c>
    </row>
    <row r="1723" spans="2:6" s="9" customFormat="1" x14ac:dyDescent="0.25">
      <c r="B1723" s="4"/>
      <c r="C1723" s="5"/>
      <c r="E1723" s="10"/>
      <c r="F1723" s="10">
        <f t="shared" si="26"/>
        <v>0</v>
      </c>
    </row>
    <row r="1724" spans="2:6" s="9" customFormat="1" x14ac:dyDescent="0.25">
      <c r="B1724" s="4"/>
      <c r="C1724" s="5"/>
      <c r="E1724" s="10"/>
      <c r="F1724" s="10">
        <f t="shared" si="26"/>
        <v>0</v>
      </c>
    </row>
    <row r="1725" spans="2:6" s="9" customFormat="1" x14ac:dyDescent="0.25">
      <c r="B1725" s="4"/>
      <c r="C1725" s="5"/>
      <c r="E1725" s="10"/>
      <c r="F1725" s="10">
        <f t="shared" si="26"/>
        <v>0</v>
      </c>
    </row>
    <row r="1726" spans="2:6" s="9" customFormat="1" x14ac:dyDescent="0.25">
      <c r="B1726" s="4"/>
      <c r="C1726" s="5"/>
      <c r="E1726" s="10"/>
      <c r="F1726" s="10">
        <f t="shared" si="26"/>
        <v>0</v>
      </c>
    </row>
    <row r="1727" spans="2:6" s="9" customFormat="1" x14ac:dyDescent="0.25">
      <c r="B1727" s="4"/>
      <c r="C1727" s="5"/>
      <c r="E1727" s="10"/>
      <c r="F1727" s="10">
        <f t="shared" si="26"/>
        <v>0</v>
      </c>
    </row>
    <row r="1728" spans="2:6" s="9" customFormat="1" x14ac:dyDescent="0.25">
      <c r="B1728" s="4"/>
      <c r="C1728" s="5"/>
      <c r="E1728" s="10"/>
      <c r="F1728" s="10">
        <f t="shared" si="26"/>
        <v>0</v>
      </c>
    </row>
    <row r="1729" spans="2:6" s="9" customFormat="1" x14ac:dyDescent="0.25">
      <c r="B1729" s="4"/>
      <c r="C1729" s="5"/>
      <c r="E1729" s="10"/>
      <c r="F1729" s="10">
        <f t="shared" si="26"/>
        <v>0</v>
      </c>
    </row>
    <row r="1730" spans="2:6" s="9" customFormat="1" x14ac:dyDescent="0.25">
      <c r="B1730" s="4"/>
      <c r="C1730" s="5"/>
      <c r="E1730" s="10"/>
      <c r="F1730" s="10">
        <f t="shared" si="26"/>
        <v>0</v>
      </c>
    </row>
    <row r="1731" spans="2:6" s="9" customFormat="1" x14ac:dyDescent="0.25">
      <c r="B1731" s="4"/>
      <c r="C1731" s="5"/>
      <c r="E1731" s="10"/>
      <c r="F1731" s="10">
        <f t="shared" si="26"/>
        <v>0</v>
      </c>
    </row>
    <row r="1732" spans="2:6" s="9" customFormat="1" x14ac:dyDescent="0.25">
      <c r="B1732" s="4"/>
      <c r="C1732" s="5"/>
      <c r="E1732" s="10"/>
      <c r="F1732" s="10">
        <f t="shared" si="26"/>
        <v>0</v>
      </c>
    </row>
    <row r="1733" spans="2:6" s="9" customFormat="1" x14ac:dyDescent="0.25">
      <c r="B1733" s="4"/>
      <c r="C1733" s="5"/>
      <c r="E1733" s="10"/>
      <c r="F1733" s="10">
        <f t="shared" si="26"/>
        <v>0</v>
      </c>
    </row>
    <row r="1734" spans="2:6" s="9" customFormat="1" x14ac:dyDescent="0.25">
      <c r="B1734" s="4"/>
      <c r="C1734" s="5"/>
      <c r="E1734" s="10"/>
      <c r="F1734" s="10">
        <f t="shared" si="26"/>
        <v>0</v>
      </c>
    </row>
    <row r="1735" spans="2:6" s="9" customFormat="1" x14ac:dyDescent="0.25">
      <c r="B1735" s="4"/>
      <c r="C1735" s="5"/>
      <c r="E1735" s="10"/>
      <c r="F1735" s="10">
        <f t="shared" si="26"/>
        <v>0</v>
      </c>
    </row>
    <row r="1736" spans="2:6" s="9" customFormat="1" x14ac:dyDescent="0.25">
      <c r="B1736" s="4"/>
      <c r="C1736" s="5"/>
      <c r="E1736" s="10"/>
      <c r="F1736" s="10">
        <f t="shared" si="26"/>
        <v>0</v>
      </c>
    </row>
    <row r="1737" spans="2:6" s="9" customFormat="1" x14ac:dyDescent="0.25">
      <c r="B1737" s="4"/>
      <c r="C1737" s="5"/>
      <c r="E1737" s="10"/>
      <c r="F1737" s="10">
        <f t="shared" si="26"/>
        <v>0</v>
      </c>
    </row>
    <row r="1738" spans="2:6" s="9" customFormat="1" x14ac:dyDescent="0.25">
      <c r="B1738" s="4"/>
      <c r="C1738" s="5"/>
      <c r="E1738" s="10"/>
      <c r="F1738" s="10">
        <f t="shared" si="26"/>
        <v>0</v>
      </c>
    </row>
    <row r="1739" spans="2:6" s="9" customFormat="1" x14ac:dyDescent="0.25">
      <c r="B1739" s="4"/>
      <c r="C1739" s="5"/>
      <c r="E1739" s="10"/>
      <c r="F1739" s="10">
        <f t="shared" si="26"/>
        <v>0</v>
      </c>
    </row>
    <row r="1740" spans="2:6" s="9" customFormat="1" x14ac:dyDescent="0.25">
      <c r="B1740" s="4"/>
      <c r="C1740" s="5"/>
      <c r="E1740" s="10"/>
      <c r="F1740" s="10">
        <f t="shared" ref="F1740:F1803" si="27">+C1740*E1740</f>
        <v>0</v>
      </c>
    </row>
    <row r="1741" spans="2:6" s="9" customFormat="1" x14ac:dyDescent="0.25">
      <c r="B1741" s="4"/>
      <c r="C1741" s="5"/>
      <c r="E1741" s="10"/>
      <c r="F1741" s="10">
        <f t="shared" si="27"/>
        <v>0</v>
      </c>
    </row>
    <row r="1742" spans="2:6" s="9" customFormat="1" x14ac:dyDescent="0.25">
      <c r="B1742" s="4"/>
      <c r="C1742" s="5"/>
      <c r="E1742" s="10"/>
      <c r="F1742" s="10">
        <f t="shared" si="27"/>
        <v>0</v>
      </c>
    </row>
    <row r="1743" spans="2:6" s="9" customFormat="1" x14ac:dyDescent="0.25">
      <c r="B1743" s="4"/>
      <c r="C1743" s="5"/>
      <c r="E1743" s="10"/>
      <c r="F1743" s="10">
        <f t="shared" si="27"/>
        <v>0</v>
      </c>
    </row>
    <row r="1744" spans="2:6" s="9" customFormat="1" x14ac:dyDescent="0.25">
      <c r="B1744" s="4"/>
      <c r="C1744" s="5"/>
      <c r="E1744" s="10"/>
      <c r="F1744" s="10">
        <f t="shared" si="27"/>
        <v>0</v>
      </c>
    </row>
    <row r="1745" spans="2:6" s="9" customFormat="1" x14ac:dyDescent="0.25">
      <c r="B1745" s="4"/>
      <c r="C1745" s="5"/>
      <c r="E1745" s="10"/>
      <c r="F1745" s="10">
        <f t="shared" si="27"/>
        <v>0</v>
      </c>
    </row>
    <row r="1746" spans="2:6" s="9" customFormat="1" x14ac:dyDescent="0.25">
      <c r="B1746" s="4"/>
      <c r="C1746" s="5"/>
      <c r="E1746" s="10"/>
      <c r="F1746" s="10">
        <f t="shared" si="27"/>
        <v>0</v>
      </c>
    </row>
    <row r="1747" spans="2:6" s="9" customFormat="1" x14ac:dyDescent="0.25">
      <c r="B1747" s="4"/>
      <c r="C1747" s="5"/>
      <c r="E1747" s="10"/>
      <c r="F1747" s="10">
        <f t="shared" si="27"/>
        <v>0</v>
      </c>
    </row>
    <row r="1748" spans="2:6" s="9" customFormat="1" x14ac:dyDescent="0.25">
      <c r="B1748" s="4"/>
      <c r="C1748" s="5"/>
      <c r="E1748" s="10"/>
      <c r="F1748" s="10">
        <f t="shared" si="27"/>
        <v>0</v>
      </c>
    </row>
    <row r="1749" spans="2:6" s="9" customFormat="1" x14ac:dyDescent="0.25">
      <c r="B1749" s="4"/>
      <c r="C1749" s="5"/>
      <c r="E1749" s="10"/>
      <c r="F1749" s="10">
        <f t="shared" si="27"/>
        <v>0</v>
      </c>
    </row>
    <row r="1750" spans="2:6" s="9" customFormat="1" x14ac:dyDescent="0.25">
      <c r="B1750" s="4"/>
      <c r="C1750" s="5"/>
      <c r="E1750" s="10"/>
      <c r="F1750" s="10">
        <f t="shared" si="27"/>
        <v>0</v>
      </c>
    </row>
    <row r="1751" spans="2:6" s="9" customFormat="1" x14ac:dyDescent="0.25">
      <c r="B1751" s="4"/>
      <c r="C1751" s="5"/>
      <c r="E1751" s="10"/>
      <c r="F1751" s="10">
        <f t="shared" si="27"/>
        <v>0</v>
      </c>
    </row>
    <row r="1752" spans="2:6" s="9" customFormat="1" x14ac:dyDescent="0.25">
      <c r="B1752" s="4"/>
      <c r="C1752" s="5"/>
      <c r="E1752" s="10"/>
      <c r="F1752" s="10">
        <f t="shared" si="27"/>
        <v>0</v>
      </c>
    </row>
    <row r="1753" spans="2:6" s="9" customFormat="1" x14ac:dyDescent="0.25">
      <c r="B1753" s="4"/>
      <c r="C1753" s="5"/>
      <c r="E1753" s="10"/>
      <c r="F1753" s="10">
        <f t="shared" si="27"/>
        <v>0</v>
      </c>
    </row>
    <row r="1754" spans="2:6" s="9" customFormat="1" x14ac:dyDescent="0.25">
      <c r="B1754" s="4"/>
      <c r="C1754" s="5"/>
      <c r="E1754" s="10"/>
      <c r="F1754" s="10">
        <f t="shared" si="27"/>
        <v>0</v>
      </c>
    </row>
    <row r="1755" spans="2:6" s="9" customFormat="1" x14ac:dyDescent="0.25">
      <c r="B1755" s="4"/>
      <c r="C1755" s="5"/>
      <c r="E1755" s="10"/>
      <c r="F1755" s="10">
        <f t="shared" si="27"/>
        <v>0</v>
      </c>
    </row>
    <row r="1756" spans="2:6" s="9" customFormat="1" x14ac:dyDescent="0.25">
      <c r="B1756" s="4"/>
      <c r="C1756" s="5"/>
      <c r="E1756" s="10"/>
      <c r="F1756" s="10">
        <f t="shared" si="27"/>
        <v>0</v>
      </c>
    </row>
    <row r="1757" spans="2:6" s="9" customFormat="1" x14ac:dyDescent="0.25">
      <c r="B1757" s="4"/>
      <c r="C1757" s="5"/>
      <c r="E1757" s="10"/>
      <c r="F1757" s="10">
        <f t="shared" si="27"/>
        <v>0</v>
      </c>
    </row>
    <row r="1758" spans="2:6" s="9" customFormat="1" x14ac:dyDescent="0.25">
      <c r="B1758" s="4"/>
      <c r="C1758" s="5"/>
      <c r="E1758" s="10"/>
      <c r="F1758" s="10">
        <f t="shared" si="27"/>
        <v>0</v>
      </c>
    </row>
    <row r="1759" spans="2:6" s="9" customFormat="1" x14ac:dyDescent="0.25">
      <c r="B1759" s="4"/>
      <c r="C1759" s="5"/>
      <c r="E1759" s="10"/>
      <c r="F1759" s="10">
        <f t="shared" si="27"/>
        <v>0</v>
      </c>
    </row>
    <row r="1760" spans="2:6" s="9" customFormat="1" x14ac:dyDescent="0.25">
      <c r="B1760" s="4"/>
      <c r="C1760" s="5"/>
      <c r="E1760" s="10"/>
      <c r="F1760" s="10">
        <f t="shared" si="27"/>
        <v>0</v>
      </c>
    </row>
    <row r="1761" spans="2:6" s="9" customFormat="1" x14ac:dyDescent="0.25">
      <c r="B1761" s="4"/>
      <c r="C1761" s="5"/>
      <c r="E1761" s="10"/>
      <c r="F1761" s="10">
        <f t="shared" si="27"/>
        <v>0</v>
      </c>
    </row>
    <row r="1762" spans="2:6" s="9" customFormat="1" x14ac:dyDescent="0.25">
      <c r="B1762" s="4"/>
      <c r="C1762" s="5"/>
      <c r="E1762" s="10"/>
      <c r="F1762" s="10">
        <f t="shared" si="27"/>
        <v>0</v>
      </c>
    </row>
    <row r="1763" spans="2:6" s="9" customFormat="1" x14ac:dyDescent="0.25">
      <c r="B1763" s="4"/>
      <c r="C1763" s="5"/>
      <c r="E1763" s="10"/>
      <c r="F1763" s="10">
        <f t="shared" si="27"/>
        <v>0</v>
      </c>
    </row>
    <row r="1764" spans="2:6" s="9" customFormat="1" x14ac:dyDescent="0.25">
      <c r="B1764" s="4"/>
      <c r="C1764" s="5"/>
      <c r="E1764" s="10"/>
      <c r="F1764" s="10">
        <f t="shared" si="27"/>
        <v>0</v>
      </c>
    </row>
    <row r="1765" spans="2:6" s="9" customFormat="1" x14ac:dyDescent="0.25">
      <c r="B1765" s="4"/>
      <c r="C1765" s="5"/>
      <c r="E1765" s="10"/>
      <c r="F1765" s="10">
        <f t="shared" si="27"/>
        <v>0</v>
      </c>
    </row>
    <row r="1766" spans="2:6" s="9" customFormat="1" x14ac:dyDescent="0.25">
      <c r="B1766" s="4"/>
      <c r="C1766" s="5"/>
      <c r="E1766" s="10"/>
      <c r="F1766" s="10">
        <f t="shared" si="27"/>
        <v>0</v>
      </c>
    </row>
    <row r="1767" spans="2:6" s="9" customFormat="1" x14ac:dyDescent="0.25">
      <c r="B1767" s="4"/>
      <c r="C1767" s="5"/>
      <c r="E1767" s="10"/>
      <c r="F1767" s="10">
        <f t="shared" si="27"/>
        <v>0</v>
      </c>
    </row>
    <row r="1768" spans="2:6" s="9" customFormat="1" x14ac:dyDescent="0.25">
      <c r="B1768" s="4"/>
      <c r="C1768" s="5"/>
      <c r="E1768" s="10"/>
      <c r="F1768" s="10">
        <f t="shared" si="27"/>
        <v>0</v>
      </c>
    </row>
    <row r="1769" spans="2:6" s="9" customFormat="1" x14ac:dyDescent="0.25">
      <c r="B1769" s="4"/>
      <c r="C1769" s="5"/>
      <c r="E1769" s="10"/>
      <c r="F1769" s="10">
        <f t="shared" si="27"/>
        <v>0</v>
      </c>
    </row>
    <row r="1770" spans="2:6" s="9" customFormat="1" x14ac:dyDescent="0.25">
      <c r="B1770" s="4"/>
      <c r="C1770" s="5"/>
      <c r="E1770" s="10"/>
      <c r="F1770" s="10">
        <f t="shared" si="27"/>
        <v>0</v>
      </c>
    </row>
    <row r="1771" spans="2:6" s="9" customFormat="1" x14ac:dyDescent="0.25">
      <c r="B1771" s="4"/>
      <c r="C1771" s="5"/>
      <c r="E1771" s="10"/>
      <c r="F1771" s="10">
        <f t="shared" si="27"/>
        <v>0</v>
      </c>
    </row>
    <row r="1772" spans="2:6" s="9" customFormat="1" x14ac:dyDescent="0.25">
      <c r="B1772" s="4"/>
      <c r="C1772" s="5"/>
      <c r="E1772" s="10"/>
      <c r="F1772" s="10">
        <f t="shared" si="27"/>
        <v>0</v>
      </c>
    </row>
    <row r="1773" spans="2:6" s="9" customFormat="1" x14ac:dyDescent="0.25">
      <c r="B1773" s="4"/>
      <c r="C1773" s="5"/>
      <c r="E1773" s="10"/>
      <c r="F1773" s="10">
        <f t="shared" si="27"/>
        <v>0</v>
      </c>
    </row>
    <row r="1774" spans="2:6" s="9" customFormat="1" x14ac:dyDescent="0.25">
      <c r="B1774" s="4"/>
      <c r="C1774" s="5"/>
      <c r="E1774" s="10"/>
      <c r="F1774" s="10">
        <f t="shared" si="27"/>
        <v>0</v>
      </c>
    </row>
    <row r="1775" spans="2:6" s="9" customFormat="1" x14ac:dyDescent="0.25">
      <c r="B1775" s="4"/>
      <c r="C1775" s="5"/>
      <c r="E1775" s="10"/>
      <c r="F1775" s="10">
        <f t="shared" si="27"/>
        <v>0</v>
      </c>
    </row>
    <row r="1776" spans="2:6" s="9" customFormat="1" x14ac:dyDescent="0.25">
      <c r="B1776" s="4"/>
      <c r="C1776" s="5"/>
      <c r="E1776" s="10"/>
      <c r="F1776" s="10">
        <f t="shared" si="27"/>
        <v>0</v>
      </c>
    </row>
    <row r="1777" spans="2:6" s="9" customFormat="1" x14ac:dyDescent="0.25">
      <c r="B1777" s="4"/>
      <c r="C1777" s="5"/>
      <c r="E1777" s="10"/>
      <c r="F1777" s="10">
        <f t="shared" si="27"/>
        <v>0</v>
      </c>
    </row>
    <row r="1778" spans="2:6" s="9" customFormat="1" x14ac:dyDescent="0.25">
      <c r="B1778" s="4"/>
      <c r="C1778" s="5"/>
      <c r="E1778" s="10"/>
      <c r="F1778" s="10">
        <f t="shared" si="27"/>
        <v>0</v>
      </c>
    </row>
    <row r="1779" spans="2:6" s="9" customFormat="1" x14ac:dyDescent="0.25">
      <c r="B1779" s="4"/>
      <c r="C1779" s="5"/>
      <c r="E1779" s="10"/>
      <c r="F1779" s="10">
        <f t="shared" si="27"/>
        <v>0</v>
      </c>
    </row>
    <row r="1780" spans="2:6" s="9" customFormat="1" x14ac:dyDescent="0.25">
      <c r="B1780" s="4"/>
      <c r="C1780" s="5"/>
      <c r="E1780" s="10"/>
      <c r="F1780" s="10">
        <f t="shared" si="27"/>
        <v>0</v>
      </c>
    </row>
    <row r="1781" spans="2:6" s="9" customFormat="1" x14ac:dyDescent="0.25">
      <c r="B1781" s="4"/>
      <c r="C1781" s="5"/>
      <c r="E1781" s="10"/>
      <c r="F1781" s="10">
        <f t="shared" si="27"/>
        <v>0</v>
      </c>
    </row>
    <row r="1782" spans="2:6" s="9" customFormat="1" x14ac:dyDescent="0.25">
      <c r="B1782" s="4"/>
      <c r="C1782" s="5"/>
      <c r="E1782" s="10"/>
      <c r="F1782" s="10">
        <f t="shared" si="27"/>
        <v>0</v>
      </c>
    </row>
    <row r="1783" spans="2:6" s="9" customFormat="1" x14ac:dyDescent="0.25">
      <c r="B1783" s="4"/>
      <c r="C1783" s="5"/>
      <c r="E1783" s="10"/>
      <c r="F1783" s="10">
        <f t="shared" si="27"/>
        <v>0</v>
      </c>
    </row>
    <row r="1784" spans="2:6" s="9" customFormat="1" x14ac:dyDescent="0.25">
      <c r="B1784" s="4"/>
      <c r="C1784" s="5"/>
      <c r="E1784" s="10"/>
      <c r="F1784" s="10">
        <f t="shared" si="27"/>
        <v>0</v>
      </c>
    </row>
    <row r="1785" spans="2:6" s="9" customFormat="1" x14ac:dyDescent="0.25">
      <c r="B1785" s="4"/>
      <c r="C1785" s="5"/>
      <c r="E1785" s="10"/>
      <c r="F1785" s="10">
        <f t="shared" si="27"/>
        <v>0</v>
      </c>
    </row>
    <row r="1786" spans="2:6" s="9" customFormat="1" x14ac:dyDescent="0.25">
      <c r="B1786" s="4"/>
      <c r="C1786" s="5"/>
      <c r="E1786" s="10"/>
      <c r="F1786" s="10">
        <f t="shared" si="27"/>
        <v>0</v>
      </c>
    </row>
    <row r="1787" spans="2:6" s="9" customFormat="1" x14ac:dyDescent="0.25">
      <c r="B1787" s="4"/>
      <c r="C1787" s="5"/>
      <c r="E1787" s="10"/>
      <c r="F1787" s="10">
        <f t="shared" si="27"/>
        <v>0</v>
      </c>
    </row>
    <row r="1788" spans="2:6" s="9" customFormat="1" x14ac:dyDescent="0.25">
      <c r="B1788" s="4"/>
      <c r="C1788" s="5"/>
      <c r="E1788" s="10"/>
      <c r="F1788" s="10">
        <f t="shared" si="27"/>
        <v>0</v>
      </c>
    </row>
    <row r="1789" spans="2:6" s="9" customFormat="1" x14ac:dyDescent="0.25">
      <c r="B1789" s="4"/>
      <c r="C1789" s="5"/>
      <c r="E1789" s="10"/>
      <c r="F1789" s="10">
        <f t="shared" si="27"/>
        <v>0</v>
      </c>
    </row>
    <row r="1790" spans="2:6" s="9" customFormat="1" x14ac:dyDescent="0.25">
      <c r="B1790" s="4"/>
      <c r="C1790" s="5"/>
      <c r="E1790" s="10"/>
      <c r="F1790" s="10">
        <f t="shared" si="27"/>
        <v>0</v>
      </c>
    </row>
    <row r="1791" spans="2:6" s="9" customFormat="1" x14ac:dyDescent="0.25">
      <c r="B1791" s="4"/>
      <c r="C1791" s="5"/>
      <c r="E1791" s="10"/>
      <c r="F1791" s="10">
        <f t="shared" si="27"/>
        <v>0</v>
      </c>
    </row>
    <row r="1792" spans="2:6" s="9" customFormat="1" x14ac:dyDescent="0.25">
      <c r="B1792" s="4"/>
      <c r="C1792" s="5"/>
      <c r="E1792" s="10"/>
      <c r="F1792" s="10">
        <f t="shared" si="27"/>
        <v>0</v>
      </c>
    </row>
    <row r="1793" spans="2:6" s="9" customFormat="1" x14ac:dyDescent="0.25">
      <c r="B1793" s="4"/>
      <c r="C1793" s="5"/>
      <c r="E1793" s="10"/>
      <c r="F1793" s="10">
        <f t="shared" si="27"/>
        <v>0</v>
      </c>
    </row>
    <row r="1794" spans="2:6" s="9" customFormat="1" x14ac:dyDescent="0.25">
      <c r="B1794" s="4"/>
      <c r="C1794" s="5"/>
      <c r="E1794" s="10"/>
      <c r="F1794" s="10">
        <f t="shared" si="27"/>
        <v>0</v>
      </c>
    </row>
    <row r="1795" spans="2:6" s="9" customFormat="1" x14ac:dyDescent="0.25">
      <c r="B1795" s="4"/>
      <c r="C1795" s="5"/>
      <c r="E1795" s="10"/>
      <c r="F1795" s="10">
        <f t="shared" si="27"/>
        <v>0</v>
      </c>
    </row>
    <row r="1796" spans="2:6" s="9" customFormat="1" x14ac:dyDescent="0.25">
      <c r="B1796" s="4"/>
      <c r="C1796" s="5"/>
      <c r="E1796" s="10"/>
      <c r="F1796" s="10">
        <f t="shared" si="27"/>
        <v>0</v>
      </c>
    </row>
    <row r="1797" spans="2:6" s="9" customFormat="1" x14ac:dyDescent="0.25">
      <c r="B1797" s="4"/>
      <c r="C1797" s="5"/>
      <c r="E1797" s="10"/>
      <c r="F1797" s="10">
        <f t="shared" si="27"/>
        <v>0</v>
      </c>
    </row>
    <row r="1798" spans="2:6" s="9" customFormat="1" x14ac:dyDescent="0.25">
      <c r="B1798" s="4"/>
      <c r="C1798" s="5"/>
      <c r="E1798" s="10"/>
      <c r="F1798" s="10">
        <f t="shared" si="27"/>
        <v>0</v>
      </c>
    </row>
    <row r="1799" spans="2:6" s="9" customFormat="1" x14ac:dyDescent="0.25">
      <c r="B1799" s="4"/>
      <c r="C1799" s="5"/>
      <c r="E1799" s="10"/>
      <c r="F1799" s="10">
        <f t="shared" si="27"/>
        <v>0</v>
      </c>
    </row>
    <row r="1800" spans="2:6" s="9" customFormat="1" x14ac:dyDescent="0.25">
      <c r="B1800" s="4"/>
      <c r="C1800" s="5"/>
      <c r="E1800" s="10"/>
      <c r="F1800" s="10">
        <f t="shared" si="27"/>
        <v>0</v>
      </c>
    </row>
    <row r="1801" spans="2:6" s="9" customFormat="1" x14ac:dyDescent="0.25">
      <c r="B1801" s="4"/>
      <c r="C1801" s="5"/>
      <c r="E1801" s="10"/>
      <c r="F1801" s="10">
        <f t="shared" si="27"/>
        <v>0</v>
      </c>
    </row>
    <row r="1802" spans="2:6" s="9" customFormat="1" x14ac:dyDescent="0.25">
      <c r="B1802" s="4"/>
      <c r="C1802" s="5"/>
      <c r="E1802" s="10"/>
      <c r="F1802" s="10">
        <f t="shared" si="27"/>
        <v>0</v>
      </c>
    </row>
    <row r="1803" spans="2:6" s="9" customFormat="1" x14ac:dyDescent="0.25">
      <c r="B1803" s="4"/>
      <c r="C1803" s="5"/>
      <c r="E1803" s="10"/>
      <c r="F1803" s="10">
        <f t="shared" si="27"/>
        <v>0</v>
      </c>
    </row>
    <row r="1804" spans="2:6" s="9" customFormat="1" x14ac:dyDescent="0.25">
      <c r="B1804" s="4"/>
      <c r="C1804" s="5"/>
      <c r="E1804" s="10"/>
      <c r="F1804" s="10">
        <f t="shared" ref="F1804:F1867" si="28">+C1804*E1804</f>
        <v>0</v>
      </c>
    </row>
    <row r="1805" spans="2:6" s="9" customFormat="1" x14ac:dyDescent="0.25">
      <c r="B1805" s="4"/>
      <c r="C1805" s="5"/>
      <c r="E1805" s="10"/>
      <c r="F1805" s="10">
        <f t="shared" si="28"/>
        <v>0</v>
      </c>
    </row>
    <row r="1806" spans="2:6" s="9" customFormat="1" x14ac:dyDescent="0.25">
      <c r="B1806" s="4"/>
      <c r="C1806" s="5"/>
      <c r="E1806" s="10"/>
      <c r="F1806" s="10">
        <f t="shared" si="28"/>
        <v>0</v>
      </c>
    </row>
    <row r="1807" spans="2:6" s="9" customFormat="1" x14ac:dyDescent="0.25">
      <c r="B1807" s="4"/>
      <c r="C1807" s="5"/>
      <c r="E1807" s="10"/>
      <c r="F1807" s="10">
        <f t="shared" si="28"/>
        <v>0</v>
      </c>
    </row>
    <row r="1808" spans="2:6" s="9" customFormat="1" x14ac:dyDescent="0.25">
      <c r="B1808" s="4"/>
      <c r="C1808" s="5"/>
      <c r="E1808" s="10"/>
      <c r="F1808" s="10">
        <f t="shared" si="28"/>
        <v>0</v>
      </c>
    </row>
    <row r="1809" spans="2:6" s="9" customFormat="1" x14ac:dyDescent="0.25">
      <c r="B1809" s="4"/>
      <c r="C1809" s="5"/>
      <c r="E1809" s="10"/>
      <c r="F1809" s="10">
        <f t="shared" si="28"/>
        <v>0</v>
      </c>
    </row>
    <row r="1810" spans="2:6" s="9" customFormat="1" x14ac:dyDescent="0.25">
      <c r="B1810" s="4"/>
      <c r="C1810" s="5"/>
      <c r="E1810" s="10"/>
      <c r="F1810" s="10">
        <f t="shared" si="28"/>
        <v>0</v>
      </c>
    </row>
    <row r="1811" spans="2:6" s="9" customFormat="1" x14ac:dyDescent="0.25">
      <c r="B1811" s="4"/>
      <c r="C1811" s="5"/>
      <c r="E1811" s="10"/>
      <c r="F1811" s="10">
        <f t="shared" si="28"/>
        <v>0</v>
      </c>
    </row>
    <row r="1812" spans="2:6" s="9" customFormat="1" x14ac:dyDescent="0.25">
      <c r="B1812" s="4"/>
      <c r="C1812" s="5"/>
      <c r="E1812" s="10"/>
      <c r="F1812" s="10">
        <f t="shared" si="28"/>
        <v>0</v>
      </c>
    </row>
    <row r="1813" spans="2:6" s="9" customFormat="1" x14ac:dyDescent="0.25">
      <c r="B1813" s="4"/>
      <c r="C1813" s="5"/>
      <c r="E1813" s="10"/>
      <c r="F1813" s="10">
        <f t="shared" si="28"/>
        <v>0</v>
      </c>
    </row>
    <row r="1814" spans="2:6" s="9" customFormat="1" x14ac:dyDescent="0.25">
      <c r="B1814" s="4"/>
      <c r="C1814" s="5"/>
      <c r="E1814" s="10"/>
      <c r="F1814" s="10">
        <f t="shared" si="28"/>
        <v>0</v>
      </c>
    </row>
    <row r="1815" spans="2:6" s="9" customFormat="1" x14ac:dyDescent="0.25">
      <c r="B1815" s="4"/>
      <c r="C1815" s="5"/>
      <c r="E1815" s="10"/>
      <c r="F1815" s="10">
        <f t="shared" si="28"/>
        <v>0</v>
      </c>
    </row>
    <row r="1816" spans="2:6" s="9" customFormat="1" x14ac:dyDescent="0.25">
      <c r="B1816" s="4"/>
      <c r="C1816" s="5"/>
      <c r="E1816" s="10"/>
      <c r="F1816" s="10">
        <f t="shared" si="28"/>
        <v>0</v>
      </c>
    </row>
    <row r="1817" spans="2:6" s="9" customFormat="1" x14ac:dyDescent="0.25">
      <c r="B1817" s="4"/>
      <c r="C1817" s="5"/>
      <c r="E1817" s="10"/>
      <c r="F1817" s="10">
        <f t="shared" si="28"/>
        <v>0</v>
      </c>
    </row>
    <row r="1818" spans="2:6" s="9" customFormat="1" x14ac:dyDescent="0.25">
      <c r="B1818" s="4"/>
      <c r="C1818" s="5"/>
      <c r="E1818" s="10"/>
      <c r="F1818" s="10">
        <f t="shared" si="28"/>
        <v>0</v>
      </c>
    </row>
    <row r="1819" spans="2:6" s="9" customFormat="1" x14ac:dyDescent="0.25">
      <c r="B1819" s="4"/>
      <c r="C1819" s="5"/>
      <c r="E1819" s="10"/>
      <c r="F1819" s="10">
        <f t="shared" si="28"/>
        <v>0</v>
      </c>
    </row>
    <row r="1820" spans="2:6" s="9" customFormat="1" x14ac:dyDescent="0.25">
      <c r="B1820" s="4"/>
      <c r="C1820" s="5"/>
      <c r="E1820" s="10"/>
      <c r="F1820" s="10">
        <f t="shared" si="28"/>
        <v>0</v>
      </c>
    </row>
    <row r="1821" spans="2:6" s="9" customFormat="1" x14ac:dyDescent="0.25">
      <c r="B1821" s="4"/>
      <c r="C1821" s="5"/>
      <c r="E1821" s="10"/>
      <c r="F1821" s="10">
        <f t="shared" si="28"/>
        <v>0</v>
      </c>
    </row>
    <row r="1822" spans="2:6" s="9" customFormat="1" x14ac:dyDescent="0.25">
      <c r="B1822" s="4"/>
      <c r="C1822" s="5"/>
      <c r="E1822" s="10"/>
      <c r="F1822" s="10">
        <f t="shared" si="28"/>
        <v>0</v>
      </c>
    </row>
    <row r="1823" spans="2:6" s="9" customFormat="1" x14ac:dyDescent="0.25">
      <c r="B1823" s="4"/>
      <c r="C1823" s="5"/>
      <c r="E1823" s="10"/>
      <c r="F1823" s="10">
        <f t="shared" si="28"/>
        <v>0</v>
      </c>
    </row>
    <row r="1824" spans="2:6" s="9" customFormat="1" x14ac:dyDescent="0.25">
      <c r="B1824" s="4"/>
      <c r="C1824" s="5"/>
      <c r="E1824" s="10"/>
      <c r="F1824" s="10">
        <f t="shared" si="28"/>
        <v>0</v>
      </c>
    </row>
    <row r="1825" spans="2:6" s="9" customFormat="1" x14ac:dyDescent="0.25">
      <c r="B1825" s="4"/>
      <c r="C1825" s="5"/>
      <c r="E1825" s="10"/>
      <c r="F1825" s="10">
        <f t="shared" si="28"/>
        <v>0</v>
      </c>
    </row>
    <row r="1826" spans="2:6" s="9" customFormat="1" x14ac:dyDescent="0.25">
      <c r="B1826" s="4"/>
      <c r="C1826" s="5"/>
      <c r="E1826" s="10"/>
      <c r="F1826" s="10">
        <f t="shared" si="28"/>
        <v>0</v>
      </c>
    </row>
    <row r="1827" spans="2:6" s="9" customFormat="1" x14ac:dyDescent="0.25">
      <c r="B1827" s="4"/>
      <c r="C1827" s="5"/>
      <c r="E1827" s="10"/>
      <c r="F1827" s="10">
        <f t="shared" si="28"/>
        <v>0</v>
      </c>
    </row>
    <row r="1828" spans="2:6" s="9" customFormat="1" x14ac:dyDescent="0.25">
      <c r="B1828" s="4"/>
      <c r="C1828" s="5"/>
      <c r="E1828" s="10"/>
      <c r="F1828" s="10">
        <f t="shared" si="28"/>
        <v>0</v>
      </c>
    </row>
    <row r="1829" spans="2:6" s="9" customFormat="1" x14ac:dyDescent="0.25">
      <c r="B1829" s="4"/>
      <c r="C1829" s="5"/>
      <c r="E1829" s="10"/>
      <c r="F1829" s="10">
        <f t="shared" si="28"/>
        <v>0</v>
      </c>
    </row>
    <row r="1830" spans="2:6" s="9" customFormat="1" x14ac:dyDescent="0.25">
      <c r="B1830" s="4"/>
      <c r="C1830" s="5"/>
      <c r="E1830" s="10"/>
      <c r="F1830" s="10">
        <f t="shared" si="28"/>
        <v>0</v>
      </c>
    </row>
    <row r="1831" spans="2:6" s="9" customFormat="1" x14ac:dyDescent="0.25">
      <c r="B1831" s="4"/>
      <c r="C1831" s="5"/>
      <c r="E1831" s="10"/>
      <c r="F1831" s="10">
        <f t="shared" si="28"/>
        <v>0</v>
      </c>
    </row>
    <row r="1832" spans="2:6" s="9" customFormat="1" x14ac:dyDescent="0.25">
      <c r="B1832" s="4"/>
      <c r="C1832" s="5"/>
      <c r="E1832" s="10"/>
      <c r="F1832" s="10">
        <f t="shared" si="28"/>
        <v>0</v>
      </c>
    </row>
    <row r="1833" spans="2:6" s="9" customFormat="1" x14ac:dyDescent="0.25">
      <c r="B1833" s="4"/>
      <c r="C1833" s="5"/>
      <c r="E1833" s="10"/>
      <c r="F1833" s="10">
        <f t="shared" si="28"/>
        <v>0</v>
      </c>
    </row>
    <row r="1834" spans="2:6" s="9" customFormat="1" x14ac:dyDescent="0.25">
      <c r="B1834" s="4"/>
      <c r="C1834" s="5"/>
      <c r="E1834" s="10"/>
      <c r="F1834" s="10">
        <f t="shared" si="28"/>
        <v>0</v>
      </c>
    </row>
    <row r="1835" spans="2:6" s="9" customFormat="1" x14ac:dyDescent="0.25">
      <c r="B1835" s="4"/>
      <c r="C1835" s="5"/>
      <c r="E1835" s="10"/>
      <c r="F1835" s="10">
        <f t="shared" si="28"/>
        <v>0</v>
      </c>
    </row>
    <row r="1836" spans="2:6" s="9" customFormat="1" x14ac:dyDescent="0.25">
      <c r="B1836" s="4"/>
      <c r="C1836" s="5"/>
      <c r="E1836" s="10"/>
      <c r="F1836" s="10">
        <f t="shared" si="28"/>
        <v>0</v>
      </c>
    </row>
    <row r="1837" spans="2:6" s="9" customFormat="1" x14ac:dyDescent="0.25">
      <c r="B1837" s="4"/>
      <c r="C1837" s="5"/>
      <c r="E1837" s="10"/>
      <c r="F1837" s="10">
        <f t="shared" si="28"/>
        <v>0</v>
      </c>
    </row>
    <row r="1838" spans="2:6" s="9" customFormat="1" x14ac:dyDescent="0.25">
      <c r="B1838" s="4"/>
      <c r="C1838" s="5"/>
      <c r="E1838" s="10"/>
      <c r="F1838" s="10">
        <f t="shared" si="28"/>
        <v>0</v>
      </c>
    </row>
    <row r="1839" spans="2:6" s="9" customFormat="1" x14ac:dyDescent="0.25">
      <c r="B1839" s="4"/>
      <c r="C1839" s="5"/>
      <c r="E1839" s="10"/>
      <c r="F1839" s="10">
        <f t="shared" si="28"/>
        <v>0</v>
      </c>
    </row>
    <row r="1840" spans="2:6" s="9" customFormat="1" x14ac:dyDescent="0.25">
      <c r="B1840" s="4"/>
      <c r="C1840" s="5"/>
      <c r="E1840" s="10"/>
      <c r="F1840" s="10">
        <f t="shared" si="28"/>
        <v>0</v>
      </c>
    </row>
    <row r="1841" spans="2:6" s="9" customFormat="1" x14ac:dyDescent="0.25">
      <c r="B1841" s="4"/>
      <c r="C1841" s="5"/>
      <c r="E1841" s="10"/>
      <c r="F1841" s="10">
        <f t="shared" si="28"/>
        <v>0</v>
      </c>
    </row>
    <row r="1842" spans="2:6" s="9" customFormat="1" x14ac:dyDescent="0.25">
      <c r="B1842" s="4"/>
      <c r="C1842" s="5"/>
      <c r="E1842" s="10"/>
      <c r="F1842" s="10">
        <f t="shared" si="28"/>
        <v>0</v>
      </c>
    </row>
    <row r="1843" spans="2:6" s="9" customFormat="1" x14ac:dyDescent="0.25">
      <c r="B1843" s="4"/>
      <c r="C1843" s="5"/>
      <c r="E1843" s="10"/>
      <c r="F1843" s="10">
        <f t="shared" si="28"/>
        <v>0</v>
      </c>
    </row>
    <row r="1844" spans="2:6" s="9" customFormat="1" x14ac:dyDescent="0.25">
      <c r="B1844" s="4"/>
      <c r="C1844" s="5"/>
      <c r="E1844" s="10"/>
      <c r="F1844" s="10">
        <f t="shared" si="28"/>
        <v>0</v>
      </c>
    </row>
    <row r="1845" spans="2:6" s="9" customFormat="1" x14ac:dyDescent="0.25">
      <c r="B1845" s="4"/>
      <c r="C1845" s="5"/>
      <c r="E1845" s="10"/>
      <c r="F1845" s="10">
        <f t="shared" si="28"/>
        <v>0</v>
      </c>
    </row>
    <row r="1846" spans="2:6" s="9" customFormat="1" x14ac:dyDescent="0.25">
      <c r="B1846" s="4"/>
      <c r="C1846" s="5"/>
      <c r="E1846" s="10"/>
      <c r="F1846" s="10">
        <f t="shared" si="28"/>
        <v>0</v>
      </c>
    </row>
    <row r="1847" spans="2:6" s="9" customFormat="1" x14ac:dyDescent="0.25">
      <c r="B1847" s="4"/>
      <c r="C1847" s="5"/>
      <c r="E1847" s="10"/>
      <c r="F1847" s="10">
        <f t="shared" si="28"/>
        <v>0</v>
      </c>
    </row>
    <row r="1848" spans="2:6" s="9" customFormat="1" x14ac:dyDescent="0.25">
      <c r="B1848" s="4"/>
      <c r="C1848" s="5"/>
      <c r="E1848" s="10"/>
      <c r="F1848" s="10">
        <f t="shared" si="28"/>
        <v>0</v>
      </c>
    </row>
    <row r="1849" spans="2:6" s="9" customFormat="1" x14ac:dyDescent="0.25">
      <c r="B1849" s="4"/>
      <c r="C1849" s="5"/>
      <c r="E1849" s="10"/>
      <c r="F1849" s="10">
        <f t="shared" si="28"/>
        <v>0</v>
      </c>
    </row>
    <row r="1850" spans="2:6" s="9" customFormat="1" x14ac:dyDescent="0.25">
      <c r="B1850" s="4"/>
      <c r="C1850" s="5"/>
      <c r="E1850" s="10"/>
      <c r="F1850" s="10">
        <f t="shared" si="28"/>
        <v>0</v>
      </c>
    </row>
    <row r="1851" spans="2:6" s="9" customFormat="1" x14ac:dyDescent="0.25">
      <c r="B1851" s="4"/>
      <c r="C1851" s="5"/>
      <c r="E1851" s="10"/>
      <c r="F1851" s="10">
        <f t="shared" si="28"/>
        <v>0</v>
      </c>
    </row>
    <row r="1852" spans="2:6" s="9" customFormat="1" x14ac:dyDescent="0.25">
      <c r="B1852" s="4"/>
      <c r="C1852" s="5"/>
      <c r="E1852" s="10"/>
      <c r="F1852" s="10">
        <f t="shared" si="28"/>
        <v>0</v>
      </c>
    </row>
    <row r="1853" spans="2:6" s="9" customFormat="1" x14ac:dyDescent="0.25">
      <c r="B1853" s="4"/>
      <c r="C1853" s="5"/>
      <c r="E1853" s="10"/>
      <c r="F1853" s="10">
        <f t="shared" si="28"/>
        <v>0</v>
      </c>
    </row>
    <row r="1854" spans="2:6" s="9" customFormat="1" x14ac:dyDescent="0.25">
      <c r="B1854" s="4"/>
      <c r="C1854" s="5"/>
      <c r="E1854" s="10"/>
      <c r="F1854" s="10">
        <f t="shared" si="28"/>
        <v>0</v>
      </c>
    </row>
    <row r="1855" spans="2:6" s="9" customFormat="1" x14ac:dyDescent="0.25">
      <c r="B1855" s="4"/>
      <c r="C1855" s="5"/>
      <c r="E1855" s="10"/>
      <c r="F1855" s="10">
        <f t="shared" si="28"/>
        <v>0</v>
      </c>
    </row>
    <row r="1856" spans="2:6" s="9" customFormat="1" x14ac:dyDescent="0.25">
      <c r="B1856" s="4"/>
      <c r="C1856" s="5"/>
      <c r="E1856" s="10"/>
      <c r="F1856" s="10">
        <f t="shared" si="28"/>
        <v>0</v>
      </c>
    </row>
    <row r="1857" spans="2:6" s="9" customFormat="1" x14ac:dyDescent="0.25">
      <c r="B1857" s="4"/>
      <c r="C1857" s="5"/>
      <c r="E1857" s="10"/>
      <c r="F1857" s="10">
        <f t="shared" si="28"/>
        <v>0</v>
      </c>
    </row>
    <row r="1858" spans="2:6" s="9" customFormat="1" x14ac:dyDescent="0.25">
      <c r="B1858" s="4"/>
      <c r="C1858" s="5"/>
      <c r="E1858" s="10"/>
      <c r="F1858" s="10">
        <f t="shared" si="28"/>
        <v>0</v>
      </c>
    </row>
    <row r="1859" spans="2:6" s="9" customFormat="1" x14ac:dyDescent="0.25">
      <c r="B1859" s="4"/>
      <c r="C1859" s="5"/>
      <c r="E1859" s="10"/>
      <c r="F1859" s="10">
        <f t="shared" si="28"/>
        <v>0</v>
      </c>
    </row>
    <row r="1860" spans="2:6" s="9" customFormat="1" x14ac:dyDescent="0.25">
      <c r="B1860" s="4"/>
      <c r="C1860" s="5"/>
      <c r="E1860" s="10"/>
      <c r="F1860" s="10">
        <f t="shared" si="28"/>
        <v>0</v>
      </c>
    </row>
    <row r="1861" spans="2:6" s="9" customFormat="1" x14ac:dyDescent="0.25">
      <c r="B1861" s="4"/>
      <c r="C1861" s="5"/>
      <c r="E1861" s="10"/>
      <c r="F1861" s="10">
        <f t="shared" si="28"/>
        <v>0</v>
      </c>
    </row>
    <row r="1862" spans="2:6" s="9" customFormat="1" x14ac:dyDescent="0.25">
      <c r="B1862" s="4"/>
      <c r="C1862" s="5"/>
      <c r="E1862" s="10"/>
      <c r="F1862" s="10">
        <f t="shared" si="28"/>
        <v>0</v>
      </c>
    </row>
    <row r="1863" spans="2:6" s="9" customFormat="1" x14ac:dyDescent="0.25">
      <c r="B1863" s="4"/>
      <c r="C1863" s="5"/>
      <c r="E1863" s="10"/>
      <c r="F1863" s="10">
        <f t="shared" si="28"/>
        <v>0</v>
      </c>
    </row>
    <row r="1864" spans="2:6" s="9" customFormat="1" x14ac:dyDescent="0.25">
      <c r="B1864" s="4"/>
      <c r="C1864" s="5"/>
      <c r="E1864" s="10"/>
      <c r="F1864" s="10">
        <f t="shared" si="28"/>
        <v>0</v>
      </c>
    </row>
    <row r="1865" spans="2:6" s="9" customFormat="1" x14ac:dyDescent="0.25">
      <c r="B1865" s="4"/>
      <c r="C1865" s="5"/>
      <c r="E1865" s="10"/>
      <c r="F1865" s="10">
        <f t="shared" si="28"/>
        <v>0</v>
      </c>
    </row>
    <row r="1866" spans="2:6" s="9" customFormat="1" x14ac:dyDescent="0.25">
      <c r="B1866" s="4"/>
      <c r="C1866" s="5"/>
      <c r="E1866" s="10"/>
      <c r="F1866" s="10">
        <f t="shared" si="28"/>
        <v>0</v>
      </c>
    </row>
    <row r="1867" spans="2:6" s="9" customFormat="1" x14ac:dyDescent="0.25">
      <c r="B1867" s="4"/>
      <c r="C1867" s="5"/>
      <c r="E1867" s="10"/>
      <c r="F1867" s="10">
        <f t="shared" si="28"/>
        <v>0</v>
      </c>
    </row>
    <row r="1868" spans="2:6" s="9" customFormat="1" x14ac:dyDescent="0.25">
      <c r="B1868" s="4"/>
      <c r="C1868" s="5"/>
      <c r="E1868" s="10"/>
      <c r="F1868" s="10">
        <f t="shared" ref="F1868:F1931" si="29">+C1868*E1868</f>
        <v>0</v>
      </c>
    </row>
    <row r="1869" spans="2:6" s="9" customFormat="1" x14ac:dyDescent="0.25">
      <c r="B1869" s="4"/>
      <c r="C1869" s="5"/>
      <c r="E1869" s="10"/>
      <c r="F1869" s="10">
        <f t="shared" si="29"/>
        <v>0</v>
      </c>
    </row>
    <row r="1870" spans="2:6" s="9" customFormat="1" x14ac:dyDescent="0.25">
      <c r="B1870" s="4"/>
      <c r="C1870" s="5"/>
      <c r="E1870" s="10"/>
      <c r="F1870" s="10">
        <f t="shared" si="29"/>
        <v>0</v>
      </c>
    </row>
    <row r="1871" spans="2:6" s="9" customFormat="1" x14ac:dyDescent="0.25">
      <c r="B1871" s="4"/>
      <c r="C1871" s="5"/>
      <c r="E1871" s="10"/>
      <c r="F1871" s="10">
        <f t="shared" si="29"/>
        <v>0</v>
      </c>
    </row>
    <row r="1872" spans="2:6" s="9" customFormat="1" x14ac:dyDescent="0.25">
      <c r="B1872" s="4"/>
      <c r="C1872" s="5"/>
      <c r="E1872" s="10"/>
      <c r="F1872" s="10">
        <f t="shared" si="29"/>
        <v>0</v>
      </c>
    </row>
    <row r="1873" spans="2:6" s="9" customFormat="1" x14ac:dyDescent="0.25">
      <c r="B1873" s="4"/>
      <c r="C1873" s="5"/>
      <c r="E1873" s="10"/>
      <c r="F1873" s="10">
        <f t="shared" si="29"/>
        <v>0</v>
      </c>
    </row>
    <row r="1874" spans="2:6" s="9" customFormat="1" x14ac:dyDescent="0.25">
      <c r="B1874" s="4"/>
      <c r="C1874" s="5"/>
      <c r="E1874" s="10"/>
      <c r="F1874" s="10">
        <f t="shared" si="29"/>
        <v>0</v>
      </c>
    </row>
    <row r="1875" spans="2:6" s="9" customFormat="1" x14ac:dyDescent="0.25">
      <c r="C1875" s="5"/>
      <c r="E1875" s="10"/>
      <c r="F1875" s="10">
        <f t="shared" si="29"/>
        <v>0</v>
      </c>
    </row>
    <row r="1876" spans="2:6" s="9" customFormat="1" x14ac:dyDescent="0.25">
      <c r="C1876" s="5"/>
      <c r="E1876" s="10"/>
      <c r="F1876" s="10">
        <f t="shared" si="29"/>
        <v>0</v>
      </c>
    </row>
    <row r="1877" spans="2:6" s="9" customFormat="1" x14ac:dyDescent="0.25">
      <c r="B1877" s="4"/>
      <c r="C1877" s="5"/>
      <c r="E1877" s="10"/>
      <c r="F1877" s="10">
        <f t="shared" si="29"/>
        <v>0</v>
      </c>
    </row>
    <row r="1878" spans="2:6" s="9" customFormat="1" x14ac:dyDescent="0.25">
      <c r="C1878" s="5"/>
      <c r="E1878" s="10"/>
      <c r="F1878" s="10">
        <f t="shared" si="29"/>
        <v>0</v>
      </c>
    </row>
    <row r="1879" spans="2:6" s="9" customFormat="1" x14ac:dyDescent="0.25">
      <c r="C1879" s="5"/>
      <c r="E1879" s="10"/>
      <c r="F1879" s="10">
        <f t="shared" si="29"/>
        <v>0</v>
      </c>
    </row>
    <row r="1880" spans="2:6" s="9" customFormat="1" x14ac:dyDescent="0.25">
      <c r="B1880" s="4"/>
      <c r="C1880" s="5"/>
      <c r="E1880" s="10"/>
      <c r="F1880" s="10">
        <f t="shared" si="29"/>
        <v>0</v>
      </c>
    </row>
    <row r="1881" spans="2:6" s="9" customFormat="1" x14ac:dyDescent="0.25">
      <c r="C1881" s="5"/>
      <c r="E1881" s="10"/>
      <c r="F1881" s="10">
        <f t="shared" si="29"/>
        <v>0</v>
      </c>
    </row>
    <row r="1882" spans="2:6" s="9" customFormat="1" x14ac:dyDescent="0.25">
      <c r="C1882" s="5"/>
      <c r="E1882" s="10"/>
      <c r="F1882" s="10">
        <f t="shared" si="29"/>
        <v>0</v>
      </c>
    </row>
    <row r="1883" spans="2:6" s="9" customFormat="1" x14ac:dyDescent="0.25">
      <c r="C1883" s="5"/>
      <c r="E1883" s="10"/>
      <c r="F1883" s="10">
        <f t="shared" si="29"/>
        <v>0</v>
      </c>
    </row>
    <row r="1884" spans="2:6" s="9" customFormat="1" x14ac:dyDescent="0.25">
      <c r="C1884" s="5"/>
      <c r="E1884" s="10"/>
      <c r="F1884" s="10">
        <f t="shared" si="29"/>
        <v>0</v>
      </c>
    </row>
    <row r="1885" spans="2:6" s="9" customFormat="1" x14ac:dyDescent="0.25">
      <c r="C1885" s="5"/>
      <c r="E1885" s="10"/>
      <c r="F1885" s="10">
        <f t="shared" si="29"/>
        <v>0</v>
      </c>
    </row>
    <row r="1886" spans="2:6" s="9" customFormat="1" x14ac:dyDescent="0.25">
      <c r="B1886" s="4"/>
      <c r="C1886" s="5"/>
      <c r="E1886" s="10"/>
      <c r="F1886" s="10">
        <f t="shared" si="29"/>
        <v>0</v>
      </c>
    </row>
    <row r="1887" spans="2:6" s="9" customFormat="1" x14ac:dyDescent="0.25">
      <c r="C1887" s="5"/>
      <c r="E1887" s="10"/>
      <c r="F1887" s="10">
        <f t="shared" si="29"/>
        <v>0</v>
      </c>
    </row>
    <row r="1888" spans="2:6" s="9" customFormat="1" x14ac:dyDescent="0.25">
      <c r="C1888" s="5"/>
      <c r="E1888" s="10"/>
      <c r="F1888" s="10">
        <f t="shared" si="29"/>
        <v>0</v>
      </c>
    </row>
    <row r="1889" spans="2:6" s="9" customFormat="1" x14ac:dyDescent="0.25">
      <c r="B1889" s="4"/>
      <c r="C1889" s="5"/>
      <c r="E1889" s="10"/>
      <c r="F1889" s="10">
        <f t="shared" si="29"/>
        <v>0</v>
      </c>
    </row>
    <row r="1890" spans="2:6" s="9" customFormat="1" x14ac:dyDescent="0.25">
      <c r="C1890" s="5"/>
      <c r="E1890" s="10"/>
      <c r="F1890" s="10">
        <f t="shared" si="29"/>
        <v>0</v>
      </c>
    </row>
    <row r="1891" spans="2:6" s="9" customFormat="1" x14ac:dyDescent="0.25">
      <c r="C1891" s="5"/>
      <c r="E1891" s="10"/>
      <c r="F1891" s="10">
        <f t="shared" si="29"/>
        <v>0</v>
      </c>
    </row>
    <row r="1892" spans="2:6" s="9" customFormat="1" x14ac:dyDescent="0.25">
      <c r="C1892" s="5"/>
      <c r="E1892" s="10"/>
      <c r="F1892" s="10">
        <f t="shared" si="29"/>
        <v>0</v>
      </c>
    </row>
    <row r="1893" spans="2:6" s="9" customFormat="1" x14ac:dyDescent="0.25">
      <c r="C1893" s="5"/>
      <c r="E1893" s="10"/>
      <c r="F1893" s="10">
        <f t="shared" si="29"/>
        <v>0</v>
      </c>
    </row>
    <row r="1894" spans="2:6" s="9" customFormat="1" x14ac:dyDescent="0.25">
      <c r="B1894" s="4"/>
      <c r="C1894" s="5"/>
      <c r="E1894" s="10"/>
      <c r="F1894" s="10">
        <f t="shared" si="29"/>
        <v>0</v>
      </c>
    </row>
    <row r="1895" spans="2:6" s="9" customFormat="1" x14ac:dyDescent="0.25">
      <c r="C1895" s="5"/>
      <c r="E1895" s="10"/>
      <c r="F1895" s="10">
        <f t="shared" si="29"/>
        <v>0</v>
      </c>
    </row>
    <row r="1896" spans="2:6" s="9" customFormat="1" x14ac:dyDescent="0.25">
      <c r="C1896" s="5"/>
      <c r="E1896" s="10"/>
      <c r="F1896" s="10">
        <f t="shared" si="29"/>
        <v>0</v>
      </c>
    </row>
    <row r="1897" spans="2:6" s="9" customFormat="1" x14ac:dyDescent="0.25">
      <c r="C1897" s="5"/>
      <c r="E1897" s="10"/>
      <c r="F1897" s="10">
        <f t="shared" si="29"/>
        <v>0</v>
      </c>
    </row>
    <row r="1898" spans="2:6" s="9" customFormat="1" x14ac:dyDescent="0.25">
      <c r="B1898" s="4"/>
      <c r="C1898" s="5"/>
      <c r="E1898" s="10"/>
      <c r="F1898" s="10">
        <f t="shared" si="29"/>
        <v>0</v>
      </c>
    </row>
    <row r="1899" spans="2:6" s="9" customFormat="1" x14ac:dyDescent="0.25">
      <c r="C1899" s="5"/>
      <c r="E1899" s="10"/>
      <c r="F1899" s="10">
        <f t="shared" si="29"/>
        <v>0</v>
      </c>
    </row>
    <row r="1900" spans="2:6" s="9" customFormat="1" x14ac:dyDescent="0.25">
      <c r="C1900" s="5"/>
      <c r="E1900" s="10"/>
      <c r="F1900" s="10">
        <f t="shared" si="29"/>
        <v>0</v>
      </c>
    </row>
    <row r="1901" spans="2:6" s="9" customFormat="1" x14ac:dyDescent="0.25">
      <c r="B1901" s="4"/>
      <c r="C1901" s="5"/>
      <c r="E1901" s="10"/>
      <c r="F1901" s="10">
        <f t="shared" si="29"/>
        <v>0</v>
      </c>
    </row>
    <row r="1902" spans="2:6" s="9" customFormat="1" x14ac:dyDescent="0.25">
      <c r="C1902" s="5"/>
      <c r="E1902" s="10"/>
      <c r="F1902" s="10">
        <f t="shared" si="29"/>
        <v>0</v>
      </c>
    </row>
    <row r="1903" spans="2:6" s="9" customFormat="1" x14ac:dyDescent="0.25">
      <c r="C1903" s="5"/>
      <c r="E1903" s="10"/>
      <c r="F1903" s="10">
        <f t="shared" si="29"/>
        <v>0</v>
      </c>
    </row>
    <row r="1904" spans="2:6" s="9" customFormat="1" x14ac:dyDescent="0.25">
      <c r="B1904" s="4"/>
      <c r="C1904" s="5"/>
      <c r="E1904" s="10"/>
      <c r="F1904" s="10">
        <f t="shared" si="29"/>
        <v>0</v>
      </c>
    </row>
    <row r="1905" spans="2:6" s="9" customFormat="1" x14ac:dyDescent="0.25">
      <c r="C1905" s="5"/>
      <c r="E1905" s="10"/>
      <c r="F1905" s="10">
        <f t="shared" si="29"/>
        <v>0</v>
      </c>
    </row>
    <row r="1906" spans="2:6" s="9" customFormat="1" x14ac:dyDescent="0.25">
      <c r="C1906" s="5"/>
      <c r="E1906" s="10"/>
      <c r="F1906" s="10">
        <f t="shared" si="29"/>
        <v>0</v>
      </c>
    </row>
    <row r="1907" spans="2:6" s="9" customFormat="1" x14ac:dyDescent="0.25">
      <c r="B1907" s="4"/>
      <c r="C1907" s="5"/>
      <c r="E1907" s="10"/>
      <c r="F1907" s="10">
        <f t="shared" si="29"/>
        <v>0</v>
      </c>
    </row>
    <row r="1908" spans="2:6" s="9" customFormat="1" x14ac:dyDescent="0.25">
      <c r="C1908" s="5"/>
      <c r="E1908" s="10"/>
      <c r="F1908" s="10">
        <f t="shared" si="29"/>
        <v>0</v>
      </c>
    </row>
    <row r="1909" spans="2:6" s="9" customFormat="1" x14ac:dyDescent="0.25">
      <c r="C1909" s="5"/>
      <c r="E1909" s="10"/>
      <c r="F1909" s="10">
        <f t="shared" si="29"/>
        <v>0</v>
      </c>
    </row>
    <row r="1910" spans="2:6" s="9" customFormat="1" x14ac:dyDescent="0.25">
      <c r="B1910" s="4"/>
      <c r="C1910" s="5"/>
      <c r="E1910" s="10"/>
      <c r="F1910" s="10">
        <f t="shared" si="29"/>
        <v>0</v>
      </c>
    </row>
    <row r="1911" spans="2:6" s="9" customFormat="1" x14ac:dyDescent="0.25">
      <c r="C1911" s="5"/>
      <c r="E1911" s="10"/>
      <c r="F1911" s="10">
        <f t="shared" si="29"/>
        <v>0</v>
      </c>
    </row>
    <row r="1912" spans="2:6" s="9" customFormat="1" x14ac:dyDescent="0.25">
      <c r="C1912" s="5"/>
      <c r="E1912" s="10"/>
      <c r="F1912" s="10">
        <f t="shared" si="29"/>
        <v>0</v>
      </c>
    </row>
    <row r="1913" spans="2:6" s="9" customFormat="1" x14ac:dyDescent="0.25">
      <c r="C1913" s="5"/>
      <c r="E1913" s="10"/>
      <c r="F1913" s="10">
        <f t="shared" si="29"/>
        <v>0</v>
      </c>
    </row>
    <row r="1914" spans="2:6" s="9" customFormat="1" x14ac:dyDescent="0.25">
      <c r="B1914" s="4"/>
      <c r="C1914" s="5"/>
      <c r="E1914" s="10"/>
      <c r="F1914" s="10">
        <f t="shared" si="29"/>
        <v>0</v>
      </c>
    </row>
    <row r="1915" spans="2:6" s="9" customFormat="1" x14ac:dyDescent="0.25">
      <c r="C1915" s="5"/>
      <c r="E1915" s="10"/>
      <c r="F1915" s="10">
        <f t="shared" si="29"/>
        <v>0</v>
      </c>
    </row>
    <row r="1916" spans="2:6" s="9" customFormat="1" x14ac:dyDescent="0.25">
      <c r="C1916" s="5"/>
      <c r="E1916" s="10"/>
      <c r="F1916" s="10">
        <f t="shared" si="29"/>
        <v>0</v>
      </c>
    </row>
    <row r="1917" spans="2:6" s="9" customFormat="1" x14ac:dyDescent="0.25">
      <c r="B1917" s="4"/>
      <c r="C1917" s="5"/>
      <c r="E1917" s="10"/>
      <c r="F1917" s="10">
        <f t="shared" si="29"/>
        <v>0</v>
      </c>
    </row>
    <row r="1918" spans="2:6" s="9" customFormat="1" x14ac:dyDescent="0.25">
      <c r="C1918" s="5"/>
      <c r="E1918" s="10"/>
      <c r="F1918" s="10">
        <f t="shared" si="29"/>
        <v>0</v>
      </c>
    </row>
    <row r="1919" spans="2:6" s="9" customFormat="1" x14ac:dyDescent="0.25">
      <c r="C1919" s="5"/>
      <c r="E1919" s="10"/>
      <c r="F1919" s="10">
        <f t="shared" si="29"/>
        <v>0</v>
      </c>
    </row>
    <row r="1920" spans="2:6" s="9" customFormat="1" x14ac:dyDescent="0.25">
      <c r="B1920" s="4"/>
      <c r="C1920" s="5"/>
      <c r="E1920" s="10"/>
      <c r="F1920" s="10">
        <f t="shared" si="29"/>
        <v>0</v>
      </c>
    </row>
    <row r="1921" spans="2:6" s="9" customFormat="1" x14ac:dyDescent="0.25">
      <c r="C1921" s="5"/>
      <c r="E1921" s="10"/>
      <c r="F1921" s="10">
        <f t="shared" si="29"/>
        <v>0</v>
      </c>
    </row>
    <row r="1922" spans="2:6" s="9" customFormat="1" x14ac:dyDescent="0.25">
      <c r="C1922" s="5"/>
      <c r="E1922" s="10"/>
      <c r="F1922" s="10">
        <f t="shared" si="29"/>
        <v>0</v>
      </c>
    </row>
    <row r="1923" spans="2:6" s="9" customFormat="1" x14ac:dyDescent="0.25">
      <c r="C1923" s="5"/>
      <c r="E1923" s="10"/>
      <c r="F1923" s="10">
        <f t="shared" si="29"/>
        <v>0</v>
      </c>
    </row>
    <row r="1924" spans="2:6" s="9" customFormat="1" x14ac:dyDescent="0.25">
      <c r="C1924" s="5"/>
      <c r="E1924" s="10"/>
      <c r="F1924" s="10">
        <f t="shared" si="29"/>
        <v>0</v>
      </c>
    </row>
    <row r="1925" spans="2:6" s="9" customFormat="1" x14ac:dyDescent="0.25">
      <c r="C1925" s="5"/>
      <c r="E1925" s="10"/>
      <c r="F1925" s="10">
        <f t="shared" si="29"/>
        <v>0</v>
      </c>
    </row>
    <row r="1926" spans="2:6" s="9" customFormat="1" x14ac:dyDescent="0.25">
      <c r="B1926" s="4"/>
      <c r="C1926" s="5"/>
      <c r="E1926" s="10"/>
      <c r="F1926" s="10">
        <f t="shared" si="29"/>
        <v>0</v>
      </c>
    </row>
    <row r="1927" spans="2:6" s="9" customFormat="1" x14ac:dyDescent="0.25">
      <c r="C1927" s="5"/>
      <c r="E1927" s="10"/>
      <c r="F1927" s="10">
        <f t="shared" si="29"/>
        <v>0</v>
      </c>
    </row>
    <row r="1928" spans="2:6" s="9" customFormat="1" x14ac:dyDescent="0.25">
      <c r="C1928" s="5"/>
      <c r="E1928" s="10"/>
      <c r="F1928" s="10">
        <f t="shared" si="29"/>
        <v>0</v>
      </c>
    </row>
    <row r="1929" spans="2:6" s="9" customFormat="1" x14ac:dyDescent="0.25">
      <c r="B1929" s="4"/>
      <c r="C1929" s="5"/>
      <c r="E1929" s="10"/>
      <c r="F1929" s="10">
        <f t="shared" si="29"/>
        <v>0</v>
      </c>
    </row>
    <row r="1930" spans="2:6" s="9" customFormat="1" x14ac:dyDescent="0.25">
      <c r="C1930" s="5"/>
      <c r="E1930" s="10"/>
      <c r="F1930" s="10">
        <f t="shared" si="29"/>
        <v>0</v>
      </c>
    </row>
    <row r="1931" spans="2:6" s="9" customFormat="1" x14ac:dyDescent="0.25">
      <c r="C1931" s="5"/>
      <c r="E1931" s="10"/>
      <c r="F1931" s="10">
        <f t="shared" si="29"/>
        <v>0</v>
      </c>
    </row>
    <row r="1932" spans="2:6" s="9" customFormat="1" x14ac:dyDescent="0.25">
      <c r="B1932" s="4"/>
      <c r="C1932" s="5"/>
      <c r="E1932" s="10"/>
      <c r="F1932" s="10">
        <f t="shared" ref="F1932:F1995" si="30">+C1932*E1932</f>
        <v>0</v>
      </c>
    </row>
    <row r="1933" spans="2:6" s="9" customFormat="1" x14ac:dyDescent="0.25">
      <c r="C1933" s="5"/>
      <c r="E1933" s="10"/>
      <c r="F1933" s="10">
        <f t="shared" si="30"/>
        <v>0</v>
      </c>
    </row>
    <row r="1934" spans="2:6" s="9" customFormat="1" x14ac:dyDescent="0.25">
      <c r="C1934" s="5"/>
      <c r="E1934" s="10"/>
      <c r="F1934" s="10">
        <f t="shared" si="30"/>
        <v>0</v>
      </c>
    </row>
    <row r="1935" spans="2:6" s="9" customFormat="1" x14ac:dyDescent="0.25">
      <c r="B1935" s="4"/>
      <c r="C1935" s="5"/>
      <c r="E1935" s="10"/>
      <c r="F1935" s="10">
        <f t="shared" si="30"/>
        <v>0</v>
      </c>
    </row>
    <row r="1936" spans="2:6" s="9" customFormat="1" x14ac:dyDescent="0.25">
      <c r="C1936" s="5"/>
      <c r="E1936" s="10"/>
      <c r="F1936" s="10">
        <f t="shared" si="30"/>
        <v>0</v>
      </c>
    </row>
    <row r="1937" spans="2:6" s="9" customFormat="1" x14ac:dyDescent="0.25">
      <c r="C1937" s="5"/>
      <c r="E1937" s="10"/>
      <c r="F1937" s="10">
        <f t="shared" si="30"/>
        <v>0</v>
      </c>
    </row>
    <row r="1938" spans="2:6" s="9" customFormat="1" x14ac:dyDescent="0.25">
      <c r="B1938" s="4"/>
      <c r="C1938" s="5"/>
      <c r="E1938" s="10"/>
      <c r="F1938" s="10">
        <f t="shared" si="30"/>
        <v>0</v>
      </c>
    </row>
    <row r="1939" spans="2:6" s="9" customFormat="1" x14ac:dyDescent="0.25">
      <c r="C1939" s="5"/>
      <c r="E1939" s="10"/>
      <c r="F1939" s="10">
        <f t="shared" si="30"/>
        <v>0</v>
      </c>
    </row>
    <row r="1940" spans="2:6" s="9" customFormat="1" x14ac:dyDescent="0.25">
      <c r="C1940" s="5"/>
      <c r="E1940" s="10"/>
      <c r="F1940" s="10">
        <f t="shared" si="30"/>
        <v>0</v>
      </c>
    </row>
    <row r="1941" spans="2:6" s="9" customFormat="1" x14ac:dyDescent="0.25">
      <c r="B1941" s="4"/>
      <c r="C1941" s="5"/>
      <c r="E1941" s="10"/>
      <c r="F1941" s="10">
        <f t="shared" si="30"/>
        <v>0</v>
      </c>
    </row>
    <row r="1942" spans="2:6" s="9" customFormat="1" x14ac:dyDescent="0.25">
      <c r="C1942" s="5"/>
      <c r="E1942" s="10"/>
      <c r="F1942" s="10">
        <f t="shared" si="30"/>
        <v>0</v>
      </c>
    </row>
    <row r="1943" spans="2:6" s="9" customFormat="1" x14ac:dyDescent="0.25">
      <c r="C1943" s="5"/>
      <c r="E1943" s="10"/>
      <c r="F1943" s="10">
        <f t="shared" si="30"/>
        <v>0</v>
      </c>
    </row>
    <row r="1944" spans="2:6" s="9" customFormat="1" x14ac:dyDescent="0.25">
      <c r="B1944" s="4"/>
      <c r="C1944" s="5"/>
      <c r="E1944" s="10"/>
      <c r="F1944" s="10">
        <f t="shared" si="30"/>
        <v>0</v>
      </c>
    </row>
    <row r="1945" spans="2:6" s="9" customFormat="1" x14ac:dyDescent="0.25">
      <c r="C1945" s="5"/>
      <c r="E1945" s="10"/>
      <c r="F1945" s="10">
        <f t="shared" si="30"/>
        <v>0</v>
      </c>
    </row>
    <row r="1946" spans="2:6" s="9" customFormat="1" x14ac:dyDescent="0.25">
      <c r="C1946" s="5"/>
      <c r="E1946" s="10"/>
      <c r="F1946" s="10">
        <f t="shared" si="30"/>
        <v>0</v>
      </c>
    </row>
    <row r="1947" spans="2:6" s="9" customFormat="1" x14ac:dyDescent="0.25">
      <c r="B1947" s="4"/>
      <c r="C1947" s="5"/>
      <c r="E1947" s="10"/>
      <c r="F1947" s="10">
        <f t="shared" si="30"/>
        <v>0</v>
      </c>
    </row>
    <row r="1948" spans="2:6" s="9" customFormat="1" x14ac:dyDescent="0.25">
      <c r="C1948" s="5"/>
      <c r="E1948" s="10"/>
      <c r="F1948" s="10">
        <f t="shared" si="30"/>
        <v>0</v>
      </c>
    </row>
    <row r="1949" spans="2:6" s="9" customFormat="1" x14ac:dyDescent="0.25">
      <c r="C1949" s="5"/>
      <c r="E1949" s="10"/>
      <c r="F1949" s="10">
        <f t="shared" si="30"/>
        <v>0</v>
      </c>
    </row>
    <row r="1950" spans="2:6" s="9" customFormat="1" x14ac:dyDescent="0.25">
      <c r="B1950" s="4"/>
      <c r="C1950" s="5"/>
      <c r="E1950" s="10"/>
      <c r="F1950" s="10">
        <f t="shared" si="30"/>
        <v>0</v>
      </c>
    </row>
    <row r="1951" spans="2:6" s="9" customFormat="1" x14ac:dyDescent="0.25">
      <c r="C1951" s="5"/>
      <c r="E1951" s="10"/>
      <c r="F1951" s="10">
        <f t="shared" si="30"/>
        <v>0</v>
      </c>
    </row>
    <row r="1952" spans="2:6" s="9" customFormat="1" x14ac:dyDescent="0.25">
      <c r="C1952" s="5"/>
      <c r="E1952" s="10"/>
      <c r="F1952" s="10">
        <f t="shared" si="30"/>
        <v>0</v>
      </c>
    </row>
    <row r="1953" spans="2:6" s="9" customFormat="1" x14ac:dyDescent="0.25">
      <c r="B1953" s="4"/>
      <c r="C1953" s="5"/>
      <c r="E1953" s="10"/>
      <c r="F1953" s="10">
        <f t="shared" si="30"/>
        <v>0</v>
      </c>
    </row>
    <row r="1954" spans="2:6" s="9" customFormat="1" x14ac:dyDescent="0.25">
      <c r="C1954" s="5"/>
      <c r="E1954" s="10"/>
      <c r="F1954" s="10">
        <f t="shared" si="30"/>
        <v>0</v>
      </c>
    </row>
    <row r="1955" spans="2:6" s="9" customFormat="1" x14ac:dyDescent="0.25">
      <c r="C1955" s="5"/>
      <c r="E1955" s="10"/>
      <c r="F1955" s="10">
        <f t="shared" si="30"/>
        <v>0</v>
      </c>
    </row>
    <row r="1956" spans="2:6" s="9" customFormat="1" x14ac:dyDescent="0.25">
      <c r="C1956" s="5"/>
      <c r="E1956" s="10"/>
      <c r="F1956" s="10">
        <f t="shared" si="30"/>
        <v>0</v>
      </c>
    </row>
    <row r="1957" spans="2:6" s="9" customFormat="1" x14ac:dyDescent="0.25">
      <c r="B1957" s="4"/>
      <c r="C1957" s="5"/>
      <c r="E1957" s="10"/>
      <c r="F1957" s="10">
        <f t="shared" si="30"/>
        <v>0</v>
      </c>
    </row>
    <row r="1958" spans="2:6" s="9" customFormat="1" x14ac:dyDescent="0.25">
      <c r="C1958" s="5"/>
      <c r="E1958" s="10"/>
      <c r="F1958" s="10">
        <f t="shared" si="30"/>
        <v>0</v>
      </c>
    </row>
    <row r="1959" spans="2:6" s="9" customFormat="1" x14ac:dyDescent="0.25">
      <c r="C1959" s="5"/>
      <c r="E1959" s="10"/>
      <c r="F1959" s="10">
        <f t="shared" si="30"/>
        <v>0</v>
      </c>
    </row>
    <row r="1960" spans="2:6" s="9" customFormat="1" x14ac:dyDescent="0.25">
      <c r="B1960" s="4"/>
      <c r="C1960" s="5"/>
      <c r="E1960" s="10"/>
      <c r="F1960" s="10">
        <f t="shared" si="30"/>
        <v>0</v>
      </c>
    </row>
    <row r="1961" spans="2:6" s="9" customFormat="1" x14ac:dyDescent="0.25">
      <c r="C1961" s="5"/>
      <c r="E1961" s="10"/>
      <c r="F1961" s="10">
        <f t="shared" si="30"/>
        <v>0</v>
      </c>
    </row>
    <row r="1962" spans="2:6" s="9" customFormat="1" x14ac:dyDescent="0.25">
      <c r="C1962" s="5"/>
      <c r="E1962" s="10"/>
      <c r="F1962" s="10">
        <f t="shared" si="30"/>
        <v>0</v>
      </c>
    </row>
    <row r="1963" spans="2:6" s="9" customFormat="1" x14ac:dyDescent="0.25">
      <c r="B1963" s="4"/>
      <c r="C1963" s="5"/>
      <c r="E1963" s="10"/>
      <c r="F1963" s="10">
        <f t="shared" si="30"/>
        <v>0</v>
      </c>
    </row>
    <row r="1964" spans="2:6" s="9" customFormat="1" x14ac:dyDescent="0.25">
      <c r="C1964" s="5"/>
      <c r="E1964" s="10"/>
      <c r="F1964" s="10">
        <f t="shared" si="30"/>
        <v>0</v>
      </c>
    </row>
    <row r="1965" spans="2:6" s="9" customFormat="1" x14ac:dyDescent="0.25">
      <c r="C1965" s="5"/>
      <c r="E1965" s="10"/>
      <c r="F1965" s="10">
        <f t="shared" si="30"/>
        <v>0</v>
      </c>
    </row>
    <row r="1966" spans="2:6" s="9" customFormat="1" x14ac:dyDescent="0.25">
      <c r="B1966" s="4"/>
      <c r="C1966" s="5"/>
      <c r="E1966" s="10"/>
      <c r="F1966" s="10">
        <f t="shared" si="30"/>
        <v>0</v>
      </c>
    </row>
    <row r="1967" spans="2:6" s="9" customFormat="1" x14ac:dyDescent="0.25">
      <c r="C1967" s="5"/>
      <c r="E1967" s="10"/>
      <c r="F1967" s="10">
        <f t="shared" si="30"/>
        <v>0</v>
      </c>
    </row>
    <row r="1968" spans="2:6" s="9" customFormat="1" x14ac:dyDescent="0.25">
      <c r="C1968" s="5"/>
      <c r="E1968" s="10"/>
      <c r="F1968" s="10">
        <f t="shared" si="30"/>
        <v>0</v>
      </c>
    </row>
    <row r="1969" spans="2:6" s="9" customFormat="1" x14ac:dyDescent="0.25">
      <c r="B1969" s="4"/>
      <c r="C1969" s="5"/>
      <c r="E1969" s="10"/>
      <c r="F1969" s="10">
        <f t="shared" si="30"/>
        <v>0</v>
      </c>
    </row>
    <row r="1970" spans="2:6" s="9" customFormat="1" x14ac:dyDescent="0.25">
      <c r="C1970" s="5"/>
      <c r="E1970" s="10"/>
      <c r="F1970" s="10">
        <f t="shared" si="30"/>
        <v>0</v>
      </c>
    </row>
    <row r="1971" spans="2:6" s="9" customFormat="1" x14ac:dyDescent="0.25">
      <c r="C1971" s="5"/>
      <c r="E1971" s="10"/>
      <c r="F1971" s="10">
        <f t="shared" si="30"/>
        <v>0</v>
      </c>
    </row>
    <row r="1972" spans="2:6" s="9" customFormat="1" x14ac:dyDescent="0.25">
      <c r="B1972" s="4"/>
      <c r="C1972" s="5"/>
      <c r="E1972" s="10"/>
      <c r="F1972" s="10">
        <f t="shared" si="30"/>
        <v>0</v>
      </c>
    </row>
    <row r="1973" spans="2:6" s="9" customFormat="1" x14ac:dyDescent="0.25">
      <c r="C1973" s="5"/>
      <c r="E1973" s="10"/>
      <c r="F1973" s="10">
        <f t="shared" si="30"/>
        <v>0</v>
      </c>
    </row>
    <row r="1974" spans="2:6" s="9" customFormat="1" x14ac:dyDescent="0.25">
      <c r="C1974" s="5"/>
      <c r="E1974" s="10"/>
      <c r="F1974" s="10">
        <f t="shared" si="30"/>
        <v>0</v>
      </c>
    </row>
    <row r="1975" spans="2:6" s="9" customFormat="1" x14ac:dyDescent="0.25">
      <c r="C1975" s="5"/>
      <c r="E1975" s="10"/>
      <c r="F1975" s="10">
        <f t="shared" si="30"/>
        <v>0</v>
      </c>
    </row>
    <row r="1976" spans="2:6" s="9" customFormat="1" x14ac:dyDescent="0.25">
      <c r="B1976" s="4"/>
      <c r="C1976" s="5"/>
      <c r="E1976" s="10"/>
      <c r="F1976" s="10">
        <f t="shared" si="30"/>
        <v>0</v>
      </c>
    </row>
    <row r="1977" spans="2:6" s="9" customFormat="1" x14ac:dyDescent="0.25">
      <c r="C1977" s="5"/>
      <c r="E1977" s="10"/>
      <c r="F1977" s="10">
        <f t="shared" si="30"/>
        <v>0</v>
      </c>
    </row>
    <row r="1978" spans="2:6" s="9" customFormat="1" x14ac:dyDescent="0.25">
      <c r="C1978" s="5"/>
      <c r="E1978" s="10"/>
      <c r="F1978" s="10">
        <f t="shared" si="30"/>
        <v>0</v>
      </c>
    </row>
    <row r="1979" spans="2:6" s="9" customFormat="1" x14ac:dyDescent="0.25">
      <c r="C1979" s="5"/>
      <c r="E1979" s="10"/>
      <c r="F1979" s="10">
        <f t="shared" si="30"/>
        <v>0</v>
      </c>
    </row>
    <row r="1980" spans="2:6" s="9" customFormat="1" x14ac:dyDescent="0.25">
      <c r="B1980" s="4"/>
      <c r="C1980" s="5"/>
      <c r="E1980" s="10"/>
      <c r="F1980" s="10">
        <f t="shared" si="30"/>
        <v>0</v>
      </c>
    </row>
    <row r="1981" spans="2:6" s="9" customFormat="1" x14ac:dyDescent="0.25">
      <c r="C1981" s="5"/>
      <c r="E1981" s="10"/>
      <c r="F1981" s="10">
        <f t="shared" si="30"/>
        <v>0</v>
      </c>
    </row>
    <row r="1982" spans="2:6" s="9" customFormat="1" x14ac:dyDescent="0.25">
      <c r="C1982" s="5"/>
      <c r="E1982" s="10"/>
      <c r="F1982" s="10">
        <f t="shared" si="30"/>
        <v>0</v>
      </c>
    </row>
    <row r="1983" spans="2:6" s="9" customFormat="1" x14ac:dyDescent="0.25">
      <c r="C1983" s="5"/>
      <c r="E1983" s="10"/>
      <c r="F1983" s="10">
        <f t="shared" si="30"/>
        <v>0</v>
      </c>
    </row>
    <row r="1984" spans="2:6" s="9" customFormat="1" x14ac:dyDescent="0.25">
      <c r="B1984" s="4"/>
      <c r="C1984" s="5"/>
      <c r="E1984" s="10"/>
      <c r="F1984" s="10">
        <f t="shared" si="30"/>
        <v>0</v>
      </c>
    </row>
    <row r="1985" spans="2:6" s="9" customFormat="1" x14ac:dyDescent="0.25">
      <c r="C1985" s="5"/>
      <c r="E1985" s="10"/>
      <c r="F1985" s="10">
        <f t="shared" si="30"/>
        <v>0</v>
      </c>
    </row>
    <row r="1986" spans="2:6" s="9" customFormat="1" x14ac:dyDescent="0.25">
      <c r="C1986" s="5"/>
      <c r="E1986" s="10"/>
      <c r="F1986" s="10">
        <f t="shared" si="30"/>
        <v>0</v>
      </c>
    </row>
    <row r="1987" spans="2:6" s="9" customFormat="1" x14ac:dyDescent="0.25">
      <c r="C1987" s="5"/>
      <c r="E1987" s="10"/>
      <c r="F1987" s="10">
        <f t="shared" si="30"/>
        <v>0</v>
      </c>
    </row>
    <row r="1988" spans="2:6" s="9" customFormat="1" x14ac:dyDescent="0.25">
      <c r="C1988" s="5"/>
      <c r="E1988" s="10"/>
      <c r="F1988" s="10">
        <f t="shared" si="30"/>
        <v>0</v>
      </c>
    </row>
    <row r="1989" spans="2:6" s="9" customFormat="1" x14ac:dyDescent="0.25">
      <c r="C1989" s="5"/>
      <c r="E1989" s="10"/>
      <c r="F1989" s="10">
        <f t="shared" si="30"/>
        <v>0</v>
      </c>
    </row>
    <row r="1990" spans="2:6" s="9" customFormat="1" x14ac:dyDescent="0.25">
      <c r="C1990" s="5"/>
      <c r="E1990" s="10"/>
      <c r="F1990" s="10">
        <f t="shared" si="30"/>
        <v>0</v>
      </c>
    </row>
    <row r="1991" spans="2:6" s="9" customFormat="1" x14ac:dyDescent="0.25">
      <c r="B1991" s="4"/>
      <c r="C1991" s="5"/>
      <c r="E1991" s="10"/>
      <c r="F1991" s="10">
        <f t="shared" si="30"/>
        <v>0</v>
      </c>
    </row>
    <row r="1992" spans="2:6" s="9" customFormat="1" x14ac:dyDescent="0.25">
      <c r="C1992" s="5"/>
      <c r="E1992" s="10"/>
      <c r="F1992" s="10">
        <f t="shared" si="30"/>
        <v>0</v>
      </c>
    </row>
    <row r="1993" spans="2:6" s="9" customFormat="1" x14ac:dyDescent="0.25">
      <c r="C1993" s="5"/>
      <c r="E1993" s="10"/>
      <c r="F1993" s="10">
        <f t="shared" si="30"/>
        <v>0</v>
      </c>
    </row>
    <row r="1994" spans="2:6" s="9" customFormat="1" x14ac:dyDescent="0.25">
      <c r="B1994" s="4"/>
      <c r="C1994" s="5"/>
      <c r="E1994" s="10"/>
      <c r="F1994" s="10">
        <f t="shared" si="30"/>
        <v>0</v>
      </c>
    </row>
    <row r="1995" spans="2:6" s="9" customFormat="1" x14ac:dyDescent="0.25">
      <c r="C1995" s="5"/>
      <c r="E1995" s="10"/>
      <c r="F1995" s="10">
        <f t="shared" si="30"/>
        <v>0</v>
      </c>
    </row>
    <row r="1996" spans="2:6" s="9" customFormat="1" x14ac:dyDescent="0.25">
      <c r="C1996" s="5"/>
      <c r="E1996" s="10"/>
      <c r="F1996" s="10">
        <f t="shared" ref="F1996:F2047" si="31">+C1996*E1996</f>
        <v>0</v>
      </c>
    </row>
    <row r="1997" spans="2:6" s="9" customFormat="1" x14ac:dyDescent="0.25">
      <c r="B1997" s="4"/>
      <c r="C1997" s="5"/>
      <c r="E1997" s="10"/>
      <c r="F1997" s="10">
        <f t="shared" si="31"/>
        <v>0</v>
      </c>
    </row>
    <row r="1998" spans="2:6" s="9" customFormat="1" x14ac:dyDescent="0.25">
      <c r="C1998" s="5"/>
      <c r="E1998" s="10"/>
      <c r="F1998" s="10">
        <f t="shared" si="31"/>
        <v>0</v>
      </c>
    </row>
    <row r="1999" spans="2:6" s="9" customFormat="1" x14ac:dyDescent="0.25">
      <c r="C1999" s="5"/>
      <c r="E1999" s="10"/>
      <c r="F1999" s="10">
        <f t="shared" si="31"/>
        <v>0</v>
      </c>
    </row>
    <row r="2000" spans="2:6" s="9" customFormat="1" x14ac:dyDescent="0.25">
      <c r="B2000" s="4"/>
      <c r="C2000" s="5"/>
      <c r="E2000" s="10"/>
      <c r="F2000" s="10">
        <f t="shared" si="31"/>
        <v>0</v>
      </c>
    </row>
    <row r="2001" spans="2:6" s="9" customFormat="1" x14ac:dyDescent="0.25">
      <c r="C2001" s="5"/>
      <c r="E2001" s="10"/>
      <c r="F2001" s="10">
        <f t="shared" si="31"/>
        <v>0</v>
      </c>
    </row>
    <row r="2002" spans="2:6" s="9" customFormat="1" x14ac:dyDescent="0.25">
      <c r="C2002" s="5"/>
      <c r="E2002" s="10"/>
      <c r="F2002" s="10">
        <f t="shared" si="31"/>
        <v>0</v>
      </c>
    </row>
    <row r="2003" spans="2:6" s="9" customFormat="1" x14ac:dyDescent="0.25">
      <c r="B2003" s="4"/>
      <c r="C2003" s="5"/>
      <c r="E2003" s="10"/>
      <c r="F2003" s="10">
        <f t="shared" si="31"/>
        <v>0</v>
      </c>
    </row>
    <row r="2004" spans="2:6" s="9" customFormat="1" x14ac:dyDescent="0.25">
      <c r="C2004" s="5"/>
      <c r="E2004" s="10"/>
      <c r="F2004" s="10">
        <f t="shared" si="31"/>
        <v>0</v>
      </c>
    </row>
    <row r="2005" spans="2:6" s="9" customFormat="1" x14ac:dyDescent="0.25">
      <c r="C2005" s="5"/>
      <c r="E2005" s="10"/>
      <c r="F2005" s="10">
        <f t="shared" si="31"/>
        <v>0</v>
      </c>
    </row>
    <row r="2006" spans="2:6" s="9" customFormat="1" x14ac:dyDescent="0.25">
      <c r="B2006" s="4"/>
      <c r="C2006" s="5"/>
      <c r="E2006" s="10"/>
      <c r="F2006" s="10">
        <f t="shared" si="31"/>
        <v>0</v>
      </c>
    </row>
    <row r="2007" spans="2:6" s="9" customFormat="1" x14ac:dyDescent="0.25">
      <c r="C2007" s="5"/>
      <c r="E2007" s="10"/>
      <c r="F2007" s="10">
        <f t="shared" si="31"/>
        <v>0</v>
      </c>
    </row>
    <row r="2008" spans="2:6" s="9" customFormat="1" x14ac:dyDescent="0.25">
      <c r="C2008" s="5"/>
      <c r="E2008" s="10"/>
      <c r="F2008" s="10">
        <f t="shared" si="31"/>
        <v>0</v>
      </c>
    </row>
    <row r="2009" spans="2:6" s="9" customFormat="1" x14ac:dyDescent="0.25">
      <c r="B2009" s="4"/>
      <c r="C2009" s="5"/>
      <c r="E2009" s="10"/>
      <c r="F2009" s="10">
        <f t="shared" si="31"/>
        <v>0</v>
      </c>
    </row>
    <row r="2010" spans="2:6" s="9" customFormat="1" x14ac:dyDescent="0.25">
      <c r="C2010" s="5"/>
      <c r="E2010" s="10"/>
      <c r="F2010" s="10">
        <f t="shared" si="31"/>
        <v>0</v>
      </c>
    </row>
    <row r="2011" spans="2:6" s="9" customFormat="1" x14ac:dyDescent="0.25">
      <c r="C2011" s="5"/>
      <c r="E2011" s="10"/>
      <c r="F2011" s="10">
        <f t="shared" si="31"/>
        <v>0</v>
      </c>
    </row>
    <row r="2012" spans="2:6" s="9" customFormat="1" x14ac:dyDescent="0.25">
      <c r="B2012" s="4"/>
      <c r="C2012" s="5"/>
      <c r="E2012" s="10"/>
      <c r="F2012" s="10">
        <f t="shared" si="31"/>
        <v>0</v>
      </c>
    </row>
    <row r="2013" spans="2:6" s="9" customFormat="1" x14ac:dyDescent="0.25">
      <c r="C2013" s="5"/>
      <c r="E2013" s="10"/>
      <c r="F2013" s="10">
        <f t="shared" si="31"/>
        <v>0</v>
      </c>
    </row>
    <row r="2014" spans="2:6" s="9" customFormat="1" x14ac:dyDescent="0.25">
      <c r="C2014" s="5"/>
      <c r="E2014" s="10"/>
      <c r="F2014" s="10">
        <f t="shared" si="31"/>
        <v>0</v>
      </c>
    </row>
    <row r="2015" spans="2:6" s="9" customFormat="1" x14ac:dyDescent="0.25">
      <c r="C2015" s="5"/>
      <c r="E2015" s="10"/>
      <c r="F2015" s="10">
        <f t="shared" si="31"/>
        <v>0</v>
      </c>
    </row>
    <row r="2016" spans="2:6" s="9" customFormat="1" x14ac:dyDescent="0.25">
      <c r="C2016" s="5"/>
      <c r="E2016" s="10"/>
      <c r="F2016" s="10">
        <f t="shared" si="31"/>
        <v>0</v>
      </c>
    </row>
    <row r="2017" spans="2:6" s="9" customFormat="1" x14ac:dyDescent="0.25">
      <c r="C2017" s="5"/>
      <c r="E2017" s="10"/>
      <c r="F2017" s="10">
        <f t="shared" si="31"/>
        <v>0</v>
      </c>
    </row>
    <row r="2018" spans="2:6" s="9" customFormat="1" x14ac:dyDescent="0.25">
      <c r="B2018" s="4"/>
      <c r="C2018" s="5"/>
      <c r="E2018" s="10"/>
      <c r="F2018" s="10">
        <f t="shared" si="31"/>
        <v>0</v>
      </c>
    </row>
    <row r="2019" spans="2:6" s="9" customFormat="1" x14ac:dyDescent="0.25">
      <c r="C2019" s="5"/>
      <c r="E2019" s="10"/>
      <c r="F2019" s="10">
        <f t="shared" si="31"/>
        <v>0</v>
      </c>
    </row>
    <row r="2020" spans="2:6" s="9" customFormat="1" x14ac:dyDescent="0.25">
      <c r="C2020" s="5"/>
      <c r="E2020" s="10"/>
      <c r="F2020" s="10">
        <f t="shared" si="31"/>
        <v>0</v>
      </c>
    </row>
    <row r="2021" spans="2:6" s="9" customFormat="1" x14ac:dyDescent="0.25">
      <c r="B2021" s="4"/>
      <c r="C2021" s="5"/>
      <c r="E2021" s="10"/>
      <c r="F2021" s="10">
        <f t="shared" si="31"/>
        <v>0</v>
      </c>
    </row>
    <row r="2022" spans="2:6" s="9" customFormat="1" x14ac:dyDescent="0.25">
      <c r="C2022" s="5"/>
      <c r="E2022" s="10"/>
      <c r="F2022" s="10">
        <f t="shared" si="31"/>
        <v>0</v>
      </c>
    </row>
    <row r="2023" spans="2:6" s="9" customFormat="1" x14ac:dyDescent="0.25">
      <c r="C2023" s="5"/>
      <c r="E2023" s="10"/>
      <c r="F2023" s="10">
        <f t="shared" si="31"/>
        <v>0</v>
      </c>
    </row>
    <row r="2024" spans="2:6" s="9" customFormat="1" x14ac:dyDescent="0.25">
      <c r="C2024" s="5"/>
      <c r="E2024" s="10"/>
      <c r="F2024" s="10">
        <f t="shared" si="31"/>
        <v>0</v>
      </c>
    </row>
    <row r="2025" spans="2:6" s="9" customFormat="1" x14ac:dyDescent="0.25">
      <c r="B2025" s="4"/>
      <c r="C2025" s="5"/>
      <c r="E2025" s="10"/>
      <c r="F2025" s="10">
        <f t="shared" si="31"/>
        <v>0</v>
      </c>
    </row>
    <row r="2026" spans="2:6" s="9" customFormat="1" x14ac:dyDescent="0.25">
      <c r="C2026" s="5"/>
      <c r="E2026" s="10"/>
      <c r="F2026" s="10">
        <f t="shared" si="31"/>
        <v>0</v>
      </c>
    </row>
    <row r="2027" spans="2:6" s="9" customFormat="1" x14ac:dyDescent="0.25">
      <c r="C2027" s="5"/>
      <c r="E2027" s="10"/>
      <c r="F2027" s="10">
        <f t="shared" si="31"/>
        <v>0</v>
      </c>
    </row>
    <row r="2028" spans="2:6" s="9" customFormat="1" x14ac:dyDescent="0.25">
      <c r="B2028" s="4"/>
      <c r="C2028" s="5"/>
      <c r="E2028" s="10"/>
      <c r="F2028" s="10">
        <f t="shared" si="31"/>
        <v>0</v>
      </c>
    </row>
    <row r="2029" spans="2:6" s="9" customFormat="1" x14ac:dyDescent="0.25">
      <c r="C2029" s="5"/>
      <c r="E2029" s="10"/>
      <c r="F2029" s="10">
        <f t="shared" si="31"/>
        <v>0</v>
      </c>
    </row>
    <row r="2030" spans="2:6" s="9" customFormat="1" x14ac:dyDescent="0.25">
      <c r="C2030" s="5"/>
      <c r="E2030" s="10"/>
      <c r="F2030" s="10">
        <f t="shared" si="31"/>
        <v>0</v>
      </c>
    </row>
    <row r="2031" spans="2:6" s="9" customFormat="1" x14ac:dyDescent="0.25">
      <c r="B2031" s="4"/>
      <c r="C2031" s="5"/>
      <c r="E2031" s="10"/>
      <c r="F2031" s="10">
        <f t="shared" si="31"/>
        <v>0</v>
      </c>
    </row>
    <row r="2032" spans="2:6" s="9" customFormat="1" x14ac:dyDescent="0.25">
      <c r="C2032" s="5"/>
      <c r="E2032" s="10"/>
      <c r="F2032" s="10">
        <f t="shared" si="31"/>
        <v>0</v>
      </c>
    </row>
    <row r="2033" spans="2:6" s="9" customFormat="1" x14ac:dyDescent="0.25">
      <c r="C2033" s="5"/>
      <c r="E2033" s="10"/>
      <c r="F2033" s="10">
        <f t="shared" si="31"/>
        <v>0</v>
      </c>
    </row>
    <row r="2034" spans="2:6" s="9" customFormat="1" x14ac:dyDescent="0.25">
      <c r="C2034" s="5"/>
      <c r="E2034" s="10"/>
      <c r="F2034" s="10">
        <f t="shared" si="31"/>
        <v>0</v>
      </c>
    </row>
    <row r="2035" spans="2:6" s="9" customFormat="1" x14ac:dyDescent="0.25">
      <c r="C2035" s="5"/>
      <c r="E2035" s="10"/>
      <c r="F2035" s="10">
        <f t="shared" si="31"/>
        <v>0</v>
      </c>
    </row>
    <row r="2036" spans="2:6" s="9" customFormat="1" x14ac:dyDescent="0.25">
      <c r="C2036" s="5"/>
      <c r="E2036" s="10"/>
      <c r="F2036" s="10">
        <f t="shared" si="31"/>
        <v>0</v>
      </c>
    </row>
    <row r="2037" spans="2:6" s="9" customFormat="1" x14ac:dyDescent="0.25">
      <c r="B2037" s="4"/>
      <c r="C2037" s="5"/>
      <c r="E2037" s="10"/>
      <c r="F2037" s="10">
        <f t="shared" si="31"/>
        <v>0</v>
      </c>
    </row>
    <row r="2038" spans="2:6" s="9" customFormat="1" x14ac:dyDescent="0.25">
      <c r="C2038" s="5"/>
      <c r="E2038" s="10"/>
      <c r="F2038" s="10">
        <f t="shared" si="31"/>
        <v>0</v>
      </c>
    </row>
    <row r="2039" spans="2:6" s="9" customFormat="1" x14ac:dyDescent="0.25">
      <c r="C2039" s="5"/>
      <c r="E2039" s="10"/>
      <c r="F2039" s="10">
        <f t="shared" si="31"/>
        <v>0</v>
      </c>
    </row>
    <row r="2040" spans="2:6" s="9" customFormat="1" x14ac:dyDescent="0.25">
      <c r="C2040" s="5"/>
      <c r="E2040" s="10"/>
      <c r="F2040" s="10">
        <f t="shared" si="31"/>
        <v>0</v>
      </c>
    </row>
    <row r="2041" spans="2:6" s="9" customFormat="1" x14ac:dyDescent="0.25">
      <c r="C2041" s="5"/>
      <c r="E2041" s="10"/>
      <c r="F2041" s="10">
        <f t="shared" si="31"/>
        <v>0</v>
      </c>
    </row>
    <row r="2042" spans="2:6" s="9" customFormat="1" x14ac:dyDescent="0.25">
      <c r="C2042" s="5"/>
      <c r="E2042" s="10"/>
      <c r="F2042" s="10">
        <f t="shared" si="31"/>
        <v>0</v>
      </c>
    </row>
    <row r="2043" spans="2:6" s="9" customFormat="1" x14ac:dyDescent="0.25">
      <c r="B2043" s="4"/>
      <c r="C2043" s="5"/>
      <c r="E2043" s="10"/>
      <c r="F2043" s="10">
        <f t="shared" si="31"/>
        <v>0</v>
      </c>
    </row>
    <row r="2044" spans="2:6" s="9" customFormat="1" x14ac:dyDescent="0.25">
      <c r="C2044" s="5"/>
      <c r="E2044" s="10"/>
      <c r="F2044" s="10">
        <f t="shared" si="31"/>
        <v>0</v>
      </c>
    </row>
    <row r="2045" spans="2:6" s="9" customFormat="1" x14ac:dyDescent="0.25">
      <c r="C2045" s="5"/>
      <c r="E2045" s="10"/>
      <c r="F2045" s="10">
        <f t="shared" si="31"/>
        <v>0</v>
      </c>
    </row>
    <row r="2046" spans="2:6" s="9" customFormat="1" x14ac:dyDescent="0.25">
      <c r="C2046" s="5"/>
      <c r="E2046" s="10"/>
      <c r="F2046" s="10">
        <f t="shared" si="31"/>
        <v>0</v>
      </c>
    </row>
    <row r="2047" spans="2:6" s="9" customFormat="1" x14ac:dyDescent="0.25">
      <c r="C2047" s="5"/>
      <c r="E2047" s="10"/>
      <c r="F2047" s="10">
        <f t="shared" si="31"/>
        <v>0</v>
      </c>
    </row>
    <row r="2048" spans="2:6" s="9" customFormat="1" x14ac:dyDescent="0.25">
      <c r="C2048" s="5"/>
      <c r="E2048" s="10"/>
      <c r="F2048" s="10"/>
    </row>
    <row r="2049" spans="2:7" ht="15.75" x14ac:dyDescent="0.25">
      <c r="B2049" s="9"/>
      <c r="D2049" s="9"/>
      <c r="F2049" s="7" t="s">
        <v>294</v>
      </c>
      <c r="G2049" s="7">
        <f>+F4+F7+F11+F16+F23+F27+F31+F34+F37+F40+F43+F46+F49+F52+F55+F59+F62+F65+F71+F74+F78+F82+F85+F88+F91+F94+F97+F100+F104+F107+F111+F114+F122+F128+F131+F134+F145+F148+F151+F154+F157+F161+F164+F167+F172+F179+F182+F186+F192+F195+F201+F204+F207+F210+F213+F218+F224+F227+F230+F233+F236+F243+F247+F250+F253+F256+F259+F262+F265+F268+F274+F278+F283+F287+F296+F303+F308+F318+F321+F324+F327+F330+F333+F336+F340+F343+F355+F358+F362+F367+F370+F373+F376+F379+F385+F388+F391+F394+F397+F400+F403+F408+F411+F415+F418+F423+F429+F432+F435+F438+F441+F444+F447+F450+F453+F458+F462+F465+F469+F473+F476+F479+F482+F485+F488+F495+F498+F501+F504+F507+F510+F513+F516+F523+F529+F533+F537+F540+F546+F550+F554+F557+F560+F563+F567+F570+F573+F576+F581+F585+F589+F592+F599+F602+F605+F608+F612+F615+F618+F623+F629+F632+F635+F638+F644+F648+F653+F659+F664+F673+F676+F679+F685+F688+F691+F694+F700+F703+F706+F709+F712+F717+F721+F724+F727+F731+F734+F737+F741+F744+F747+F750+F753+F756+F759+F764+F768+F771+F777+F782+F790+F794+F799+F802+F805+F808+F811+F816+F822+F828+F831+F834+F837+F840+F845+F848+F851+F858+F861+F864+F867+F871+F874+F877+F881+F884+F887+F890+F894+F899+F903+F907+F910+F914+F917+F920+F923+F928+F931++F934+F937+F940+F943+F946+F949+F952+F955+F965+F968+F974+F982+F991+F994+F998+F1002+F1005+F1008+F1011+F1014+F1017+F1022+F1026+F1029+F1032+F1039+F1042+F1045+F1048+F1051+F1054+F1057+F1060+F1063+F1066+F1069+F1072+F1075+F1079+F1082+F1085+F1091+F1098+F1104+F1107+F1110+F1116+F1122+F1125+F1128+F1131+F1134+F1137+F1140+F1144+F1150+F1155+F1160+F1163+F1169+F1177+F1183+F1186+F1189+F1192+F1195+F1198+F1201+F1205+F1208+F1212+F1215+F1222+F1225+F1228+F1231+F1234+F1237+F1240+F1245+F1248+F1251+F1254+F1257+F1264+F1272+F1277+F1283+F1286+F1289+F1294+F1297+F1300+F1304+F1307+F1310+F1313+F1317+F1320+F1323+F1327+F1332+F1336+F1339+F1342+F1345+F1350+F1353+F1357+F1362+F1365+F1368+F1371+F1375+F1378+F1381+F1384+F1387+F1391+F1398+F1404+F1407+F1410+F1418+F1421+F1424+F1427+F1430+F1433+F1436+F1439+F1442+F1445+F1448+F1451+F1455+F1458+F1462+F1467+F1471+F1474+F1481+F1489+F1492+F1495+F1498+F1507+F1514+F1518+F1522+F1525+F1528+F1531+F1535+F1538+F1541+F1544+F1547+F1550+F1554+F1558+F1562+F1565+F1568+F1575+F1581+F1584+F1594+F1597+F1600+F1603+F1606+F1609+F1612+F1615+F1618+F1622+F1625+F1628+F1634+F1640+F1646+F1650+F1653+F1660+F1663+F1666+F1670+F1673+F1676+F1679+F1682+F1685+F1688+F1692+F1696+F1700+F1703+F1706+F1709+F1712+F1715+F1718+F1724+F1727+F1732+F1735+F1738+F1741+F1744+F1748+F1752+F1755+F1761+F1764+F1767+F1770+F1773+F1777+F1780+F1784+F1787+F1791+F1794+F1798+F1804+F1807+F1811+F1816+F1819+F1824+F1827+F1830+F1833+F1840+F1848+F1854+F1857+F1860+F1866+F1869+F1872+F1875+F1878+F1884+F1887+F1892+F1896+F1899+F1902+F1905+F1908+F1912+F1915+F1918+F1924+F1927+F1930+F1933+F1936+F1939+F1942+F1945+F1948+F1951+F1955+F1958+F1961+F1964+F1967+F1970+F1974+F1978+F1982+F1989+F1992+F1995+F1998+F2001+F2004+F2007+F2010+F2016+F2019+F2023+F2026+F2029+F2035+F2041+F2047</f>
        <v>1429627.5</v>
      </c>
    </row>
    <row r="2050" spans="2:7" x14ac:dyDescent="0.25">
      <c r="B2050" s="9"/>
      <c r="D2050" s="9"/>
      <c r="G2050" s="10">
        <v>0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5FBC-AE97-4696-8B98-EB267C99CA5B}">
  <dimension ref="A1:J17"/>
  <sheetViews>
    <sheetView workbookViewId="0">
      <selection activeCell="J11" sqref="J11"/>
    </sheetView>
  </sheetViews>
  <sheetFormatPr baseColWidth="10" defaultColWidth="11.42578125" defaultRowHeight="15" x14ac:dyDescent="0.25"/>
  <sheetData>
    <row r="1" spans="1:10" x14ac:dyDescent="0.25">
      <c r="A1" s="9">
        <v>960</v>
      </c>
      <c r="B1" s="9">
        <v>916</v>
      </c>
      <c r="C1" s="9">
        <v>1000</v>
      </c>
      <c r="D1" s="9">
        <v>1000</v>
      </c>
      <c r="E1" s="9">
        <v>1000</v>
      </c>
      <c r="F1" s="9">
        <v>1000</v>
      </c>
      <c r="G1" s="9">
        <v>910</v>
      </c>
      <c r="H1" s="9">
        <v>945</v>
      </c>
      <c r="I1" s="9">
        <v>945</v>
      </c>
      <c r="J1" s="9">
        <v>1015</v>
      </c>
    </row>
    <row r="2" spans="1:10" x14ac:dyDescent="0.25">
      <c r="A2" s="9">
        <v>920</v>
      </c>
      <c r="B2" s="9">
        <v>1045</v>
      </c>
      <c r="C2" s="9">
        <v>930</v>
      </c>
      <c r="D2" s="9">
        <v>1020</v>
      </c>
      <c r="E2" s="9">
        <v>955</v>
      </c>
      <c r="F2" s="9">
        <v>1000</v>
      </c>
      <c r="G2" s="9">
        <v>935</v>
      </c>
      <c r="H2" s="9">
        <v>955</v>
      </c>
      <c r="I2" s="9">
        <v>900</v>
      </c>
      <c r="J2" s="9">
        <v>1095</v>
      </c>
    </row>
    <row r="3" spans="1:10" x14ac:dyDescent="0.25">
      <c r="A3" s="9">
        <v>1000</v>
      </c>
      <c r="B3" s="9">
        <v>1047</v>
      </c>
      <c r="C3" s="9">
        <v>905</v>
      </c>
      <c r="D3" s="9">
        <v>910</v>
      </c>
      <c r="E3" s="9">
        <v>935</v>
      </c>
      <c r="F3" s="9">
        <v>965</v>
      </c>
      <c r="G3" s="9">
        <v>1020</v>
      </c>
      <c r="H3" s="9">
        <v>770</v>
      </c>
      <c r="I3" s="9">
        <v>935</v>
      </c>
      <c r="J3" s="9">
        <v>945</v>
      </c>
    </row>
    <row r="4" spans="1:10" x14ac:dyDescent="0.25">
      <c r="A4" s="9">
        <v>1000</v>
      </c>
      <c r="B4" s="9">
        <v>895</v>
      </c>
      <c r="C4" s="9">
        <v>980</v>
      </c>
      <c r="D4" s="9">
        <v>1020</v>
      </c>
      <c r="E4" s="9">
        <v>935</v>
      </c>
      <c r="F4" s="9">
        <v>1000</v>
      </c>
      <c r="G4" s="9">
        <v>1010</v>
      </c>
      <c r="H4" s="19">
        <v>1000</v>
      </c>
      <c r="I4" s="9">
        <v>980</v>
      </c>
      <c r="J4" s="9">
        <v>1035</v>
      </c>
    </row>
    <row r="5" spans="1:10" x14ac:dyDescent="0.25">
      <c r="A5" s="9">
        <v>955</v>
      </c>
      <c r="B5" s="9">
        <v>1040</v>
      </c>
      <c r="C5" s="9">
        <v>960</v>
      </c>
      <c r="D5" s="9">
        <v>1000</v>
      </c>
      <c r="E5" s="9">
        <v>925</v>
      </c>
      <c r="F5" s="9">
        <v>965</v>
      </c>
      <c r="G5" s="9">
        <v>910</v>
      </c>
      <c r="H5" s="9">
        <v>1000</v>
      </c>
      <c r="I5" s="9">
        <v>940</v>
      </c>
      <c r="J5" s="9">
        <v>945</v>
      </c>
    </row>
    <row r="6" spans="1:10" x14ac:dyDescent="0.25">
      <c r="A6" s="9">
        <v>1065</v>
      </c>
      <c r="B6" s="9">
        <v>975</v>
      </c>
      <c r="C6" s="9">
        <v>1020</v>
      </c>
      <c r="D6" s="9">
        <v>835</v>
      </c>
      <c r="E6" s="9">
        <v>950</v>
      </c>
      <c r="F6" s="9">
        <v>965</v>
      </c>
      <c r="G6" s="9">
        <v>1030</v>
      </c>
      <c r="H6" s="9">
        <v>930</v>
      </c>
      <c r="I6" s="9">
        <v>940</v>
      </c>
      <c r="J6" s="9">
        <v>935</v>
      </c>
    </row>
    <row r="7" spans="1:10" x14ac:dyDescent="0.25">
      <c r="A7" s="9">
        <v>1000</v>
      </c>
      <c r="B7" s="9">
        <v>1000</v>
      </c>
      <c r="C7" s="9">
        <v>940</v>
      </c>
      <c r="D7" s="9">
        <v>1090</v>
      </c>
      <c r="E7" s="9">
        <v>1065</v>
      </c>
      <c r="F7" s="20">
        <v>1000</v>
      </c>
      <c r="G7" s="20">
        <v>1000</v>
      </c>
      <c r="H7" s="20">
        <v>980</v>
      </c>
      <c r="I7" s="20">
        <v>1055</v>
      </c>
      <c r="J7" s="20">
        <v>1000</v>
      </c>
    </row>
    <row r="8" spans="1:10" x14ac:dyDescent="0.25">
      <c r="A8" s="9">
        <v>940</v>
      </c>
      <c r="B8" s="9">
        <v>1000</v>
      </c>
      <c r="C8" s="9">
        <v>970</v>
      </c>
      <c r="D8" s="18">
        <v>945</v>
      </c>
      <c r="E8" s="18">
        <v>1050</v>
      </c>
      <c r="F8" s="21">
        <v>1030</v>
      </c>
      <c r="G8" s="21">
        <v>1000</v>
      </c>
      <c r="H8" s="21">
        <v>965</v>
      </c>
      <c r="I8" s="21">
        <v>1030</v>
      </c>
      <c r="J8" s="21">
        <v>1000</v>
      </c>
    </row>
    <row r="9" spans="1:10" x14ac:dyDescent="0.25">
      <c r="A9" s="9">
        <v>845</v>
      </c>
      <c r="B9" s="9">
        <v>1020</v>
      </c>
      <c r="C9" s="9">
        <v>930</v>
      </c>
      <c r="D9" s="18">
        <v>1020</v>
      </c>
      <c r="E9" s="18">
        <v>975</v>
      </c>
      <c r="F9" s="21">
        <v>1000</v>
      </c>
      <c r="G9" s="21">
        <v>1020</v>
      </c>
      <c r="H9" s="21">
        <v>1000</v>
      </c>
      <c r="I9" s="21">
        <v>980</v>
      </c>
      <c r="J9" s="21">
        <v>1000</v>
      </c>
    </row>
    <row r="10" spans="1:10" x14ac:dyDescent="0.25">
      <c r="A10" s="9">
        <v>915</v>
      </c>
      <c r="B10" s="9">
        <v>910</v>
      </c>
      <c r="C10" s="9">
        <v>1000</v>
      </c>
      <c r="D10" s="18">
        <v>1000</v>
      </c>
      <c r="E10" s="18">
        <v>890</v>
      </c>
      <c r="F10" s="21">
        <v>950</v>
      </c>
      <c r="G10" s="21">
        <v>935</v>
      </c>
      <c r="H10" s="21">
        <v>890</v>
      </c>
      <c r="I10" s="21">
        <v>955</v>
      </c>
      <c r="J10" s="21">
        <v>955</v>
      </c>
    </row>
    <row r="11" spans="1:10" x14ac:dyDescent="0.25">
      <c r="A11" s="9"/>
      <c r="B11" s="9"/>
      <c r="C11" s="9"/>
      <c r="D11" s="9"/>
      <c r="E11" s="18"/>
      <c r="F11" s="21"/>
      <c r="G11" s="9"/>
      <c r="H11" s="9"/>
      <c r="I11" s="9"/>
      <c r="J11" s="9"/>
    </row>
    <row r="13" spans="1:10" x14ac:dyDescent="0.25">
      <c r="A13" s="9">
        <f>SUM(A1:A12)</f>
        <v>9600</v>
      </c>
      <c r="B13" s="9">
        <f>SUM(B1:B12)</f>
        <v>9848</v>
      </c>
      <c r="C13" s="9">
        <f t="shared" ref="C13:F13" si="0">SUM(C1:C12)</f>
        <v>9635</v>
      </c>
      <c r="D13" s="9">
        <f t="shared" si="0"/>
        <v>9840</v>
      </c>
      <c r="E13" s="9">
        <f t="shared" si="0"/>
        <v>9680</v>
      </c>
      <c r="F13" s="9">
        <f t="shared" si="0"/>
        <v>9875</v>
      </c>
      <c r="G13" s="9">
        <f>SUM(G1:G12)</f>
        <v>9770</v>
      </c>
      <c r="H13" s="9">
        <f>SUM(H1:H12)</f>
        <v>9435</v>
      </c>
      <c r="I13" s="9">
        <f>SUM(I1:I12)</f>
        <v>9660</v>
      </c>
      <c r="J13" s="9">
        <f>SUM(J1:J12)</f>
        <v>9925</v>
      </c>
    </row>
    <row r="14" spans="1:10" x14ac:dyDescent="0.25">
      <c r="A14" s="9" t="s">
        <v>199</v>
      </c>
      <c r="B14" s="9"/>
      <c r="C14" s="9"/>
      <c r="D14" s="9"/>
      <c r="E14" s="9"/>
      <c r="F14" s="9"/>
      <c r="G14" s="9"/>
      <c r="H14" s="9"/>
      <c r="I14" s="9"/>
      <c r="J14" s="9"/>
    </row>
    <row r="17" spans="6:6" x14ac:dyDescent="0.25">
      <c r="F17" s="9">
        <f>SUM(A13:J13)</f>
        <v>97268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Hoja1</vt:lpstr>
      <vt:lpstr>NOVIEMBRE 2025</vt:lpstr>
      <vt:lpstr>DICIEMBRE 2025</vt:lpstr>
      <vt:lpstr>Peso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ferza</cp:lastModifiedBy>
  <cp:revision/>
  <dcterms:created xsi:type="dcterms:W3CDTF">2024-01-08T17:13:53Z</dcterms:created>
  <dcterms:modified xsi:type="dcterms:W3CDTF">2026-01-06T19:47:50Z</dcterms:modified>
  <cp:category/>
  <cp:contentStatus/>
</cp:coreProperties>
</file>